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8" yWindow="-108" windowWidth="19416" windowHeight="11616" activeTab="1"/>
  </bookViews>
  <sheets>
    <sheet name="Sheet1" sheetId="1" r:id="rId1"/>
    <sheet name="Sheet2" sheetId="2" r:id="rId2"/>
  </sheets>
  <definedNames>
    <definedName name="_select_sum_teamTrmxDtl_harga_item_teamTrmxDtl_jumlah_item_as_to_202307111612" localSheetId="0">Sheet1!$A$1:$D$405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1" i="2" l="1"/>
  <c r="I11" i="2"/>
  <c r="M4" i="2"/>
  <c r="M5" i="2"/>
  <c r="M6" i="2"/>
  <c r="M7" i="2"/>
  <c r="M8" i="2"/>
  <c r="L5" i="2"/>
  <c r="L6" i="2"/>
  <c r="L7" i="2"/>
  <c r="L8" i="2"/>
  <c r="L4" i="2"/>
  <c r="L9" i="2" l="1"/>
  <c r="M9" i="2"/>
</calcChain>
</file>

<file path=xl/connections.xml><?xml version="1.0" encoding="utf-8"?>
<connections xmlns="http://schemas.openxmlformats.org/spreadsheetml/2006/main">
  <connection id="1" name="_select_sum_teamTrmxDtl_harga_item_teamTrmxDtl_jumlah_item_as_to_202307111612" type="6" refreshedVersion="8" background="1" saveData="1">
    <textPr codePage="437" sourceFile="D:\temp\_export\_select_sum_teamTrmxDtl_harga_item_teamTrmxDtl_jumlah_item_as_to_202307111612.csv" tab="0" comma="1">
      <textFields count="4">
        <textField/>
        <textField/>
        <textField/>
        <textField type="text"/>
      </textFields>
    </textPr>
  </connection>
</connections>
</file>

<file path=xl/sharedStrings.xml><?xml version="1.0" encoding="utf-8"?>
<sst xmlns="http://schemas.openxmlformats.org/spreadsheetml/2006/main" count="447" uniqueCount="431">
  <si>
    <t>total_rinci</t>
  </si>
  <si>
    <t>nilai_total</t>
  </si>
  <si>
    <t>nilai_selisih</t>
  </si>
  <si>
    <t>max(teamTrmx.no_doc)</t>
  </si>
  <si>
    <t>001/OB/01/23</t>
  </si>
  <si>
    <t>061/OB/01/23</t>
  </si>
  <si>
    <t>032/OB/01/23</t>
  </si>
  <si>
    <t>023/OB/01/23</t>
  </si>
  <si>
    <t>017/COD/01/23</t>
  </si>
  <si>
    <t>028/COD/01/23</t>
  </si>
  <si>
    <t>003/OB/01/23</t>
  </si>
  <si>
    <t>T00202301000043</t>
  </si>
  <si>
    <t>014/OB/01/23</t>
  </si>
  <si>
    <t>032/COD/01/23</t>
  </si>
  <si>
    <t>005/COD/01/23</t>
  </si>
  <si>
    <t>023/COD/01/23</t>
  </si>
  <si>
    <t>026/COD/01/23</t>
  </si>
  <si>
    <t>056/COD/01/23</t>
  </si>
  <si>
    <t>002/D/01/23</t>
  </si>
  <si>
    <t>004/COD/01/23</t>
  </si>
  <si>
    <t>050/COD/01/23</t>
  </si>
  <si>
    <t>070/COD/01/23</t>
  </si>
  <si>
    <t>008/COD/01/23</t>
  </si>
  <si>
    <t>048/OB/01/23</t>
  </si>
  <si>
    <t>049/OB/01/23</t>
  </si>
  <si>
    <t>057/COD/01/23</t>
  </si>
  <si>
    <t>035/OB/01/23</t>
  </si>
  <si>
    <t>025/OB/01/23</t>
  </si>
  <si>
    <t>036/OB/01/23</t>
  </si>
  <si>
    <t>005/OB/01/23</t>
  </si>
  <si>
    <t>255/OB/01/23</t>
  </si>
  <si>
    <t>012/COD/01/23</t>
  </si>
  <si>
    <t>004/OB/01/23</t>
  </si>
  <si>
    <t>024/OB/01/23</t>
  </si>
  <si>
    <t>073/COD/01/23</t>
  </si>
  <si>
    <t>048/COD/01/23</t>
  </si>
  <si>
    <t>018/OB/01/23</t>
  </si>
  <si>
    <t>253/OB/01/23</t>
  </si>
  <si>
    <t>254/OB/01/23</t>
  </si>
  <si>
    <t>072/COD/01/23</t>
  </si>
  <si>
    <t>081/COD/01/23</t>
  </si>
  <si>
    <t>031/COD/01/23</t>
  </si>
  <si>
    <t>001/COD/01/23</t>
  </si>
  <si>
    <t>006/COD/01/23</t>
  </si>
  <si>
    <t>011/COD/01/23</t>
  </si>
  <si>
    <t>016/COD/01/23</t>
  </si>
  <si>
    <t>018/COD/01/23</t>
  </si>
  <si>
    <t>025/COD/01/23</t>
  </si>
  <si>
    <t>024/COD/01/23</t>
  </si>
  <si>
    <t>052/COD/01/23</t>
  </si>
  <si>
    <t>038/COD/01/23</t>
  </si>
  <si>
    <t>063/COD/01/23</t>
  </si>
  <si>
    <t>022/OB/01/23</t>
  </si>
  <si>
    <t>019/OB/01/23</t>
  </si>
  <si>
    <t>003/REG/01/23</t>
  </si>
  <si>
    <t>022/COD/01/23</t>
  </si>
  <si>
    <t>006/OB/01/23</t>
  </si>
  <si>
    <t>003/D/01/23</t>
  </si>
  <si>
    <t>062/OB/01/23</t>
  </si>
  <si>
    <t>010/OB/01/23</t>
  </si>
  <si>
    <t>002/OB/01/23</t>
  </si>
  <si>
    <t>027/COD/01/23</t>
  </si>
  <si>
    <t>038/OB/01/23</t>
  </si>
  <si>
    <t>012/D/01/23</t>
  </si>
  <si>
    <t>060/COD/01/23</t>
  </si>
  <si>
    <t>007/COD/01/23</t>
  </si>
  <si>
    <t>049/COD/01/23</t>
  </si>
  <si>
    <t>006/D/01/23</t>
  </si>
  <si>
    <t>027/OB/01/23</t>
  </si>
  <si>
    <t>040/COD/01/23</t>
  </si>
  <si>
    <t>011/OB/01/23</t>
  </si>
  <si>
    <t>020/OB/01/23</t>
  </si>
  <si>
    <t>044/COD/01/23</t>
  </si>
  <si>
    <t>015/COD/01/23</t>
  </si>
  <si>
    <t>029/OB/01/23</t>
  </si>
  <si>
    <t>013/OB/01/23</t>
  </si>
  <si>
    <t>064/COD/01/23</t>
  </si>
  <si>
    <t>008/OB/01/23</t>
  </si>
  <si>
    <t>019/COD/01/23</t>
  </si>
  <si>
    <t>039/COD/01/23</t>
  </si>
  <si>
    <t>003/COD/01/23</t>
  </si>
  <si>
    <t>021/OB/01/23</t>
  </si>
  <si>
    <t>017/OB/01/23</t>
  </si>
  <si>
    <t>010/COD/01/23</t>
  </si>
  <si>
    <t>046/COD/01/23</t>
  </si>
  <si>
    <t>029/COD/01/23</t>
  </si>
  <si>
    <t>013/COD/01/23</t>
  </si>
  <si>
    <t>014/COD/01/23</t>
  </si>
  <si>
    <t>037/COD/01/23</t>
  </si>
  <si>
    <t>051/COD/01/23</t>
  </si>
  <si>
    <t>062/COD/01/23</t>
  </si>
  <si>
    <t>020/COD/01/23</t>
  </si>
  <si>
    <t>T00202305000661</t>
  </si>
  <si>
    <t>041/COD/01/23</t>
  </si>
  <si>
    <t>047/COD/01/23</t>
  </si>
  <si>
    <t>061/COD/01/23</t>
  </si>
  <si>
    <t>066/COD/01/23</t>
  </si>
  <si>
    <t>002/ALK/01/23</t>
  </si>
  <si>
    <t>011/ALK/01/23</t>
  </si>
  <si>
    <t>006/IMP/01/23</t>
  </si>
  <si>
    <t>042/ALK/01/23</t>
  </si>
  <si>
    <t>004/IMP/01/23</t>
  </si>
  <si>
    <t>001/IMP/01/23</t>
  </si>
  <si>
    <t>003/IMP/01/23</t>
  </si>
  <si>
    <t>005/ALK/01/23</t>
  </si>
  <si>
    <t>035/ALK/01/23</t>
  </si>
  <si>
    <t>017/ALK/01/23</t>
  </si>
  <si>
    <t>029/ALK/01/23</t>
  </si>
  <si>
    <t>031/ALK/01/23</t>
  </si>
  <si>
    <t>014/ALK/01/23</t>
  </si>
  <si>
    <t>034/ALK/01/23</t>
  </si>
  <si>
    <t>032/ALK/01/23</t>
  </si>
  <si>
    <t>045/ALK/01/23</t>
  </si>
  <si>
    <t>039/ALK/01/23</t>
  </si>
  <si>
    <t>006/ALK/01/23</t>
  </si>
  <si>
    <t>053/ALK/01/23</t>
  </si>
  <si>
    <t>033/ALK/01/23</t>
  </si>
  <si>
    <t>069/COD/01/23</t>
  </si>
  <si>
    <t>027/ALK/01/23</t>
  </si>
  <si>
    <t>001/ALK/01/23</t>
  </si>
  <si>
    <t>045/COD/01/23</t>
  </si>
  <si>
    <t>043/ALK/01/23</t>
  </si>
  <si>
    <t>024/ALK/01/23</t>
  </si>
  <si>
    <t>023/ALK/01/23</t>
  </si>
  <si>
    <t>050/ALK/01/23</t>
  </si>
  <si>
    <t>019/ALK/01/23</t>
  </si>
  <si>
    <t>028/ALK/01/23</t>
  </si>
  <si>
    <t>052/ALK/01/23</t>
  </si>
  <si>
    <t>037/ALK/01/23</t>
  </si>
  <si>
    <t>026/ALK/01/23</t>
  </si>
  <si>
    <t>057/ALK/01/23</t>
  </si>
  <si>
    <t>051/ALK/01/23</t>
  </si>
  <si>
    <t>025/ALK/01/23</t>
  </si>
  <si>
    <t>007/CL/01/23</t>
  </si>
  <si>
    <t>058/COD/01/23</t>
  </si>
  <si>
    <t>005/IMP/01/23</t>
  </si>
  <si>
    <t>067/COD/01/23</t>
  </si>
  <si>
    <t>004/ALK/01/23</t>
  </si>
  <si>
    <t>034/OB/01/23</t>
  </si>
  <si>
    <t>030/ALK/01/23</t>
  </si>
  <si>
    <t>033/OB/01/23</t>
  </si>
  <si>
    <t>003/ALK/01/23</t>
  </si>
  <si>
    <t>007/ALK/01/23</t>
  </si>
  <si>
    <t>004/REG/01/23</t>
  </si>
  <si>
    <t>010/REG/01/23</t>
  </si>
  <si>
    <t>042/COD/01/23</t>
  </si>
  <si>
    <t>001/PB/01/23</t>
  </si>
  <si>
    <t>021/ALK/01/23</t>
  </si>
  <si>
    <t>054/COD/01/23</t>
  </si>
  <si>
    <t>022A/OB/01/23</t>
  </si>
  <si>
    <t>008/REG/01/23</t>
  </si>
  <si>
    <t>005/REG/01/23</t>
  </si>
  <si>
    <t>010/ALK/01/23</t>
  </si>
  <si>
    <t>040/OB/01/23</t>
  </si>
  <si>
    <t>001/CL/01/23</t>
  </si>
  <si>
    <t>016/OB/01/23</t>
  </si>
  <si>
    <t>005/CL/01/23</t>
  </si>
  <si>
    <t>009/COD/01/23</t>
  </si>
  <si>
    <t>059/COD/01/23</t>
  </si>
  <si>
    <t>030/OB/01/23</t>
  </si>
  <si>
    <t>031/OB/01/23</t>
  </si>
  <si>
    <t>048/ALK/01/23</t>
  </si>
  <si>
    <t>037/OB/01/23</t>
  </si>
  <si>
    <t>068/COD/01/23</t>
  </si>
  <si>
    <t>006/REG/01/23</t>
  </si>
  <si>
    <t>015/ALK/01/23</t>
  </si>
  <si>
    <t>001/GAS/01/23</t>
  </si>
  <si>
    <t>T00202301000035</t>
  </si>
  <si>
    <t>T00202301000039</t>
  </si>
  <si>
    <t>T00202301000061</t>
  </si>
  <si>
    <t>002/REG/01/23</t>
  </si>
  <si>
    <t>007/REG/01/23</t>
  </si>
  <si>
    <t>009/REG/01/23</t>
  </si>
  <si>
    <t>001/RO/01/23</t>
  </si>
  <si>
    <t>002/PB/01/23</t>
  </si>
  <si>
    <t>004/CL/01/23</t>
  </si>
  <si>
    <t>002/CL/01/23</t>
  </si>
  <si>
    <t>003/CL/01/23</t>
  </si>
  <si>
    <t>038/ALK/01/23</t>
  </si>
  <si>
    <t>018/ALK/01/23</t>
  </si>
  <si>
    <t>009/ALK/01/23</t>
  </si>
  <si>
    <t>049/ALK/01/23</t>
  </si>
  <si>
    <t>046/ALK/01/23</t>
  </si>
  <si>
    <t>020/ALK/01/23</t>
  </si>
  <si>
    <t>040/ALK/01/23</t>
  </si>
  <si>
    <t>044/ALK/01/23</t>
  </si>
  <si>
    <t>007/OB/01/23</t>
  </si>
  <si>
    <t>002/COD/01/23</t>
  </si>
  <si>
    <t>030/COD/01/23</t>
  </si>
  <si>
    <t>028/OB/01/23</t>
  </si>
  <si>
    <t>001/D/01/23</t>
  </si>
  <si>
    <t>004/D/01/23</t>
  </si>
  <si>
    <t>050/OB/01/23</t>
  </si>
  <si>
    <t>041/ALK/01/23</t>
  </si>
  <si>
    <t>008/IMP/01/23</t>
  </si>
  <si>
    <t>006/CL/01/23</t>
  </si>
  <si>
    <t>012/ALK/01/23</t>
  </si>
  <si>
    <t>022/ALK/01/23</t>
  </si>
  <si>
    <t>187/OB/02/23</t>
  </si>
  <si>
    <t>058/ALK/01/23</t>
  </si>
  <si>
    <t>001/REG/01/23</t>
  </si>
  <si>
    <t>007/IMP/01/23</t>
  </si>
  <si>
    <t>055/COD/01/23</t>
  </si>
  <si>
    <t>047/ALK/01/23</t>
  </si>
  <si>
    <t>008/CL/01/23</t>
  </si>
  <si>
    <t>006A/D/01/23</t>
  </si>
  <si>
    <t>039/OB/01/23</t>
  </si>
  <si>
    <t>009/IMP/01/23</t>
  </si>
  <si>
    <t>013/ALK/01/23</t>
  </si>
  <si>
    <t>016/ALK/01/23</t>
  </si>
  <si>
    <t>002/GAS/01/23</t>
  </si>
  <si>
    <t>003/GAS/01/23</t>
  </si>
  <si>
    <t>004/GAS/01/23</t>
  </si>
  <si>
    <t>027/GAS/01/23</t>
  </si>
  <si>
    <t>031/GAS/01/23</t>
  </si>
  <si>
    <t>028/GAS/01/23</t>
  </si>
  <si>
    <t>029/GAS/01/23</t>
  </si>
  <si>
    <t>002/IMP/01/23</t>
  </si>
  <si>
    <t>005/GAS/01/23</t>
  </si>
  <si>
    <t>006/GAS/01/23</t>
  </si>
  <si>
    <t>007/GAS/01/23</t>
  </si>
  <si>
    <t>008/GAS/01/23</t>
  </si>
  <si>
    <t>009/GAS/01/23</t>
  </si>
  <si>
    <t>010/GAS/01/23</t>
  </si>
  <si>
    <t>011/GAS/01/23</t>
  </si>
  <si>
    <t>012/GAS/01/23</t>
  </si>
  <si>
    <t>013/GAS/01/23</t>
  </si>
  <si>
    <t>014/GAS/01/23</t>
  </si>
  <si>
    <t>015/GAS/01/23</t>
  </si>
  <si>
    <t>016/GAS/01/23</t>
  </si>
  <si>
    <t>017/GAS/01/23</t>
  </si>
  <si>
    <t>018/GAS/01/23</t>
  </si>
  <si>
    <t>019/GAS/01/23</t>
  </si>
  <si>
    <t>020/GAS/01/23</t>
  </si>
  <si>
    <t>021/GAS/01/23</t>
  </si>
  <si>
    <t>022/GAS/01/23</t>
  </si>
  <si>
    <t>023/GAS/01/23</t>
  </si>
  <si>
    <t>024/GAS/01/23</t>
  </si>
  <si>
    <t>025/GAS/01/23</t>
  </si>
  <si>
    <t>026/GAS/01/23</t>
  </si>
  <si>
    <t>026/OB/01/23</t>
  </si>
  <si>
    <t>001/GHE.OB/01/23</t>
  </si>
  <si>
    <t>002/GHE.OB/01/23</t>
  </si>
  <si>
    <t>134/COD.GH/01/23</t>
  </si>
  <si>
    <t>004/GHE.OB/01/23</t>
  </si>
  <si>
    <t>T00202305000387</t>
  </si>
  <si>
    <t>011/GHE.OB/01/23</t>
  </si>
  <si>
    <t>006/GHE.OB/01/23</t>
  </si>
  <si>
    <t>007/GHE.OB/01/23</t>
  </si>
  <si>
    <t>008/GHE.OB/01/23</t>
  </si>
  <si>
    <t>010/GHE.OB/01/23</t>
  </si>
  <si>
    <t>009/GHE.OB/01/23</t>
  </si>
  <si>
    <t>012/GHE.OB/01/23</t>
  </si>
  <si>
    <t>T00202305000396</t>
  </si>
  <si>
    <t>146/GHE.OB/01/23</t>
  </si>
  <si>
    <t>013/GHE.OB/01/23</t>
  </si>
  <si>
    <t>014/GHE.OB/01/23</t>
  </si>
  <si>
    <t>015/GHE.OB/01/23</t>
  </si>
  <si>
    <t>016/GHE.OB/01/23</t>
  </si>
  <si>
    <t>017/GHE.OB/01/23</t>
  </si>
  <si>
    <t>018/GHE.OB/01/23</t>
  </si>
  <si>
    <t>019/GHE.OB/01/23</t>
  </si>
  <si>
    <t>020/GHE.OB/01/23</t>
  </si>
  <si>
    <t>021/GHE.OB/01/23</t>
  </si>
  <si>
    <t>022/GHE.OB/01/23</t>
  </si>
  <si>
    <t>023/GHE.OB/01/23</t>
  </si>
  <si>
    <t>024/GHE.OB/01/23</t>
  </si>
  <si>
    <t>025/GHE.OB/01/23</t>
  </si>
  <si>
    <t>033/GHE.OB/01/23</t>
  </si>
  <si>
    <t>026/GHE.OB/01/23</t>
  </si>
  <si>
    <t>027/GHE.OB/01/23</t>
  </si>
  <si>
    <t>028/GHE.OB/01/23</t>
  </si>
  <si>
    <t>030/GHE.OB/01/23</t>
  </si>
  <si>
    <t>029/GHE.OB/01/23</t>
  </si>
  <si>
    <t>031/GHE.OB/01/23</t>
  </si>
  <si>
    <t>032/GHE.OB/01/23</t>
  </si>
  <si>
    <t>058/GHE.OB/01/23</t>
  </si>
  <si>
    <t>057/GHE.OB/01/23</t>
  </si>
  <si>
    <t>056/GHE.OB/01/23</t>
  </si>
  <si>
    <t>055/GHE.OB/01/23</t>
  </si>
  <si>
    <t>054/GHE.OB/01/23</t>
  </si>
  <si>
    <t>053/GHE.OB/01/23</t>
  </si>
  <si>
    <t>052/GHE.OB/01/23</t>
  </si>
  <si>
    <t>051/GHE.OB/01/23</t>
  </si>
  <si>
    <t>050/GHE.OB/01/23</t>
  </si>
  <si>
    <t>049/GHE.OB/01/23</t>
  </si>
  <si>
    <t>048/GHE.OB/01/23</t>
  </si>
  <si>
    <t>047/GHE.OB/01/23</t>
  </si>
  <si>
    <t>090/GHE.OB/01/23</t>
  </si>
  <si>
    <t>046/GHE.OB/01/23</t>
  </si>
  <si>
    <t>045/GHE.OB/01/23</t>
  </si>
  <si>
    <t>044/GHE.OB/01/23</t>
  </si>
  <si>
    <t>043/GHE.OB/01/23</t>
  </si>
  <si>
    <t>088/GHE.OB/01/23</t>
  </si>
  <si>
    <t>042/GHE.OB/01/23</t>
  </si>
  <si>
    <t>041/GHE.OB/01/23</t>
  </si>
  <si>
    <t>040/GHE.OB/01/23</t>
  </si>
  <si>
    <t>087/GHE.OB/01/23</t>
  </si>
  <si>
    <t>039/GHE.OB/01/23</t>
  </si>
  <si>
    <t>086/GHE.PB/01/23</t>
  </si>
  <si>
    <t>089/GHE.OB/01/23</t>
  </si>
  <si>
    <t>085/GHE.OB/01/23</t>
  </si>
  <si>
    <t>038/GHE.OB/01/23</t>
  </si>
  <si>
    <t>084/GHE.OB/01/23</t>
  </si>
  <si>
    <t>037/GHE.OB/01/23</t>
  </si>
  <si>
    <t>036/GHE.OB/01/23</t>
  </si>
  <si>
    <t>035/GHE.OB/01/23</t>
  </si>
  <si>
    <t>034/GHE.OB/01/23</t>
  </si>
  <si>
    <t>059/GHE.OB/01/23</t>
  </si>
  <si>
    <t>082/GHE.OB/01/23</t>
  </si>
  <si>
    <t>081/GHE.OB/01/23</t>
  </si>
  <si>
    <t>079/GHE.OB/01/23</t>
  </si>
  <si>
    <t>078/GHE.OB/01/23</t>
  </si>
  <si>
    <t>077/GHE.OB/01/23</t>
  </si>
  <si>
    <t>076/GHE.OB/01/23</t>
  </si>
  <si>
    <t>075/GHE.OB/01/23</t>
  </si>
  <si>
    <t>074/GHE.OB/01/23</t>
  </si>
  <si>
    <t>072/GHE.OB/01/23</t>
  </si>
  <si>
    <t>071/GHE.OB/01/23</t>
  </si>
  <si>
    <t>070/GHE.OB/01/23</t>
  </si>
  <si>
    <t>069/GHE.OB/01/23</t>
  </si>
  <si>
    <t>067/GHE.OB/01/23</t>
  </si>
  <si>
    <t>066/GHE.OB/01/23</t>
  </si>
  <si>
    <t>064/GHE.OB/01/23</t>
  </si>
  <si>
    <t>T00202305000535</t>
  </si>
  <si>
    <t>063/GHE.OB/01/23</t>
  </si>
  <si>
    <t>062/GHE.OB/01/23</t>
  </si>
  <si>
    <t>144/GHE.OB/01/23</t>
  </si>
  <si>
    <t>061/GHE.OB/01/23</t>
  </si>
  <si>
    <t>060/GHE.OB/01/23</t>
  </si>
  <si>
    <t>143/GHE.OB/01/23</t>
  </si>
  <si>
    <t>141/GHE.OB/01/23</t>
  </si>
  <si>
    <t>083/GHE.OB/01/23</t>
  </si>
  <si>
    <t>140/GHE.OB/01/23</t>
  </si>
  <si>
    <t>080/GHE.OB/01/23</t>
  </si>
  <si>
    <t>073/GHE.OB/01/23</t>
  </si>
  <si>
    <t>068/GHE.OB/01/23</t>
  </si>
  <si>
    <t>120/GHE.OB/01/23</t>
  </si>
  <si>
    <t>117/GHE.OB/01/23</t>
  </si>
  <si>
    <t>139/GHE.OB/01/23</t>
  </si>
  <si>
    <t>138/GHE.OB/01/23</t>
  </si>
  <si>
    <t>115/GHE.OB/01/23</t>
  </si>
  <si>
    <t>114/GHE.OB/01/23</t>
  </si>
  <si>
    <t>113/GHE.OB/01/23</t>
  </si>
  <si>
    <t>112/GHE.OB/01/23</t>
  </si>
  <si>
    <t>135/GHE.OB/01/23</t>
  </si>
  <si>
    <t>133/GHE.OB/01/23</t>
  </si>
  <si>
    <t>131/GHE.OB/01/23</t>
  </si>
  <si>
    <t>111/GHE.OB/01/23</t>
  </si>
  <si>
    <t>110/GHE.OB/01/23</t>
  </si>
  <si>
    <t>128/GHE.OB/01/23</t>
  </si>
  <si>
    <t>109/GHE.OB/01/23</t>
  </si>
  <si>
    <t>108/GHE.OB/01/23</t>
  </si>
  <si>
    <t>107/GHE.OB/01/23</t>
  </si>
  <si>
    <t>126/GHE.OB/01/23</t>
  </si>
  <si>
    <t>097/GHE.OB/01/23</t>
  </si>
  <si>
    <t>106/GHE.OB/01/23</t>
  </si>
  <si>
    <t>125/GHE.OB/01/23</t>
  </si>
  <si>
    <t>122/GHE.OB/01/23</t>
  </si>
  <si>
    <t>105/GHE.OB/01/23</t>
  </si>
  <si>
    <t>096/GHE.OB/01/23</t>
  </si>
  <si>
    <t>094/GHE.OB/01/23</t>
  </si>
  <si>
    <t>103/GHE.OB/01/23</t>
  </si>
  <si>
    <t>093/GHE.OB/01/23</t>
  </si>
  <si>
    <t>142/GHE.OB/01/23</t>
  </si>
  <si>
    <t>123/GHE.OB/01/23</t>
  </si>
  <si>
    <t>137/GHE.OB/01/23</t>
  </si>
  <si>
    <t>136/GHE.OB/01/23</t>
  </si>
  <si>
    <t>134/GHE.OB/01/23</t>
  </si>
  <si>
    <t>145/GHE.OB/01/23</t>
  </si>
  <si>
    <t>132/GHE.OB/01/23</t>
  </si>
  <si>
    <t>102/GHE.OB/01/23</t>
  </si>
  <si>
    <t>130/GHE.OB/01/23</t>
  </si>
  <si>
    <t>129/GHE.OB/01/23</t>
  </si>
  <si>
    <t>101/GHE.OB/01/23</t>
  </si>
  <si>
    <t>124/GHE.OB/01/23</t>
  </si>
  <si>
    <t>100/GHE.OB/01/23</t>
  </si>
  <si>
    <t>121/GHE.OB/01/23</t>
  </si>
  <si>
    <t>099/GHE.OB/01/23</t>
  </si>
  <si>
    <t>104/GHE.OB/01/23</t>
  </si>
  <si>
    <t>095/GHE.OB/01/23</t>
  </si>
  <si>
    <t>098/GHE.OB/01/23</t>
  </si>
  <si>
    <t>092/GHE.OB/01/23</t>
  </si>
  <si>
    <t>091/GHE.OB/01/23</t>
  </si>
  <si>
    <t>119/GHE.OB/01/23</t>
  </si>
  <si>
    <t>118/GHE.OB/01/23</t>
  </si>
  <si>
    <t>116/GHE.OB/01/23</t>
  </si>
  <si>
    <t>011/GHE.OB/01/23R</t>
  </si>
  <si>
    <t>037/GHE.OB/01/23R</t>
  </si>
  <si>
    <t>T00202305000657</t>
  </si>
  <si>
    <t>124/GHE.OB/01/23R</t>
  </si>
  <si>
    <t>047A/GHE.OB/01/23</t>
  </si>
  <si>
    <t>048/GHE.OB/01/23R</t>
  </si>
  <si>
    <t>075/GHE.OB/01/23R</t>
  </si>
  <si>
    <t>021/GHE.OB/01/23R</t>
  </si>
  <si>
    <t>073/GHE.OB/01/23R</t>
  </si>
  <si>
    <t>036/COD/01/23</t>
  </si>
  <si>
    <t>035/COD/01/23</t>
  </si>
  <si>
    <t>033/COD/01/23</t>
  </si>
  <si>
    <t>034/COD/01/23</t>
  </si>
  <si>
    <t>043/COD/01/23</t>
  </si>
  <si>
    <t>053/COD/01/23</t>
  </si>
  <si>
    <t>005/D/01/23</t>
  </si>
  <si>
    <t>065/COD/01/23</t>
  </si>
  <si>
    <t>071/COD/01/23</t>
  </si>
  <si>
    <t>T00202301000209</t>
  </si>
  <si>
    <t>093/COD/01/23</t>
  </si>
  <si>
    <t>093/COD/01/23R</t>
  </si>
  <si>
    <t>PROLENE 3/0 W538 SB CURVED CUTTING</t>
  </si>
  <si>
    <t>J &amp; J</t>
  </si>
  <si>
    <t>BUAH</t>
  </si>
  <si>
    <t>0,00</t>
  </si>
  <si>
    <t>27.804.960,00</t>
  </si>
  <si>
    <t>PROLENE 4/0 W8007T PREC POINT/ CONV. CUTTING</t>
  </si>
  <si>
    <t>3.859.174,08</t>
  </si>
  <si>
    <t>PROLENE 5/0 W 527 SB CUTTING</t>
  </si>
  <si>
    <t>2.158.546,08</t>
  </si>
  <si>
    <t>VICRYL 4/0 W9437 CC REV. CUTTING</t>
  </si>
  <si>
    <t>ETHICON</t>
  </si>
  <si>
    <t>1.849.951,92</t>
  </si>
  <si>
    <t>VICRYL PLUS SUTURE 27IN (70CM) 4-0 VCP310H</t>
  </si>
  <si>
    <t>PCS</t>
  </si>
  <si>
    <t>8.713.192,32</t>
  </si>
  <si>
    <t>penyesuaian</t>
  </si>
  <si>
    <t>asli</t>
  </si>
  <si>
    <t>pembulatan</t>
  </si>
  <si>
    <t>katalog Penyesuaian (pemecahan jumlah dari barang terakhir)</t>
  </si>
  <si>
    <t>nilai bku</t>
  </si>
  <si>
    <t>hasil penyeusuaian</t>
  </si>
  <si>
    <t>097/ALK/01/23</t>
  </si>
  <si>
    <t>Simulasi kasus untuk pembulatan harga agar sesuai antara ADK dan PEMBAYARAN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</si>
</sst>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5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333333"/>
      <name val="Arial"/>
      <family val="2"/>
    </font>
    <font>
      <sz val="11"/>
      <name val="Calibri"/>
      <family val="2"/>
      <scheme val="minor"/>
    </font>
    <font>
      <sz val="9"/>
      <color rgb="FF333333"/>
      <name val="Arial"/>
      <family val="2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rgb="FF9C65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4A4A4A"/>
      </left>
      <right style="medium">
        <color rgb="FF4A4A4A"/>
      </right>
      <top/>
      <bottom/>
      <diagonal/>
    </border>
    <border>
      <left style="medium">
        <color rgb="FF4A4A4A"/>
      </left>
      <right style="medium">
        <color rgb="FF4A4A4A"/>
      </right>
      <top style="medium">
        <color rgb="FF4A4A4A"/>
      </top>
      <bottom/>
      <diagonal/>
    </border>
    <border>
      <left style="medium">
        <color rgb="FF4A4A4A"/>
      </left>
      <right style="medium">
        <color rgb="FF4A4A4A"/>
      </right>
      <top/>
      <bottom style="medium">
        <color rgb="FF4A4A4A"/>
      </bottom>
      <diagonal/>
    </border>
    <border>
      <left style="medium">
        <color rgb="FF4A4A4A"/>
      </left>
      <right style="medium">
        <color rgb="FF4A4A4A"/>
      </right>
      <top style="medium">
        <color rgb="FF4A4A4A"/>
      </top>
      <bottom style="medium">
        <color rgb="FF4A4A4A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</cellStyleXfs>
  <cellXfs count="46">
    <xf numFmtId="0" fontId="0" fillId="0" borderId="0" xfId="0"/>
    <xf numFmtId="49" fontId="0" fillId="0" borderId="0" xfId="0" applyNumberFormat="1"/>
    <xf numFmtId="165" fontId="0" fillId="0" borderId="0" xfId="1" applyNumberFormat="1" applyFont="1"/>
    <xf numFmtId="0" fontId="6" fillId="0" borderId="1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right" vertical="center" wrapText="1" indent="1"/>
    </xf>
    <xf numFmtId="0" fontId="6" fillId="0" borderId="2" xfId="0" applyFont="1" applyBorder="1" applyAlignment="1">
      <alignment horizontal="left" vertical="center" wrapText="1" indent="1"/>
    </xf>
    <xf numFmtId="0" fontId="6" fillId="0" borderId="2" xfId="0" applyFont="1" applyBorder="1" applyAlignment="1">
      <alignment horizontal="right" vertical="center" wrapText="1" indent="1"/>
    </xf>
    <xf numFmtId="0" fontId="6" fillId="0" borderId="3" xfId="0" applyFont="1" applyBorder="1" applyAlignment="1">
      <alignment horizontal="left" vertical="center" wrapText="1" indent="1"/>
    </xf>
    <xf numFmtId="0" fontId="6" fillId="0" borderId="3" xfId="0" applyFont="1" applyBorder="1" applyAlignment="1">
      <alignment horizontal="right" vertical="center" wrapText="1" indent="1"/>
    </xf>
    <xf numFmtId="0" fontId="0" fillId="7" borderId="0" xfId="0" applyFill="1"/>
    <xf numFmtId="43" fontId="0" fillId="0" borderId="0" xfId="1" applyNumberFormat="1" applyFont="1" applyAlignment="1">
      <alignment horizontal="right"/>
    </xf>
    <xf numFmtId="0" fontId="4" fillId="0" borderId="0" xfId="0" applyFont="1"/>
    <xf numFmtId="165" fontId="5" fillId="5" borderId="0" xfId="5" applyNumberFormat="1" applyAlignment="1">
      <alignment horizontal="right"/>
    </xf>
    <xf numFmtId="165" fontId="7" fillId="3" borderId="0" xfId="3" applyNumberFormat="1" applyFont="1" applyAlignment="1">
      <alignment horizontal="right"/>
    </xf>
    <xf numFmtId="165" fontId="5" fillId="4" borderId="0" xfId="4" applyNumberFormat="1" applyAlignment="1">
      <alignment horizontal="right"/>
    </xf>
    <xf numFmtId="165" fontId="2" fillId="2" borderId="0" xfId="2" applyNumberFormat="1" applyAlignment="1">
      <alignment horizontal="right"/>
    </xf>
    <xf numFmtId="0" fontId="0" fillId="8" borderId="0" xfId="0" applyFill="1" applyAlignment="1">
      <alignment horizontal="center"/>
    </xf>
    <xf numFmtId="0" fontId="6" fillId="8" borderId="2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43" fontId="6" fillId="9" borderId="2" xfId="1" applyNumberFormat="1" applyFont="1" applyFill="1" applyBorder="1" applyAlignment="1">
      <alignment horizontal="right" vertical="center" wrapText="1" indent="1"/>
    </xf>
    <xf numFmtId="43" fontId="6" fillId="9" borderId="1" xfId="1" applyNumberFormat="1" applyFont="1" applyFill="1" applyBorder="1" applyAlignment="1">
      <alignment horizontal="right" vertical="center" wrapText="1" indent="1"/>
    </xf>
    <xf numFmtId="43" fontId="6" fillId="9" borderId="3" xfId="1" applyNumberFormat="1" applyFont="1" applyFill="1" applyBorder="1" applyAlignment="1">
      <alignment horizontal="right" vertical="center" wrapText="1" indent="1"/>
    </xf>
    <xf numFmtId="43" fontId="0" fillId="9" borderId="0" xfId="1" applyNumberFormat="1" applyFont="1" applyFill="1" applyAlignment="1">
      <alignment horizontal="right"/>
    </xf>
    <xf numFmtId="165" fontId="6" fillId="8" borderId="2" xfId="1" applyNumberFormat="1" applyFont="1" applyFill="1" applyBorder="1" applyAlignment="1">
      <alignment horizontal="left" vertical="center" wrapText="1" indent="1"/>
    </xf>
    <xf numFmtId="165" fontId="6" fillId="8" borderId="1" xfId="1" applyNumberFormat="1" applyFont="1" applyFill="1" applyBorder="1" applyAlignment="1">
      <alignment horizontal="left" vertical="center" wrapText="1" indent="1"/>
    </xf>
    <xf numFmtId="165" fontId="6" fillId="8" borderId="3" xfId="1" applyNumberFormat="1" applyFont="1" applyFill="1" applyBorder="1" applyAlignment="1">
      <alignment horizontal="left" vertical="center" wrapText="1" indent="1"/>
    </xf>
    <xf numFmtId="165" fontId="0" fillId="8" borderId="0" xfId="1" applyNumberFormat="1" applyFont="1" applyFill="1"/>
    <xf numFmtId="0" fontId="6" fillId="7" borderId="4" xfId="0" applyFont="1" applyFill="1" applyBorder="1" applyAlignment="1">
      <alignment horizontal="left" vertical="center" wrapText="1" indent="1"/>
    </xf>
    <xf numFmtId="0" fontId="6" fillId="6" borderId="4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43" fontId="8" fillId="9" borderId="4" xfId="1" applyNumberFormat="1" applyFont="1" applyFill="1" applyBorder="1" applyAlignment="1">
      <alignment horizontal="right" vertical="center" wrapText="1" indent="1"/>
    </xf>
    <xf numFmtId="165" fontId="7" fillId="8" borderId="4" xfId="3" applyNumberFormat="1" applyFont="1" applyFill="1" applyBorder="1" applyAlignment="1">
      <alignment horizontal="left" vertical="center" wrapText="1" indent="1"/>
    </xf>
    <xf numFmtId="0" fontId="9" fillId="0" borderId="0" xfId="0" applyFont="1"/>
    <xf numFmtId="0" fontId="10" fillId="0" borderId="0" xfId="0" applyFont="1"/>
    <xf numFmtId="0" fontId="4" fillId="6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43" fontId="4" fillId="9" borderId="0" xfId="1" applyNumberFormat="1" applyFont="1" applyFill="1" applyAlignment="1">
      <alignment horizontal="center"/>
    </xf>
    <xf numFmtId="165" fontId="4" fillId="8" borderId="0" xfId="1" applyNumberFormat="1" applyFont="1" applyFill="1" applyAlignment="1">
      <alignment horizontal="center"/>
    </xf>
    <xf numFmtId="165" fontId="3" fillId="4" borderId="0" xfId="4" applyNumberFormat="1" applyFont="1" applyAlignment="1">
      <alignment horizontal="right"/>
    </xf>
    <xf numFmtId="0" fontId="11" fillId="2" borderId="0" xfId="2" applyFont="1" applyAlignment="1">
      <alignment horizontal="right"/>
    </xf>
  </cellXfs>
  <cellStyles count="6">
    <cellStyle name="Accent4" xfId="3" builtinId="41"/>
    <cellStyle name="Accent5" xfId="4" builtinId="45"/>
    <cellStyle name="Accent6" xfId="5" builtinId="49"/>
    <cellStyle name="Comma" xfId="1" builtinId="3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_select_sum_teamTrmxDtl_harga_item_teamTrmxDtl_jumlah_item_as_to_202307111612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5"/>
  <sheetViews>
    <sheetView topLeftCell="A64" workbookViewId="0">
      <selection activeCell="D112" sqref="D112"/>
    </sheetView>
  </sheetViews>
  <sheetFormatPr defaultRowHeight="14.4" x14ac:dyDescent="0.3"/>
  <cols>
    <col min="1" max="1" width="19.109375" style="2" customWidth="1"/>
    <col min="2" max="2" width="18.88671875" style="2" customWidth="1"/>
    <col min="3" max="3" width="17.21875" customWidth="1"/>
    <col min="4" max="4" width="21.21875" bestFit="1" customWidth="1"/>
  </cols>
  <sheetData>
    <row r="1" spans="1:4" ht="14.55" x14ac:dyDescent="0.35">
      <c r="A1" s="2" t="s">
        <v>0</v>
      </c>
      <c r="B1" s="2" t="s">
        <v>1</v>
      </c>
      <c r="C1" t="s">
        <v>2</v>
      </c>
      <c r="D1" s="1" t="s">
        <v>3</v>
      </c>
    </row>
    <row r="2" spans="1:4" ht="14.55" x14ac:dyDescent="0.35">
      <c r="A2" s="2">
        <v>4149530</v>
      </c>
      <c r="B2" s="2">
        <v>4145380</v>
      </c>
      <c r="C2">
        <v>4150</v>
      </c>
      <c r="D2" s="1" t="s">
        <v>4</v>
      </c>
    </row>
    <row r="3" spans="1:4" ht="14.55" x14ac:dyDescent="0.35">
      <c r="A3" s="2">
        <v>5732850</v>
      </c>
      <c r="B3" s="2">
        <v>5570850</v>
      </c>
      <c r="C3">
        <v>162000</v>
      </c>
      <c r="D3" s="1" t="s">
        <v>5</v>
      </c>
    </row>
    <row r="4" spans="1:4" ht="14.55" x14ac:dyDescent="0.35">
      <c r="A4" s="2">
        <v>41960000</v>
      </c>
      <c r="B4" s="2">
        <v>34941015</v>
      </c>
      <c r="C4">
        <v>7018985</v>
      </c>
      <c r="D4" s="1" t="s">
        <v>6</v>
      </c>
    </row>
    <row r="5" spans="1:4" ht="14.55" x14ac:dyDescent="0.35">
      <c r="A5" s="2">
        <v>74941000</v>
      </c>
      <c r="B5" s="2">
        <v>74941000</v>
      </c>
      <c r="C5">
        <v>0</v>
      </c>
      <c r="D5" s="1" t="s">
        <v>7</v>
      </c>
    </row>
    <row r="6" spans="1:4" ht="14.55" x14ac:dyDescent="0.35">
      <c r="A6" s="2">
        <v>19227887</v>
      </c>
      <c r="B6" s="2">
        <v>21342955</v>
      </c>
      <c r="C6">
        <v>-2115068</v>
      </c>
      <c r="D6" s="1" t="s">
        <v>8</v>
      </c>
    </row>
    <row r="7" spans="1:4" ht="14.55" x14ac:dyDescent="0.35">
      <c r="A7" s="2">
        <v>750000</v>
      </c>
      <c r="B7" s="2">
        <v>756743</v>
      </c>
      <c r="C7">
        <v>-6743</v>
      </c>
      <c r="D7" s="1" t="s">
        <v>9</v>
      </c>
    </row>
    <row r="8" spans="1:4" ht="14.55" x14ac:dyDescent="0.35">
      <c r="A8" s="2">
        <v>5751000</v>
      </c>
      <c r="B8" s="2">
        <v>6383610</v>
      </c>
      <c r="C8">
        <v>-632610</v>
      </c>
      <c r="D8" s="1" t="s">
        <v>10</v>
      </c>
    </row>
    <row r="9" spans="1:4" ht="14.55" x14ac:dyDescent="0.35">
      <c r="A9" s="2">
        <v>5751000</v>
      </c>
      <c r="B9" s="2">
        <v>6383610</v>
      </c>
      <c r="C9">
        <v>-632610</v>
      </c>
      <c r="D9" s="1" t="s">
        <v>11</v>
      </c>
    </row>
    <row r="10" spans="1:4" ht="14.55" x14ac:dyDescent="0.35">
      <c r="A10" s="2">
        <v>101010000</v>
      </c>
      <c r="B10" s="2">
        <v>101010000</v>
      </c>
      <c r="C10">
        <v>0</v>
      </c>
      <c r="D10" s="1" t="s">
        <v>12</v>
      </c>
    </row>
    <row r="11" spans="1:4" ht="14.55" x14ac:dyDescent="0.35">
      <c r="A11" s="2">
        <v>62516</v>
      </c>
      <c r="B11" s="2">
        <v>62516</v>
      </c>
      <c r="C11">
        <v>0</v>
      </c>
      <c r="D11" s="1" t="s">
        <v>13</v>
      </c>
    </row>
    <row r="12" spans="1:4" ht="14.55" x14ac:dyDescent="0.35">
      <c r="A12" s="2">
        <v>463199.96</v>
      </c>
      <c r="B12" s="2">
        <v>463200</v>
      </c>
      <c r="C12">
        <v>-0.04</v>
      </c>
      <c r="D12" s="1" t="s">
        <v>14</v>
      </c>
    </row>
    <row r="13" spans="1:4" ht="14.55" x14ac:dyDescent="0.35">
      <c r="A13" s="2">
        <v>5750900</v>
      </c>
      <c r="B13" s="2">
        <v>6383499</v>
      </c>
      <c r="C13">
        <v>-632599</v>
      </c>
      <c r="D13" s="1" t="s">
        <v>15</v>
      </c>
    </row>
    <row r="14" spans="1:4" ht="14.55" x14ac:dyDescent="0.35">
      <c r="A14" s="2">
        <v>25000000</v>
      </c>
      <c r="B14" s="2">
        <v>22200000</v>
      </c>
      <c r="C14">
        <v>2800000</v>
      </c>
      <c r="D14" s="1" t="s">
        <v>16</v>
      </c>
    </row>
    <row r="15" spans="1:4" ht="14.55" x14ac:dyDescent="0.35">
      <c r="A15" s="2">
        <v>7260000</v>
      </c>
      <c r="B15" s="2">
        <v>4029300</v>
      </c>
      <c r="C15">
        <v>3230700</v>
      </c>
      <c r="D15" s="1" t="s">
        <v>17</v>
      </c>
    </row>
    <row r="16" spans="1:4" ht="14.55" x14ac:dyDescent="0.35">
      <c r="A16" s="2">
        <v>34606000</v>
      </c>
      <c r="B16" s="2">
        <v>34606000</v>
      </c>
      <c r="C16">
        <v>0</v>
      </c>
      <c r="D16" s="1" t="s">
        <v>18</v>
      </c>
    </row>
    <row r="17" spans="1:4" ht="14.55" x14ac:dyDescent="0.35">
      <c r="A17" s="2">
        <v>967452.03</v>
      </c>
      <c r="B17" s="2">
        <v>675740</v>
      </c>
      <c r="C17">
        <v>291712.03000000003</v>
      </c>
      <c r="D17" s="1" t="s">
        <v>19</v>
      </c>
    </row>
    <row r="18" spans="1:4" ht="14.55" x14ac:dyDescent="0.35">
      <c r="A18" s="2">
        <v>680211.78</v>
      </c>
      <c r="B18" s="2">
        <v>387000</v>
      </c>
      <c r="C18">
        <v>293211.78000000003</v>
      </c>
      <c r="D18" s="1" t="s">
        <v>20</v>
      </c>
    </row>
    <row r="19" spans="1:4" ht="14.55" x14ac:dyDescent="0.35">
      <c r="A19" s="2">
        <v>237000</v>
      </c>
      <c r="B19" s="2">
        <v>237000</v>
      </c>
      <c r="C19">
        <v>0</v>
      </c>
      <c r="D19" s="1" t="s">
        <v>21</v>
      </c>
    </row>
    <row r="20" spans="1:4" ht="14.55" x14ac:dyDescent="0.35">
      <c r="A20" s="2">
        <v>792377</v>
      </c>
      <c r="B20" s="2">
        <v>792377</v>
      </c>
      <c r="C20">
        <v>0</v>
      </c>
      <c r="D20" s="1" t="s">
        <v>22</v>
      </c>
    </row>
    <row r="21" spans="1:4" ht="14.55" x14ac:dyDescent="0.35">
      <c r="A21" s="2">
        <v>4864802.0999999996</v>
      </c>
      <c r="B21" s="2">
        <v>4864802</v>
      </c>
      <c r="C21">
        <v>0.1</v>
      </c>
      <c r="D21" s="1" t="s">
        <v>23</v>
      </c>
    </row>
    <row r="22" spans="1:4" ht="14.55" x14ac:dyDescent="0.35">
      <c r="A22" s="2">
        <v>5667000</v>
      </c>
      <c r="B22" s="2">
        <v>5667000</v>
      </c>
      <c r="C22">
        <v>0</v>
      </c>
      <c r="D22" s="1" t="s">
        <v>24</v>
      </c>
    </row>
    <row r="23" spans="1:4" ht="14.55" x14ac:dyDescent="0.35">
      <c r="A23" s="2">
        <v>12000000</v>
      </c>
      <c r="B23" s="2">
        <v>13320000</v>
      </c>
      <c r="C23">
        <v>-1320000</v>
      </c>
      <c r="D23" s="1" t="s">
        <v>25</v>
      </c>
    </row>
    <row r="24" spans="1:4" ht="14.55" x14ac:dyDescent="0.35">
      <c r="A24" s="2">
        <v>170229360</v>
      </c>
      <c r="B24" s="2">
        <v>188954590</v>
      </c>
      <c r="C24">
        <v>-18725230</v>
      </c>
      <c r="D24" s="1" t="s">
        <v>26</v>
      </c>
    </row>
    <row r="25" spans="1:4" ht="14.55" x14ac:dyDescent="0.35">
      <c r="A25" s="2">
        <v>101274400</v>
      </c>
      <c r="B25" s="2">
        <v>101274400</v>
      </c>
      <c r="C25">
        <v>0</v>
      </c>
      <c r="D25" s="1" t="s">
        <v>27</v>
      </c>
    </row>
    <row r="26" spans="1:4" ht="14.55" x14ac:dyDescent="0.35">
      <c r="A26" s="2">
        <v>2289249</v>
      </c>
      <c r="B26" s="2">
        <v>2284855</v>
      </c>
      <c r="C26">
        <v>4394</v>
      </c>
      <c r="D26" s="1" t="s">
        <v>28</v>
      </c>
    </row>
    <row r="27" spans="1:4" ht="14.55" x14ac:dyDescent="0.35">
      <c r="A27" s="2">
        <v>70446726</v>
      </c>
      <c r="B27" s="2">
        <v>78195866</v>
      </c>
      <c r="C27">
        <v>-7749140</v>
      </c>
      <c r="D27" s="1" t="s">
        <v>29</v>
      </c>
    </row>
    <row r="28" spans="1:4" ht="14.55" x14ac:dyDescent="0.35">
      <c r="A28" s="2">
        <v>5711454</v>
      </c>
      <c r="B28" s="2">
        <v>6339714</v>
      </c>
      <c r="C28">
        <v>-628260</v>
      </c>
      <c r="D28" s="1" t="s">
        <v>30</v>
      </c>
    </row>
    <row r="29" spans="1:4" ht="14.55" x14ac:dyDescent="0.35">
      <c r="A29" s="2">
        <v>5711454</v>
      </c>
      <c r="B29" s="2">
        <v>6339714</v>
      </c>
      <c r="C29">
        <v>-628260</v>
      </c>
      <c r="D29" s="1" t="s">
        <v>31</v>
      </c>
    </row>
    <row r="30" spans="1:4" ht="14.55" x14ac:dyDescent="0.35">
      <c r="A30" s="2">
        <v>25923564</v>
      </c>
      <c r="B30" s="2">
        <v>14529813</v>
      </c>
      <c r="C30">
        <v>11393751</v>
      </c>
      <c r="D30" s="1" t="s">
        <v>32</v>
      </c>
    </row>
    <row r="31" spans="1:4" ht="14.55" x14ac:dyDescent="0.35">
      <c r="A31" s="2">
        <v>24080589</v>
      </c>
      <c r="B31" s="2">
        <v>25302405</v>
      </c>
      <c r="C31">
        <v>-1221816</v>
      </c>
      <c r="D31" s="1" t="s">
        <v>33</v>
      </c>
    </row>
    <row r="32" spans="1:4" ht="14.55" x14ac:dyDescent="0.35">
      <c r="A32" s="2">
        <v>8750000</v>
      </c>
      <c r="B32" s="2">
        <v>9712500</v>
      </c>
      <c r="C32">
        <v>-962500</v>
      </c>
      <c r="D32" s="1" t="s">
        <v>34</v>
      </c>
    </row>
    <row r="33" spans="1:4" ht="14.55" x14ac:dyDescent="0.35">
      <c r="A33" s="2">
        <v>15000000</v>
      </c>
      <c r="B33" s="2">
        <v>16650000</v>
      </c>
      <c r="C33">
        <v>-1650000</v>
      </c>
      <c r="D33" s="1" t="s">
        <v>35</v>
      </c>
    </row>
    <row r="34" spans="1:4" ht="14.55" x14ac:dyDescent="0.35">
      <c r="A34" s="2">
        <v>64050400</v>
      </c>
      <c r="B34" s="2">
        <v>64050400</v>
      </c>
      <c r="C34">
        <v>0</v>
      </c>
      <c r="D34" s="1" t="s">
        <v>36</v>
      </c>
    </row>
    <row r="35" spans="1:4" ht="14.55" x14ac:dyDescent="0.35">
      <c r="A35" s="2">
        <v>796500</v>
      </c>
      <c r="B35" s="2">
        <v>397852</v>
      </c>
      <c r="C35">
        <v>398648</v>
      </c>
      <c r="D35" s="1" t="s">
        <v>37</v>
      </c>
    </row>
    <row r="36" spans="1:4" ht="14.55" x14ac:dyDescent="0.35">
      <c r="A36" s="2">
        <v>796500</v>
      </c>
      <c r="B36" s="2">
        <v>397852</v>
      </c>
      <c r="C36">
        <v>398648</v>
      </c>
      <c r="D36" s="1" t="s">
        <v>38</v>
      </c>
    </row>
    <row r="37" spans="1:4" ht="14.55" x14ac:dyDescent="0.35">
      <c r="A37" s="2">
        <v>796500</v>
      </c>
      <c r="B37" s="2">
        <v>397852</v>
      </c>
      <c r="C37">
        <v>398648</v>
      </c>
      <c r="D37" s="1" t="s">
        <v>39</v>
      </c>
    </row>
    <row r="38" spans="1:4" x14ac:dyDescent="0.3">
      <c r="A38" s="2">
        <v>796500</v>
      </c>
      <c r="B38" s="2">
        <v>397852</v>
      </c>
      <c r="C38">
        <v>398648</v>
      </c>
      <c r="D38" s="1" t="s">
        <v>40</v>
      </c>
    </row>
    <row r="39" spans="1:4" x14ac:dyDescent="0.3">
      <c r="A39" s="2">
        <v>7000000</v>
      </c>
      <c r="B39" s="2">
        <v>5050500</v>
      </c>
      <c r="C39">
        <v>1949500</v>
      </c>
      <c r="D39" s="1" t="s">
        <v>41</v>
      </c>
    </row>
    <row r="40" spans="1:4" x14ac:dyDescent="0.3">
      <c r="A40" s="2">
        <v>3780000</v>
      </c>
      <c r="B40" s="2">
        <v>4195800</v>
      </c>
      <c r="C40">
        <v>-415800</v>
      </c>
      <c r="D40" s="1" t="s">
        <v>42</v>
      </c>
    </row>
    <row r="41" spans="1:4" x14ac:dyDescent="0.3">
      <c r="A41" s="2">
        <v>245000</v>
      </c>
      <c r="B41" s="2">
        <v>245000</v>
      </c>
      <c r="C41">
        <v>0</v>
      </c>
      <c r="D41" s="1" t="s">
        <v>43</v>
      </c>
    </row>
    <row r="42" spans="1:4" x14ac:dyDescent="0.3">
      <c r="A42" s="2">
        <v>245000</v>
      </c>
      <c r="B42" s="2">
        <v>245000</v>
      </c>
      <c r="C42">
        <v>0</v>
      </c>
      <c r="D42" s="1" t="s">
        <v>44</v>
      </c>
    </row>
    <row r="43" spans="1:4" x14ac:dyDescent="0.3">
      <c r="A43" s="2">
        <v>245000</v>
      </c>
      <c r="B43" s="2">
        <v>245000</v>
      </c>
      <c r="C43">
        <v>0</v>
      </c>
      <c r="D43" s="1" t="s">
        <v>45</v>
      </c>
    </row>
    <row r="44" spans="1:4" x14ac:dyDescent="0.3">
      <c r="A44" s="2">
        <v>867070.75</v>
      </c>
      <c r="B44" s="2">
        <v>867071</v>
      </c>
      <c r="C44">
        <v>-0.25</v>
      </c>
      <c r="D44" s="1" t="s">
        <v>46</v>
      </c>
    </row>
    <row r="45" spans="1:4" x14ac:dyDescent="0.3">
      <c r="A45" s="2">
        <v>126000</v>
      </c>
      <c r="B45" s="2">
        <v>126000</v>
      </c>
      <c r="C45">
        <v>0</v>
      </c>
      <c r="D45" s="1" t="s">
        <v>47</v>
      </c>
    </row>
    <row r="46" spans="1:4" x14ac:dyDescent="0.3">
      <c r="A46" s="2">
        <v>368000.01</v>
      </c>
      <c r="B46" s="2">
        <v>368000</v>
      </c>
      <c r="C46">
        <v>0.01</v>
      </c>
      <c r="D46" s="1" t="s">
        <v>48</v>
      </c>
    </row>
    <row r="47" spans="1:4" x14ac:dyDescent="0.3">
      <c r="A47" s="2">
        <v>979024</v>
      </c>
      <c r="B47" s="2">
        <v>979024</v>
      </c>
      <c r="C47">
        <v>0</v>
      </c>
      <c r="D47" s="1" t="s">
        <v>49</v>
      </c>
    </row>
    <row r="48" spans="1:4" x14ac:dyDescent="0.3">
      <c r="A48" s="2">
        <v>61500</v>
      </c>
      <c r="B48" s="2">
        <v>41000</v>
      </c>
      <c r="C48">
        <v>20500</v>
      </c>
      <c r="D48" s="1" t="s">
        <v>50</v>
      </c>
    </row>
    <row r="49" spans="1:4" x14ac:dyDescent="0.3">
      <c r="A49" s="2">
        <v>241000</v>
      </c>
      <c r="B49" s="2">
        <v>241000</v>
      </c>
      <c r="C49">
        <v>0</v>
      </c>
      <c r="D49" s="1" t="s">
        <v>51</v>
      </c>
    </row>
    <row r="50" spans="1:4" x14ac:dyDescent="0.3">
      <c r="A50" s="2">
        <v>14469250</v>
      </c>
      <c r="B50" s="2">
        <v>14469250</v>
      </c>
      <c r="C50">
        <v>0</v>
      </c>
      <c r="D50" s="1" t="s">
        <v>52</v>
      </c>
    </row>
    <row r="51" spans="1:4" x14ac:dyDescent="0.3">
      <c r="A51" s="2">
        <v>45207200</v>
      </c>
      <c r="B51" s="2">
        <v>22603600</v>
      </c>
      <c r="C51">
        <v>22603600</v>
      </c>
      <c r="D51" s="1" t="s">
        <v>53</v>
      </c>
    </row>
    <row r="52" spans="1:4" x14ac:dyDescent="0.3">
      <c r="A52" s="2">
        <v>31617828</v>
      </c>
      <c r="B52" s="2">
        <v>11698596</v>
      </c>
      <c r="C52">
        <v>19919232</v>
      </c>
      <c r="D52" s="1" t="s">
        <v>54</v>
      </c>
    </row>
    <row r="53" spans="1:4" x14ac:dyDescent="0.3">
      <c r="A53" s="2">
        <v>3430000</v>
      </c>
      <c r="B53" s="2">
        <v>1958094</v>
      </c>
      <c r="C53">
        <v>1471906</v>
      </c>
      <c r="D53" s="1" t="s">
        <v>55</v>
      </c>
    </row>
    <row r="54" spans="1:4" x14ac:dyDescent="0.3">
      <c r="A54" s="2">
        <v>147270912</v>
      </c>
      <c r="B54" s="2">
        <v>145945474</v>
      </c>
      <c r="C54">
        <v>1325438</v>
      </c>
      <c r="D54" s="1" t="s">
        <v>56</v>
      </c>
    </row>
    <row r="55" spans="1:4" x14ac:dyDescent="0.3">
      <c r="A55" s="2">
        <v>14040000</v>
      </c>
      <c r="B55" s="2">
        <v>14040000</v>
      </c>
      <c r="C55">
        <v>0</v>
      </c>
      <c r="D55" s="1" t="s">
        <v>57</v>
      </c>
    </row>
    <row r="56" spans="1:4" x14ac:dyDescent="0.3">
      <c r="A56" s="2">
        <v>51060380</v>
      </c>
      <c r="B56" s="2">
        <v>51060380</v>
      </c>
      <c r="C56">
        <v>0</v>
      </c>
      <c r="D56" s="1" t="s">
        <v>58</v>
      </c>
    </row>
    <row r="57" spans="1:4" x14ac:dyDescent="0.3">
      <c r="A57" s="2">
        <v>411642000</v>
      </c>
      <c r="B57" s="2">
        <v>97476826</v>
      </c>
      <c r="C57">
        <v>314165174</v>
      </c>
      <c r="D57" s="1" t="s">
        <v>59</v>
      </c>
    </row>
    <row r="58" spans="1:4" x14ac:dyDescent="0.3">
      <c r="A58" s="2">
        <v>29100000</v>
      </c>
      <c r="B58" s="2">
        <v>23893050</v>
      </c>
      <c r="C58">
        <v>5206950</v>
      </c>
      <c r="D58" s="1" t="s">
        <v>60</v>
      </c>
    </row>
    <row r="59" spans="1:4" x14ac:dyDescent="0.3">
      <c r="A59" s="2">
        <v>3880000</v>
      </c>
      <c r="B59" s="2">
        <v>3185740</v>
      </c>
      <c r="C59">
        <v>694260</v>
      </c>
      <c r="D59" s="1" t="s">
        <v>61</v>
      </c>
    </row>
    <row r="60" spans="1:4" x14ac:dyDescent="0.3">
      <c r="A60" s="2">
        <v>4459459.4000000004</v>
      </c>
      <c r="B60" s="2">
        <v>4950000</v>
      </c>
      <c r="C60">
        <v>-490540.6</v>
      </c>
      <c r="D60" s="1" t="s">
        <v>62</v>
      </c>
    </row>
    <row r="61" spans="1:4" x14ac:dyDescent="0.3">
      <c r="A61" s="2">
        <v>4459459.4000000004</v>
      </c>
      <c r="B61" s="2">
        <v>0</v>
      </c>
      <c r="C61">
        <v>4459459.4000000004</v>
      </c>
      <c r="D61" s="1" t="s">
        <v>63</v>
      </c>
    </row>
    <row r="62" spans="1:4" x14ac:dyDescent="0.3">
      <c r="A62" s="2">
        <v>104000</v>
      </c>
      <c r="B62" s="2">
        <v>104000</v>
      </c>
      <c r="C62">
        <v>0</v>
      </c>
      <c r="D62" s="1" t="s">
        <v>64</v>
      </c>
    </row>
    <row r="63" spans="1:4" x14ac:dyDescent="0.3">
      <c r="A63" s="2">
        <v>2000000</v>
      </c>
      <c r="B63" s="2">
        <v>2220000</v>
      </c>
      <c r="C63">
        <v>-220000</v>
      </c>
      <c r="D63" s="1" t="s">
        <v>65</v>
      </c>
    </row>
    <row r="64" spans="1:4" x14ac:dyDescent="0.3">
      <c r="A64" s="2">
        <v>372000</v>
      </c>
      <c r="B64" s="2">
        <v>372000</v>
      </c>
      <c r="C64">
        <v>0</v>
      </c>
      <c r="D64" s="1" t="s">
        <v>66</v>
      </c>
    </row>
    <row r="65" spans="1:4" x14ac:dyDescent="0.3">
      <c r="A65" s="2">
        <v>42374232</v>
      </c>
      <c r="B65" s="2">
        <v>42374232</v>
      </c>
      <c r="C65">
        <v>0</v>
      </c>
      <c r="D65" s="1" t="s">
        <v>67</v>
      </c>
    </row>
    <row r="66" spans="1:4" x14ac:dyDescent="0.3">
      <c r="A66" s="2">
        <v>164664966</v>
      </c>
      <c r="B66" s="2">
        <v>164664966</v>
      </c>
      <c r="C66">
        <v>0</v>
      </c>
      <c r="D66" s="1" t="s">
        <v>68</v>
      </c>
    </row>
    <row r="67" spans="1:4" x14ac:dyDescent="0.3">
      <c r="A67" s="2">
        <v>2520000</v>
      </c>
      <c r="B67" s="2">
        <v>2797200</v>
      </c>
      <c r="C67">
        <v>-277200</v>
      </c>
      <c r="D67" s="1" t="s">
        <v>69</v>
      </c>
    </row>
    <row r="68" spans="1:4" x14ac:dyDescent="0.3">
      <c r="A68" s="2">
        <v>19826408</v>
      </c>
      <c r="B68" s="2">
        <v>19826408</v>
      </c>
      <c r="C68">
        <v>0</v>
      </c>
      <c r="D68" s="1" t="s">
        <v>70</v>
      </c>
    </row>
    <row r="69" spans="1:4" x14ac:dyDescent="0.3">
      <c r="A69" s="2">
        <v>58623000</v>
      </c>
      <c r="B69" s="2">
        <v>58623000</v>
      </c>
      <c r="C69">
        <v>0</v>
      </c>
      <c r="D69" s="1" t="s">
        <v>71</v>
      </c>
    </row>
    <row r="70" spans="1:4" x14ac:dyDescent="0.3">
      <c r="A70" s="2">
        <v>37000</v>
      </c>
      <c r="B70" s="2">
        <v>37000</v>
      </c>
      <c r="C70">
        <v>0</v>
      </c>
      <c r="D70" s="1" t="s">
        <v>72</v>
      </c>
    </row>
    <row r="71" spans="1:4" x14ac:dyDescent="0.3">
      <c r="A71" s="2">
        <v>17000</v>
      </c>
      <c r="B71" s="2">
        <v>17000</v>
      </c>
      <c r="C71">
        <v>0</v>
      </c>
      <c r="D71" s="1" t="s">
        <v>73</v>
      </c>
    </row>
    <row r="72" spans="1:4" x14ac:dyDescent="0.3">
      <c r="A72" s="2">
        <v>40480000</v>
      </c>
      <c r="B72" s="2">
        <v>40480000</v>
      </c>
      <c r="C72">
        <v>0</v>
      </c>
      <c r="D72" s="1" t="s">
        <v>74</v>
      </c>
    </row>
    <row r="73" spans="1:4" x14ac:dyDescent="0.3">
      <c r="A73" s="2">
        <v>55257820</v>
      </c>
      <c r="B73" s="2">
        <v>55257820</v>
      </c>
      <c r="C73">
        <v>0</v>
      </c>
      <c r="D73" s="1" t="s">
        <v>75</v>
      </c>
    </row>
    <row r="74" spans="1:4" x14ac:dyDescent="0.3">
      <c r="A74" s="2">
        <v>173000</v>
      </c>
      <c r="B74" s="2">
        <v>173000</v>
      </c>
      <c r="C74">
        <v>0</v>
      </c>
      <c r="D74" s="1" t="s">
        <v>76</v>
      </c>
    </row>
    <row r="75" spans="1:4" x14ac:dyDescent="0.3">
      <c r="A75" s="2">
        <v>35660436</v>
      </c>
      <c r="B75" s="2">
        <v>36271347</v>
      </c>
      <c r="C75">
        <v>-610911</v>
      </c>
      <c r="D75" s="1" t="s">
        <v>77</v>
      </c>
    </row>
    <row r="76" spans="1:4" x14ac:dyDescent="0.3">
      <c r="A76" s="2">
        <v>710421.2</v>
      </c>
      <c r="B76" s="2">
        <v>710421</v>
      </c>
      <c r="C76">
        <v>0.2</v>
      </c>
      <c r="D76" s="1" t="s">
        <v>78</v>
      </c>
    </row>
    <row r="77" spans="1:4" x14ac:dyDescent="0.3">
      <c r="A77" s="2">
        <v>65000.25</v>
      </c>
      <c r="B77" s="2">
        <v>65000</v>
      </c>
      <c r="C77">
        <v>0.25</v>
      </c>
      <c r="D77" s="1" t="s">
        <v>79</v>
      </c>
    </row>
    <row r="78" spans="1:4" x14ac:dyDescent="0.3">
      <c r="A78" s="2">
        <v>120400</v>
      </c>
      <c r="B78" s="2">
        <v>120400</v>
      </c>
      <c r="C78">
        <v>0</v>
      </c>
      <c r="D78" s="1" t="s">
        <v>80</v>
      </c>
    </row>
    <row r="79" spans="1:4" x14ac:dyDescent="0.3">
      <c r="A79" s="2">
        <v>45600250</v>
      </c>
      <c r="B79" s="2">
        <v>45600250</v>
      </c>
      <c r="C79">
        <v>0</v>
      </c>
      <c r="D79" s="1" t="s">
        <v>81</v>
      </c>
    </row>
    <row r="80" spans="1:4" x14ac:dyDescent="0.3">
      <c r="A80" s="2">
        <v>21716000</v>
      </c>
      <c r="B80" s="2">
        <v>21716000</v>
      </c>
      <c r="C80">
        <v>0</v>
      </c>
      <c r="D80" s="1" t="s">
        <v>82</v>
      </c>
    </row>
    <row r="81" spans="1:4" x14ac:dyDescent="0.3">
      <c r="A81" s="2">
        <v>139000.01999999999</v>
      </c>
      <c r="B81" s="2">
        <v>139000</v>
      </c>
      <c r="C81">
        <v>0.02</v>
      </c>
      <c r="D81" s="1" t="s">
        <v>83</v>
      </c>
    </row>
    <row r="82" spans="1:4" x14ac:dyDescent="0.3">
      <c r="A82" s="2">
        <v>62500</v>
      </c>
      <c r="B82" s="2">
        <v>62500</v>
      </c>
      <c r="C82">
        <v>0</v>
      </c>
      <c r="D82" s="1" t="s">
        <v>84</v>
      </c>
    </row>
    <row r="83" spans="1:4" x14ac:dyDescent="0.3">
      <c r="A83" s="2">
        <v>10648129.199999999</v>
      </c>
      <c r="B83" s="2">
        <v>11819424</v>
      </c>
      <c r="C83">
        <v>-1171294.8</v>
      </c>
      <c r="D83" s="1" t="s">
        <v>85</v>
      </c>
    </row>
    <row r="84" spans="1:4" x14ac:dyDescent="0.3">
      <c r="A84" s="2">
        <v>962500</v>
      </c>
      <c r="B84" s="2">
        <v>1068375</v>
      </c>
      <c r="C84">
        <v>-105875</v>
      </c>
      <c r="D84" s="1" t="s">
        <v>86</v>
      </c>
    </row>
    <row r="85" spans="1:4" x14ac:dyDescent="0.3">
      <c r="A85" s="2">
        <v>962500</v>
      </c>
      <c r="B85" s="2">
        <v>1068375</v>
      </c>
      <c r="C85">
        <v>-105875</v>
      </c>
      <c r="D85" s="1" t="s">
        <v>87</v>
      </c>
    </row>
    <row r="86" spans="1:4" x14ac:dyDescent="0.3">
      <c r="A86" s="2">
        <v>55500</v>
      </c>
      <c r="B86" s="2">
        <v>55500</v>
      </c>
      <c r="C86">
        <v>0</v>
      </c>
      <c r="D86" s="1" t="s">
        <v>88</v>
      </c>
    </row>
    <row r="87" spans="1:4" x14ac:dyDescent="0.3">
      <c r="A87" s="2">
        <v>55000</v>
      </c>
      <c r="B87" s="2">
        <v>55000</v>
      </c>
      <c r="C87">
        <v>0</v>
      </c>
      <c r="D87" s="1" t="s">
        <v>89</v>
      </c>
    </row>
    <row r="88" spans="1:4" x14ac:dyDescent="0.3">
      <c r="A88" s="2">
        <v>109600</v>
      </c>
      <c r="B88" s="2">
        <v>109600</v>
      </c>
      <c r="C88">
        <v>0</v>
      </c>
      <c r="D88" s="1" t="s">
        <v>90</v>
      </c>
    </row>
    <row r="89" spans="1:4" x14ac:dyDescent="0.3">
      <c r="A89" s="2">
        <v>169000</v>
      </c>
      <c r="B89" s="2">
        <v>169000</v>
      </c>
      <c r="C89">
        <v>0</v>
      </c>
      <c r="D89" s="1" t="s">
        <v>91</v>
      </c>
    </row>
    <row r="90" spans="1:4" x14ac:dyDescent="0.3">
      <c r="A90" s="2">
        <v>230000</v>
      </c>
      <c r="B90" s="2">
        <v>204240</v>
      </c>
      <c r="C90">
        <v>25760</v>
      </c>
      <c r="D90" s="1" t="s">
        <v>92</v>
      </c>
    </row>
    <row r="91" spans="1:4" x14ac:dyDescent="0.3">
      <c r="A91" s="2">
        <v>329559</v>
      </c>
      <c r="B91" s="2">
        <v>329559</v>
      </c>
      <c r="C91">
        <v>0</v>
      </c>
      <c r="D91" s="1" t="s">
        <v>93</v>
      </c>
    </row>
    <row r="92" spans="1:4" x14ac:dyDescent="0.3">
      <c r="A92" s="2">
        <v>23000</v>
      </c>
      <c r="B92" s="2">
        <v>23000</v>
      </c>
      <c r="C92">
        <v>0</v>
      </c>
      <c r="D92" s="1" t="s">
        <v>94</v>
      </c>
    </row>
    <row r="93" spans="1:4" x14ac:dyDescent="0.3">
      <c r="A93" s="2">
        <v>76500</v>
      </c>
      <c r="B93" s="2">
        <v>76500</v>
      </c>
      <c r="C93">
        <v>0</v>
      </c>
      <c r="D93" s="1" t="s">
        <v>95</v>
      </c>
    </row>
    <row r="94" spans="1:4" x14ac:dyDescent="0.3">
      <c r="A94" s="2">
        <v>24200</v>
      </c>
      <c r="B94" s="2">
        <v>24200</v>
      </c>
      <c r="C94">
        <v>0</v>
      </c>
      <c r="D94" s="1" t="s">
        <v>96</v>
      </c>
    </row>
    <row r="95" spans="1:4" x14ac:dyDescent="0.3">
      <c r="A95" s="2">
        <v>94199600</v>
      </c>
      <c r="B95" s="2">
        <v>79386756</v>
      </c>
      <c r="C95">
        <v>14812844</v>
      </c>
      <c r="D95" s="1" t="s">
        <v>97</v>
      </c>
    </row>
    <row r="96" spans="1:4" x14ac:dyDescent="0.3">
      <c r="A96" s="2">
        <v>86480000</v>
      </c>
      <c r="B96" s="2">
        <v>95992800</v>
      </c>
      <c r="C96">
        <v>-9512800</v>
      </c>
      <c r="D96" s="1" t="s">
        <v>98</v>
      </c>
    </row>
    <row r="97" spans="1:4" x14ac:dyDescent="0.3">
      <c r="A97" s="2">
        <v>54405200</v>
      </c>
      <c r="B97" s="2">
        <v>55949772</v>
      </c>
      <c r="C97">
        <v>-1544572</v>
      </c>
      <c r="D97" s="1" t="s">
        <v>99</v>
      </c>
    </row>
    <row r="98" spans="1:4" x14ac:dyDescent="0.3">
      <c r="A98" s="2">
        <v>4060132</v>
      </c>
      <c r="B98" s="2">
        <v>4506747</v>
      </c>
      <c r="C98">
        <v>-446615</v>
      </c>
      <c r="D98" s="1" t="s">
        <v>100</v>
      </c>
    </row>
    <row r="99" spans="1:4" x14ac:dyDescent="0.3">
      <c r="A99" s="2">
        <v>120390929</v>
      </c>
      <c r="B99" s="2">
        <v>133633931</v>
      </c>
      <c r="C99">
        <v>-13243002</v>
      </c>
      <c r="D99" s="1" t="s">
        <v>101</v>
      </c>
    </row>
    <row r="100" spans="1:4" x14ac:dyDescent="0.3">
      <c r="A100" s="2">
        <v>30281923</v>
      </c>
      <c r="B100" s="2">
        <v>33612935</v>
      </c>
      <c r="C100">
        <v>-3331012</v>
      </c>
      <c r="D100" s="1" t="s">
        <v>102</v>
      </c>
    </row>
    <row r="101" spans="1:4" x14ac:dyDescent="0.3">
      <c r="A101" s="2">
        <v>57831828</v>
      </c>
      <c r="B101" s="2">
        <v>64193329</v>
      </c>
      <c r="C101">
        <v>-6361501</v>
      </c>
      <c r="D101" s="1" t="s">
        <v>103</v>
      </c>
    </row>
    <row r="102" spans="1:4" x14ac:dyDescent="0.3">
      <c r="A102" s="2">
        <v>2454605.4</v>
      </c>
      <c r="B102" s="2">
        <v>2454605</v>
      </c>
      <c r="C102">
        <v>0.4</v>
      </c>
      <c r="D102" s="1" t="s">
        <v>104</v>
      </c>
    </row>
    <row r="103" spans="1:4" x14ac:dyDescent="0.3">
      <c r="A103" s="2">
        <v>41975000</v>
      </c>
      <c r="B103" s="2">
        <v>35048250</v>
      </c>
      <c r="C103">
        <v>6926750</v>
      </c>
      <c r="D103" s="1" t="s">
        <v>105</v>
      </c>
    </row>
    <row r="104" spans="1:4" x14ac:dyDescent="0.3">
      <c r="A104" s="2">
        <v>48103100</v>
      </c>
      <c r="B104" s="2">
        <v>48103100</v>
      </c>
      <c r="C104">
        <v>0</v>
      </c>
      <c r="D104" s="1" t="s">
        <v>106</v>
      </c>
    </row>
    <row r="105" spans="1:4" x14ac:dyDescent="0.3">
      <c r="A105" s="2">
        <v>197524056.80000001</v>
      </c>
      <c r="B105" s="2">
        <v>123889356</v>
      </c>
      <c r="C105">
        <v>73634700.799999997</v>
      </c>
      <c r="D105" s="1" t="s">
        <v>107</v>
      </c>
    </row>
    <row r="106" spans="1:4" x14ac:dyDescent="0.3">
      <c r="A106" s="2">
        <v>139361000</v>
      </c>
      <c r="B106" s="2">
        <v>138321000</v>
      </c>
      <c r="C106">
        <v>1040000</v>
      </c>
      <c r="D106" s="1" t="s">
        <v>108</v>
      </c>
    </row>
    <row r="107" spans="1:4" x14ac:dyDescent="0.3">
      <c r="A107" s="2">
        <v>24211320</v>
      </c>
      <c r="B107" s="2">
        <v>24211320</v>
      </c>
      <c r="C107">
        <v>0</v>
      </c>
      <c r="D107" s="1" t="s">
        <v>109</v>
      </c>
    </row>
    <row r="108" spans="1:4" x14ac:dyDescent="0.3">
      <c r="A108" s="2">
        <v>5644350</v>
      </c>
      <c r="B108" s="2">
        <v>5644350</v>
      </c>
      <c r="C108">
        <v>0</v>
      </c>
      <c r="D108" s="1" t="s">
        <v>110</v>
      </c>
    </row>
    <row r="109" spans="1:4" x14ac:dyDescent="0.3">
      <c r="A109" s="2">
        <v>9142256</v>
      </c>
      <c r="B109" s="2">
        <v>8286056</v>
      </c>
      <c r="C109">
        <v>856200</v>
      </c>
      <c r="D109" s="1" t="s">
        <v>111</v>
      </c>
    </row>
    <row r="110" spans="1:4" x14ac:dyDescent="0.3">
      <c r="A110" s="2">
        <v>10550000</v>
      </c>
      <c r="B110" s="2">
        <v>7963140</v>
      </c>
      <c r="C110">
        <v>2586860</v>
      </c>
      <c r="D110" s="1" t="s">
        <v>112</v>
      </c>
    </row>
    <row r="111" spans="1:4" x14ac:dyDescent="0.3">
      <c r="A111" s="2">
        <v>42998070</v>
      </c>
      <c r="B111" s="2">
        <v>24993870</v>
      </c>
      <c r="C111">
        <v>18004200</v>
      </c>
      <c r="D111" s="1" t="s">
        <v>113</v>
      </c>
    </row>
    <row r="112" spans="1:4" x14ac:dyDescent="0.3">
      <c r="A112" s="2">
        <v>64668125</v>
      </c>
      <c r="B112" s="2">
        <v>64668125</v>
      </c>
      <c r="C112">
        <v>0</v>
      </c>
      <c r="D112" s="1" t="s">
        <v>114</v>
      </c>
    </row>
    <row r="113" spans="1:4" x14ac:dyDescent="0.3">
      <c r="A113" s="2">
        <v>11092500</v>
      </c>
      <c r="B113" s="2">
        <v>9850140</v>
      </c>
      <c r="C113">
        <v>1242360</v>
      </c>
      <c r="D113" s="1" t="s">
        <v>115</v>
      </c>
    </row>
    <row r="114" spans="1:4" x14ac:dyDescent="0.3">
      <c r="A114" s="2">
        <v>3128555</v>
      </c>
      <c r="B114" s="2">
        <v>3128555</v>
      </c>
      <c r="C114">
        <v>0</v>
      </c>
      <c r="D114" s="1" t="s">
        <v>116</v>
      </c>
    </row>
    <row r="115" spans="1:4" x14ac:dyDescent="0.3">
      <c r="A115" s="2">
        <v>800000</v>
      </c>
      <c r="B115" s="2">
        <v>888000</v>
      </c>
      <c r="C115">
        <v>-88000</v>
      </c>
      <c r="D115" s="1" t="s">
        <v>117</v>
      </c>
    </row>
    <row r="116" spans="1:4" x14ac:dyDescent="0.3">
      <c r="A116" s="2">
        <v>25623360</v>
      </c>
      <c r="B116" s="2">
        <v>25623360</v>
      </c>
      <c r="C116">
        <v>0</v>
      </c>
      <c r="D116" s="1" t="s">
        <v>118</v>
      </c>
    </row>
    <row r="117" spans="1:4" x14ac:dyDescent="0.3">
      <c r="A117" s="2">
        <v>107100000</v>
      </c>
      <c r="B117" s="2">
        <v>118881000</v>
      </c>
      <c r="C117">
        <v>-11781000</v>
      </c>
      <c r="D117" s="1" t="s">
        <v>119</v>
      </c>
    </row>
    <row r="118" spans="1:4" x14ac:dyDescent="0.3">
      <c r="A118" s="2">
        <v>777000</v>
      </c>
      <c r="B118" s="2">
        <v>777000</v>
      </c>
      <c r="C118">
        <v>0</v>
      </c>
      <c r="D118" s="1" t="s">
        <v>120</v>
      </c>
    </row>
    <row r="119" spans="1:4" x14ac:dyDescent="0.3">
      <c r="A119" s="2">
        <v>22350000</v>
      </c>
      <c r="B119" s="2">
        <v>22350000</v>
      </c>
      <c r="C119">
        <v>0</v>
      </c>
      <c r="D119" s="1" t="s">
        <v>121</v>
      </c>
    </row>
    <row r="120" spans="1:4" x14ac:dyDescent="0.3">
      <c r="A120" s="2">
        <v>9449333.6999999993</v>
      </c>
      <c r="B120" s="2">
        <v>9449334</v>
      </c>
      <c r="C120">
        <v>-0.3</v>
      </c>
      <c r="D120" s="1" t="s">
        <v>122</v>
      </c>
    </row>
    <row r="121" spans="1:4" x14ac:dyDescent="0.3">
      <c r="A121" s="2">
        <v>9735000</v>
      </c>
      <c r="B121" s="2">
        <v>9735000</v>
      </c>
      <c r="C121">
        <v>0</v>
      </c>
      <c r="D121" s="1" t="s">
        <v>123</v>
      </c>
    </row>
    <row r="122" spans="1:4" x14ac:dyDescent="0.3">
      <c r="A122" s="2">
        <v>3245000</v>
      </c>
      <c r="B122" s="2">
        <v>3245000</v>
      </c>
      <c r="C122">
        <v>0</v>
      </c>
      <c r="D122" s="1" t="s">
        <v>124</v>
      </c>
    </row>
    <row r="123" spans="1:4" x14ac:dyDescent="0.3">
      <c r="A123" s="2">
        <v>51718000</v>
      </c>
      <c r="B123" s="2">
        <v>51718000</v>
      </c>
      <c r="C123">
        <v>0</v>
      </c>
      <c r="D123" s="1" t="s">
        <v>125</v>
      </c>
    </row>
    <row r="124" spans="1:4" x14ac:dyDescent="0.3">
      <c r="A124" s="2">
        <v>7053600</v>
      </c>
      <c r="B124" s="2">
        <v>7053600</v>
      </c>
      <c r="C124">
        <v>0</v>
      </c>
      <c r="D124" s="1" t="s">
        <v>126</v>
      </c>
    </row>
    <row r="125" spans="1:4" x14ac:dyDescent="0.3">
      <c r="A125" s="2">
        <v>31056799.920000002</v>
      </c>
      <c r="B125" s="2">
        <v>26544247</v>
      </c>
      <c r="C125">
        <v>4512552.92</v>
      </c>
      <c r="D125" s="1" t="s">
        <v>127</v>
      </c>
    </row>
    <row r="126" spans="1:4" x14ac:dyDescent="0.3">
      <c r="A126" s="2">
        <v>37058109.5</v>
      </c>
      <c r="B126" s="2">
        <v>28683245</v>
      </c>
      <c r="C126">
        <v>8374864.5</v>
      </c>
      <c r="D126" s="1" t="s">
        <v>128</v>
      </c>
    </row>
    <row r="127" spans="1:4" x14ac:dyDescent="0.3">
      <c r="A127" s="2">
        <v>295141230</v>
      </c>
      <c r="B127" s="2">
        <v>98380410</v>
      </c>
      <c r="C127">
        <v>196760820</v>
      </c>
      <c r="D127" s="1" t="s">
        <v>129</v>
      </c>
    </row>
    <row r="128" spans="1:4" x14ac:dyDescent="0.3">
      <c r="A128" s="2">
        <v>4395600</v>
      </c>
      <c r="B128" s="2">
        <v>2197800</v>
      </c>
      <c r="C128">
        <v>2197800</v>
      </c>
      <c r="D128" s="1" t="s">
        <v>130</v>
      </c>
    </row>
    <row r="129" spans="1:4" x14ac:dyDescent="0.3">
      <c r="A129" s="2">
        <v>52147800</v>
      </c>
      <c r="B129" s="2">
        <v>52147800</v>
      </c>
      <c r="C129">
        <v>0</v>
      </c>
      <c r="D129" s="1" t="s">
        <v>131</v>
      </c>
    </row>
    <row r="130" spans="1:4" x14ac:dyDescent="0.3">
      <c r="A130" s="2">
        <v>3183400</v>
      </c>
      <c r="B130" s="2">
        <v>3183400</v>
      </c>
      <c r="C130">
        <v>0</v>
      </c>
      <c r="D130" s="1" t="s">
        <v>132</v>
      </c>
    </row>
    <row r="131" spans="1:4" x14ac:dyDescent="0.3">
      <c r="A131" s="2">
        <v>14596200</v>
      </c>
      <c r="B131" s="2">
        <v>14596200</v>
      </c>
      <c r="C131">
        <v>0</v>
      </c>
      <c r="D131" s="1" t="s">
        <v>133</v>
      </c>
    </row>
    <row r="132" spans="1:4" x14ac:dyDescent="0.3">
      <c r="A132" s="2">
        <v>47227297.200000003</v>
      </c>
      <c r="B132" s="2">
        <v>52422300</v>
      </c>
      <c r="C132">
        <v>-5195002.8</v>
      </c>
      <c r="D132" s="1" t="s">
        <v>134</v>
      </c>
    </row>
    <row r="133" spans="1:4" x14ac:dyDescent="0.3">
      <c r="A133" s="2">
        <v>769315911</v>
      </c>
      <c r="B133" s="2">
        <v>121991523</v>
      </c>
      <c r="C133">
        <v>647324388</v>
      </c>
      <c r="D133" s="1" t="s">
        <v>135</v>
      </c>
    </row>
    <row r="134" spans="1:4" x14ac:dyDescent="0.3">
      <c r="A134" s="2">
        <v>69264</v>
      </c>
      <c r="B134" s="2">
        <v>69264</v>
      </c>
      <c r="C134">
        <v>0</v>
      </c>
      <c r="D134" s="1" t="s">
        <v>136</v>
      </c>
    </row>
    <row r="135" spans="1:4" x14ac:dyDescent="0.3">
      <c r="A135" s="2">
        <v>26500000</v>
      </c>
      <c r="B135" s="2">
        <v>26473500</v>
      </c>
      <c r="C135">
        <v>26500</v>
      </c>
      <c r="D135" s="1" t="s">
        <v>137</v>
      </c>
    </row>
    <row r="136" spans="1:4" x14ac:dyDescent="0.3">
      <c r="A136" s="2">
        <v>1129425</v>
      </c>
      <c r="B136" s="2">
        <v>1129425</v>
      </c>
      <c r="C136">
        <v>0</v>
      </c>
      <c r="D136" s="1" t="s">
        <v>138</v>
      </c>
    </row>
    <row r="137" spans="1:4" x14ac:dyDescent="0.3">
      <c r="A137" s="2">
        <v>3241300</v>
      </c>
      <c r="B137" s="2">
        <v>3241300</v>
      </c>
      <c r="C137">
        <v>0</v>
      </c>
      <c r="D137" s="1" t="s">
        <v>139</v>
      </c>
    </row>
    <row r="138" spans="1:4" x14ac:dyDescent="0.3">
      <c r="A138" s="2">
        <v>26400000</v>
      </c>
      <c r="B138" s="2">
        <v>20597782</v>
      </c>
      <c r="C138">
        <v>5802218</v>
      </c>
      <c r="D138" s="1" t="s">
        <v>140</v>
      </c>
    </row>
    <row r="139" spans="1:4" x14ac:dyDescent="0.3">
      <c r="A139" s="2">
        <v>8851724</v>
      </c>
      <c r="B139" s="2">
        <v>9858714</v>
      </c>
      <c r="C139">
        <v>-1006990</v>
      </c>
      <c r="D139" s="1" t="s">
        <v>141</v>
      </c>
    </row>
    <row r="140" spans="1:4" x14ac:dyDescent="0.3">
      <c r="A140" s="2">
        <v>2380000</v>
      </c>
      <c r="B140" s="2">
        <v>2719500</v>
      </c>
      <c r="C140">
        <v>-339500</v>
      </c>
      <c r="D140" s="1" t="s">
        <v>142</v>
      </c>
    </row>
    <row r="141" spans="1:4" x14ac:dyDescent="0.3">
      <c r="A141" s="2">
        <v>19686000</v>
      </c>
      <c r="B141" s="2">
        <v>2722692</v>
      </c>
      <c r="C141">
        <v>16963308</v>
      </c>
      <c r="D141" s="1" t="s">
        <v>143</v>
      </c>
    </row>
    <row r="142" spans="1:4" x14ac:dyDescent="0.3">
      <c r="A142" s="2">
        <v>78744000</v>
      </c>
      <c r="B142" s="2">
        <v>10890768</v>
      </c>
      <c r="C142">
        <v>67853232</v>
      </c>
      <c r="D142" s="1" t="s">
        <v>144</v>
      </c>
    </row>
    <row r="143" spans="1:4" x14ac:dyDescent="0.3">
      <c r="A143" s="2">
        <v>1726272</v>
      </c>
      <c r="B143" s="2">
        <v>1726272</v>
      </c>
      <c r="C143">
        <v>0</v>
      </c>
      <c r="D143" s="1" t="s">
        <v>145</v>
      </c>
    </row>
    <row r="144" spans="1:4" x14ac:dyDescent="0.3">
      <c r="A144" s="2">
        <v>1294800</v>
      </c>
      <c r="B144" s="2">
        <v>1294800</v>
      </c>
      <c r="C144">
        <v>0</v>
      </c>
      <c r="D144" s="1" t="s">
        <v>146</v>
      </c>
    </row>
    <row r="145" spans="1:4" x14ac:dyDescent="0.3">
      <c r="A145" s="2">
        <v>33454000</v>
      </c>
      <c r="B145" s="2">
        <v>16727000</v>
      </c>
      <c r="C145">
        <v>16727000</v>
      </c>
      <c r="D145" s="1" t="s">
        <v>147</v>
      </c>
    </row>
    <row r="146" spans="1:4" x14ac:dyDescent="0.3">
      <c r="A146" s="2">
        <v>4840000</v>
      </c>
      <c r="B146" s="2">
        <v>5372400</v>
      </c>
      <c r="C146">
        <v>-532400</v>
      </c>
      <c r="D146" s="1" t="s">
        <v>148</v>
      </c>
    </row>
    <row r="147" spans="1:4" x14ac:dyDescent="0.3">
      <c r="A147" s="2">
        <v>19740000</v>
      </c>
      <c r="B147" s="2">
        <v>9870000</v>
      </c>
      <c r="C147">
        <v>9870000</v>
      </c>
      <c r="D147" s="1" t="s">
        <v>149</v>
      </c>
    </row>
    <row r="148" spans="1:4" x14ac:dyDescent="0.3">
      <c r="A148" s="2">
        <v>31910000</v>
      </c>
      <c r="B148" s="2">
        <v>9740528</v>
      </c>
      <c r="C148">
        <v>22169472</v>
      </c>
      <c r="D148" s="1" t="s">
        <v>150</v>
      </c>
    </row>
    <row r="149" spans="1:4" x14ac:dyDescent="0.3">
      <c r="A149" s="2">
        <v>10300000</v>
      </c>
      <c r="B149" s="2">
        <v>3144075</v>
      </c>
      <c r="C149">
        <v>7155925</v>
      </c>
      <c r="D149" s="1" t="s">
        <v>151</v>
      </c>
    </row>
    <row r="150" spans="1:4" x14ac:dyDescent="0.3">
      <c r="A150" s="2">
        <v>17800000.079999998</v>
      </c>
      <c r="B150" s="2">
        <v>15806400</v>
      </c>
      <c r="C150">
        <v>1993600.08</v>
      </c>
      <c r="D150" s="1" t="s">
        <v>152</v>
      </c>
    </row>
    <row r="151" spans="1:4" x14ac:dyDescent="0.3">
      <c r="A151" s="2">
        <v>2332000</v>
      </c>
      <c r="B151" s="2">
        <v>2332000</v>
      </c>
      <c r="C151">
        <v>0</v>
      </c>
      <c r="D151" s="1" t="s">
        <v>153</v>
      </c>
    </row>
    <row r="152" spans="1:4" x14ac:dyDescent="0.3">
      <c r="A152" s="2">
        <v>2284580</v>
      </c>
      <c r="B152" s="2">
        <v>2535884</v>
      </c>
      <c r="C152">
        <v>-251304</v>
      </c>
      <c r="D152" s="1" t="s">
        <v>154</v>
      </c>
    </row>
    <row r="153" spans="1:4" x14ac:dyDescent="0.3">
      <c r="A153" s="2">
        <v>8991000</v>
      </c>
      <c r="B153" s="2">
        <v>8991000</v>
      </c>
      <c r="C153">
        <v>0</v>
      </c>
      <c r="D153" s="1" t="s">
        <v>155</v>
      </c>
    </row>
    <row r="154" spans="1:4" x14ac:dyDescent="0.3">
      <c r="A154" s="2">
        <v>112097472</v>
      </c>
      <c r="B154" s="2">
        <v>113100000</v>
      </c>
      <c r="C154">
        <v>-1002528</v>
      </c>
      <c r="D154" s="1" t="s">
        <v>156</v>
      </c>
    </row>
    <row r="155" spans="1:4" x14ac:dyDescent="0.3">
      <c r="A155" s="2">
        <v>986880</v>
      </c>
      <c r="B155" s="2">
        <v>986880</v>
      </c>
      <c r="C155">
        <v>0</v>
      </c>
      <c r="D155" s="1" t="s">
        <v>157</v>
      </c>
    </row>
    <row r="156" spans="1:4" x14ac:dyDescent="0.3">
      <c r="A156" s="2">
        <v>986880</v>
      </c>
      <c r="B156" s="2">
        <v>986880</v>
      </c>
      <c r="C156">
        <v>0</v>
      </c>
      <c r="D156" s="1" t="s">
        <v>158</v>
      </c>
    </row>
    <row r="157" spans="1:4" x14ac:dyDescent="0.3">
      <c r="A157" s="2">
        <v>6963000</v>
      </c>
      <c r="B157" s="2">
        <v>6963000</v>
      </c>
      <c r="C157">
        <v>0</v>
      </c>
      <c r="D157" s="1" t="s">
        <v>159</v>
      </c>
    </row>
    <row r="158" spans="1:4" x14ac:dyDescent="0.3">
      <c r="A158" s="2">
        <v>6963000</v>
      </c>
      <c r="B158" s="2">
        <v>6963000</v>
      </c>
      <c r="C158">
        <v>0</v>
      </c>
      <c r="D158" s="1" t="s">
        <v>160</v>
      </c>
    </row>
    <row r="159" spans="1:4" x14ac:dyDescent="0.3">
      <c r="A159" s="2">
        <v>8479160</v>
      </c>
      <c r="B159" s="2">
        <v>8479160</v>
      </c>
      <c r="C159">
        <v>0</v>
      </c>
      <c r="D159" s="1" t="s">
        <v>161</v>
      </c>
    </row>
    <row r="160" spans="1:4" x14ac:dyDescent="0.3">
      <c r="A160" s="2">
        <v>29725704</v>
      </c>
      <c r="B160" s="2">
        <v>12373324</v>
      </c>
      <c r="C160">
        <v>17352380</v>
      </c>
      <c r="D160" s="1" t="s">
        <v>162</v>
      </c>
    </row>
    <row r="161" spans="1:4" x14ac:dyDescent="0.3">
      <c r="A161" s="2">
        <v>14862852</v>
      </c>
      <c r="B161" s="2">
        <v>12373324</v>
      </c>
      <c r="C161">
        <v>2489528</v>
      </c>
      <c r="D161" s="1" t="s">
        <v>163</v>
      </c>
    </row>
    <row r="162" spans="1:4" x14ac:dyDescent="0.3">
      <c r="A162" s="2">
        <v>6703532</v>
      </c>
      <c r="B162" s="2">
        <v>3720460</v>
      </c>
      <c r="C162">
        <v>2983072</v>
      </c>
      <c r="D162" s="1" t="s">
        <v>164</v>
      </c>
    </row>
    <row r="163" spans="1:4" x14ac:dyDescent="0.3">
      <c r="A163" s="2">
        <v>47860000</v>
      </c>
      <c r="B163" s="2">
        <v>46383885</v>
      </c>
      <c r="C163">
        <v>1476115</v>
      </c>
      <c r="D163" s="1" t="s">
        <v>165</v>
      </c>
    </row>
    <row r="164" spans="1:4" x14ac:dyDescent="0.3">
      <c r="A164" s="2">
        <v>27065907</v>
      </c>
      <c r="B164" s="2">
        <v>27065907</v>
      </c>
      <c r="C164">
        <v>0</v>
      </c>
      <c r="D164" s="1" t="s">
        <v>166</v>
      </c>
    </row>
    <row r="165" spans="1:4" x14ac:dyDescent="0.3">
      <c r="A165" s="2">
        <v>24604371</v>
      </c>
      <c r="B165" s="2">
        <v>24604371</v>
      </c>
      <c r="C165">
        <v>0</v>
      </c>
      <c r="D165" s="1" t="s">
        <v>167</v>
      </c>
    </row>
    <row r="166" spans="1:4" x14ac:dyDescent="0.3">
      <c r="A166" s="2">
        <v>26084223</v>
      </c>
      <c r="B166" s="2">
        <v>26084223</v>
      </c>
      <c r="C166">
        <v>0</v>
      </c>
      <c r="D166" s="1" t="s">
        <v>168</v>
      </c>
    </row>
    <row r="167" spans="1:4" x14ac:dyDescent="0.3">
      <c r="A167" s="2">
        <v>9806107.4100000001</v>
      </c>
      <c r="B167" s="2">
        <v>9806107</v>
      </c>
      <c r="C167">
        <v>0.41</v>
      </c>
      <c r="D167" s="1" t="s">
        <v>169</v>
      </c>
    </row>
    <row r="168" spans="1:4" x14ac:dyDescent="0.3">
      <c r="A168" s="2">
        <v>882444</v>
      </c>
      <c r="B168" s="2">
        <v>489756</v>
      </c>
      <c r="C168">
        <v>392688</v>
      </c>
      <c r="D168" s="1" t="s">
        <v>170</v>
      </c>
    </row>
    <row r="169" spans="1:4" x14ac:dyDescent="0.3">
      <c r="A169" s="2">
        <v>882444</v>
      </c>
      <c r="B169" s="2">
        <v>489756</v>
      </c>
      <c r="C169">
        <v>392688</v>
      </c>
      <c r="D169" s="1" t="s">
        <v>171</v>
      </c>
    </row>
    <row r="170" spans="1:4" x14ac:dyDescent="0.3">
      <c r="A170" s="2">
        <v>12800000</v>
      </c>
      <c r="B170" s="2">
        <v>12800000</v>
      </c>
      <c r="C170">
        <v>0</v>
      </c>
      <c r="D170" s="1" t="s">
        <v>172</v>
      </c>
    </row>
    <row r="171" spans="1:4" x14ac:dyDescent="0.3">
      <c r="A171" s="2">
        <v>144000000</v>
      </c>
      <c r="B171" s="2">
        <v>144000000</v>
      </c>
      <c r="C171">
        <v>0</v>
      </c>
      <c r="D171" s="1" t="s">
        <v>173</v>
      </c>
    </row>
    <row r="172" spans="1:4" x14ac:dyDescent="0.3">
      <c r="A172" s="2">
        <v>50811600</v>
      </c>
      <c r="B172" s="2">
        <v>50811600</v>
      </c>
      <c r="C172">
        <v>0</v>
      </c>
      <c r="D172" s="1" t="s">
        <v>174</v>
      </c>
    </row>
    <row r="173" spans="1:4" x14ac:dyDescent="0.3">
      <c r="A173" s="2">
        <v>4000000</v>
      </c>
      <c r="B173" s="2">
        <v>4440000</v>
      </c>
      <c r="C173">
        <v>-440000</v>
      </c>
      <c r="D173" s="1" t="s">
        <v>175</v>
      </c>
    </row>
    <row r="174" spans="1:4" x14ac:dyDescent="0.3">
      <c r="A174" s="2">
        <v>19550000</v>
      </c>
      <c r="B174" s="2">
        <v>19550000</v>
      </c>
      <c r="C174">
        <v>0</v>
      </c>
      <c r="D174" s="1" t="s">
        <v>176</v>
      </c>
    </row>
    <row r="175" spans="1:4" x14ac:dyDescent="0.3">
      <c r="A175" s="2">
        <v>36818175</v>
      </c>
      <c r="B175" s="2">
        <v>19425000</v>
      </c>
      <c r="C175">
        <v>17393175</v>
      </c>
      <c r="D175" s="1" t="s">
        <v>177</v>
      </c>
    </row>
    <row r="176" spans="1:4" x14ac:dyDescent="0.3">
      <c r="A176" s="2">
        <v>21600000</v>
      </c>
      <c r="B176" s="2">
        <v>23976000</v>
      </c>
      <c r="C176">
        <v>-2376000</v>
      </c>
      <c r="D176" s="1" t="s">
        <v>178</v>
      </c>
    </row>
    <row r="177" spans="1:4" x14ac:dyDescent="0.3">
      <c r="A177" s="2">
        <v>12980592</v>
      </c>
      <c r="B177" s="2">
        <v>12980592</v>
      </c>
      <c r="C177">
        <v>0</v>
      </c>
      <c r="D177" s="1" t="s">
        <v>179</v>
      </c>
    </row>
    <row r="178" spans="1:4" x14ac:dyDescent="0.3">
      <c r="A178" s="2">
        <v>38981600</v>
      </c>
      <c r="B178" s="2">
        <v>43269576</v>
      </c>
      <c r="C178">
        <v>-4287976</v>
      </c>
      <c r="D178" s="1" t="s">
        <v>180</v>
      </c>
    </row>
    <row r="179" spans="1:4" x14ac:dyDescent="0.3">
      <c r="A179" s="2">
        <v>29936700</v>
      </c>
      <c r="B179" s="2">
        <v>29936700</v>
      </c>
      <c r="C179">
        <v>0</v>
      </c>
      <c r="D179" s="1" t="s">
        <v>181</v>
      </c>
    </row>
    <row r="180" spans="1:4" x14ac:dyDescent="0.3">
      <c r="A180" s="2">
        <v>30018400</v>
      </c>
      <c r="B180" s="2">
        <v>30018400</v>
      </c>
      <c r="C180">
        <v>0</v>
      </c>
      <c r="D180" s="1" t="s">
        <v>182</v>
      </c>
    </row>
    <row r="181" spans="1:4" x14ac:dyDescent="0.3">
      <c r="A181" s="2">
        <v>480000</v>
      </c>
      <c r="B181" s="2">
        <v>480000</v>
      </c>
      <c r="C181">
        <v>0</v>
      </c>
      <c r="D181" s="1" t="s">
        <v>183</v>
      </c>
    </row>
    <row r="182" spans="1:4" x14ac:dyDescent="0.3">
      <c r="A182" s="2">
        <v>36923040</v>
      </c>
      <c r="B182" s="2">
        <v>36923040</v>
      </c>
      <c r="C182">
        <v>0</v>
      </c>
      <c r="D182" s="1" t="s">
        <v>184</v>
      </c>
    </row>
    <row r="183" spans="1:4" x14ac:dyDescent="0.3">
      <c r="A183" s="2">
        <v>3736500</v>
      </c>
      <c r="B183" s="2">
        <v>3736500</v>
      </c>
      <c r="C183">
        <v>0</v>
      </c>
      <c r="D183" s="1" t="s">
        <v>185</v>
      </c>
    </row>
    <row r="184" spans="1:4" x14ac:dyDescent="0.3">
      <c r="A184" s="2">
        <v>4680000</v>
      </c>
      <c r="B184" s="2">
        <v>5194800</v>
      </c>
      <c r="C184">
        <v>-514800</v>
      </c>
      <c r="D184" s="1" t="s">
        <v>186</v>
      </c>
    </row>
    <row r="185" spans="1:4" x14ac:dyDescent="0.3">
      <c r="A185" s="2">
        <v>3250000</v>
      </c>
      <c r="B185" s="2">
        <v>2344875</v>
      </c>
      <c r="C185">
        <v>905125</v>
      </c>
      <c r="D185" s="1" t="s">
        <v>187</v>
      </c>
    </row>
    <row r="186" spans="1:4" x14ac:dyDescent="0.3">
      <c r="A186" s="2">
        <v>5400000</v>
      </c>
      <c r="B186" s="2">
        <v>5400000</v>
      </c>
      <c r="C186">
        <v>0</v>
      </c>
      <c r="D186" s="1" t="s">
        <v>188</v>
      </c>
    </row>
    <row r="187" spans="1:4" x14ac:dyDescent="0.3">
      <c r="A187" s="2">
        <v>34225000</v>
      </c>
      <c r="B187" s="2">
        <v>33582939</v>
      </c>
      <c r="C187">
        <v>642061</v>
      </c>
      <c r="D187" s="1" t="s">
        <v>189</v>
      </c>
    </row>
    <row r="188" spans="1:4" x14ac:dyDescent="0.3">
      <c r="A188" s="2">
        <v>73080000</v>
      </c>
      <c r="B188" s="2">
        <v>73080000</v>
      </c>
      <c r="C188">
        <v>0</v>
      </c>
      <c r="D188" s="1" t="s">
        <v>190</v>
      </c>
    </row>
    <row r="189" spans="1:4" x14ac:dyDescent="0.3">
      <c r="A189" s="2">
        <v>1090420</v>
      </c>
      <c r="B189" s="2">
        <v>1090420</v>
      </c>
      <c r="C189">
        <v>0</v>
      </c>
      <c r="D189" s="1" t="s">
        <v>191</v>
      </c>
    </row>
    <row r="190" spans="1:4" x14ac:dyDescent="0.3">
      <c r="A190" s="2">
        <v>17040742.199999999</v>
      </c>
      <c r="B190" s="2">
        <v>17040742</v>
      </c>
      <c r="C190">
        <v>0.2</v>
      </c>
      <c r="D190" s="1" t="s">
        <v>192</v>
      </c>
    </row>
    <row r="191" spans="1:4" x14ac:dyDescent="0.3">
      <c r="A191" s="2">
        <v>5663512.5</v>
      </c>
      <c r="B191" s="2">
        <v>3398108</v>
      </c>
      <c r="C191">
        <v>2265404.5</v>
      </c>
      <c r="D191" s="1" t="s">
        <v>193</v>
      </c>
    </row>
    <row r="192" spans="1:4" x14ac:dyDescent="0.3">
      <c r="A192" s="2">
        <v>1800000</v>
      </c>
      <c r="B192" s="2">
        <v>1598400</v>
      </c>
      <c r="C192">
        <v>201600</v>
      </c>
      <c r="D192" s="1" t="s">
        <v>194</v>
      </c>
    </row>
    <row r="193" spans="1:4" x14ac:dyDescent="0.3">
      <c r="A193" s="2">
        <v>179570000</v>
      </c>
      <c r="B193" s="2">
        <v>59885000</v>
      </c>
      <c r="C193">
        <v>119685000</v>
      </c>
      <c r="D193" s="1" t="s">
        <v>195</v>
      </c>
    </row>
    <row r="194" spans="1:4" x14ac:dyDescent="0.3">
      <c r="A194" s="2">
        <v>3707144</v>
      </c>
      <c r="B194" s="2">
        <v>4114930</v>
      </c>
      <c r="C194">
        <v>-407786</v>
      </c>
      <c r="D194" s="1" t="s">
        <v>196</v>
      </c>
    </row>
    <row r="195" spans="1:4" x14ac:dyDescent="0.3">
      <c r="A195" s="2">
        <v>1535100</v>
      </c>
      <c r="B195" s="2">
        <v>1535100</v>
      </c>
      <c r="C195">
        <v>0</v>
      </c>
      <c r="D195" s="1" t="s">
        <v>197</v>
      </c>
    </row>
    <row r="196" spans="1:4" x14ac:dyDescent="0.3">
      <c r="A196" s="2">
        <v>650450</v>
      </c>
      <c r="B196" s="2">
        <v>650450</v>
      </c>
      <c r="C196">
        <v>0</v>
      </c>
      <c r="D196" s="1" t="s">
        <v>198</v>
      </c>
    </row>
    <row r="197" spans="1:4" x14ac:dyDescent="0.3">
      <c r="A197" s="2">
        <v>1598400</v>
      </c>
      <c r="B197" s="2">
        <v>1598400</v>
      </c>
      <c r="C197">
        <v>0</v>
      </c>
      <c r="D197" s="1" t="s">
        <v>199</v>
      </c>
    </row>
    <row r="198" spans="1:4" x14ac:dyDescent="0.3">
      <c r="A198" s="2">
        <v>118400000</v>
      </c>
      <c r="B198" s="2">
        <v>59200000</v>
      </c>
      <c r="C198">
        <v>59200000</v>
      </c>
      <c r="D198" s="1" t="s">
        <v>200</v>
      </c>
    </row>
    <row r="199" spans="1:4" x14ac:dyDescent="0.3">
      <c r="A199" s="2">
        <v>31560000</v>
      </c>
      <c r="B199" s="2">
        <v>28025280</v>
      </c>
      <c r="C199">
        <v>3534720</v>
      </c>
      <c r="D199" s="1" t="s">
        <v>201</v>
      </c>
    </row>
    <row r="200" spans="1:4" x14ac:dyDescent="0.3">
      <c r="A200" s="2">
        <v>85000</v>
      </c>
      <c r="B200" s="2">
        <v>85000</v>
      </c>
      <c r="C200">
        <v>0</v>
      </c>
      <c r="D200" s="1" t="s">
        <v>202</v>
      </c>
    </row>
    <row r="201" spans="1:4" x14ac:dyDescent="0.3">
      <c r="A201" s="2">
        <v>5600000</v>
      </c>
      <c r="B201" s="2">
        <v>5600000</v>
      </c>
      <c r="C201">
        <v>0</v>
      </c>
      <c r="D201" s="1" t="s">
        <v>203</v>
      </c>
    </row>
    <row r="202" spans="1:4" x14ac:dyDescent="0.3">
      <c r="A202" s="2">
        <v>5243640</v>
      </c>
      <c r="B202" s="2">
        <v>5243640</v>
      </c>
      <c r="C202">
        <v>0</v>
      </c>
      <c r="D202" s="1" t="s">
        <v>204</v>
      </c>
    </row>
    <row r="203" spans="1:4" x14ac:dyDescent="0.3">
      <c r="A203" s="2">
        <v>1625250</v>
      </c>
      <c r="B203" s="2">
        <v>1625250</v>
      </c>
      <c r="C203">
        <v>0</v>
      </c>
      <c r="D203" s="1" t="s">
        <v>205</v>
      </c>
    </row>
    <row r="204" spans="1:4" x14ac:dyDescent="0.3">
      <c r="A204" s="2">
        <v>33863700</v>
      </c>
      <c r="B204" s="2">
        <v>33863700</v>
      </c>
      <c r="C204">
        <v>0</v>
      </c>
      <c r="D204" s="1" t="s">
        <v>206</v>
      </c>
    </row>
    <row r="205" spans="1:4" x14ac:dyDescent="0.3">
      <c r="A205" s="2">
        <v>20270377</v>
      </c>
      <c r="B205" s="2">
        <v>22500118</v>
      </c>
      <c r="C205">
        <v>-2229741</v>
      </c>
      <c r="D205" s="1" t="s">
        <v>207</v>
      </c>
    </row>
    <row r="206" spans="1:4" x14ac:dyDescent="0.3">
      <c r="A206" s="2">
        <v>96600000</v>
      </c>
      <c r="B206" s="2">
        <v>96600000</v>
      </c>
      <c r="C206">
        <v>0</v>
      </c>
      <c r="D206" s="1" t="s">
        <v>208</v>
      </c>
    </row>
    <row r="207" spans="1:4" x14ac:dyDescent="0.3">
      <c r="A207" s="2">
        <v>4729729.7300000004</v>
      </c>
      <c r="B207" s="2">
        <v>5250000</v>
      </c>
      <c r="C207">
        <v>-520270.27</v>
      </c>
      <c r="D207" s="1" t="s">
        <v>209</v>
      </c>
    </row>
    <row r="208" spans="1:4" x14ac:dyDescent="0.3">
      <c r="A208" s="2">
        <v>24604371</v>
      </c>
      <c r="B208" s="2">
        <v>24604371</v>
      </c>
      <c r="C208">
        <v>0</v>
      </c>
      <c r="D208" s="1" t="s">
        <v>210</v>
      </c>
    </row>
    <row r="209" spans="1:4" x14ac:dyDescent="0.3">
      <c r="A209" s="2">
        <v>26084223</v>
      </c>
      <c r="B209" s="2">
        <v>26084223</v>
      </c>
      <c r="C209">
        <v>0</v>
      </c>
      <c r="D209" s="1" t="s">
        <v>211</v>
      </c>
    </row>
    <row r="210" spans="1:4" x14ac:dyDescent="0.3">
      <c r="A210" s="2">
        <v>9806107.4100000001</v>
      </c>
      <c r="B210" s="2">
        <v>9806107</v>
      </c>
      <c r="C210">
        <v>0.41</v>
      </c>
      <c r="D210" s="1" t="s">
        <v>212</v>
      </c>
    </row>
    <row r="211" spans="1:4" x14ac:dyDescent="0.3">
      <c r="A211" s="2">
        <v>27065907</v>
      </c>
      <c r="B211" s="2">
        <v>27065907</v>
      </c>
      <c r="C211">
        <v>0</v>
      </c>
      <c r="D211" s="1" t="s">
        <v>213</v>
      </c>
    </row>
    <row r="212" spans="1:4" x14ac:dyDescent="0.3">
      <c r="A212" s="2">
        <v>10073506.41</v>
      </c>
      <c r="B212" s="2">
        <v>10073506</v>
      </c>
      <c r="C212">
        <v>0.41</v>
      </c>
      <c r="D212" s="1" t="s">
        <v>214</v>
      </c>
    </row>
    <row r="213" spans="1:4" x14ac:dyDescent="0.3">
      <c r="A213" s="2">
        <v>25593381</v>
      </c>
      <c r="B213" s="2">
        <v>25593381</v>
      </c>
      <c r="C213">
        <v>0</v>
      </c>
      <c r="D213" s="1" t="s">
        <v>215</v>
      </c>
    </row>
    <row r="214" spans="1:4" x14ac:dyDescent="0.3">
      <c r="A214" s="2">
        <v>27065907</v>
      </c>
      <c r="B214" s="2">
        <v>27065907</v>
      </c>
      <c r="C214">
        <v>0</v>
      </c>
      <c r="D214" s="1" t="s">
        <v>216</v>
      </c>
    </row>
    <row r="215" spans="1:4" x14ac:dyDescent="0.3">
      <c r="A215" s="2">
        <v>23200000</v>
      </c>
      <c r="B215" s="2">
        <v>25752000</v>
      </c>
      <c r="C215">
        <v>-2552000</v>
      </c>
      <c r="D215" s="1" t="s">
        <v>217</v>
      </c>
    </row>
    <row r="216" spans="1:4" x14ac:dyDescent="0.3">
      <c r="A216" s="2">
        <v>29523780</v>
      </c>
      <c r="B216" s="2">
        <v>29523780</v>
      </c>
      <c r="C216">
        <v>0</v>
      </c>
      <c r="D216" s="1" t="s">
        <v>218</v>
      </c>
    </row>
    <row r="217" spans="1:4" x14ac:dyDescent="0.3">
      <c r="A217" s="2">
        <v>27065907</v>
      </c>
      <c r="B217" s="2">
        <v>27065907</v>
      </c>
      <c r="C217">
        <v>0</v>
      </c>
      <c r="D217" s="1" t="s">
        <v>219</v>
      </c>
    </row>
    <row r="218" spans="1:4" x14ac:dyDescent="0.3">
      <c r="A218" s="2">
        <v>27065907</v>
      </c>
      <c r="B218" s="2">
        <v>27065907</v>
      </c>
      <c r="C218">
        <v>0</v>
      </c>
      <c r="D218" s="1" t="s">
        <v>220</v>
      </c>
    </row>
    <row r="219" spans="1:4" x14ac:dyDescent="0.3">
      <c r="A219" s="2">
        <v>27065907</v>
      </c>
      <c r="B219" s="2">
        <v>27065907</v>
      </c>
      <c r="C219">
        <v>0</v>
      </c>
      <c r="D219" s="1" t="s">
        <v>221</v>
      </c>
    </row>
    <row r="220" spans="1:4" x14ac:dyDescent="0.3">
      <c r="A220" s="2">
        <v>10735740.18</v>
      </c>
      <c r="B220" s="2">
        <v>10735740</v>
      </c>
      <c r="C220">
        <v>0.18</v>
      </c>
      <c r="D220" s="1" t="s">
        <v>222</v>
      </c>
    </row>
    <row r="221" spans="1:4" x14ac:dyDescent="0.3">
      <c r="A221" s="2">
        <v>27065907</v>
      </c>
      <c r="B221" s="2">
        <v>27065907</v>
      </c>
      <c r="C221">
        <v>0</v>
      </c>
      <c r="D221" s="1" t="s">
        <v>223</v>
      </c>
    </row>
    <row r="222" spans="1:4" x14ac:dyDescent="0.3">
      <c r="A222" s="2">
        <v>27065907</v>
      </c>
      <c r="B222" s="2">
        <v>27065907</v>
      </c>
      <c r="C222">
        <v>0</v>
      </c>
      <c r="D222" s="1" t="s">
        <v>224</v>
      </c>
    </row>
    <row r="223" spans="1:4" x14ac:dyDescent="0.3">
      <c r="A223" s="2">
        <v>10602040.68</v>
      </c>
      <c r="B223" s="2">
        <v>10602041</v>
      </c>
      <c r="C223">
        <v>-0.32</v>
      </c>
      <c r="D223" s="1" t="s">
        <v>225</v>
      </c>
    </row>
    <row r="224" spans="1:4" x14ac:dyDescent="0.3">
      <c r="A224" s="2">
        <v>27065907</v>
      </c>
      <c r="B224" s="2">
        <v>27065907</v>
      </c>
      <c r="C224">
        <v>0</v>
      </c>
      <c r="D224" s="1" t="s">
        <v>226</v>
      </c>
    </row>
    <row r="225" spans="1:4" x14ac:dyDescent="0.3">
      <c r="A225" s="2">
        <v>10602040.68</v>
      </c>
      <c r="B225" s="2">
        <v>10602041</v>
      </c>
      <c r="C225">
        <v>-0.32</v>
      </c>
      <c r="D225" s="1" t="s">
        <v>227</v>
      </c>
    </row>
    <row r="226" spans="1:4" x14ac:dyDescent="0.3">
      <c r="A226" s="2">
        <v>25589718</v>
      </c>
      <c r="B226" s="2">
        <v>25589718</v>
      </c>
      <c r="C226">
        <v>0</v>
      </c>
      <c r="D226" s="1" t="s">
        <v>228</v>
      </c>
    </row>
    <row r="227" spans="1:4" x14ac:dyDescent="0.3">
      <c r="A227" s="2">
        <v>24604371</v>
      </c>
      <c r="B227" s="2">
        <v>24604371</v>
      </c>
      <c r="C227">
        <v>0</v>
      </c>
      <c r="D227" s="1" t="s">
        <v>229</v>
      </c>
    </row>
    <row r="228" spans="1:4" x14ac:dyDescent="0.3">
      <c r="A228" s="2">
        <v>15501816</v>
      </c>
      <c r="B228" s="2">
        <v>15501816</v>
      </c>
      <c r="C228">
        <v>0</v>
      </c>
      <c r="D228" s="1" t="s">
        <v>230</v>
      </c>
    </row>
    <row r="229" spans="1:4" x14ac:dyDescent="0.3">
      <c r="A229" s="2">
        <v>12304017</v>
      </c>
      <c r="B229" s="2">
        <v>12304017</v>
      </c>
      <c r="C229">
        <v>0</v>
      </c>
      <c r="D229" s="1" t="s">
        <v>231</v>
      </c>
    </row>
    <row r="230" spans="1:4" x14ac:dyDescent="0.3">
      <c r="A230" s="2">
        <v>11926508.220000001</v>
      </c>
      <c r="B230" s="2">
        <v>11926508</v>
      </c>
      <c r="C230">
        <v>0.22</v>
      </c>
      <c r="D230" s="1" t="s">
        <v>232</v>
      </c>
    </row>
    <row r="231" spans="1:4" x14ac:dyDescent="0.3">
      <c r="A231" s="2">
        <v>27065907</v>
      </c>
      <c r="B231" s="2">
        <v>27065907</v>
      </c>
      <c r="C231">
        <v>0</v>
      </c>
      <c r="D231" s="1" t="s">
        <v>233</v>
      </c>
    </row>
    <row r="232" spans="1:4" x14ac:dyDescent="0.3">
      <c r="A232" s="2">
        <v>10869403.050000001</v>
      </c>
      <c r="B232" s="2">
        <v>10869403</v>
      </c>
      <c r="C232">
        <v>0.05</v>
      </c>
      <c r="D232" s="1" t="s">
        <v>234</v>
      </c>
    </row>
    <row r="233" spans="1:4" x14ac:dyDescent="0.3">
      <c r="A233" s="2">
        <v>29527443</v>
      </c>
      <c r="B233" s="2">
        <v>29527443</v>
      </c>
      <c r="C233">
        <v>0</v>
      </c>
      <c r="D233" s="1" t="s">
        <v>235</v>
      </c>
    </row>
    <row r="234" spans="1:4" x14ac:dyDescent="0.3">
      <c r="A234" s="2">
        <v>27065907</v>
      </c>
      <c r="B234" s="2">
        <v>27065907</v>
      </c>
      <c r="C234">
        <v>0</v>
      </c>
      <c r="D234" s="1" t="s">
        <v>236</v>
      </c>
    </row>
    <row r="235" spans="1:4" x14ac:dyDescent="0.3">
      <c r="A235" s="2">
        <v>27065907</v>
      </c>
      <c r="B235" s="2">
        <v>27065907</v>
      </c>
      <c r="C235">
        <v>0</v>
      </c>
      <c r="D235" s="1" t="s">
        <v>237</v>
      </c>
    </row>
    <row r="236" spans="1:4" x14ac:dyDescent="0.3">
      <c r="A236" s="2">
        <v>10067279.310000001</v>
      </c>
      <c r="B236" s="2">
        <v>10067279</v>
      </c>
      <c r="C236">
        <v>0.31</v>
      </c>
      <c r="D236" s="1" t="s">
        <v>238</v>
      </c>
    </row>
    <row r="237" spans="1:4" x14ac:dyDescent="0.3">
      <c r="A237" s="2">
        <v>25838802</v>
      </c>
      <c r="B237" s="2">
        <v>25838802</v>
      </c>
      <c r="C237">
        <v>0</v>
      </c>
      <c r="D237" s="1" t="s">
        <v>239</v>
      </c>
    </row>
    <row r="238" spans="1:4" x14ac:dyDescent="0.3">
      <c r="A238" s="2">
        <v>40250000</v>
      </c>
      <c r="B238" s="2">
        <v>44677500</v>
      </c>
      <c r="C238">
        <v>-4427500</v>
      </c>
      <c r="D238" s="1" t="s">
        <v>240</v>
      </c>
    </row>
    <row r="239" spans="1:4" x14ac:dyDescent="0.3">
      <c r="A239" s="2">
        <v>199500</v>
      </c>
      <c r="B239" s="2">
        <v>221445</v>
      </c>
      <c r="C239">
        <v>-21945</v>
      </c>
      <c r="D239" s="1" t="s">
        <v>241</v>
      </c>
    </row>
    <row r="240" spans="1:4" x14ac:dyDescent="0.3">
      <c r="A240" s="2">
        <v>660000</v>
      </c>
      <c r="B240" s="2">
        <v>710622</v>
      </c>
      <c r="C240">
        <v>-50622</v>
      </c>
      <c r="D240" s="1" t="s">
        <v>242</v>
      </c>
    </row>
    <row r="241" spans="1:4" x14ac:dyDescent="0.3">
      <c r="A241" s="2">
        <v>1230768</v>
      </c>
      <c r="B241" s="2">
        <v>1230768</v>
      </c>
      <c r="C241">
        <v>0</v>
      </c>
      <c r="D241" s="1" t="s">
        <v>243</v>
      </c>
    </row>
    <row r="242" spans="1:4" x14ac:dyDescent="0.3">
      <c r="A242" s="2">
        <v>5206730.5599999996</v>
      </c>
      <c r="B242" s="2">
        <v>5454934</v>
      </c>
      <c r="C242">
        <v>-248203.44</v>
      </c>
      <c r="D242" s="1" t="s">
        <v>244</v>
      </c>
    </row>
    <row r="243" spans="1:4" x14ac:dyDescent="0.3">
      <c r="A243" s="2">
        <v>4701678.9000000004</v>
      </c>
      <c r="B243" s="2">
        <v>4909854</v>
      </c>
      <c r="C243">
        <v>-208175.1</v>
      </c>
      <c r="D243" s="1" t="s">
        <v>245</v>
      </c>
    </row>
    <row r="244" spans="1:4" x14ac:dyDescent="0.3">
      <c r="A244" s="2">
        <v>4701678.9000000004</v>
      </c>
      <c r="B244" s="2">
        <v>53080064</v>
      </c>
      <c r="C244">
        <v>-48378385.100000001</v>
      </c>
      <c r="D244" s="1" t="s">
        <v>246</v>
      </c>
    </row>
    <row r="245" spans="1:4" x14ac:dyDescent="0.3">
      <c r="A245" s="2">
        <v>897313.5</v>
      </c>
      <c r="B245" s="2">
        <v>747013</v>
      </c>
      <c r="C245">
        <v>150300.5</v>
      </c>
      <c r="D245" s="1" t="s">
        <v>247</v>
      </c>
    </row>
    <row r="246" spans="1:4" x14ac:dyDescent="0.3">
      <c r="A246" s="2">
        <v>1539999</v>
      </c>
      <c r="B246" s="2">
        <v>1675211</v>
      </c>
      <c r="C246">
        <v>-135212</v>
      </c>
      <c r="D246" s="1" t="s">
        <v>248</v>
      </c>
    </row>
    <row r="247" spans="1:4" x14ac:dyDescent="0.3">
      <c r="A247" s="2">
        <v>4170000</v>
      </c>
      <c r="B247" s="2">
        <v>3976020</v>
      </c>
      <c r="C247">
        <v>193980</v>
      </c>
      <c r="D247" s="1" t="s">
        <v>249</v>
      </c>
    </row>
    <row r="248" spans="1:4" x14ac:dyDescent="0.3">
      <c r="A248" s="2">
        <v>4202955.5</v>
      </c>
      <c r="B248" s="2">
        <v>4012601</v>
      </c>
      <c r="C248">
        <v>190354.5</v>
      </c>
      <c r="D248" s="1" t="s">
        <v>250</v>
      </c>
    </row>
    <row r="249" spans="1:4" x14ac:dyDescent="0.3">
      <c r="A249" s="2">
        <v>598500</v>
      </c>
      <c r="B249" s="2">
        <v>531468</v>
      </c>
      <c r="C249">
        <v>67032</v>
      </c>
      <c r="D249" s="1" t="s">
        <v>251</v>
      </c>
    </row>
    <row r="250" spans="1:4" x14ac:dyDescent="0.3">
      <c r="A250" s="2">
        <v>719251</v>
      </c>
      <c r="B250" s="2">
        <v>798369</v>
      </c>
      <c r="C250">
        <v>-79118</v>
      </c>
      <c r="D250" s="1" t="s">
        <v>252</v>
      </c>
    </row>
    <row r="251" spans="1:4" x14ac:dyDescent="0.3">
      <c r="A251" s="2">
        <v>3867619.9</v>
      </c>
      <c r="B251" s="2">
        <v>4010060</v>
      </c>
      <c r="C251">
        <v>-142440.1</v>
      </c>
      <c r="D251" s="1" t="s">
        <v>253</v>
      </c>
    </row>
    <row r="252" spans="1:4" x14ac:dyDescent="0.3">
      <c r="A252" s="2">
        <v>5925512</v>
      </c>
      <c r="B252" s="2">
        <v>5969184</v>
      </c>
      <c r="C252">
        <v>-43672</v>
      </c>
      <c r="D252" s="1" t="s">
        <v>254</v>
      </c>
    </row>
    <row r="253" spans="1:4" x14ac:dyDescent="0.3">
      <c r="A253" s="2">
        <v>3867620.2</v>
      </c>
      <c r="B253" s="2">
        <v>4010146</v>
      </c>
      <c r="C253">
        <v>-142525.79999999999</v>
      </c>
      <c r="D253" s="1" t="s">
        <v>255</v>
      </c>
    </row>
    <row r="254" spans="1:4" x14ac:dyDescent="0.3">
      <c r="A254" s="2">
        <v>208057</v>
      </c>
      <c r="B254" s="2">
        <v>230943</v>
      </c>
      <c r="C254">
        <v>-22886</v>
      </c>
      <c r="D254" s="1" t="s">
        <v>256</v>
      </c>
    </row>
    <row r="255" spans="1:4" x14ac:dyDescent="0.3">
      <c r="A255" s="2">
        <v>200000</v>
      </c>
      <c r="B255" s="2">
        <v>222000</v>
      </c>
      <c r="C255">
        <v>-22000</v>
      </c>
      <c r="D255" s="1" t="s">
        <v>257</v>
      </c>
    </row>
    <row r="256" spans="1:4" x14ac:dyDescent="0.3">
      <c r="A256" s="2">
        <v>1306310</v>
      </c>
      <c r="B256" s="2">
        <v>1450004</v>
      </c>
      <c r="C256">
        <v>-143694</v>
      </c>
      <c r="D256" s="1" t="s">
        <v>258</v>
      </c>
    </row>
    <row r="257" spans="1:4" x14ac:dyDescent="0.3">
      <c r="A257" s="2">
        <v>478800</v>
      </c>
      <c r="B257" s="2">
        <v>531468</v>
      </c>
      <c r="C257">
        <v>-52668</v>
      </c>
      <c r="D257" s="1" t="s">
        <v>259</v>
      </c>
    </row>
    <row r="258" spans="1:4" x14ac:dyDescent="0.3">
      <c r="A258" s="2">
        <v>41445.120000000003</v>
      </c>
      <c r="B258" s="2">
        <v>46004</v>
      </c>
      <c r="C258">
        <v>-4558.88</v>
      </c>
      <c r="D258" s="1" t="s">
        <v>260</v>
      </c>
    </row>
    <row r="259" spans="1:4" x14ac:dyDescent="0.3">
      <c r="A259" s="2">
        <v>86918.92</v>
      </c>
      <c r="B259" s="2">
        <v>96480</v>
      </c>
      <c r="C259">
        <v>-9561.08</v>
      </c>
      <c r="D259" s="1" t="s">
        <v>261</v>
      </c>
    </row>
    <row r="260" spans="1:4" x14ac:dyDescent="0.3">
      <c r="A260" s="2">
        <v>121350</v>
      </c>
      <c r="B260" s="2">
        <v>114494</v>
      </c>
      <c r="C260">
        <v>6856</v>
      </c>
      <c r="D260" s="1" t="s">
        <v>262</v>
      </c>
    </row>
    <row r="261" spans="1:4" x14ac:dyDescent="0.3">
      <c r="A261" s="2">
        <v>400000</v>
      </c>
      <c r="B261" s="2">
        <v>444000</v>
      </c>
      <c r="C261">
        <v>-44000</v>
      </c>
      <c r="D261" s="1" t="s">
        <v>263</v>
      </c>
    </row>
    <row r="262" spans="1:4" x14ac:dyDescent="0.3">
      <c r="A262" s="2">
        <v>795600</v>
      </c>
      <c r="B262" s="2">
        <v>883116</v>
      </c>
      <c r="C262">
        <v>-87516</v>
      </c>
      <c r="D262" s="1" t="s">
        <v>264</v>
      </c>
    </row>
    <row r="263" spans="1:4" x14ac:dyDescent="0.3">
      <c r="A263" s="2">
        <v>659925</v>
      </c>
      <c r="B263" s="2">
        <v>714204</v>
      </c>
      <c r="C263">
        <v>-54279</v>
      </c>
      <c r="D263" s="1" t="s">
        <v>265</v>
      </c>
    </row>
    <row r="264" spans="1:4" x14ac:dyDescent="0.3">
      <c r="A264" s="2">
        <v>425249.6</v>
      </c>
      <c r="B264" s="2">
        <v>472027</v>
      </c>
      <c r="C264">
        <v>-46777.4</v>
      </c>
      <c r="D264" s="1" t="s">
        <v>266</v>
      </c>
    </row>
    <row r="265" spans="1:4" x14ac:dyDescent="0.3">
      <c r="A265" s="2">
        <v>1602501</v>
      </c>
      <c r="B265" s="2">
        <v>1633569</v>
      </c>
      <c r="C265">
        <v>-31068</v>
      </c>
      <c r="D265" s="1" t="s">
        <v>267</v>
      </c>
    </row>
    <row r="266" spans="1:4" x14ac:dyDescent="0.3">
      <c r="A266" s="2">
        <v>2752584.3</v>
      </c>
      <c r="B266" s="2">
        <v>2749832</v>
      </c>
      <c r="C266">
        <v>2752.3</v>
      </c>
      <c r="D266" s="1" t="s">
        <v>268</v>
      </c>
    </row>
    <row r="267" spans="1:4" x14ac:dyDescent="0.3">
      <c r="A267" s="2">
        <v>622700</v>
      </c>
      <c r="B267" s="2">
        <v>525751</v>
      </c>
      <c r="C267">
        <v>96949</v>
      </c>
      <c r="D267" s="1" t="s">
        <v>269</v>
      </c>
    </row>
    <row r="268" spans="1:4" x14ac:dyDescent="0.3">
      <c r="A268" s="2">
        <v>795600</v>
      </c>
      <c r="B268" s="2">
        <v>883116</v>
      </c>
      <c r="C268">
        <v>-87516</v>
      </c>
      <c r="D268" s="1" t="s">
        <v>270</v>
      </c>
    </row>
    <row r="269" spans="1:4" x14ac:dyDescent="0.3">
      <c r="A269" s="2">
        <v>1116000</v>
      </c>
      <c r="B269" s="2">
        <v>409534</v>
      </c>
      <c r="C269">
        <v>706466</v>
      </c>
      <c r="D269" s="1" t="s">
        <v>271</v>
      </c>
    </row>
    <row r="270" spans="1:4" x14ac:dyDescent="0.3">
      <c r="A270" s="2">
        <v>780000.6</v>
      </c>
      <c r="B270" s="2">
        <v>791431</v>
      </c>
      <c r="C270">
        <v>-11430.4</v>
      </c>
      <c r="D270" s="1" t="s">
        <v>272</v>
      </c>
    </row>
    <row r="271" spans="1:4" x14ac:dyDescent="0.3">
      <c r="A271" s="2">
        <v>719252</v>
      </c>
      <c r="B271" s="2">
        <v>798370</v>
      </c>
      <c r="C271">
        <v>-79118</v>
      </c>
      <c r="D271" s="1" t="s">
        <v>273</v>
      </c>
    </row>
    <row r="272" spans="1:4" x14ac:dyDescent="0.3">
      <c r="A272" s="2">
        <v>1303635.6000000001</v>
      </c>
      <c r="B272" s="2">
        <v>1447036</v>
      </c>
      <c r="C272">
        <v>-143400.4</v>
      </c>
      <c r="D272" s="1" t="s">
        <v>274</v>
      </c>
    </row>
    <row r="273" spans="1:4" x14ac:dyDescent="0.3">
      <c r="A273" s="2">
        <v>209250</v>
      </c>
      <c r="B273" s="2">
        <v>209041</v>
      </c>
      <c r="C273">
        <v>209</v>
      </c>
      <c r="D273" s="1" t="s">
        <v>275</v>
      </c>
    </row>
    <row r="274" spans="1:4" x14ac:dyDescent="0.3">
      <c r="A274" s="2">
        <v>2040003</v>
      </c>
      <c r="B274" s="2">
        <v>1585082</v>
      </c>
      <c r="C274">
        <v>454921</v>
      </c>
      <c r="D274" s="1" t="s">
        <v>276</v>
      </c>
    </row>
    <row r="275" spans="1:4" x14ac:dyDescent="0.3">
      <c r="A275" s="2">
        <v>185500</v>
      </c>
      <c r="B275" s="2">
        <v>205905</v>
      </c>
      <c r="C275">
        <v>-20405</v>
      </c>
      <c r="D275" s="1" t="s">
        <v>277</v>
      </c>
    </row>
    <row r="276" spans="1:4" x14ac:dyDescent="0.3">
      <c r="A276" s="2">
        <v>501749.6</v>
      </c>
      <c r="B276" s="2">
        <v>556942</v>
      </c>
      <c r="C276">
        <v>-55192.4</v>
      </c>
      <c r="D276" s="1" t="s">
        <v>278</v>
      </c>
    </row>
    <row r="277" spans="1:4" x14ac:dyDescent="0.3">
      <c r="A277" s="2">
        <v>811420</v>
      </c>
      <c r="B277" s="2">
        <v>765575</v>
      </c>
      <c r="C277">
        <v>45845</v>
      </c>
      <c r="D277" s="1" t="s">
        <v>279</v>
      </c>
    </row>
    <row r="278" spans="1:4" x14ac:dyDescent="0.3">
      <c r="A278" s="2">
        <v>668778</v>
      </c>
      <c r="B278" s="2">
        <v>671969</v>
      </c>
      <c r="C278">
        <v>-3191</v>
      </c>
      <c r="D278" s="1" t="s">
        <v>280</v>
      </c>
    </row>
    <row r="279" spans="1:4" x14ac:dyDescent="0.3">
      <c r="A279" s="2">
        <v>164500.20000000001</v>
      </c>
      <c r="B279" s="2">
        <v>182595</v>
      </c>
      <c r="C279">
        <v>-18094.8</v>
      </c>
      <c r="D279" s="1" t="s">
        <v>281</v>
      </c>
    </row>
    <row r="280" spans="1:4" x14ac:dyDescent="0.3">
      <c r="A280" s="2">
        <v>864276</v>
      </c>
      <c r="B280" s="2">
        <v>841267</v>
      </c>
      <c r="C280">
        <v>23009</v>
      </c>
      <c r="D280" s="1" t="s">
        <v>282</v>
      </c>
    </row>
    <row r="281" spans="1:4" x14ac:dyDescent="0.3">
      <c r="A281" s="2">
        <v>669000</v>
      </c>
      <c r="B281" s="2">
        <v>556943</v>
      </c>
      <c r="C281">
        <v>112057</v>
      </c>
      <c r="D281" s="1" t="s">
        <v>283</v>
      </c>
    </row>
    <row r="282" spans="1:4" x14ac:dyDescent="0.3">
      <c r="A282" s="2">
        <v>781560</v>
      </c>
      <c r="B282" s="2">
        <v>867532</v>
      </c>
      <c r="C282">
        <v>-85972</v>
      </c>
      <c r="D282" s="1" t="s">
        <v>284</v>
      </c>
    </row>
    <row r="283" spans="1:4" x14ac:dyDescent="0.3">
      <c r="A283" s="2">
        <v>150000</v>
      </c>
      <c r="B283" s="2">
        <v>141525</v>
      </c>
      <c r="C283">
        <v>8475</v>
      </c>
      <c r="D283" s="1" t="s">
        <v>285</v>
      </c>
    </row>
    <row r="284" spans="1:4" x14ac:dyDescent="0.3">
      <c r="A284" s="2">
        <v>2040003</v>
      </c>
      <c r="B284" s="2">
        <v>1585082</v>
      </c>
      <c r="C284">
        <v>454921</v>
      </c>
      <c r="D284" s="1" t="s">
        <v>286</v>
      </c>
    </row>
    <row r="285" spans="1:4" x14ac:dyDescent="0.3">
      <c r="A285" s="2">
        <v>3285400</v>
      </c>
      <c r="B285" s="2">
        <v>2861774</v>
      </c>
      <c r="C285">
        <v>423626</v>
      </c>
      <c r="D285" s="1" t="s">
        <v>287</v>
      </c>
    </row>
    <row r="286" spans="1:4" x14ac:dyDescent="0.3">
      <c r="A286" s="2">
        <v>300000</v>
      </c>
      <c r="B286" s="2">
        <v>266400</v>
      </c>
      <c r="C286">
        <v>33600</v>
      </c>
      <c r="D286" s="1" t="s">
        <v>288</v>
      </c>
    </row>
    <row r="287" spans="1:4" x14ac:dyDescent="0.3">
      <c r="A287" s="2">
        <v>1969800</v>
      </c>
      <c r="B287" s="2">
        <v>1701893</v>
      </c>
      <c r="C287">
        <v>267907</v>
      </c>
      <c r="D287" s="1" t="s">
        <v>289</v>
      </c>
    </row>
    <row r="288" spans="1:4" x14ac:dyDescent="0.3">
      <c r="A288" s="2">
        <v>227500</v>
      </c>
      <c r="B288" s="2">
        <v>208333</v>
      </c>
      <c r="C288">
        <v>19167</v>
      </c>
      <c r="D288" s="1" t="s">
        <v>290</v>
      </c>
    </row>
    <row r="289" spans="1:4" x14ac:dyDescent="0.3">
      <c r="A289" s="2">
        <v>1116000</v>
      </c>
      <c r="B289" s="2">
        <v>409534</v>
      </c>
      <c r="C289">
        <v>706466</v>
      </c>
      <c r="D289" s="1" t="s">
        <v>291</v>
      </c>
    </row>
    <row r="290" spans="1:4" x14ac:dyDescent="0.3">
      <c r="A290" s="2">
        <v>700000</v>
      </c>
      <c r="B290" s="2">
        <v>582750</v>
      </c>
      <c r="C290">
        <v>117250</v>
      </c>
      <c r="D290" s="1" t="s">
        <v>292</v>
      </c>
    </row>
    <row r="291" spans="1:4" x14ac:dyDescent="0.3">
      <c r="A291" s="2">
        <v>285104.53999999998</v>
      </c>
      <c r="B291" s="2">
        <v>284819</v>
      </c>
      <c r="C291">
        <v>285.54000000000002</v>
      </c>
      <c r="D291" s="1" t="s">
        <v>293</v>
      </c>
    </row>
    <row r="292" spans="1:4" x14ac:dyDescent="0.3">
      <c r="A292" s="2">
        <v>474999.9</v>
      </c>
      <c r="B292" s="2">
        <v>421800</v>
      </c>
      <c r="C292">
        <v>53199.9</v>
      </c>
      <c r="D292" s="1" t="s">
        <v>294</v>
      </c>
    </row>
    <row r="293" spans="1:4" x14ac:dyDescent="0.3">
      <c r="A293" s="2">
        <v>3920000</v>
      </c>
      <c r="B293" s="2">
        <v>3698520</v>
      </c>
      <c r="C293">
        <v>221480</v>
      </c>
      <c r="D293" s="1" t="s">
        <v>295</v>
      </c>
    </row>
    <row r="294" spans="1:4" x14ac:dyDescent="0.3">
      <c r="A294" s="2">
        <v>1584000</v>
      </c>
      <c r="B294" s="2">
        <v>1230768</v>
      </c>
      <c r="C294">
        <v>353232</v>
      </c>
      <c r="D294" s="1" t="s">
        <v>296</v>
      </c>
    </row>
    <row r="295" spans="1:4" x14ac:dyDescent="0.3">
      <c r="A295" s="2">
        <v>282955.5</v>
      </c>
      <c r="B295" s="2">
        <v>314080</v>
      </c>
      <c r="C295">
        <v>-31124.5</v>
      </c>
      <c r="D295" s="1" t="s">
        <v>297</v>
      </c>
    </row>
    <row r="296" spans="1:4" x14ac:dyDescent="0.3">
      <c r="A296" s="2">
        <v>1116000</v>
      </c>
      <c r="B296" s="2">
        <v>409534</v>
      </c>
      <c r="C296">
        <v>706466</v>
      </c>
      <c r="D296" s="1" t="s">
        <v>298</v>
      </c>
    </row>
    <row r="297" spans="1:4" x14ac:dyDescent="0.3">
      <c r="A297" s="2">
        <v>369747</v>
      </c>
      <c r="B297" s="2">
        <v>229876</v>
      </c>
      <c r="C297">
        <v>139871</v>
      </c>
      <c r="D297" s="1" t="s">
        <v>299</v>
      </c>
    </row>
    <row r="298" spans="1:4" x14ac:dyDescent="0.3">
      <c r="A298" s="2">
        <v>75540</v>
      </c>
      <c r="B298" s="2">
        <v>71272</v>
      </c>
      <c r="C298">
        <v>4268</v>
      </c>
      <c r="D298" s="1" t="s">
        <v>300</v>
      </c>
    </row>
    <row r="299" spans="1:4" x14ac:dyDescent="0.3">
      <c r="A299" s="2">
        <v>1636777.5</v>
      </c>
      <c r="B299" s="2">
        <v>1455857</v>
      </c>
      <c r="C299">
        <v>180920.5</v>
      </c>
      <c r="D299" s="1" t="s">
        <v>301</v>
      </c>
    </row>
    <row r="300" spans="1:4" x14ac:dyDescent="0.3">
      <c r="A300" s="2">
        <v>8345274</v>
      </c>
      <c r="B300" s="2">
        <v>8686177</v>
      </c>
      <c r="C300">
        <v>-340903</v>
      </c>
      <c r="D300" s="1" t="s">
        <v>302</v>
      </c>
    </row>
    <row r="301" spans="1:4" x14ac:dyDescent="0.3">
      <c r="A301" s="2">
        <v>1400600</v>
      </c>
      <c r="B301" s="2">
        <v>1287212</v>
      </c>
      <c r="C301">
        <v>113388</v>
      </c>
      <c r="D301" s="1" t="s">
        <v>303</v>
      </c>
    </row>
    <row r="302" spans="1:4" x14ac:dyDescent="0.3">
      <c r="A302" s="2">
        <v>478800</v>
      </c>
      <c r="B302" s="2">
        <v>531468</v>
      </c>
      <c r="C302">
        <v>-52668</v>
      </c>
      <c r="D302" s="1" t="s">
        <v>304</v>
      </c>
    </row>
    <row r="303" spans="1:4" x14ac:dyDescent="0.3">
      <c r="A303" s="2">
        <v>832500</v>
      </c>
      <c r="B303" s="2">
        <v>739260</v>
      </c>
      <c r="C303">
        <v>93240</v>
      </c>
      <c r="D303" s="1" t="s">
        <v>305</v>
      </c>
    </row>
    <row r="304" spans="1:4" x14ac:dyDescent="0.3">
      <c r="A304" s="2">
        <v>279000</v>
      </c>
      <c r="B304" s="2">
        <v>309690</v>
      </c>
      <c r="C304">
        <v>-30690</v>
      </c>
      <c r="D304" s="1" t="s">
        <v>306</v>
      </c>
    </row>
    <row r="305" spans="1:4" x14ac:dyDescent="0.3">
      <c r="A305" s="2">
        <v>200000</v>
      </c>
      <c r="B305" s="2">
        <v>222000</v>
      </c>
      <c r="C305">
        <v>-22000</v>
      </c>
      <c r="D305" s="1" t="s">
        <v>307</v>
      </c>
    </row>
    <row r="306" spans="1:4" x14ac:dyDescent="0.3">
      <c r="A306" s="2">
        <v>1108800</v>
      </c>
      <c r="B306" s="2">
        <v>1230768</v>
      </c>
      <c r="C306">
        <v>-121968</v>
      </c>
      <c r="D306" s="1" t="s">
        <v>308</v>
      </c>
    </row>
    <row r="307" spans="1:4" x14ac:dyDescent="0.3">
      <c r="A307" s="2">
        <v>506400</v>
      </c>
      <c r="B307" s="2">
        <v>421578</v>
      </c>
      <c r="C307">
        <v>84822</v>
      </c>
      <c r="D307" s="1" t="s">
        <v>309</v>
      </c>
    </row>
    <row r="308" spans="1:4" x14ac:dyDescent="0.3">
      <c r="A308" s="2">
        <v>221000</v>
      </c>
      <c r="B308" s="2">
        <v>183983</v>
      </c>
      <c r="C308">
        <v>37017</v>
      </c>
      <c r="D308" s="1" t="s">
        <v>310</v>
      </c>
    </row>
    <row r="309" spans="1:4" x14ac:dyDescent="0.3">
      <c r="A309" s="2">
        <v>719252</v>
      </c>
      <c r="B309" s="2">
        <v>798370</v>
      </c>
      <c r="C309">
        <v>-79118</v>
      </c>
      <c r="D309" s="1" t="s">
        <v>311</v>
      </c>
    </row>
    <row r="310" spans="1:4" x14ac:dyDescent="0.3">
      <c r="A310" s="2">
        <v>528000</v>
      </c>
      <c r="B310" s="2">
        <v>498168</v>
      </c>
      <c r="C310">
        <v>29832</v>
      </c>
      <c r="D310" s="1" t="s">
        <v>312</v>
      </c>
    </row>
    <row r="311" spans="1:4" x14ac:dyDescent="0.3">
      <c r="A311" s="2">
        <v>424000</v>
      </c>
      <c r="B311" s="2">
        <v>376512</v>
      </c>
      <c r="C311">
        <v>47488</v>
      </c>
      <c r="D311" s="1" t="s">
        <v>313</v>
      </c>
    </row>
    <row r="312" spans="1:4" x14ac:dyDescent="0.3">
      <c r="A312" s="2">
        <v>1215000</v>
      </c>
      <c r="B312" s="2">
        <v>1078920</v>
      </c>
      <c r="C312">
        <v>136080</v>
      </c>
      <c r="D312" s="1" t="s">
        <v>314</v>
      </c>
    </row>
    <row r="313" spans="1:4" x14ac:dyDescent="0.3">
      <c r="A313" s="2">
        <v>1980000</v>
      </c>
      <c r="B313" s="2">
        <v>2197800</v>
      </c>
      <c r="C313">
        <v>-217800</v>
      </c>
      <c r="D313" s="1" t="s">
        <v>315</v>
      </c>
    </row>
    <row r="314" spans="1:4" x14ac:dyDescent="0.3">
      <c r="A314" s="2">
        <v>348840</v>
      </c>
      <c r="B314" s="2">
        <v>298154</v>
      </c>
      <c r="C314">
        <v>50686</v>
      </c>
      <c r="D314" s="1" t="s">
        <v>316</v>
      </c>
    </row>
    <row r="315" spans="1:4" x14ac:dyDescent="0.3">
      <c r="A315" s="2">
        <v>1712800</v>
      </c>
      <c r="B315" s="2">
        <v>1491986</v>
      </c>
      <c r="C315">
        <v>220814</v>
      </c>
      <c r="D315" s="1" t="s">
        <v>317</v>
      </c>
    </row>
    <row r="316" spans="1:4" x14ac:dyDescent="0.3">
      <c r="A316" s="2">
        <v>786000</v>
      </c>
      <c r="B316" s="2">
        <v>594756</v>
      </c>
      <c r="C316">
        <v>191244</v>
      </c>
      <c r="D316" s="1" t="s">
        <v>318</v>
      </c>
    </row>
    <row r="317" spans="1:4" x14ac:dyDescent="0.3">
      <c r="A317" s="2">
        <v>3957000</v>
      </c>
      <c r="B317" s="2">
        <v>4200728</v>
      </c>
      <c r="C317">
        <v>-243728</v>
      </c>
      <c r="D317" s="1" t="s">
        <v>319</v>
      </c>
    </row>
    <row r="318" spans="1:4" x14ac:dyDescent="0.3">
      <c r="A318" s="2">
        <v>1227500</v>
      </c>
      <c r="B318" s="2">
        <v>1090020</v>
      </c>
      <c r="C318">
        <v>137480</v>
      </c>
      <c r="D318" s="1" t="s">
        <v>320</v>
      </c>
    </row>
    <row r="319" spans="1:4" x14ac:dyDescent="0.3">
      <c r="A319" s="2">
        <v>1472270.4</v>
      </c>
      <c r="B319" s="2">
        <v>1536167</v>
      </c>
      <c r="C319">
        <v>-63896.6</v>
      </c>
      <c r="D319" s="1" t="s">
        <v>321</v>
      </c>
    </row>
    <row r="320" spans="1:4" x14ac:dyDescent="0.3">
      <c r="A320" s="2">
        <v>1290140</v>
      </c>
      <c r="B320" s="2">
        <v>1309363</v>
      </c>
      <c r="C320">
        <v>-19223</v>
      </c>
      <c r="D320" s="1" t="s">
        <v>322</v>
      </c>
    </row>
    <row r="321" spans="1:4" x14ac:dyDescent="0.3">
      <c r="A321" s="2">
        <v>1320000</v>
      </c>
      <c r="B321" s="2">
        <v>1318680</v>
      </c>
      <c r="C321">
        <v>1320</v>
      </c>
      <c r="D321" s="1" t="s">
        <v>323</v>
      </c>
    </row>
    <row r="322" spans="1:4" x14ac:dyDescent="0.3">
      <c r="A322" s="2">
        <v>5355000</v>
      </c>
      <c r="B322" s="2">
        <v>3566430</v>
      </c>
      <c r="C322">
        <v>1788570</v>
      </c>
      <c r="D322" s="1" t="s">
        <v>324</v>
      </c>
    </row>
    <row r="323" spans="1:4" x14ac:dyDescent="0.3">
      <c r="A323" s="2">
        <v>5355000</v>
      </c>
      <c r="B323" s="2">
        <v>3518878</v>
      </c>
      <c r="C323">
        <v>1836122</v>
      </c>
      <c r="D323" s="1" t="s">
        <v>325</v>
      </c>
    </row>
    <row r="324" spans="1:4" x14ac:dyDescent="0.3">
      <c r="A324" s="2">
        <v>425000</v>
      </c>
      <c r="B324" s="2">
        <v>416250</v>
      </c>
      <c r="C324">
        <v>8750</v>
      </c>
      <c r="D324" s="1" t="s">
        <v>326</v>
      </c>
    </row>
    <row r="325" spans="1:4" x14ac:dyDescent="0.3">
      <c r="A325" s="2">
        <v>1192500</v>
      </c>
      <c r="B325" s="2">
        <v>1058940</v>
      </c>
      <c r="C325">
        <v>133560</v>
      </c>
      <c r="D325" s="1" t="s">
        <v>327</v>
      </c>
    </row>
    <row r="326" spans="1:4" x14ac:dyDescent="0.3">
      <c r="A326" s="2">
        <v>1705500</v>
      </c>
      <c r="B326" s="2">
        <v>1235129</v>
      </c>
      <c r="C326">
        <v>470371</v>
      </c>
      <c r="D326" s="1" t="s">
        <v>328</v>
      </c>
    </row>
    <row r="327" spans="1:4" x14ac:dyDescent="0.3">
      <c r="A327" s="2">
        <v>5460000</v>
      </c>
      <c r="B327" s="2">
        <v>6060600</v>
      </c>
      <c r="C327">
        <v>-600600</v>
      </c>
      <c r="D327" s="1" t="s">
        <v>329</v>
      </c>
    </row>
    <row r="328" spans="1:4" x14ac:dyDescent="0.3">
      <c r="A328" s="2">
        <v>2665884.9</v>
      </c>
      <c r="B328" s="2">
        <v>2135968</v>
      </c>
      <c r="C328">
        <v>529916.9</v>
      </c>
      <c r="D328" s="1" t="s">
        <v>330</v>
      </c>
    </row>
    <row r="329" spans="1:4" x14ac:dyDescent="0.3">
      <c r="A329" s="2">
        <v>1200000</v>
      </c>
      <c r="B329" s="2">
        <v>1198800</v>
      </c>
      <c r="C329">
        <v>1200</v>
      </c>
      <c r="D329" s="1" t="s">
        <v>331</v>
      </c>
    </row>
    <row r="330" spans="1:4" x14ac:dyDescent="0.3">
      <c r="A330" s="2">
        <v>5848562.2999999998</v>
      </c>
      <c r="B330" s="2">
        <v>5822704</v>
      </c>
      <c r="C330">
        <v>25858.3</v>
      </c>
      <c r="D330" s="1" t="s">
        <v>332</v>
      </c>
    </row>
    <row r="331" spans="1:4" x14ac:dyDescent="0.3">
      <c r="A331" s="2">
        <v>2870500</v>
      </c>
      <c r="B331" s="2">
        <v>2093902</v>
      </c>
      <c r="C331">
        <v>776598</v>
      </c>
      <c r="D331" s="1" t="s">
        <v>333</v>
      </c>
    </row>
    <row r="332" spans="1:4" x14ac:dyDescent="0.3">
      <c r="A332" s="2">
        <v>3863600</v>
      </c>
      <c r="B332" s="2">
        <v>3193184</v>
      </c>
      <c r="C332">
        <v>670416</v>
      </c>
      <c r="D332" s="1" t="s">
        <v>334</v>
      </c>
    </row>
    <row r="333" spans="1:4" x14ac:dyDescent="0.3">
      <c r="A333" s="2">
        <v>1905702.5</v>
      </c>
      <c r="B333" s="2">
        <v>1798030</v>
      </c>
      <c r="C333">
        <v>107672.5</v>
      </c>
      <c r="D333" s="1" t="s">
        <v>335</v>
      </c>
    </row>
    <row r="334" spans="1:4" x14ac:dyDescent="0.3">
      <c r="A334" s="2">
        <v>1520152</v>
      </c>
      <c r="B334" s="2">
        <v>1392079</v>
      </c>
      <c r="C334">
        <v>128073</v>
      </c>
      <c r="D334" s="1" t="s">
        <v>336</v>
      </c>
    </row>
    <row r="335" spans="1:4" x14ac:dyDescent="0.3">
      <c r="A335" s="2">
        <v>2259390</v>
      </c>
      <c r="B335" s="2">
        <v>2307861</v>
      </c>
      <c r="C335">
        <v>-48471</v>
      </c>
      <c r="D335" s="1" t="s">
        <v>337</v>
      </c>
    </row>
    <row r="336" spans="1:4" x14ac:dyDescent="0.3">
      <c r="A336" s="2">
        <v>6049538.7000000002</v>
      </c>
      <c r="B336" s="2">
        <v>6237325</v>
      </c>
      <c r="C336">
        <v>-187786.3</v>
      </c>
      <c r="D336" s="1" t="s">
        <v>338</v>
      </c>
    </row>
    <row r="337" spans="1:4" x14ac:dyDescent="0.3">
      <c r="A337" s="2">
        <v>16860309.34</v>
      </c>
      <c r="B337" s="2">
        <v>17527998</v>
      </c>
      <c r="C337">
        <v>-667688.66</v>
      </c>
      <c r="D337" s="1" t="s">
        <v>339</v>
      </c>
    </row>
    <row r="338" spans="1:4" x14ac:dyDescent="0.3">
      <c r="A338" s="2">
        <v>1925795</v>
      </c>
      <c r="B338" s="2">
        <v>1909975</v>
      </c>
      <c r="C338">
        <v>15820</v>
      </c>
      <c r="D338" s="1" t="s">
        <v>340</v>
      </c>
    </row>
    <row r="339" spans="1:4" x14ac:dyDescent="0.3">
      <c r="A339" s="2">
        <v>12820500</v>
      </c>
      <c r="B339" s="2">
        <v>14230755</v>
      </c>
      <c r="C339">
        <v>-1410255</v>
      </c>
      <c r="D339" s="1" t="s">
        <v>341</v>
      </c>
    </row>
    <row r="340" spans="1:4" x14ac:dyDescent="0.3">
      <c r="A340" s="2">
        <v>1974452</v>
      </c>
      <c r="B340" s="2">
        <v>1765220</v>
      </c>
      <c r="C340">
        <v>209232</v>
      </c>
      <c r="D340" s="1" t="s">
        <v>342</v>
      </c>
    </row>
    <row r="341" spans="1:4" x14ac:dyDescent="0.3">
      <c r="A341" s="2">
        <v>829999.8</v>
      </c>
      <c r="B341" s="2">
        <v>783105</v>
      </c>
      <c r="C341">
        <v>46894.8</v>
      </c>
      <c r="D341" s="1" t="s">
        <v>343</v>
      </c>
    </row>
    <row r="342" spans="1:4" x14ac:dyDescent="0.3">
      <c r="A342" s="2">
        <v>348840</v>
      </c>
      <c r="B342" s="2">
        <v>298154</v>
      </c>
      <c r="C342">
        <v>50686</v>
      </c>
      <c r="D342" s="1" t="s">
        <v>344</v>
      </c>
    </row>
    <row r="343" spans="1:4" x14ac:dyDescent="0.3">
      <c r="A343" s="2">
        <v>3404000</v>
      </c>
      <c r="B343" s="2">
        <v>3248304</v>
      </c>
      <c r="C343">
        <v>155696</v>
      </c>
      <c r="D343" s="1" t="s">
        <v>345</v>
      </c>
    </row>
    <row r="344" spans="1:4" x14ac:dyDescent="0.3">
      <c r="A344" s="2">
        <v>595000.6</v>
      </c>
      <c r="B344" s="2">
        <v>613553</v>
      </c>
      <c r="C344">
        <v>-18552.400000000001</v>
      </c>
      <c r="D344" s="1" t="s">
        <v>346</v>
      </c>
    </row>
    <row r="345" spans="1:4" x14ac:dyDescent="0.3">
      <c r="A345" s="2">
        <v>4988825</v>
      </c>
      <c r="B345" s="2">
        <v>4237563</v>
      </c>
      <c r="C345">
        <v>751262</v>
      </c>
      <c r="D345" s="1" t="s">
        <v>347</v>
      </c>
    </row>
    <row r="346" spans="1:4" x14ac:dyDescent="0.3">
      <c r="A346" s="2">
        <v>829700</v>
      </c>
      <c r="B346" s="2">
        <v>848323</v>
      </c>
      <c r="C346">
        <v>-18623</v>
      </c>
      <c r="D346" s="1" t="s">
        <v>348</v>
      </c>
    </row>
    <row r="347" spans="1:4" x14ac:dyDescent="0.3">
      <c r="A347" s="2">
        <v>480000</v>
      </c>
      <c r="B347" s="2">
        <v>452880</v>
      </c>
      <c r="C347">
        <v>27120</v>
      </c>
      <c r="D347" s="1" t="s">
        <v>349</v>
      </c>
    </row>
    <row r="348" spans="1:4" x14ac:dyDescent="0.3">
      <c r="A348" s="2">
        <v>2013999.8</v>
      </c>
      <c r="B348" s="2">
        <v>1702074</v>
      </c>
      <c r="C348">
        <v>311925.8</v>
      </c>
      <c r="D348" s="1" t="s">
        <v>350</v>
      </c>
    </row>
    <row r="349" spans="1:4" x14ac:dyDescent="0.3">
      <c r="A349" s="2">
        <v>1200000</v>
      </c>
      <c r="B349" s="2">
        <v>930935</v>
      </c>
      <c r="C349">
        <v>269065</v>
      </c>
      <c r="D349" s="1" t="s">
        <v>351</v>
      </c>
    </row>
    <row r="350" spans="1:4" x14ac:dyDescent="0.3">
      <c r="A350" s="2">
        <v>1260000</v>
      </c>
      <c r="B350" s="2">
        <v>1118880</v>
      </c>
      <c r="C350">
        <v>141120</v>
      </c>
      <c r="D350" s="1" t="s">
        <v>352</v>
      </c>
    </row>
    <row r="351" spans="1:4" x14ac:dyDescent="0.3">
      <c r="A351" s="2">
        <v>1236000</v>
      </c>
      <c r="B351" s="2">
        <v>1028970</v>
      </c>
      <c r="C351">
        <v>207030</v>
      </c>
      <c r="D351" s="1" t="s">
        <v>353</v>
      </c>
    </row>
    <row r="352" spans="1:4" x14ac:dyDescent="0.3">
      <c r="A352" s="2">
        <v>1203266</v>
      </c>
      <c r="B352" s="2">
        <v>1223143</v>
      </c>
      <c r="C352">
        <v>-19877</v>
      </c>
      <c r="D352" s="1" t="s">
        <v>354</v>
      </c>
    </row>
    <row r="353" spans="1:4" x14ac:dyDescent="0.3">
      <c r="A353" s="2">
        <v>820000</v>
      </c>
      <c r="B353" s="2">
        <v>705405</v>
      </c>
      <c r="C353">
        <v>114595</v>
      </c>
      <c r="D353" s="1" t="s">
        <v>355</v>
      </c>
    </row>
    <row r="354" spans="1:4" x14ac:dyDescent="0.3">
      <c r="A354" s="2">
        <v>26700</v>
      </c>
      <c r="B354" s="2">
        <v>29637</v>
      </c>
      <c r="C354">
        <v>-2937</v>
      </c>
      <c r="D354" s="1" t="s">
        <v>356</v>
      </c>
    </row>
    <row r="355" spans="1:4" x14ac:dyDescent="0.3">
      <c r="A355" s="2">
        <v>1104000</v>
      </c>
      <c r="B355" s="2">
        <v>560328</v>
      </c>
      <c r="C355">
        <v>543672</v>
      </c>
      <c r="D355" s="1" t="s">
        <v>357</v>
      </c>
    </row>
    <row r="356" spans="1:4" x14ac:dyDescent="0.3">
      <c r="A356" s="2">
        <v>1520000</v>
      </c>
      <c r="B356" s="2">
        <v>1287467</v>
      </c>
      <c r="C356">
        <v>232533</v>
      </c>
      <c r="D356" s="1" t="s">
        <v>358</v>
      </c>
    </row>
    <row r="357" spans="1:4" x14ac:dyDescent="0.3">
      <c r="A357" s="2">
        <v>319500</v>
      </c>
      <c r="B357" s="2">
        <v>265984</v>
      </c>
      <c r="C357">
        <v>53516</v>
      </c>
      <c r="D357" s="1" t="s">
        <v>359</v>
      </c>
    </row>
    <row r="358" spans="1:4" x14ac:dyDescent="0.3">
      <c r="A358" s="2">
        <v>520000</v>
      </c>
      <c r="B358" s="2">
        <v>371717</v>
      </c>
      <c r="C358">
        <v>148283</v>
      </c>
      <c r="D358" s="1" t="s">
        <v>360</v>
      </c>
    </row>
    <row r="359" spans="1:4" x14ac:dyDescent="0.3">
      <c r="A359" s="2">
        <v>173520</v>
      </c>
      <c r="B359" s="2">
        <v>173520</v>
      </c>
      <c r="C359">
        <v>0</v>
      </c>
      <c r="D359" s="1" t="s">
        <v>361</v>
      </c>
    </row>
    <row r="360" spans="1:4" x14ac:dyDescent="0.3">
      <c r="A360" s="2">
        <v>680000.6</v>
      </c>
      <c r="B360" s="2">
        <v>667110</v>
      </c>
      <c r="C360">
        <v>12890.6</v>
      </c>
      <c r="D360" s="1" t="s">
        <v>362</v>
      </c>
    </row>
    <row r="361" spans="1:4" x14ac:dyDescent="0.3">
      <c r="A361" s="2">
        <v>332938.2</v>
      </c>
      <c r="B361" s="2">
        <v>369561</v>
      </c>
      <c r="C361">
        <v>-36622.800000000003</v>
      </c>
      <c r="D361" s="1" t="s">
        <v>363</v>
      </c>
    </row>
    <row r="362" spans="1:4" x14ac:dyDescent="0.3">
      <c r="A362" s="2">
        <v>100000</v>
      </c>
      <c r="B362" s="2">
        <v>111000</v>
      </c>
      <c r="C362">
        <v>-11000</v>
      </c>
      <c r="D362" s="1" t="s">
        <v>364</v>
      </c>
    </row>
    <row r="363" spans="1:4" x14ac:dyDescent="0.3">
      <c r="A363" s="2">
        <v>4520952.0999999996</v>
      </c>
      <c r="B363" s="2">
        <v>4277132</v>
      </c>
      <c r="C363">
        <v>243820.1</v>
      </c>
      <c r="D363" s="1" t="s">
        <v>365</v>
      </c>
    </row>
    <row r="364" spans="1:4" x14ac:dyDescent="0.3">
      <c r="A364" s="2">
        <v>3396406</v>
      </c>
      <c r="B364" s="2">
        <v>3770011</v>
      </c>
      <c r="C364">
        <v>-373605</v>
      </c>
      <c r="D364" s="1" t="s">
        <v>366</v>
      </c>
    </row>
    <row r="365" spans="1:4" x14ac:dyDescent="0.3">
      <c r="A365" s="2">
        <v>527270</v>
      </c>
      <c r="B365" s="2">
        <v>556006</v>
      </c>
      <c r="C365">
        <v>-28736</v>
      </c>
      <c r="D365" s="1" t="s">
        <v>367</v>
      </c>
    </row>
    <row r="366" spans="1:4" x14ac:dyDescent="0.3">
      <c r="A366" s="2">
        <v>282955.5</v>
      </c>
      <c r="B366" s="2">
        <v>314081</v>
      </c>
      <c r="C366">
        <v>-31125.5</v>
      </c>
      <c r="D366" s="1" t="s">
        <v>368</v>
      </c>
    </row>
    <row r="367" spans="1:4" x14ac:dyDescent="0.3">
      <c r="A367" s="2">
        <v>720000</v>
      </c>
      <c r="B367" s="2">
        <v>559440</v>
      </c>
      <c r="C367">
        <v>160560</v>
      </c>
      <c r="D367" s="1" t="s">
        <v>369</v>
      </c>
    </row>
    <row r="368" spans="1:4" x14ac:dyDescent="0.3">
      <c r="A368" s="2">
        <v>219999.6</v>
      </c>
      <c r="B368" s="2">
        <v>231990</v>
      </c>
      <c r="C368">
        <v>-11990.4</v>
      </c>
      <c r="D368" s="1" t="s">
        <v>370</v>
      </c>
    </row>
    <row r="369" spans="1:4" x14ac:dyDescent="0.3">
      <c r="A369" s="2">
        <v>524999.69999999995</v>
      </c>
      <c r="B369" s="2">
        <v>524475</v>
      </c>
      <c r="C369">
        <v>524.70000000000005</v>
      </c>
      <c r="D369" s="1" t="s">
        <v>371</v>
      </c>
    </row>
    <row r="370" spans="1:4" x14ac:dyDescent="0.3">
      <c r="A370" s="2">
        <v>1860000</v>
      </c>
      <c r="B370" s="2">
        <v>682763</v>
      </c>
      <c r="C370">
        <v>1177237</v>
      </c>
      <c r="D370" s="1" t="s">
        <v>372</v>
      </c>
    </row>
    <row r="371" spans="1:4" x14ac:dyDescent="0.3">
      <c r="A371" s="2">
        <v>1540000.8</v>
      </c>
      <c r="B371" s="2">
        <v>1675213</v>
      </c>
      <c r="C371">
        <v>-135212.20000000001</v>
      </c>
      <c r="D371" s="1" t="s">
        <v>373</v>
      </c>
    </row>
    <row r="372" spans="1:4" x14ac:dyDescent="0.3">
      <c r="A372" s="2">
        <v>190000</v>
      </c>
      <c r="B372" s="2">
        <v>200355</v>
      </c>
      <c r="C372">
        <v>-10355</v>
      </c>
      <c r="D372" s="1" t="s">
        <v>374</v>
      </c>
    </row>
    <row r="373" spans="1:4" x14ac:dyDescent="0.3">
      <c r="A373" s="2">
        <v>450000</v>
      </c>
      <c r="B373" s="2">
        <v>119880</v>
      </c>
      <c r="C373">
        <v>330120</v>
      </c>
      <c r="D373" s="1" t="s">
        <v>375</v>
      </c>
    </row>
    <row r="374" spans="1:4" x14ac:dyDescent="0.3">
      <c r="A374" s="2">
        <v>92184</v>
      </c>
      <c r="B374" s="2">
        <v>102324</v>
      </c>
      <c r="C374">
        <v>-10140</v>
      </c>
      <c r="D374" s="1" t="s">
        <v>376</v>
      </c>
    </row>
    <row r="375" spans="1:4" x14ac:dyDescent="0.3">
      <c r="A375" s="2">
        <v>550000</v>
      </c>
      <c r="B375" s="2">
        <v>414713</v>
      </c>
      <c r="C375">
        <v>135287</v>
      </c>
      <c r="D375" s="1" t="s">
        <v>377</v>
      </c>
    </row>
    <row r="376" spans="1:4" x14ac:dyDescent="0.3">
      <c r="A376" s="2">
        <v>4826256</v>
      </c>
      <c r="B376" s="2">
        <v>4870824</v>
      </c>
      <c r="C376">
        <v>-44568</v>
      </c>
      <c r="D376" s="1" t="s">
        <v>378</v>
      </c>
    </row>
    <row r="377" spans="1:4" x14ac:dyDescent="0.3">
      <c r="A377" s="2">
        <v>291000</v>
      </c>
      <c r="B377" s="2">
        <v>274559</v>
      </c>
      <c r="C377">
        <v>16441</v>
      </c>
      <c r="D377" s="1" t="s">
        <v>379</v>
      </c>
    </row>
    <row r="378" spans="1:4" x14ac:dyDescent="0.3">
      <c r="A378" s="2">
        <v>2193021.7999999998</v>
      </c>
      <c r="B378" s="2">
        <v>2190828</v>
      </c>
      <c r="C378">
        <v>2193.8000000000002</v>
      </c>
      <c r="D378" s="1" t="s">
        <v>380</v>
      </c>
    </row>
    <row r="379" spans="1:4" x14ac:dyDescent="0.3">
      <c r="A379" s="2">
        <v>5260780.5</v>
      </c>
      <c r="B379" s="2">
        <v>4271708</v>
      </c>
      <c r="C379">
        <v>989072.5</v>
      </c>
      <c r="D379" s="1" t="s">
        <v>381</v>
      </c>
    </row>
    <row r="380" spans="1:4" x14ac:dyDescent="0.3">
      <c r="A380" s="2">
        <v>690000</v>
      </c>
      <c r="B380" s="2">
        <v>727605</v>
      </c>
      <c r="C380">
        <v>-37605</v>
      </c>
      <c r="D380" s="1" t="s">
        <v>382</v>
      </c>
    </row>
    <row r="381" spans="1:4" x14ac:dyDescent="0.3">
      <c r="A381" s="2">
        <v>1000050</v>
      </c>
      <c r="B381" s="2">
        <v>890802</v>
      </c>
      <c r="C381">
        <v>109248</v>
      </c>
      <c r="D381" s="1" t="s">
        <v>383</v>
      </c>
    </row>
    <row r="382" spans="1:4" x14ac:dyDescent="0.3">
      <c r="A382" s="2">
        <v>8232000</v>
      </c>
      <c r="B382" s="2">
        <v>7766892</v>
      </c>
      <c r="C382">
        <v>465108</v>
      </c>
      <c r="D382" s="1" t="s">
        <v>384</v>
      </c>
    </row>
    <row r="383" spans="1:4" x14ac:dyDescent="0.3">
      <c r="A383" s="2">
        <v>1206972</v>
      </c>
      <c r="B383" s="2">
        <v>1205765</v>
      </c>
      <c r="C383">
        <v>1207</v>
      </c>
      <c r="D383" s="1" t="s">
        <v>385</v>
      </c>
    </row>
    <row r="384" spans="1:4" x14ac:dyDescent="0.3">
      <c r="A384" s="2">
        <v>529999.96</v>
      </c>
      <c r="B384" s="2">
        <v>411810</v>
      </c>
      <c r="C384">
        <v>118189.96</v>
      </c>
      <c r="D384" s="1" t="s">
        <v>386</v>
      </c>
    </row>
    <row r="385" spans="1:4" x14ac:dyDescent="0.3">
      <c r="A385" s="2">
        <v>4701677.4000000004</v>
      </c>
      <c r="B385" s="2">
        <v>4909855</v>
      </c>
      <c r="C385">
        <v>-208177.6</v>
      </c>
      <c r="D385" s="1" t="s">
        <v>387</v>
      </c>
    </row>
    <row r="386" spans="1:4" x14ac:dyDescent="0.3">
      <c r="A386" s="2">
        <v>598500</v>
      </c>
      <c r="B386" s="2">
        <v>531468</v>
      </c>
      <c r="C386">
        <v>67032</v>
      </c>
      <c r="D386" s="1" t="s">
        <v>388</v>
      </c>
    </row>
    <row r="387" spans="1:4" x14ac:dyDescent="0.3">
      <c r="A387" s="2">
        <v>478800</v>
      </c>
      <c r="B387" s="2">
        <v>531468</v>
      </c>
      <c r="C387">
        <v>-52668</v>
      </c>
      <c r="D387" s="1" t="s">
        <v>389</v>
      </c>
    </row>
    <row r="388" spans="1:4" x14ac:dyDescent="0.3">
      <c r="A388" s="2">
        <v>450000</v>
      </c>
      <c r="B388" s="2">
        <v>119880</v>
      </c>
      <c r="C388">
        <v>330120</v>
      </c>
      <c r="D388" s="1" t="s">
        <v>390</v>
      </c>
    </row>
    <row r="389" spans="1:4" x14ac:dyDescent="0.3">
      <c r="A389" s="2">
        <v>1328400</v>
      </c>
      <c r="B389" s="2">
        <v>1186107</v>
      </c>
      <c r="C389">
        <v>142293</v>
      </c>
      <c r="D389" s="1" t="s">
        <v>391</v>
      </c>
    </row>
    <row r="390" spans="1:4" x14ac:dyDescent="0.3">
      <c r="A390" s="2">
        <v>2040003</v>
      </c>
      <c r="B390" s="2">
        <v>1585082</v>
      </c>
      <c r="C390">
        <v>454921</v>
      </c>
      <c r="D390" s="1" t="s">
        <v>392</v>
      </c>
    </row>
    <row r="391" spans="1:4" x14ac:dyDescent="0.3">
      <c r="A391" s="2">
        <v>1980000</v>
      </c>
      <c r="B391" s="2">
        <v>2131866</v>
      </c>
      <c r="C391">
        <v>-151866</v>
      </c>
      <c r="D391" s="1" t="s">
        <v>393</v>
      </c>
    </row>
    <row r="392" spans="1:4" x14ac:dyDescent="0.3">
      <c r="A392" s="2">
        <v>400000</v>
      </c>
      <c r="B392" s="2">
        <v>355200</v>
      </c>
      <c r="C392">
        <v>44800</v>
      </c>
      <c r="D392" s="1" t="s">
        <v>394</v>
      </c>
    </row>
    <row r="393" spans="1:4" x14ac:dyDescent="0.3">
      <c r="A393" s="2">
        <v>127050</v>
      </c>
      <c r="B393" s="2">
        <v>119872</v>
      </c>
      <c r="C393">
        <v>7178</v>
      </c>
      <c r="D393" s="1" t="s">
        <v>395</v>
      </c>
    </row>
    <row r="394" spans="1:4" x14ac:dyDescent="0.3">
      <c r="A394" s="2">
        <v>45999.9</v>
      </c>
      <c r="B394" s="2">
        <v>46000</v>
      </c>
      <c r="C394">
        <v>-0.1</v>
      </c>
      <c r="D394" s="1" t="s">
        <v>396</v>
      </c>
    </row>
    <row r="395" spans="1:4" x14ac:dyDescent="0.3">
      <c r="A395" s="2">
        <v>19060</v>
      </c>
      <c r="B395" s="2">
        <v>19060</v>
      </c>
      <c r="C395">
        <v>0</v>
      </c>
      <c r="D395" s="1" t="s">
        <v>397</v>
      </c>
    </row>
    <row r="396" spans="1:4" x14ac:dyDescent="0.3">
      <c r="A396" s="2">
        <v>1360000</v>
      </c>
      <c r="B396" s="2">
        <v>700002</v>
      </c>
      <c r="C396">
        <v>659998</v>
      </c>
      <c r="D396" s="1" t="s">
        <v>398</v>
      </c>
    </row>
    <row r="397" spans="1:4" x14ac:dyDescent="0.3">
      <c r="A397" s="2">
        <v>200000</v>
      </c>
      <c r="B397" s="2">
        <v>200000</v>
      </c>
      <c r="C397">
        <v>0</v>
      </c>
      <c r="D397" s="1" t="s">
        <v>399</v>
      </c>
    </row>
    <row r="398" spans="1:4" x14ac:dyDescent="0.3">
      <c r="A398" s="2">
        <v>6800000</v>
      </c>
      <c r="B398" s="2">
        <v>3500008</v>
      </c>
      <c r="C398">
        <v>3299992</v>
      </c>
      <c r="D398" s="1" t="s">
        <v>400</v>
      </c>
    </row>
    <row r="399" spans="1:4" x14ac:dyDescent="0.3">
      <c r="A399" s="2">
        <v>2530000</v>
      </c>
      <c r="B399" s="2">
        <v>2597678</v>
      </c>
      <c r="C399">
        <v>-67678</v>
      </c>
      <c r="D399" s="1" t="s">
        <v>401</v>
      </c>
    </row>
    <row r="400" spans="1:4" x14ac:dyDescent="0.3">
      <c r="A400" s="2">
        <v>0</v>
      </c>
      <c r="B400" s="2">
        <v>0</v>
      </c>
      <c r="C400">
        <v>0</v>
      </c>
      <c r="D400" s="1" t="s">
        <v>402</v>
      </c>
    </row>
    <row r="401" spans="1:4" x14ac:dyDescent="0.3">
      <c r="A401" s="2">
        <v>1356815</v>
      </c>
      <c r="B401" s="2">
        <v>1356815</v>
      </c>
      <c r="C401">
        <v>0</v>
      </c>
      <c r="D401" s="1" t="s">
        <v>403</v>
      </c>
    </row>
    <row r="402" spans="1:4" x14ac:dyDescent="0.3">
      <c r="A402" s="2">
        <v>3500000</v>
      </c>
      <c r="B402" s="2">
        <v>1249805</v>
      </c>
      <c r="C402">
        <v>2250195</v>
      </c>
      <c r="D402" s="1" t="s">
        <v>404</v>
      </c>
    </row>
    <row r="403" spans="1:4" x14ac:dyDescent="0.3">
      <c r="A403" s="2">
        <v>33863700</v>
      </c>
      <c r="B403" s="2">
        <v>33863700</v>
      </c>
      <c r="C403">
        <v>0</v>
      </c>
      <c r="D403" s="1" t="s">
        <v>405</v>
      </c>
    </row>
    <row r="404" spans="1:4" x14ac:dyDescent="0.3">
      <c r="A404" s="2">
        <v>24145436</v>
      </c>
      <c r="B404" s="2">
        <v>26801434</v>
      </c>
      <c r="C404">
        <v>-2655998</v>
      </c>
      <c r="D404" s="1" t="s">
        <v>406</v>
      </c>
    </row>
    <row r="405" spans="1:4" x14ac:dyDescent="0.3">
      <c r="A405" s="2">
        <v>24145436.039999999</v>
      </c>
      <c r="B405" s="2">
        <v>26801434</v>
      </c>
      <c r="C405">
        <v>-2655997.96</v>
      </c>
      <c r="D405" s="1" t="s">
        <v>407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1"/>
  <sheetViews>
    <sheetView showGridLines="0" tabSelected="1" workbookViewId="0">
      <selection activeCell="B2" sqref="B2"/>
    </sheetView>
  </sheetViews>
  <sheetFormatPr defaultRowHeight="14.4" x14ac:dyDescent="0.3"/>
  <cols>
    <col min="1" max="1" width="3.21875" customWidth="1"/>
    <col min="2" max="2" width="2.88671875" bestFit="1" customWidth="1"/>
    <col min="3" max="3" width="40.33203125" customWidth="1"/>
    <col min="4" max="4" width="8.33203125" bestFit="1" customWidth="1"/>
    <col min="5" max="5" width="10.33203125" customWidth="1"/>
    <col min="6" max="6" width="12" customWidth="1"/>
    <col min="7" max="7" width="6.109375" bestFit="1" customWidth="1"/>
    <col min="8" max="8" width="14.33203125" style="10" customWidth="1"/>
    <col min="9" max="9" width="13.109375" style="2" customWidth="1"/>
    <col min="10" max="10" width="4.88671875" bestFit="1" customWidth="1"/>
    <col min="11" max="11" width="11.21875" bestFit="1" customWidth="1"/>
    <col min="12" max="12" width="20.21875" style="2" customWidth="1"/>
    <col min="13" max="13" width="14.5546875" customWidth="1"/>
  </cols>
  <sheetData>
    <row r="2" spans="2:13" ht="28.8" x14ac:dyDescent="0.55000000000000004">
      <c r="B2" s="38" t="s">
        <v>430</v>
      </c>
    </row>
    <row r="3" spans="2:13" ht="26.4" thickBot="1" x14ac:dyDescent="0.55000000000000004">
      <c r="B3" s="37" t="s">
        <v>429</v>
      </c>
      <c r="E3" s="39" t="s">
        <v>424</v>
      </c>
      <c r="F3" s="40" t="s">
        <v>423</v>
      </c>
      <c r="G3" s="41"/>
      <c r="H3" s="42" t="s">
        <v>424</v>
      </c>
      <c r="I3" s="43" t="s">
        <v>425</v>
      </c>
      <c r="J3" s="11"/>
      <c r="K3" s="11"/>
      <c r="L3" s="44" t="s">
        <v>424</v>
      </c>
      <c r="M3" s="45" t="s">
        <v>423</v>
      </c>
    </row>
    <row r="4" spans="2:13" x14ac:dyDescent="0.3">
      <c r="B4" s="5">
        <v>1</v>
      </c>
      <c r="C4" s="5" t="s">
        <v>408</v>
      </c>
      <c r="D4" s="5" t="s">
        <v>409</v>
      </c>
      <c r="E4" s="21">
        <v>240</v>
      </c>
      <c r="F4" s="17">
        <v>240</v>
      </c>
      <c r="G4" s="5" t="s">
        <v>410</v>
      </c>
      <c r="H4" s="24">
        <v>115854</v>
      </c>
      <c r="I4" s="28">
        <v>115854</v>
      </c>
      <c r="J4" s="5" t="s">
        <v>411</v>
      </c>
      <c r="K4" s="6" t="s">
        <v>412</v>
      </c>
      <c r="L4" s="14">
        <f>H4*E4</f>
        <v>27804960</v>
      </c>
      <c r="M4" s="15">
        <f t="shared" ref="M4:M7" si="0">I4*F4</f>
        <v>27804960</v>
      </c>
    </row>
    <row r="5" spans="2:13" x14ac:dyDescent="0.3">
      <c r="B5" s="3">
        <v>2</v>
      </c>
      <c r="C5" s="3" t="s">
        <v>413</v>
      </c>
      <c r="D5" s="3" t="s">
        <v>409</v>
      </c>
      <c r="E5" s="22">
        <v>48</v>
      </c>
      <c r="F5" s="18">
        <v>48</v>
      </c>
      <c r="G5" s="3" t="s">
        <v>410</v>
      </c>
      <c r="H5" s="25">
        <v>80399.460000000006</v>
      </c>
      <c r="I5" s="29">
        <v>80399</v>
      </c>
      <c r="J5" s="3" t="s">
        <v>411</v>
      </c>
      <c r="K5" s="4" t="s">
        <v>414</v>
      </c>
      <c r="L5" s="14">
        <f>H5*E5</f>
        <v>3859174.08</v>
      </c>
      <c r="M5" s="15">
        <f t="shared" si="0"/>
        <v>3859152</v>
      </c>
    </row>
    <row r="6" spans="2:13" x14ac:dyDescent="0.3">
      <c r="B6" s="3">
        <v>3</v>
      </c>
      <c r="C6" s="3" t="s">
        <v>415</v>
      </c>
      <c r="D6" s="3" t="s">
        <v>409</v>
      </c>
      <c r="E6" s="22">
        <v>24</v>
      </c>
      <c r="F6" s="18">
        <v>24</v>
      </c>
      <c r="G6" s="3" t="s">
        <v>410</v>
      </c>
      <c r="H6" s="25">
        <v>89939.42</v>
      </c>
      <c r="I6" s="29">
        <v>89939</v>
      </c>
      <c r="J6" s="3" t="s">
        <v>411</v>
      </c>
      <c r="K6" s="4" t="s">
        <v>416</v>
      </c>
      <c r="L6" s="14">
        <f>H6*E6</f>
        <v>2158546.08</v>
      </c>
      <c r="M6" s="15">
        <f t="shared" si="0"/>
        <v>2158536</v>
      </c>
    </row>
    <row r="7" spans="2:13" x14ac:dyDescent="0.3">
      <c r="B7" s="3">
        <v>4</v>
      </c>
      <c r="C7" s="3" t="s">
        <v>417</v>
      </c>
      <c r="D7" s="3" t="s">
        <v>418</v>
      </c>
      <c r="E7" s="22">
        <v>24</v>
      </c>
      <c r="F7" s="18">
        <v>24</v>
      </c>
      <c r="G7" s="3" t="s">
        <v>410</v>
      </c>
      <c r="H7" s="25">
        <v>77081.33</v>
      </c>
      <c r="I7" s="29">
        <v>77081</v>
      </c>
      <c r="J7" s="3" t="s">
        <v>411</v>
      </c>
      <c r="K7" s="4" t="s">
        <v>419</v>
      </c>
      <c r="L7" s="14">
        <f>H7*E7</f>
        <v>1849951.92</v>
      </c>
      <c r="M7" s="15">
        <f t="shared" si="0"/>
        <v>1849944</v>
      </c>
    </row>
    <row r="8" spans="2:13" ht="15" thickBot="1" x14ac:dyDescent="0.35">
      <c r="B8" s="7">
        <v>5</v>
      </c>
      <c r="C8" s="7" t="s">
        <v>420</v>
      </c>
      <c r="D8" s="7" t="s">
        <v>418</v>
      </c>
      <c r="E8" s="23">
        <v>72</v>
      </c>
      <c r="F8" s="19">
        <v>71</v>
      </c>
      <c r="G8" s="7" t="s">
        <v>421</v>
      </c>
      <c r="H8" s="26">
        <v>121016.56</v>
      </c>
      <c r="I8" s="30">
        <v>121016</v>
      </c>
      <c r="J8" s="7" t="s">
        <v>411</v>
      </c>
      <c r="K8" s="8" t="s">
        <v>422</v>
      </c>
      <c r="L8" s="14">
        <f>H8*E8</f>
        <v>8713192.3200000003</v>
      </c>
      <c r="M8" s="15">
        <f>I8*F8</f>
        <v>8592136</v>
      </c>
    </row>
    <row r="9" spans="2:13" x14ac:dyDescent="0.3">
      <c r="E9" s="20"/>
      <c r="F9" s="16"/>
      <c r="H9" s="27"/>
      <c r="I9" s="31"/>
      <c r="L9" s="14">
        <f>SUM(L4:L8)</f>
        <v>44385824.399999999</v>
      </c>
      <c r="M9" s="15">
        <f>SUM(M4:M8)</f>
        <v>44264728</v>
      </c>
    </row>
    <row r="10" spans="2:13" ht="15" thickBot="1" x14ac:dyDescent="0.35">
      <c r="B10" s="11" t="s">
        <v>426</v>
      </c>
      <c r="E10" s="20"/>
      <c r="F10" s="16"/>
      <c r="H10" s="27"/>
      <c r="I10" s="31"/>
      <c r="L10" s="12" t="s">
        <v>427</v>
      </c>
      <c r="M10" s="12">
        <v>44385805</v>
      </c>
    </row>
    <row r="11" spans="2:13" ht="15" thickBot="1" x14ac:dyDescent="0.35">
      <c r="B11" s="32">
        <v>6</v>
      </c>
      <c r="C11" s="32" t="s">
        <v>420</v>
      </c>
      <c r="D11" s="32" t="s">
        <v>418</v>
      </c>
      <c r="E11" s="33">
        <v>0</v>
      </c>
      <c r="F11" s="34">
        <v>1</v>
      </c>
      <c r="G11" s="32" t="s">
        <v>421</v>
      </c>
      <c r="H11" s="35">
        <v>0</v>
      </c>
      <c r="I11" s="36">
        <f>M10-M9</f>
        <v>121077</v>
      </c>
      <c r="J11" s="9"/>
      <c r="K11" s="9"/>
      <c r="L11" s="13" t="s">
        <v>428</v>
      </c>
      <c r="M11" s="13">
        <f>M9+I11</f>
        <v>44385805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Sheet1!_select_sum_teamTrmxDtl_harga_item_teamTrmxDtl_jumlah_item_as_to_202307111612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sselitedesk</dc:creator>
  <cp:lastModifiedBy>sapto sisworo</cp:lastModifiedBy>
  <dcterms:created xsi:type="dcterms:W3CDTF">2023-07-11T09:12:44Z</dcterms:created>
  <dcterms:modified xsi:type="dcterms:W3CDTF">2023-07-18T10:14:23Z</dcterms:modified>
</cp:coreProperties>
</file>