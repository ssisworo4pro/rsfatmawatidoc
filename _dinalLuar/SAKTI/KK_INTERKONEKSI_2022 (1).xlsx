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 tabRatio="775" activeTab="4"/>
  </bookViews>
  <sheets>
    <sheet name="16 SEGMEN" sheetId="3" r:id="rId1"/>
    <sheet name="HEADER" sheetId="6" r:id="rId2"/>
    <sheet name="DETAIL BARANG" sheetId="4" r:id="rId3"/>
    <sheet name="DETAIL COA" sheetId="5" r:id="rId4"/>
    <sheet name="per t" sheetId="7" r:id="rId5"/>
    <sheet name="Sheet2" sheetId="8" r:id="rId6"/>
  </sheets>
  <definedNames>
    <definedName name="_xlnm._FilterDatabase" localSheetId="0" hidden="1">'16 SEGMEN'!$A$1:$S$16</definedName>
    <definedName name="_xlnm._FilterDatabase" localSheetId="1" hidden="1">HEADER!$A$1:$R$3</definedName>
  </definedNames>
  <calcPr calcId="144525"/>
</workbook>
</file>

<file path=xl/sharedStrings.xml><?xml version="1.0" encoding="utf-8"?>
<sst xmlns="http://schemas.openxmlformats.org/spreadsheetml/2006/main" count="317" uniqueCount="127">
  <si>
    <t>KODE_SATKER</t>
  </si>
  <si>
    <t>kd_lokasi2</t>
  </si>
  <si>
    <t>AKUN</t>
  </si>
  <si>
    <t>kode lokasi satker default</t>
  </si>
  <si>
    <t>KODE KPPN</t>
  </si>
  <si>
    <t>BA_Es1_Program</t>
  </si>
  <si>
    <t>Kegiatan_Output</t>
  </si>
  <si>
    <t>Sumber Dana_Cara Penarikan_No Register</t>
  </si>
  <si>
    <t>Rekening Bank</t>
  </si>
  <si>
    <t>Kewenangan</t>
  </si>
  <si>
    <t>Lokasi1_Lokasi2</t>
  </si>
  <si>
    <t>Tipe Anggaran</t>
  </si>
  <si>
    <t>IntraCo</t>
  </si>
  <si>
    <t>Cadangan</t>
  </si>
  <si>
    <t>kode SubOutput</t>
  </si>
  <si>
    <t>Kode Komponen</t>
  </si>
  <si>
    <t>kode SubKomponen</t>
  </si>
  <si>
    <t>Cons Item</t>
  </si>
  <si>
    <t>16 SEGMEN</t>
  </si>
  <si>
    <t>12 SEGMEN</t>
  </si>
  <si>
    <t>02404DG</t>
  </si>
  <si>
    <t>6388CAB</t>
  </si>
  <si>
    <t>F000000001</t>
  </si>
  <si>
    <t>00000</t>
  </si>
  <si>
    <t>2</t>
  </si>
  <si>
    <t>0154</t>
  </si>
  <si>
    <t>000000</t>
  </si>
  <si>
    <t>003</t>
  </si>
  <si>
    <t>051</t>
  </si>
  <si>
    <t>0A</t>
  </si>
  <si>
    <t>000010</t>
  </si>
  <si>
    <t>000285</t>
  </si>
  <si>
    <t>000286</t>
  </si>
  <si>
    <t>001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</si>
  <si>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</si>
  <si>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</si>
  <si>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</si>
  <si>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</si>
  <si>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</si>
  <si>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</si>
  <si>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</si>
  <si>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</si>
  <si>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</si>
  <si>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</si>
  <si>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</si>
  <si>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TAHUN ANGGARAN</t>
  </si>
  <si>
    <t>NO.DOK. BAST</t>
  </si>
  <si>
    <t>TANGGAL BUKU BAST</t>
  </si>
  <si>
    <t>TANGGAL DOK. BAST</t>
  </si>
  <si>
    <t>Uraian BAST</t>
  </si>
  <si>
    <t>1 BAST Barang LS Non Kontrak/ Pengesahan Belanja BLU
Default 1</t>
  </si>
  <si>
    <t>nama penerima barang bast</t>
  </si>
  <si>
    <t>nomor rekening supplier bendahara satker (tipe 2)</t>
  </si>
  <si>
    <t>mata uang</t>
  </si>
  <si>
    <t>nilai total bast</t>
  </si>
  <si>
    <t>nomor dipa</t>
  </si>
  <si>
    <t>tanggal dipa</t>
  </si>
  <si>
    <t>nilai kurs</t>
  </si>
  <si>
    <t>Kode coa 12 segment</t>
  </si>
  <si>
    <t>228/OB/01/22</t>
  </si>
  <si>
    <t>2022-01-31 00:00:00.000</t>
  </si>
  <si>
    <t>PEMBAYARAN OBAT</t>
  </si>
  <si>
    <t>TIM PENERIMA</t>
  </si>
  <si>
    <t>8100124154321000</t>
  </si>
  <si>
    <t>IDR</t>
  </si>
  <si>
    <t>DIPA-024.04.2.415432/2022</t>
  </si>
  <si>
    <t>2021-11-17 00:00:00.000</t>
  </si>
  <si>
    <t xml:space="preserve"> 415432.182.525121.02404DG.6388CAB.F000000001.00000.2.0154.2.000000.000000</t>
  </si>
  <si>
    <t>KODE BARANG/PERSEDIAAN 10 DIGIT</t>
  </si>
  <si>
    <t>HARGA SATUAN BARANG</t>
  </si>
  <si>
    <t>JUMLAH BARANG</t>
  </si>
  <si>
    <t>1010401002</t>
  </si>
  <si>
    <t>1010401999</t>
  </si>
  <si>
    <t>1010401005</t>
  </si>
  <si>
    <t>Kode coa 16 segment</t>
  </si>
  <si>
    <t>Nilai pendetilan dalam RP</t>
  </si>
  <si>
    <t>Nilai pendetilan dalam valas</t>
  </si>
  <si>
    <t>Volume level suboutput</t>
  </si>
  <si>
    <t>415432.182.525121.02404DG.6388CAB.F000000001.00000.2.0154.2.000000.000000.003.051.0A.000286</t>
  </si>
  <si>
    <t>primary key</t>
  </si>
  <si>
    <t>user create data</t>
  </si>
  <si>
    <t>tgl criet data</t>
  </si>
  <si>
    <t>jenis transaksi</t>
  </si>
  <si>
    <t>kode uakpb</t>
  </si>
  <si>
    <t>TA</t>
  </si>
  <si>
    <t>tanggal pembukuan</t>
  </si>
  <si>
    <t>no dok transaksi</t>
  </si>
  <si>
    <t>kode barang 16 digit</t>
  </si>
  <si>
    <t>jumlah barang</t>
  </si>
  <si>
    <t>harga satuan</t>
  </si>
  <si>
    <t>uraian/keterangan</t>
  </si>
  <si>
    <t>flag proses</t>
  </si>
  <si>
    <t>error flag</t>
  </si>
  <si>
    <t>error code</t>
  </si>
  <si>
    <t>nama file upload</t>
  </si>
  <si>
    <t>kode uakpb tujuan</t>
  </si>
  <si>
    <t>yyyy-mm-dd</t>
  </si>
  <si>
    <t>0 new</t>
  </si>
  <si>
    <t>1 processed</t>
  </si>
  <si>
    <t>4154320000000000001</t>
  </si>
  <si>
    <t>opr_415432_201604198602021038</t>
  </si>
  <si>
    <t>2022-01-31 15:13:31</t>
  </si>
  <si>
    <t>K01</t>
  </si>
  <si>
    <t>024040100415432001KD</t>
  </si>
  <si>
    <t>1010401002000430</t>
  </si>
  <si>
    <t>4154320000000000002</t>
  </si>
  <si>
    <t>4154320000000000003</t>
  </si>
  <si>
    <t>1010401002000320</t>
  </si>
  <si>
    <t>4154320000000000004</t>
  </si>
  <si>
    <t>1010401999000540</t>
  </si>
  <si>
    <t>4154320000000000005</t>
  </si>
  <si>
    <t>1010401999000330</t>
  </si>
  <si>
    <t>4154320000000000006</t>
  </si>
  <si>
    <t>1010401005000070</t>
  </si>
  <si>
    <t>Primary Key(PK), ID didapat dari sequeces oracle  SEQ_PER_BLU_REF</t>
  </si>
  <si>
    <t>Kombinasi Kode Barang (16 Digit) dan Kode UAKPB Induk</t>
  </si>
  <si>
    <t>user yang meng-create data</t>
  </si>
  <si>
    <t>Tanggal create data</t>
  </si>
  <si>
    <t>kode uakpb Induk</t>
  </si>
  <si>
    <t>Kode SubsubKelompok 10 Digit</t>
  </si>
  <si>
    <t>Kode Barang 16 Digit</t>
  </si>
  <si>
    <t>Deskripsi Barang</t>
  </si>
  <si>
    <t>tahun anggaran transaksi</t>
  </si>
  <si>
    <t>Flag Sudah di Process atau Belum
0 New
1 Processed</t>
  </si>
  <si>
    <t>Error Flag</t>
  </si>
  <si>
    <t>Error Code</t>
  </si>
  <si>
    <t>Nama File yg diupload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</si>
</sst>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dd\-mm\-yyyy"/>
    <numFmt numFmtId="177" formatCode="_(* #,##0.00_);_(* \(#,##0.00\);_(* &quot;-&quot;_);_(@_)"/>
  </numFmts>
  <fonts count="2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color rgb="FF000000"/>
      <name val="Arial"/>
      <charset val="0"/>
    </font>
    <font>
      <sz val="8.25"/>
      <color rgb="FF292B2C"/>
      <name val="Segoe UI"/>
      <charset val="134"/>
    </font>
    <font>
      <sz val="8.25"/>
      <color rgb="FF1D1E1F"/>
      <name val="Segoe UI"/>
      <charset val="134"/>
    </font>
    <font>
      <sz val="9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9"/>
      <name val="Arial"/>
      <charset val="134"/>
    </font>
    <font>
      <sz val="8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0">
    <xf numFmtId="0" fontId="0" fillId="0" borderId="0"/>
    <xf numFmtId="0" fontId="12" fillId="0" borderId="0"/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0" fontId="10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2" fillId="0" borderId="0"/>
    <xf numFmtId="0" fontId="23" fillId="0" borderId="0" applyNumberFormat="0" applyFill="0" applyBorder="0" applyAlignment="0" applyProtection="0">
      <alignment vertical="center"/>
    </xf>
    <xf numFmtId="0" fontId="25" fillId="27" borderId="10" applyNumberFormat="0" applyAlignment="0" applyProtection="0">
      <alignment vertical="center"/>
    </xf>
    <xf numFmtId="0" fontId="12" fillId="0" borderId="0"/>
    <xf numFmtId="0" fontId="10" fillId="3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26" borderId="10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2" fillId="0" borderId="0"/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0" borderId="0"/>
    <xf numFmtId="0" fontId="13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2" fillId="0" borderId="0"/>
    <xf numFmtId="0" fontId="13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0" borderId="0"/>
    <xf numFmtId="0" fontId="13" fillId="19" borderId="0" applyNumberFormat="0" applyBorder="0" applyAlignment="0" applyProtection="0">
      <alignment vertical="center"/>
    </xf>
    <xf numFmtId="0" fontId="12" fillId="0" borderId="0"/>
    <xf numFmtId="0" fontId="10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0" fillId="38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62">
    <xf numFmtId="0" fontId="0" fillId="0" borderId="0" xfId="0"/>
    <xf numFmtId="0" fontId="0" fillId="0" borderId="0" xfId="0" applyAlignment="1">
      <alignment vertical="top" wrapText="1"/>
    </xf>
    <xf numFmtId="0" fontId="1" fillId="0" borderId="1" xfId="38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/>
    <xf numFmtId="49" fontId="2" fillId="0" borderId="1" xfId="0" applyNumberFormat="1" applyFont="1" applyFill="1" applyBorder="1" applyAlignment="1"/>
    <xf numFmtId="0" fontId="0" fillId="0" borderId="1" xfId="0" applyBorder="1" applyAlignment="1">
      <alignment horizontal="center"/>
    </xf>
    <xf numFmtId="49" fontId="3" fillId="3" borderId="1" xfId="0" applyNumberFormat="1" applyFont="1" applyFill="1" applyBorder="1"/>
    <xf numFmtId="0" fontId="2" fillId="0" borderId="1" xfId="0" applyFont="1" applyFill="1" applyBorder="1" applyAlignment="1"/>
    <xf numFmtId="49" fontId="4" fillId="0" borderId="1" xfId="0" applyNumberFormat="1" applyFont="1" applyBorder="1"/>
    <xf numFmtId="49" fontId="3" fillId="0" borderId="1" xfId="0" applyNumberFormat="1" applyFont="1" applyBorder="1"/>
    <xf numFmtId="0" fontId="5" fillId="4" borderId="1" xfId="0" applyFont="1" applyFill="1" applyBorder="1" applyAlignment="1"/>
    <xf numFmtId="0" fontId="5" fillId="5" borderId="1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 wrapText="1"/>
    </xf>
    <xf numFmtId="0" fontId="5" fillId="4" borderId="0" xfId="0" applyFont="1" applyFill="1" applyBorder="1" applyAlignment="1">
      <alignment horizontal="center" vertical="top" wrapText="1"/>
    </xf>
    <xf numFmtId="0" fontId="5" fillId="0" borderId="1" xfId="0" applyFont="1" applyBorder="1"/>
    <xf numFmtId="43" fontId="5" fillId="0" borderId="1" xfId="3" applyFont="1" applyBorder="1"/>
    <xf numFmtId="43" fontId="5" fillId="0" borderId="1" xfId="3" applyFont="1" applyBorder="1" applyAlignment="1">
      <alignment horizontal="center"/>
    </xf>
    <xf numFmtId="0" fontId="0" fillId="0" borderId="0" xfId="0" applyFill="1"/>
    <xf numFmtId="41" fontId="5" fillId="4" borderId="0" xfId="0" applyNumberFormat="1" applyFont="1" applyFill="1" applyBorder="1"/>
    <xf numFmtId="0" fontId="6" fillId="7" borderId="0" xfId="0" applyFont="1" applyFill="1"/>
    <xf numFmtId="43" fontId="6" fillId="0" borderId="0" xfId="3" applyFont="1" applyFill="1"/>
    <xf numFmtId="0" fontId="5" fillId="7" borderId="0" xfId="0" applyFont="1" applyFill="1" applyAlignment="1">
      <alignment vertical="top"/>
    </xf>
    <xf numFmtId="43" fontId="5" fillId="0" borderId="0" xfId="3" applyFont="1" applyAlignment="1">
      <alignment vertical="top"/>
    </xf>
    <xf numFmtId="0" fontId="7" fillId="4" borderId="1" xfId="0" applyFont="1" applyFill="1" applyBorder="1" applyAlignment="1"/>
    <xf numFmtId="0" fontId="5" fillId="0" borderId="1" xfId="0" applyFont="1" applyFill="1" applyBorder="1" applyAlignment="1"/>
    <xf numFmtId="43" fontId="7" fillId="4" borderId="1" xfId="3" applyFont="1" applyFill="1" applyBorder="1" applyAlignment="1">
      <alignment horizontal="center"/>
    </xf>
    <xf numFmtId="43" fontId="5" fillId="4" borderId="0" xfId="0" applyNumberFormat="1" applyFont="1" applyFill="1" applyAlignment="1">
      <alignment vertical="top"/>
    </xf>
    <xf numFmtId="43" fontId="5" fillId="4" borderId="0" xfId="0" applyNumberFormat="1" applyFont="1" applyFill="1" applyBorder="1"/>
    <xf numFmtId="43" fontId="5" fillId="7" borderId="0" xfId="3" applyFont="1" applyFill="1"/>
    <xf numFmtId="0" fontId="5" fillId="4" borderId="0" xfId="0" applyNumberFormat="1" applyFont="1" applyFill="1" applyBorder="1"/>
    <xf numFmtId="43" fontId="0" fillId="8" borderId="0" xfId="0" applyNumberFormat="1" applyFill="1"/>
    <xf numFmtId="0" fontId="8" fillId="0" borderId="0" xfId="0" applyFont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5" fontId="7" fillId="9" borderId="1" xfId="0" applyNumberFormat="1" applyFont="1" applyFill="1" applyBorder="1" applyAlignment="1">
      <alignment horizontal="center"/>
    </xf>
    <xf numFmtId="0" fontId="7" fillId="4" borderId="1" xfId="0" applyNumberFormat="1" applyFont="1" applyFill="1" applyBorder="1" applyAlignment="1">
      <alignment horizontal="center"/>
    </xf>
    <xf numFmtId="43" fontId="5" fillId="5" borderId="1" xfId="3" applyNumberFormat="1" applyFont="1" applyFill="1" applyBorder="1" applyAlignment="1">
      <alignment vertical="top"/>
    </xf>
    <xf numFmtId="43" fontId="5" fillId="6" borderId="1" xfId="3" applyNumberFormat="1" applyFont="1" applyFill="1" applyBorder="1" applyAlignment="1">
      <alignment vertical="top" wrapText="1"/>
    </xf>
    <xf numFmtId="49" fontId="5" fillId="0" borderId="1" xfId="4" applyNumberFormat="1" applyFont="1" applyFill="1" applyBorder="1" applyAlignment="1">
      <alignment horizontal="center"/>
    </xf>
    <xf numFmtId="43" fontId="5" fillId="4" borderId="1" xfId="3" applyFont="1" applyFill="1" applyBorder="1" applyAlignment="1"/>
    <xf numFmtId="177" fontId="7" fillId="0" borderId="1" xfId="4" applyNumberFormat="1" applyFont="1" applyFill="1" applyBorder="1" applyAlignment="1">
      <alignment horizontal="center"/>
    </xf>
    <xf numFmtId="0" fontId="7" fillId="7" borderId="0" xfId="0" applyFont="1" applyFill="1" applyAlignment="1">
      <alignment vertical="top"/>
    </xf>
    <xf numFmtId="0" fontId="0" fillId="8" borderId="0" xfId="0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top" wrapText="1"/>
    </xf>
    <xf numFmtId="0" fontId="5" fillId="0" borderId="1" xfId="0" applyFont="1" applyFill="1" applyBorder="1"/>
    <xf numFmtId="0" fontId="5" fillId="0" borderId="1" xfId="0" applyFont="1" applyFill="1" applyBorder="1" applyAlignment="1" quotePrefix="1">
      <alignment horizontal="center"/>
    </xf>
    <xf numFmtId="0" fontId="5" fillId="0" borderId="1" xfId="0" applyFont="1" applyFill="1" applyBorder="1" quotePrefix="1"/>
    <xf numFmtId="0" fontId="5" fillId="4" borderId="1" xfId="0" applyFont="1" applyFill="1" applyBorder="1" applyAlignment="1" quotePrefix="1">
      <alignment horizontal="center"/>
    </xf>
    <xf numFmtId="0" fontId="0" fillId="0" borderId="1" xfId="0" applyBorder="1" quotePrefix="1"/>
    <xf numFmtId="49" fontId="2" fillId="0" borderId="1" xfId="0" applyNumberFormat="1" applyFont="1" applyFill="1" applyBorder="1" applyAlignment="1" quotePrefix="1"/>
    <xf numFmtId="49" fontId="3" fillId="3" borderId="1" xfId="0" applyNumberFormat="1" applyFont="1" applyFill="1" applyBorder="1" quotePrefix="1"/>
  </cellXfs>
  <cellStyles count="70">
    <cellStyle name="Normal" xfId="0" builtinId="0"/>
    <cellStyle name="Normal 6 2" xfId="1"/>
    <cellStyle name="40% - Accent1" xfId="2" builtinId="31"/>
    <cellStyle name="Comma" xfId="3" builtinId="3"/>
    <cellStyle name="Comma [0]" xfId="4" builtinId="6"/>
    <cellStyle name="Currency [0]" xfId="5" builtinId="7"/>
    <cellStyle name="Currency" xfId="6" builtinId="4"/>
    <cellStyle name="Percent" xfId="7" builtinId="5"/>
    <cellStyle name="Hyperlink" xfId="8" builtinId="8"/>
    <cellStyle name="Normal 7 2" xfId="9"/>
    <cellStyle name="Normal 5" xfId="10"/>
    <cellStyle name="60% - Accent4" xfId="11" builtinId="44"/>
    <cellStyle name="Followed Hyperlink" xfId="12" builtinId="9"/>
    <cellStyle name="Check Cell" xfId="13" builtinId="23"/>
    <cellStyle name="Heading 2" xfId="14" builtinId="17"/>
    <cellStyle name="Note" xfId="15" builtinId="10"/>
    <cellStyle name="40% - Accent3" xfId="16" builtinId="39"/>
    <cellStyle name="Warning Text" xfId="17" builtinId="11"/>
    <cellStyle name="40% - Accent2" xfId="18" builtinId="35"/>
    <cellStyle name="Title" xfId="19" builtinId="15"/>
    <cellStyle name="CExplanatory Text" xfId="20" builtinId="53"/>
    <cellStyle name="Heading 1" xfId="21" builtinId="16"/>
    <cellStyle name="Heading 3" xfId="22" builtinId="18"/>
    <cellStyle name="Normal 10 2" xfId="23"/>
    <cellStyle name="Heading 4" xfId="24" builtinId="19"/>
    <cellStyle name="Input" xfId="25" builtinId="20"/>
    <cellStyle name="Normal 4" xfId="26"/>
    <cellStyle name="60% - Accent3" xfId="27" builtinId="40"/>
    <cellStyle name="Good" xfId="28" builtinId="26"/>
    <cellStyle name="Output" xfId="29" builtinId="21"/>
    <cellStyle name="20% - Accent1" xfId="30" builtinId="30"/>
    <cellStyle name="Calculation" xfId="31" builtinId="22"/>
    <cellStyle name="Linked Cell" xfId="32" builtinId="24"/>
    <cellStyle name="Total" xfId="33" builtinId="25"/>
    <cellStyle name="Normal 4 2" xfId="34"/>
    <cellStyle name="Bad" xfId="35" builtinId="27"/>
    <cellStyle name="Neutral" xfId="36" builtinId="28"/>
    <cellStyle name="Accent1" xfId="37" builtinId="29"/>
    <cellStyle name="Normal 2" xfId="38"/>
    <cellStyle name="20% - Accent5" xfId="39" builtinId="46"/>
    <cellStyle name="60% - Accent1" xfId="40" builtinId="32"/>
    <cellStyle name="Accent2" xfId="41" builtinId="33"/>
    <cellStyle name="20% - Accent2" xfId="42" builtinId="34"/>
    <cellStyle name="Normal 3" xfId="43"/>
    <cellStyle name="20% - Accent6" xfId="44" builtinId="50"/>
    <cellStyle name="60% - Accent2" xfId="45" builtinId="36"/>
    <cellStyle name="Accent3" xfId="46" builtinId="37"/>
    <cellStyle name="20% - Accent3" xfId="47" builtinId="38"/>
    <cellStyle name="Accent4" xfId="48" builtinId="41"/>
    <cellStyle name="20% - Accent4" xfId="49" builtinId="42"/>
    <cellStyle name="40% - Accent4" xfId="50" builtinId="43"/>
    <cellStyle name="Accent5" xfId="51" builtinId="45"/>
    <cellStyle name="Normal 11 2" xfId="52"/>
    <cellStyle name="40% - Accent5" xfId="53" builtinId="47"/>
    <cellStyle name="Normal 6" xfId="54"/>
    <cellStyle name="60% - Accent5" xfId="55" builtinId="48"/>
    <cellStyle name="Accent6" xfId="56" builtinId="49"/>
    <cellStyle name="40% - Accent6" xfId="57" builtinId="51"/>
    <cellStyle name="Normal 7" xfId="58"/>
    <cellStyle name="Normal 5 2" xfId="59"/>
    <cellStyle name="60% - Accent6" xfId="60" builtinId="52"/>
    <cellStyle name="Normal 10" xfId="61"/>
    <cellStyle name="Normal 11" xfId="62"/>
    <cellStyle name="Normal 12" xfId="63"/>
    <cellStyle name="Normal 2 2" xfId="64"/>
    <cellStyle name="Normal 3 2" xfId="65"/>
    <cellStyle name="Normal 8" xfId="66"/>
    <cellStyle name="Normal 8 2" xfId="67"/>
    <cellStyle name="Normal 9" xfId="68"/>
    <cellStyle name="Normal 9 2" xfId="69"/>
  </cellStyles>
  <tableStyles count="0" defaultTableStyle="Table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F26" sqref="F26"/>
    </sheetView>
  </sheetViews>
  <sheetFormatPr defaultColWidth="8.85185185185185" defaultRowHeight="14.4"/>
  <cols>
    <col min="1" max="1" width="13.1111111111111" customWidth="1"/>
    <col min="2" max="2" width="16.6666666666667" customWidth="1"/>
    <col min="3" max="3" width="10" customWidth="1"/>
    <col min="4" max="4" width="16.8888888888889" customWidth="1"/>
    <col min="5" max="5" width="14.7777777777778" style="37" customWidth="1"/>
    <col min="6" max="6" width="18.3333333333333" style="37" customWidth="1"/>
    <col min="7" max="7" width="12.4259259259259" style="23" customWidth="1"/>
    <col min="8" max="8" width="12.287037037037" style="23" customWidth="1"/>
    <col min="9" max="9" width="14.287037037037" style="38" customWidth="1"/>
    <col min="10" max="10" width="9.57407407407407" style="23" customWidth="1"/>
    <col min="11" max="11" width="10.1111111111111" style="23" customWidth="1"/>
    <col min="12" max="12" width="23.1111111111111" style="39" customWidth="1"/>
    <col min="13" max="13" width="13.7777777777778" style="23" customWidth="1"/>
    <col min="14" max="14" width="13.8888888888889" style="23" customWidth="1"/>
    <col min="15" max="15" width="13.1388888888889" style="23" customWidth="1"/>
    <col min="16" max="17" width="15.8518518518519" style="23" customWidth="1"/>
    <col min="18" max="18" width="18.5555555555556" style="23" customWidth="1"/>
    <col min="19" max="19" width="20.6666666666667" style="25" customWidth="1"/>
    <col min="20" max="20" width="23" style="26" customWidth="1"/>
    <col min="21" max="21" width="14.5555555555556" style="23" customWidth="1"/>
    <col min="22" max="22" width="13.4444444444444" style="23"/>
    <col min="23" max="24" width="8.85185185185185" style="23"/>
    <col min="25" max="27" width="14.5555555555556" style="23"/>
    <col min="28" max="16384" width="8.85185185185185" style="23"/>
  </cols>
  <sheetData>
    <row r="1" customFormat="1" spans="1:20">
      <c r="A1" s="16" t="s">
        <v>0</v>
      </c>
      <c r="B1" s="16" t="s">
        <v>1</v>
      </c>
      <c r="C1" s="16" t="s">
        <v>2</v>
      </c>
      <c r="D1" s="16"/>
      <c r="E1" s="40"/>
      <c r="F1" s="41"/>
      <c r="G1" s="16"/>
      <c r="H1" s="42"/>
      <c r="I1" s="50"/>
      <c r="J1" s="16"/>
      <c r="K1" s="16"/>
      <c r="L1" s="16"/>
      <c r="M1" s="16"/>
      <c r="N1" s="16"/>
      <c r="O1" s="16"/>
      <c r="P1" s="16"/>
      <c r="Q1" s="17"/>
      <c r="R1" s="17"/>
      <c r="S1" s="27"/>
      <c r="T1" s="28"/>
    </row>
    <row r="2" customFormat="1" ht="22.8" spans="1:20">
      <c r="A2" s="18" t="s">
        <v>3</v>
      </c>
      <c r="B2" s="18" t="s">
        <v>4</v>
      </c>
      <c r="C2" s="18" t="s">
        <v>2</v>
      </c>
      <c r="D2" s="18" t="s">
        <v>5</v>
      </c>
      <c r="E2" s="43" t="s">
        <v>6</v>
      </c>
      <c r="F2" s="44" t="s">
        <v>7</v>
      </c>
      <c r="G2" s="18" t="s">
        <v>8</v>
      </c>
      <c r="H2" s="45" t="s">
        <v>9</v>
      </c>
      <c r="I2" s="51" t="s">
        <v>10</v>
      </c>
      <c r="J2" s="18" t="s">
        <v>11</v>
      </c>
      <c r="K2" s="18" t="s">
        <v>12</v>
      </c>
      <c r="L2" s="18" t="s">
        <v>13</v>
      </c>
      <c r="M2" s="18" t="s">
        <v>14</v>
      </c>
      <c r="N2" s="18" t="s">
        <v>15</v>
      </c>
      <c r="O2" s="18" t="s">
        <v>16</v>
      </c>
      <c r="P2" s="60" t="s">
        <v>17</v>
      </c>
      <c r="Q2" s="19"/>
      <c r="R2" s="19" t="s">
        <v>18</v>
      </c>
      <c r="S2" s="55" t="s">
        <v>19</v>
      </c>
      <c r="T2" s="28"/>
    </row>
    <row r="3" spans="1:19">
      <c r="A3" s="20">
        <v>415432</v>
      </c>
      <c r="B3" s="20">
        <v>182</v>
      </c>
      <c r="C3" s="57">
        <v>525121</v>
      </c>
      <c r="D3" s="20" t="s">
        <v>20</v>
      </c>
      <c r="E3" s="58" t="s">
        <v>21</v>
      </c>
      <c r="F3" s="58" t="s">
        <v>22</v>
      </c>
      <c r="G3" s="59" t="s">
        <v>23</v>
      </c>
      <c r="H3" s="62" t="s">
        <v>24</v>
      </c>
      <c r="I3" s="62" t="s">
        <v>25</v>
      </c>
      <c r="J3" s="46">
        <v>2</v>
      </c>
      <c r="K3" s="61" t="s">
        <v>26</v>
      </c>
      <c r="L3" s="59" t="s">
        <v>26</v>
      </c>
      <c r="M3" s="62" t="s">
        <v>27</v>
      </c>
      <c r="N3" s="62" t="s">
        <v>28</v>
      </c>
      <c r="O3" s="59" t="s">
        <v>29</v>
      </c>
      <c r="P3" s="63" t="s">
        <v>30</v>
      </c>
      <c r="R3" s="24" t="str">
        <f>A3&amp;"|"&amp;B3&amp;"|"&amp;C3&amp;"|"&amp;D3&amp;"|"&amp;E3&amp;"|"&amp;F3&amp;"|"&amp;G3&amp;"|"&amp;H3&amp;"|"&amp;I3&amp;"|"&amp;J3&amp;"|"&amp;K3&amp;"|"&amp;L3&amp;"|"&amp;M3&amp;"|"&amp;N3&amp;"|"&amp;O3&amp;"|"&amp;P3</f>
        <v>415432|182|525121|02404DG|6388CAB|F000000001|00000|2|0154|2|000000|000000|003|051|0A|000010</v>
      </c>
      <c r="S3" s="24" t="str">
        <f>A3&amp;"|"&amp;B3&amp;"|"&amp;C3&amp;"|"&amp;D3&amp;"|"&amp;E3&amp;"|"&amp;F3&amp;"|"&amp;G3&amp;"|"&amp;H3&amp;"|"&amp;I3&amp;"|"&amp;J3&amp;"|"&amp;K3&amp;"|"&amp;L3</f>
        <v>415432|182|525121|02404DG|6388CAB|F000000001|00000|2|0154|2|000000|000000</v>
      </c>
    </row>
    <row r="4" spans="1:19">
      <c r="A4" s="20">
        <v>415432</v>
      </c>
      <c r="B4" s="20">
        <v>182</v>
      </c>
      <c r="C4" s="57">
        <v>525121</v>
      </c>
      <c r="D4" s="20" t="s">
        <v>20</v>
      </c>
      <c r="E4" s="58" t="s">
        <v>21</v>
      </c>
      <c r="F4" s="58" t="s">
        <v>22</v>
      </c>
      <c r="G4" s="59" t="s">
        <v>23</v>
      </c>
      <c r="H4" s="62" t="s">
        <v>24</v>
      </c>
      <c r="I4" s="62" t="s">
        <v>25</v>
      </c>
      <c r="J4" s="46">
        <v>2</v>
      </c>
      <c r="K4" s="61" t="s">
        <v>26</v>
      </c>
      <c r="L4" s="59" t="s">
        <v>26</v>
      </c>
      <c r="M4" s="62" t="s">
        <v>27</v>
      </c>
      <c r="N4" s="62" t="s">
        <v>28</v>
      </c>
      <c r="O4" s="59" t="s">
        <v>29</v>
      </c>
      <c r="P4" s="63" t="s">
        <v>31</v>
      </c>
      <c r="R4" s="24" t="str">
        <f t="shared" ref="R4:R16" si="0">A4&amp;"|"&amp;B4&amp;"|"&amp;C4&amp;"|"&amp;D4&amp;"|"&amp;E4&amp;"|"&amp;F4&amp;"|"&amp;G4&amp;"|"&amp;H4&amp;"|"&amp;I4&amp;"|"&amp;J4&amp;"|"&amp;K4&amp;"|"&amp;L4&amp;"|"&amp;M4&amp;"|"&amp;N4&amp;"|"&amp;O4&amp;"|"&amp;P4</f>
        <v>415432|182|525121|02404DG|6388CAB|F000000001|00000|2|0154|2|000000|000000|003|051|0A|000285</v>
      </c>
      <c r="S4" s="24" t="str">
        <f>A4&amp;"|"&amp;B4&amp;"|"&amp;C4&amp;"|"&amp;D4&amp;"|"&amp;E4&amp;"|"&amp;F4&amp;"|"&amp;G4&amp;"|"&amp;H4&amp;"|"&amp;I4&amp;"|"&amp;J4&amp;"|"&amp;K4&amp;"|"&amp;L4</f>
        <v>415432|182|525121|02404DG|6388CAB|F000000001|00000|2|0154|2|000000|000000</v>
      </c>
    </row>
    <row r="5" spans="1:19">
      <c r="A5" s="20">
        <v>415432</v>
      </c>
      <c r="B5" s="20">
        <v>182</v>
      </c>
      <c r="C5" s="57">
        <v>525121</v>
      </c>
      <c r="D5" s="20" t="s">
        <v>20</v>
      </c>
      <c r="E5" s="58" t="s">
        <v>21</v>
      </c>
      <c r="F5" s="58" t="s">
        <v>22</v>
      </c>
      <c r="G5" s="59" t="s">
        <v>23</v>
      </c>
      <c r="H5" s="62" t="s">
        <v>24</v>
      </c>
      <c r="I5" s="62" t="s">
        <v>25</v>
      </c>
      <c r="J5" s="46">
        <v>2</v>
      </c>
      <c r="K5" s="61" t="s">
        <v>26</v>
      </c>
      <c r="L5" s="59" t="s">
        <v>26</v>
      </c>
      <c r="M5" s="62" t="s">
        <v>27</v>
      </c>
      <c r="N5" s="62" t="s">
        <v>28</v>
      </c>
      <c r="O5" s="59" t="s">
        <v>29</v>
      </c>
      <c r="P5" s="63" t="s">
        <v>32</v>
      </c>
      <c r="R5" s="24" t="str">
        <f t="shared" si="0"/>
        <v>415432|182|525121|02404DG|6388CAB|F000000001|00000|2|0154|2|000000|000000|003|051|0A|000286</v>
      </c>
      <c r="S5" s="24" t="str">
        <f t="shared" ref="S4:S16" si="1">A5&amp;"|"&amp;B5&amp;"|"&amp;C5&amp;"|"&amp;D5&amp;"|"&amp;E5&amp;"|"&amp;F5&amp;"|"&amp;G5&amp;"|"&amp;H5&amp;"|"&amp;I5&amp;"|"&amp;J5&amp;"|"&amp;K5&amp;"|"&amp;L5</f>
        <v>415432|182|525121|02404DG|6388CAB|F000000001|00000|2|0154|2|000000|000000</v>
      </c>
    </row>
    <row r="6" spans="1:19">
      <c r="A6" s="20">
        <v>415432</v>
      </c>
      <c r="B6" s="20">
        <v>182</v>
      </c>
      <c r="C6" s="57">
        <v>525121</v>
      </c>
      <c r="D6" s="20" t="s">
        <v>20</v>
      </c>
      <c r="E6" s="58" t="s">
        <v>21</v>
      </c>
      <c r="F6" s="58" t="s">
        <v>22</v>
      </c>
      <c r="G6" s="59" t="s">
        <v>23</v>
      </c>
      <c r="H6" s="62" t="s">
        <v>24</v>
      </c>
      <c r="I6" s="62" t="s">
        <v>25</v>
      </c>
      <c r="J6" s="46">
        <v>2</v>
      </c>
      <c r="K6" s="61" t="s">
        <v>26</v>
      </c>
      <c r="L6" s="59" t="s">
        <v>26</v>
      </c>
      <c r="M6" s="62" t="s">
        <v>33</v>
      </c>
      <c r="N6" s="62" t="s">
        <v>28</v>
      </c>
      <c r="O6" s="59" t="s">
        <v>29</v>
      </c>
      <c r="P6" s="63" t="s">
        <v>34</v>
      </c>
      <c r="R6" s="24" t="str">
        <f t="shared" si="0"/>
        <v>415432|182|525121|02404DG|6388CAB|F000000001|00000|2|0154|2|000000|000000|001|051|0A|000131</v>
      </c>
      <c r="S6" s="24" t="str">
        <f t="shared" si="1"/>
        <v>415432|182|525121|02404DG|6388CAB|F000000001|00000|2|0154|2|000000|000000</v>
      </c>
    </row>
    <row r="7" spans="1:19">
      <c r="A7" s="20">
        <v>415432</v>
      </c>
      <c r="B7" s="20">
        <v>182</v>
      </c>
      <c r="C7" s="57">
        <v>525121</v>
      </c>
      <c r="D7" s="20" t="s">
        <v>20</v>
      </c>
      <c r="E7" s="58" t="s">
        <v>21</v>
      </c>
      <c r="F7" s="58" t="s">
        <v>22</v>
      </c>
      <c r="G7" s="59" t="s">
        <v>23</v>
      </c>
      <c r="H7" s="62" t="s">
        <v>24</v>
      </c>
      <c r="I7" s="62" t="s">
        <v>25</v>
      </c>
      <c r="J7" s="46">
        <v>2</v>
      </c>
      <c r="K7" s="61" t="s">
        <v>26</v>
      </c>
      <c r="L7" s="59" t="s">
        <v>26</v>
      </c>
      <c r="M7" s="62" t="s">
        <v>33</v>
      </c>
      <c r="N7" s="62" t="s">
        <v>28</v>
      </c>
      <c r="O7" s="59" t="s">
        <v>29</v>
      </c>
      <c r="P7" s="63" t="s">
        <v>35</v>
      </c>
      <c r="R7" s="24" t="str">
        <f t="shared" si="0"/>
        <v>415432|182|525121|02404DG|6388CAB|F000000001|00000|2|0154|2|000000|000000|001|051|0A|000132</v>
      </c>
      <c r="S7" s="24" t="str">
        <f t="shared" si="1"/>
        <v>415432|182|525121|02404DG|6388CAB|F000000001|00000|2|0154|2|000000|000000</v>
      </c>
    </row>
    <row r="8" spans="1:19">
      <c r="A8" s="20">
        <v>415432</v>
      </c>
      <c r="B8" s="20">
        <v>182</v>
      </c>
      <c r="C8" s="57">
        <v>525121</v>
      </c>
      <c r="D8" s="20" t="s">
        <v>20</v>
      </c>
      <c r="E8" s="58" t="s">
        <v>21</v>
      </c>
      <c r="F8" s="58" t="s">
        <v>22</v>
      </c>
      <c r="G8" s="59" t="s">
        <v>23</v>
      </c>
      <c r="H8" s="62" t="s">
        <v>24</v>
      </c>
      <c r="I8" s="62" t="s">
        <v>25</v>
      </c>
      <c r="J8" s="46">
        <v>2</v>
      </c>
      <c r="K8" s="61" t="s">
        <v>26</v>
      </c>
      <c r="L8" s="59" t="s">
        <v>26</v>
      </c>
      <c r="M8" s="62" t="s">
        <v>33</v>
      </c>
      <c r="N8" s="62" t="s">
        <v>28</v>
      </c>
      <c r="O8" s="59" t="s">
        <v>29</v>
      </c>
      <c r="P8" s="63" t="s">
        <v>36</v>
      </c>
      <c r="R8" s="24" t="str">
        <f t="shared" si="0"/>
        <v>415432|182|525121|02404DG|6388CAB|F000000001|00000|2|0154|2|000000|000000|001|051|0A|000133</v>
      </c>
      <c r="S8" s="24" t="str">
        <f t="shared" si="1"/>
        <v>415432|182|525121|02404DG|6388CAB|F000000001|00000|2|0154|2|000000|000000</v>
      </c>
    </row>
    <row r="9" spans="1:19">
      <c r="A9" s="20">
        <v>415432</v>
      </c>
      <c r="B9" s="20">
        <v>182</v>
      </c>
      <c r="C9" s="57">
        <v>525121</v>
      </c>
      <c r="D9" s="20" t="s">
        <v>20</v>
      </c>
      <c r="E9" s="58" t="s">
        <v>21</v>
      </c>
      <c r="F9" s="58" t="s">
        <v>22</v>
      </c>
      <c r="G9" s="59" t="s">
        <v>23</v>
      </c>
      <c r="H9" s="62" t="s">
        <v>24</v>
      </c>
      <c r="I9" s="62" t="s">
        <v>25</v>
      </c>
      <c r="J9" s="46">
        <v>2</v>
      </c>
      <c r="K9" s="61" t="s">
        <v>26</v>
      </c>
      <c r="L9" s="59" t="s">
        <v>26</v>
      </c>
      <c r="M9" s="62" t="s">
        <v>33</v>
      </c>
      <c r="N9" s="62" t="s">
        <v>28</v>
      </c>
      <c r="O9" s="59" t="s">
        <v>29</v>
      </c>
      <c r="P9" s="63" t="s">
        <v>37</v>
      </c>
      <c r="R9" s="24" t="str">
        <f t="shared" si="0"/>
        <v>415432|182|525121|02404DG|6388CAB|F000000001|00000|2|0154|2|000000|000000|001|051|0A|000134</v>
      </c>
      <c r="S9" s="24" t="str">
        <f t="shared" si="1"/>
        <v>415432|182|525121|02404DG|6388CAB|F000000001|00000|2|0154|2|000000|000000</v>
      </c>
    </row>
    <row r="10" spans="1:19">
      <c r="A10" s="20">
        <v>415432</v>
      </c>
      <c r="B10" s="20">
        <v>182</v>
      </c>
      <c r="C10" s="57">
        <v>525121</v>
      </c>
      <c r="D10" s="20" t="s">
        <v>20</v>
      </c>
      <c r="E10" s="58" t="s">
        <v>21</v>
      </c>
      <c r="F10" s="58" t="s">
        <v>22</v>
      </c>
      <c r="G10" s="59" t="s">
        <v>23</v>
      </c>
      <c r="H10" s="62" t="s">
        <v>24</v>
      </c>
      <c r="I10" s="62" t="s">
        <v>25</v>
      </c>
      <c r="J10" s="46">
        <v>2</v>
      </c>
      <c r="K10" s="61" t="s">
        <v>26</v>
      </c>
      <c r="L10" s="59" t="s">
        <v>26</v>
      </c>
      <c r="M10" s="62" t="s">
        <v>33</v>
      </c>
      <c r="N10" s="62" t="s">
        <v>28</v>
      </c>
      <c r="O10" s="59" t="s">
        <v>29</v>
      </c>
      <c r="P10" s="63" t="s">
        <v>38</v>
      </c>
      <c r="R10" s="24" t="str">
        <f t="shared" si="0"/>
        <v>415432|182|525121|02404DG|6388CAB|F000000001|00000|2|0154|2|000000|000000|001|051|0A|000135</v>
      </c>
      <c r="S10" s="24" t="str">
        <f t="shared" si="1"/>
        <v>415432|182|525121|02404DG|6388CAB|F000000001|00000|2|0154|2|000000|000000</v>
      </c>
    </row>
    <row r="11" spans="1:19">
      <c r="A11" s="20">
        <v>415432</v>
      </c>
      <c r="B11" s="20">
        <v>182</v>
      </c>
      <c r="C11" s="57">
        <v>525121</v>
      </c>
      <c r="D11" s="20" t="s">
        <v>20</v>
      </c>
      <c r="E11" s="58" t="s">
        <v>21</v>
      </c>
      <c r="F11" s="58" t="s">
        <v>22</v>
      </c>
      <c r="G11" s="59" t="s">
        <v>23</v>
      </c>
      <c r="H11" s="62" t="s">
        <v>24</v>
      </c>
      <c r="I11" s="62" t="s">
        <v>25</v>
      </c>
      <c r="J11" s="46">
        <v>2</v>
      </c>
      <c r="K11" s="61" t="s">
        <v>26</v>
      </c>
      <c r="L11" s="59" t="s">
        <v>26</v>
      </c>
      <c r="M11" s="62" t="s">
        <v>33</v>
      </c>
      <c r="N11" s="62" t="s">
        <v>28</v>
      </c>
      <c r="O11" s="59" t="s">
        <v>29</v>
      </c>
      <c r="P11" s="63" t="s">
        <v>39</v>
      </c>
      <c r="R11" s="24" t="str">
        <f t="shared" si="0"/>
        <v>415432|182|525121|02404DG|6388CAB|F000000001|00000|2|0154|2|000000|000000|001|051|0A|000136</v>
      </c>
      <c r="S11" s="24" t="str">
        <f t="shared" si="1"/>
        <v>415432|182|525121|02404DG|6388CAB|F000000001|00000|2|0154|2|000000|000000</v>
      </c>
    </row>
    <row r="12" spans="1:19">
      <c r="A12" s="20">
        <v>415432</v>
      </c>
      <c r="B12" s="20">
        <v>182</v>
      </c>
      <c r="C12" s="57">
        <v>525121</v>
      </c>
      <c r="D12" s="20" t="s">
        <v>20</v>
      </c>
      <c r="E12" s="58" t="s">
        <v>21</v>
      </c>
      <c r="F12" s="58" t="s">
        <v>22</v>
      </c>
      <c r="G12" s="59" t="s">
        <v>23</v>
      </c>
      <c r="H12" s="62" t="s">
        <v>24</v>
      </c>
      <c r="I12" s="62" t="s">
        <v>25</v>
      </c>
      <c r="J12" s="46">
        <v>2</v>
      </c>
      <c r="K12" s="61" t="s">
        <v>26</v>
      </c>
      <c r="L12" s="59" t="s">
        <v>26</v>
      </c>
      <c r="M12" s="62" t="s">
        <v>33</v>
      </c>
      <c r="N12" s="62" t="s">
        <v>28</v>
      </c>
      <c r="O12" s="59" t="s">
        <v>29</v>
      </c>
      <c r="P12" s="63" t="s">
        <v>40</v>
      </c>
      <c r="R12" s="24" t="str">
        <f t="shared" si="0"/>
        <v>415432|182|525121|02404DG|6388CAB|F000000001|00000|2|0154|2|000000|000000|001|051|0A|000137</v>
      </c>
      <c r="S12" s="24" t="str">
        <f t="shared" si="1"/>
        <v>415432|182|525121|02404DG|6388CAB|F000000001|00000|2|0154|2|000000|000000</v>
      </c>
    </row>
    <row r="13" spans="1:19">
      <c r="A13" s="20">
        <v>415432</v>
      </c>
      <c r="B13" s="20">
        <v>182</v>
      </c>
      <c r="C13" s="57">
        <v>525121</v>
      </c>
      <c r="D13" s="20" t="s">
        <v>20</v>
      </c>
      <c r="E13" s="58" t="s">
        <v>21</v>
      </c>
      <c r="F13" s="58" t="s">
        <v>22</v>
      </c>
      <c r="G13" s="59" t="s">
        <v>23</v>
      </c>
      <c r="H13" s="62" t="s">
        <v>24</v>
      </c>
      <c r="I13" s="62" t="s">
        <v>25</v>
      </c>
      <c r="J13" s="46">
        <v>2</v>
      </c>
      <c r="K13" s="61" t="s">
        <v>26</v>
      </c>
      <c r="L13" s="59" t="s">
        <v>26</v>
      </c>
      <c r="M13" s="62" t="s">
        <v>33</v>
      </c>
      <c r="N13" s="62" t="s">
        <v>28</v>
      </c>
      <c r="O13" s="59" t="s">
        <v>29</v>
      </c>
      <c r="P13" s="63" t="s">
        <v>41</v>
      </c>
      <c r="R13" s="24" t="str">
        <f t="shared" si="0"/>
        <v>415432|182|525121|02404DG|6388CAB|F000000001|00000|2|0154|2|000000|000000|001|051|0A|000138</v>
      </c>
      <c r="S13" s="24" t="str">
        <f t="shared" si="1"/>
        <v>415432|182|525121|02404DG|6388CAB|F000000001|00000|2|0154|2|000000|000000</v>
      </c>
    </row>
    <row r="14" spans="1:19">
      <c r="A14" s="20">
        <v>415432</v>
      </c>
      <c r="B14" s="20">
        <v>182</v>
      </c>
      <c r="C14" s="57">
        <v>525121</v>
      </c>
      <c r="D14" s="20" t="s">
        <v>20</v>
      </c>
      <c r="E14" s="58" t="s">
        <v>21</v>
      </c>
      <c r="F14" s="58" t="s">
        <v>22</v>
      </c>
      <c r="G14" s="59" t="s">
        <v>23</v>
      </c>
      <c r="H14" s="62" t="s">
        <v>24</v>
      </c>
      <c r="I14" s="62" t="s">
        <v>25</v>
      </c>
      <c r="J14" s="46">
        <v>2</v>
      </c>
      <c r="K14" s="61" t="s">
        <v>26</v>
      </c>
      <c r="L14" s="59" t="s">
        <v>26</v>
      </c>
      <c r="M14" s="62" t="s">
        <v>33</v>
      </c>
      <c r="N14" s="62" t="s">
        <v>28</v>
      </c>
      <c r="O14" s="59" t="s">
        <v>29</v>
      </c>
      <c r="P14" s="63" t="s">
        <v>42</v>
      </c>
      <c r="R14" s="24" t="str">
        <f t="shared" si="0"/>
        <v>415432|182|525121|02404DG|6388CAB|F000000001|00000|2|0154|2|000000|000000|001|051|0A|000139</v>
      </c>
      <c r="S14" s="24" t="str">
        <f t="shared" si="1"/>
        <v>415432|182|525121|02404DG|6388CAB|F000000001|00000|2|0154|2|000000|000000</v>
      </c>
    </row>
    <row r="15" spans="1:19">
      <c r="A15" s="20">
        <v>415432</v>
      </c>
      <c r="B15" s="20">
        <v>182</v>
      </c>
      <c r="C15" s="57">
        <v>525121</v>
      </c>
      <c r="D15" s="20" t="s">
        <v>20</v>
      </c>
      <c r="E15" s="58" t="s">
        <v>21</v>
      </c>
      <c r="F15" s="58" t="s">
        <v>22</v>
      </c>
      <c r="G15" s="59" t="s">
        <v>23</v>
      </c>
      <c r="H15" s="62" t="s">
        <v>24</v>
      </c>
      <c r="I15" s="62" t="s">
        <v>25</v>
      </c>
      <c r="J15" s="46">
        <v>2</v>
      </c>
      <c r="K15" s="61" t="s">
        <v>26</v>
      </c>
      <c r="L15" s="59" t="s">
        <v>26</v>
      </c>
      <c r="M15" s="62" t="s">
        <v>33</v>
      </c>
      <c r="N15" s="62" t="s">
        <v>28</v>
      </c>
      <c r="O15" s="59" t="s">
        <v>29</v>
      </c>
      <c r="P15" s="63" t="s">
        <v>43</v>
      </c>
      <c r="R15" s="24" t="str">
        <f t="shared" si="0"/>
        <v>415432|182|525121|02404DG|6388CAB|F000000001|00000|2|0154|2|000000|000000|001|051|0A|000140</v>
      </c>
      <c r="S15" s="24" t="str">
        <f t="shared" si="1"/>
        <v>415432|182|525121|02404DG|6388CAB|F000000001|00000|2|0154|2|000000|000000</v>
      </c>
    </row>
    <row r="16" spans="1:19">
      <c r="A16" s="20">
        <v>415432</v>
      </c>
      <c r="B16" s="20">
        <v>182</v>
      </c>
      <c r="C16" s="57">
        <v>525121</v>
      </c>
      <c r="D16" s="20" t="s">
        <v>20</v>
      </c>
      <c r="E16" s="58" t="s">
        <v>21</v>
      </c>
      <c r="F16" s="58" t="s">
        <v>22</v>
      </c>
      <c r="G16" s="59" t="s">
        <v>23</v>
      </c>
      <c r="H16" s="62" t="s">
        <v>24</v>
      </c>
      <c r="I16" s="62" t="s">
        <v>25</v>
      </c>
      <c r="J16" s="46">
        <v>2</v>
      </c>
      <c r="K16" s="61" t="s">
        <v>26</v>
      </c>
      <c r="L16" s="59" t="s">
        <v>26</v>
      </c>
      <c r="M16" s="62" t="s">
        <v>33</v>
      </c>
      <c r="N16" s="62" t="s">
        <v>28</v>
      </c>
      <c r="O16" s="59" t="s">
        <v>29</v>
      </c>
      <c r="P16" s="63" t="s">
        <v>44</v>
      </c>
      <c r="R16" s="24" t="str">
        <f t="shared" si="0"/>
        <v>415432|182|525121|02404DG|6388CAB|F000000001|00000|2|0154|2|000000|000000|001|051|0A|000141</v>
      </c>
      <c r="S16" s="24" t="str">
        <f t="shared" si="1"/>
        <v>415432|182|525121|02404DG|6388CAB|F000000001|00000|2|0154|2|000000|000000</v>
      </c>
    </row>
  </sheetData>
  <autoFilter ref="A1:S16">
    <extLst/>
  </autoFilter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opLeftCell="J1" workbookViewId="0">
      <selection activeCell="O3" sqref="O3"/>
    </sheetView>
  </sheetViews>
  <sheetFormatPr defaultColWidth="8.85185185185185" defaultRowHeight="14.4" outlineLevelRow="3"/>
  <cols>
    <col min="1" max="1" width="13.1111111111111" customWidth="1"/>
    <col min="2" max="2" width="16.6666666666667" customWidth="1"/>
    <col min="3" max="3" width="13.8888888888889" customWidth="1"/>
    <col min="4" max="4" width="20.6666666666667" customWidth="1"/>
    <col min="5" max="5" width="20.6666666666667" style="37" customWidth="1"/>
    <col min="6" max="6" width="18.3333333333333" style="37" customWidth="1"/>
    <col min="7" max="7" width="12.4259259259259" style="23" customWidth="1"/>
    <col min="8" max="8" width="12.287037037037" style="23" customWidth="1"/>
    <col min="9" max="9" width="19.8888888888889" style="38" customWidth="1"/>
    <col min="10" max="10" width="9.57407407407407" style="23" customWidth="1"/>
    <col min="11" max="11" width="14.5555555555556" style="23" customWidth="1"/>
    <col min="12" max="12" width="23.1111111111111" style="39" customWidth="1"/>
    <col min="13" max="13" width="20.6666666666667" style="23" customWidth="1"/>
    <col min="14" max="14" width="13.8888888888889" style="23" customWidth="1"/>
    <col min="15" max="15" width="66.5555555555556" style="23" customWidth="1"/>
    <col min="16" max="16" width="15.8518518518519" style="23" customWidth="1"/>
    <col min="17" max="17" width="18.5555555555556" style="23" customWidth="1"/>
    <col min="18" max="18" width="20.6666666666667" style="25" customWidth="1"/>
    <col min="19" max="19" width="23" style="26" customWidth="1"/>
    <col min="20" max="20" width="14.5555555555556" style="23" customWidth="1"/>
    <col min="21" max="21" width="13.4444444444444" style="23"/>
    <col min="22" max="23" width="8.85185185185185" style="23"/>
    <col min="24" max="26" width="14.5555555555556" style="23"/>
    <col min="27" max="16383" width="8.85185185185185" style="23"/>
  </cols>
  <sheetData>
    <row r="1" customFormat="1" spans="1:19">
      <c r="A1" s="16" t="s">
        <v>0</v>
      </c>
      <c r="B1" s="16" t="s">
        <v>1</v>
      </c>
      <c r="C1" s="16"/>
      <c r="D1" s="16"/>
      <c r="E1" s="40"/>
      <c r="F1" s="41"/>
      <c r="G1" s="16"/>
      <c r="H1" s="42"/>
      <c r="I1" s="50"/>
      <c r="J1" s="16"/>
      <c r="K1" s="16"/>
      <c r="L1" s="16"/>
      <c r="M1" s="16"/>
      <c r="N1" s="16"/>
      <c r="O1" s="16"/>
      <c r="P1" s="17"/>
      <c r="Q1" s="17"/>
      <c r="R1" s="27"/>
      <c r="S1" s="28"/>
    </row>
    <row r="2" customFormat="1" ht="106" customHeight="1" spans="1:19">
      <c r="A2" s="18" t="s">
        <v>3</v>
      </c>
      <c r="B2" s="18" t="s">
        <v>45</v>
      </c>
      <c r="C2" s="18" t="s">
        <v>46</v>
      </c>
      <c r="D2" s="18" t="s">
        <v>47</v>
      </c>
      <c r="E2" s="43" t="s">
        <v>48</v>
      </c>
      <c r="F2" s="44" t="s">
        <v>49</v>
      </c>
      <c r="G2" s="18" t="s">
        <v>50</v>
      </c>
      <c r="H2" s="45" t="s">
        <v>51</v>
      </c>
      <c r="I2" s="51" t="s">
        <v>52</v>
      </c>
      <c r="J2" s="18" t="s">
        <v>53</v>
      </c>
      <c r="K2" s="18" t="s">
        <v>54</v>
      </c>
      <c r="L2" s="18" t="s">
        <v>55</v>
      </c>
      <c r="M2" s="18" t="s">
        <v>56</v>
      </c>
      <c r="N2" s="18" t="s">
        <v>57</v>
      </c>
      <c r="O2" s="18" t="s">
        <v>58</v>
      </c>
      <c r="P2" s="19"/>
      <c r="Q2" s="19"/>
      <c r="R2" s="55"/>
      <c r="S2" s="28"/>
    </row>
    <row r="3" spans="1:18">
      <c r="A3" s="29">
        <v>415432</v>
      </c>
      <c r="B3" s="30">
        <v>2022</v>
      </c>
      <c r="C3" s="46" t="s">
        <v>59</v>
      </c>
      <c r="D3" s="64" t="s">
        <v>60</v>
      </c>
      <c r="E3" s="64" t="s">
        <v>60</v>
      </c>
      <c r="F3" s="48" t="s">
        <v>61</v>
      </c>
      <c r="G3" s="49">
        <v>1</v>
      </c>
      <c r="H3" s="47" t="s">
        <v>62</v>
      </c>
      <c r="I3" s="52" t="s">
        <v>63</v>
      </c>
      <c r="J3" s="46" t="s">
        <v>64</v>
      </c>
      <c r="K3" s="53">
        <v>27317068</v>
      </c>
      <c r="L3" s="54" t="s">
        <v>65</v>
      </c>
      <c r="M3" s="64" t="s">
        <v>66</v>
      </c>
      <c r="N3" s="54">
        <v>1</v>
      </c>
      <c r="O3" s="47" t="s">
        <v>67</v>
      </c>
      <c r="P3" s="32"/>
      <c r="Q3" s="24" t="str">
        <f>A3&amp;"|"&amp;B3&amp;"|"&amp;C3&amp;"|"&amp;D3&amp;"|"&amp;E3&amp;"|"&amp;F3&amp;"|"&amp;G3&amp;"|"&amp;H3&amp;"|"&amp;I3&amp;"|"&amp;J3&amp;"|"&amp;K3&amp;"|"&amp;L3&amp;"|"&amp;M3&amp;"|"&amp;N3&amp;"|"&amp;O3</f>
        <v>415432|2022|228/OB/01/22|2022-01-31 00:00:00.000|2022-01-31 00:00:00.000|PEMBAYARAN OBAT|1|TIM PENERIMA|8100124154321000|IDR|27317068|DIPA-024.04.2.415432/2022|2021-11-17 00:00:00.000|1| 415432.182.525121.02404DG.6388CAB.F000000001.00000.2.0154.2.000000.000000</v>
      </c>
      <c r="R3" s="34"/>
    </row>
    <row r="4" spans="17:25">
      <c r="Q4" s="24"/>
      <c r="Y4" s="56"/>
    </row>
  </sheetData>
  <autoFilter ref="A1:R3">
    <extLst/>
  </autoFilter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E2" sqref="E2:E7"/>
    </sheetView>
  </sheetViews>
  <sheetFormatPr defaultColWidth="8.85185185185185" defaultRowHeight="14.4" outlineLevelRow="7" outlineLevelCol="7"/>
  <cols>
    <col min="1" max="1" width="17.5555555555556" customWidth="1"/>
    <col min="2" max="2" width="30.8888888888889" customWidth="1"/>
    <col min="3" max="3" width="15.2222222222222" customWidth="1"/>
    <col min="4" max="4" width="15.8518518518519" style="23" customWidth="1"/>
    <col min="5" max="5" width="18.5555555555556" style="23" customWidth="1"/>
    <col min="6" max="6" width="20.6666666666667" style="25" customWidth="1"/>
    <col min="7" max="7" width="23" style="26" customWidth="1"/>
    <col min="8" max="8" width="14.5555555555556" style="23" customWidth="1"/>
    <col min="9" max="9" width="13.4444444444444" style="23"/>
    <col min="10" max="11" width="8.85185185185185" style="23"/>
    <col min="12" max="14" width="14.5555555555556" style="23"/>
    <col min="15" max="16371" width="8.85185185185185" style="23"/>
  </cols>
  <sheetData>
    <row r="1" customFormat="1" spans="1:7">
      <c r="A1" s="16" t="s">
        <v>68</v>
      </c>
      <c r="B1" s="16" t="s">
        <v>69</v>
      </c>
      <c r="C1" s="16" t="s">
        <v>70</v>
      </c>
      <c r="D1" s="17"/>
      <c r="E1" s="17"/>
      <c r="F1" s="27"/>
      <c r="G1" s="28"/>
    </row>
    <row r="2" s="23" customFormat="1" spans="1:8">
      <c r="A2" s="29" t="s">
        <v>71</v>
      </c>
      <c r="B2" s="30">
        <v>14449</v>
      </c>
      <c r="C2" s="31">
        <v>1020</v>
      </c>
      <c r="D2" s="32"/>
      <c r="E2" s="33" t="str">
        <f t="shared" ref="E2:E7" si="0">A2&amp;"|"&amp;B2&amp;"|"&amp;C2</f>
        <v>1010401002|14449|1020</v>
      </c>
      <c r="F2" s="34"/>
      <c r="G2" s="35" t="str">
        <f t="shared" ref="G2:G7" si="1">A2&amp;"|,|"&amp;B2&amp;"|,|"&amp;C2&amp;"|"</f>
        <v>1010401002|,|14449|,|1020|</v>
      </c>
      <c r="H2" s="36">
        <f t="shared" ref="H2:H7" si="2">C2*B2</f>
        <v>14737980</v>
      </c>
    </row>
    <row r="3" s="23" customFormat="1" spans="1:8">
      <c r="A3" s="20" t="s">
        <v>71</v>
      </c>
      <c r="B3" s="20">
        <v>27302</v>
      </c>
      <c r="C3" s="22">
        <v>100</v>
      </c>
      <c r="E3" s="33" t="str">
        <f t="shared" si="0"/>
        <v>1010401002|27302|100</v>
      </c>
      <c r="F3" s="25"/>
      <c r="G3" s="35" t="str">
        <f t="shared" si="1"/>
        <v>1010401002|,|27302|,|100|</v>
      </c>
      <c r="H3" s="36">
        <f t="shared" si="2"/>
        <v>2730200</v>
      </c>
    </row>
    <row r="4" s="23" customFormat="1" spans="1:8">
      <c r="A4" s="20" t="s">
        <v>71</v>
      </c>
      <c r="B4" s="20">
        <v>2034</v>
      </c>
      <c r="C4" s="22">
        <v>2000</v>
      </c>
      <c r="E4" s="33" t="str">
        <f t="shared" si="0"/>
        <v>1010401002|2034|2000</v>
      </c>
      <c r="F4" s="25"/>
      <c r="G4" s="35" t="str">
        <f t="shared" si="1"/>
        <v>1010401002|,|2034|,|2000|</v>
      </c>
      <c r="H4" s="36">
        <f t="shared" si="2"/>
        <v>4068000</v>
      </c>
    </row>
    <row r="5" s="23" customFormat="1" spans="1:8">
      <c r="A5" s="20" t="s">
        <v>72</v>
      </c>
      <c r="B5" s="20">
        <v>25191</v>
      </c>
      <c r="C5" s="22">
        <v>84</v>
      </c>
      <c r="E5" s="33" t="str">
        <f t="shared" si="0"/>
        <v>1010401999|25191|84</v>
      </c>
      <c r="F5" s="25"/>
      <c r="G5" s="35" t="str">
        <f t="shared" si="1"/>
        <v>1010401999|,|25191|,|84|</v>
      </c>
      <c r="H5" s="36">
        <f t="shared" si="2"/>
        <v>2116044</v>
      </c>
    </row>
    <row r="6" s="23" customFormat="1" spans="1:8">
      <c r="A6" s="20" t="s">
        <v>72</v>
      </c>
      <c r="B6" s="20">
        <v>25191</v>
      </c>
      <c r="C6" s="22">
        <v>84</v>
      </c>
      <c r="E6" s="33" t="str">
        <f t="shared" si="0"/>
        <v>1010401999|25191|84</v>
      </c>
      <c r="F6" s="25"/>
      <c r="G6" s="35" t="str">
        <f t="shared" si="1"/>
        <v>1010401999|,|25191|,|84|</v>
      </c>
      <c r="H6" s="36">
        <f t="shared" si="2"/>
        <v>2116044</v>
      </c>
    </row>
    <row r="7" s="23" customFormat="1" spans="1:8">
      <c r="A7" s="20" t="s">
        <v>73</v>
      </c>
      <c r="B7" s="20">
        <v>77440</v>
      </c>
      <c r="C7" s="22">
        <v>20</v>
      </c>
      <c r="E7" s="33" t="str">
        <f t="shared" si="0"/>
        <v>1010401005|77440|20</v>
      </c>
      <c r="F7" s="25"/>
      <c r="G7" s="35" t="str">
        <f t="shared" si="1"/>
        <v>1010401005|,|77440|,|20|</v>
      </c>
      <c r="H7" s="36">
        <f t="shared" si="2"/>
        <v>1548800</v>
      </c>
    </row>
    <row r="8" spans="8:8">
      <c r="H8" s="23">
        <f>SUM(H2:H7)</f>
        <v>27317068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3" sqref="F3"/>
    </sheetView>
  </sheetViews>
  <sheetFormatPr defaultColWidth="8.88888888888889" defaultRowHeight="14.4" outlineLevelRow="2" outlineLevelCol="5"/>
  <cols>
    <col min="1" max="1" width="85.6666666666667" customWidth="1"/>
    <col min="2" max="3" width="12.8888888888889"/>
  </cols>
  <sheetData>
    <row r="1" spans="1:6">
      <c r="A1" s="16"/>
      <c r="B1" s="16"/>
      <c r="C1" s="16"/>
      <c r="D1" s="16"/>
      <c r="E1" s="17"/>
      <c r="F1" s="17"/>
    </row>
    <row r="2" ht="34.2" spans="1:6">
      <c r="A2" s="18" t="s">
        <v>74</v>
      </c>
      <c r="B2" s="18" t="s">
        <v>75</v>
      </c>
      <c r="C2" s="18" t="s">
        <v>76</v>
      </c>
      <c r="D2" s="18" t="s">
        <v>77</v>
      </c>
      <c r="E2" s="19"/>
      <c r="F2" s="19"/>
    </row>
    <row r="3" spans="1:6">
      <c r="A3" s="20" t="s">
        <v>78</v>
      </c>
      <c r="B3" s="21">
        <v>27317068</v>
      </c>
      <c r="C3" s="22">
        <v>27317068</v>
      </c>
      <c r="D3" s="20">
        <v>4</v>
      </c>
      <c r="E3" s="23"/>
      <c r="F3" s="24" t="str">
        <f>A3&amp;"|"&amp;B3&amp;"|"&amp;C3&amp;"|"&amp;D3</f>
        <v>415432.182.525121.02404DG.6388CAB.F000000001.00000.2.0154.2.000000.000000.003.051.0A.000286|27317068|27317068|4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selection activeCell="F5" sqref="F5"/>
    </sheetView>
  </sheetViews>
  <sheetFormatPr defaultColWidth="8.88888888888889" defaultRowHeight="14.4"/>
  <cols>
    <col min="1" max="1" width="22" customWidth="1"/>
    <col min="2" max="2" width="33" customWidth="1"/>
    <col min="3" max="3" width="17.1111111111111" customWidth="1"/>
    <col min="4" max="4" width="13.4444444444444" customWidth="1"/>
    <col min="5" max="5" width="23.4444444444444" customWidth="1"/>
    <col min="6" max="6" width="5.66666666666667" customWidth="1"/>
    <col min="7" max="7" width="18.4444444444444" customWidth="1"/>
    <col min="8" max="8" width="15.5555555555556" customWidth="1"/>
    <col min="9" max="9" width="19" customWidth="1"/>
    <col min="10" max="10" width="13.5555555555556" customWidth="1"/>
    <col min="11" max="11" width="12.4444444444444" customWidth="1"/>
    <col min="12" max="12" width="17.5555555555556" customWidth="1"/>
    <col min="13" max="13" width="11.5555555555556" customWidth="1"/>
    <col min="14" max="14" width="9.22222222222222" customWidth="1"/>
    <col min="15" max="15" width="10.2222222222222" customWidth="1"/>
    <col min="16" max="16" width="15.8888888888889" customWidth="1"/>
    <col min="17" max="17" width="21" customWidth="1"/>
  </cols>
  <sheetData>
    <row r="1" spans="1:17">
      <c r="A1" s="4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  <c r="G1" s="5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5" t="s">
        <v>91</v>
      </c>
      <c r="N1" s="4" t="s">
        <v>92</v>
      </c>
      <c r="O1" s="4" t="s">
        <v>93</v>
      </c>
      <c r="P1" s="4" t="s">
        <v>94</v>
      </c>
      <c r="Q1" s="4" t="s">
        <v>95</v>
      </c>
    </row>
    <row r="2" spans="1:17">
      <c r="A2" s="6"/>
      <c r="B2" s="6"/>
      <c r="C2" s="6"/>
      <c r="D2" s="6"/>
      <c r="E2" s="6"/>
      <c r="F2" s="6"/>
      <c r="G2" s="4" t="s">
        <v>96</v>
      </c>
      <c r="H2" s="6"/>
      <c r="I2" s="6"/>
      <c r="J2" s="6"/>
      <c r="K2" s="6"/>
      <c r="L2" s="6"/>
      <c r="M2" s="5" t="s">
        <v>97</v>
      </c>
      <c r="N2" s="6"/>
      <c r="O2" s="6"/>
      <c r="P2" s="6"/>
      <c r="Q2" s="6"/>
    </row>
    <row r="3" spans="1:17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5" t="s">
        <v>98</v>
      </c>
      <c r="N3" s="7"/>
      <c r="O3" s="7"/>
      <c r="P3" s="7"/>
      <c r="Q3" s="7"/>
    </row>
    <row r="4" spans="1:18">
      <c r="A4" s="65" t="s">
        <v>99</v>
      </c>
      <c r="B4" s="8" t="s">
        <v>100</v>
      </c>
      <c r="C4" s="66" t="s">
        <v>101</v>
      </c>
      <c r="D4" s="10" t="s">
        <v>102</v>
      </c>
      <c r="E4" s="8" t="s">
        <v>103</v>
      </c>
      <c r="F4" s="8">
        <v>2022</v>
      </c>
      <c r="G4" s="66" t="s">
        <v>101</v>
      </c>
      <c r="H4" s="66" t="s">
        <v>101</v>
      </c>
      <c r="I4" s="67" t="s">
        <v>104</v>
      </c>
      <c r="J4" s="12">
        <v>1020</v>
      </c>
      <c r="K4" s="8">
        <v>14449.74</v>
      </c>
      <c r="L4" s="8"/>
      <c r="M4" s="8"/>
      <c r="N4" s="8"/>
      <c r="O4" s="8"/>
      <c r="P4" s="8"/>
      <c r="Q4" s="15" t="s">
        <v>103</v>
      </c>
      <c r="R4" t="str">
        <f t="shared" ref="R4:R9" si="0">""&amp;A4&amp;"|"&amp;B4&amp;"|"&amp;C4&amp;"|"&amp;D4&amp;"|"&amp;E4&amp;"|"&amp;F4&amp;"|"&amp;G4&amp;"|"&amp;H4&amp;"|"&amp;I4&amp;"|"&amp;J4&amp;"|"&amp;K4&amp;"|"&amp;L4&amp;"|"&amp;M4&amp;"|"&amp;N4&amp;"|"&amp;O4&amp;"|"&amp;P4&amp;"|"&amp;Q4&amp;"|"</f>
        <v>4154320000000000001|opr_415432_201604198602021038|2022-01-31 15:13:31|K01|024040100415432001KD|2022|2022-01-31 15:13:31|2022-01-31 15:13:31|1010401002000430|1020|14449.74||||||024040100415432001KD|</v>
      </c>
    </row>
    <row r="5" spans="1:18">
      <c r="A5" s="65" t="s">
        <v>105</v>
      </c>
      <c r="B5" s="8" t="s">
        <v>100</v>
      </c>
      <c r="C5" s="66" t="s">
        <v>101</v>
      </c>
      <c r="D5" s="10" t="s">
        <v>102</v>
      </c>
      <c r="E5" s="8" t="s">
        <v>103</v>
      </c>
      <c r="F5" s="8">
        <v>2022</v>
      </c>
      <c r="G5" s="66" t="s">
        <v>101</v>
      </c>
      <c r="H5" s="66" t="s">
        <v>101</v>
      </c>
      <c r="I5" s="13" t="s">
        <v>104</v>
      </c>
      <c r="J5" s="12">
        <v>100</v>
      </c>
      <c r="K5" s="8">
        <v>27302</v>
      </c>
      <c r="L5" s="8"/>
      <c r="M5" s="8"/>
      <c r="N5" s="8"/>
      <c r="O5" s="8"/>
      <c r="P5" s="8"/>
      <c r="Q5" s="15" t="s">
        <v>103</v>
      </c>
      <c r="R5" t="str">
        <f t="shared" si="0"/>
        <v>4154320000000000002|opr_415432_201604198602021038|2022-01-31 15:13:31|K01|024040100415432001KD|2022|2022-01-31 15:13:31|2022-01-31 15:13:31|1010401002000430|100|27302||||||024040100415432001KD|</v>
      </c>
    </row>
    <row r="6" spans="1:18">
      <c r="A6" s="65" t="s">
        <v>106</v>
      </c>
      <c r="B6" s="8" t="s">
        <v>100</v>
      </c>
      <c r="C6" s="66" t="s">
        <v>101</v>
      </c>
      <c r="D6" s="10" t="s">
        <v>102</v>
      </c>
      <c r="E6" s="8" t="s">
        <v>103</v>
      </c>
      <c r="F6" s="8">
        <v>2022</v>
      </c>
      <c r="G6" s="66" t="s">
        <v>101</v>
      </c>
      <c r="H6" s="66" t="s">
        <v>101</v>
      </c>
      <c r="I6" s="14" t="s">
        <v>107</v>
      </c>
      <c r="J6" s="12">
        <v>2000</v>
      </c>
      <c r="K6" s="8">
        <v>2034.34</v>
      </c>
      <c r="L6" s="8"/>
      <c r="M6" s="8"/>
      <c r="N6" s="8"/>
      <c r="O6" s="8"/>
      <c r="P6" s="8"/>
      <c r="Q6" s="15" t="s">
        <v>103</v>
      </c>
      <c r="R6" t="str">
        <f t="shared" si="0"/>
        <v>4154320000000000003|opr_415432_201604198602021038|2022-01-31 15:13:31|K01|024040100415432001KD|2022|2022-01-31 15:13:31|2022-01-31 15:13:31|1010401002000320|2000|2034.34||||||024040100415432001KD|</v>
      </c>
    </row>
    <row r="7" spans="1:18">
      <c r="A7" s="65" t="s">
        <v>108</v>
      </c>
      <c r="B7" s="8" t="s">
        <v>100</v>
      </c>
      <c r="C7" s="66" t="s">
        <v>101</v>
      </c>
      <c r="D7" s="10" t="s">
        <v>102</v>
      </c>
      <c r="E7" s="8" t="s">
        <v>103</v>
      </c>
      <c r="F7" s="8">
        <v>2022</v>
      </c>
      <c r="G7" s="66" t="s">
        <v>101</v>
      </c>
      <c r="H7" s="66" t="s">
        <v>101</v>
      </c>
      <c r="I7" s="14" t="s">
        <v>109</v>
      </c>
      <c r="J7" s="12">
        <v>84</v>
      </c>
      <c r="K7" s="8">
        <v>25191.96</v>
      </c>
      <c r="L7" s="8"/>
      <c r="M7" s="8"/>
      <c r="N7" s="8"/>
      <c r="O7" s="8"/>
      <c r="P7" s="8"/>
      <c r="Q7" s="15" t="s">
        <v>103</v>
      </c>
      <c r="R7" t="str">
        <f t="shared" si="0"/>
        <v>4154320000000000004|opr_415432_201604198602021038|2022-01-31 15:13:31|K01|024040100415432001KD|2022|2022-01-31 15:13:31|2022-01-31 15:13:31|1010401999000540|84|25191.96||||||024040100415432001KD|</v>
      </c>
    </row>
    <row r="8" spans="1:18">
      <c r="A8" s="65" t="s">
        <v>110</v>
      </c>
      <c r="B8" s="8" t="s">
        <v>100</v>
      </c>
      <c r="C8" s="66" t="s">
        <v>101</v>
      </c>
      <c r="D8" s="10" t="s">
        <v>102</v>
      </c>
      <c r="E8" s="8" t="s">
        <v>103</v>
      </c>
      <c r="F8" s="8">
        <v>2022</v>
      </c>
      <c r="G8" s="66" t="s">
        <v>101</v>
      </c>
      <c r="H8" s="66" t="s">
        <v>101</v>
      </c>
      <c r="I8" s="14" t="s">
        <v>111</v>
      </c>
      <c r="J8" s="12">
        <v>84</v>
      </c>
      <c r="K8" s="8">
        <v>25191.96</v>
      </c>
      <c r="L8" s="8"/>
      <c r="M8" s="8"/>
      <c r="N8" s="8"/>
      <c r="O8" s="8"/>
      <c r="P8" s="8"/>
      <c r="Q8" s="15" t="s">
        <v>103</v>
      </c>
      <c r="R8" t="str">
        <f t="shared" si="0"/>
        <v>4154320000000000005|opr_415432_201604198602021038|2022-01-31 15:13:31|K01|024040100415432001KD|2022|2022-01-31 15:13:31|2022-01-31 15:13:31|1010401999000330|84|25191.96||||||024040100415432001KD|</v>
      </c>
    </row>
    <row r="9" spans="1:18">
      <c r="A9" s="65" t="s">
        <v>112</v>
      </c>
      <c r="B9" s="8" t="s">
        <v>100</v>
      </c>
      <c r="C9" s="66" t="s">
        <v>101</v>
      </c>
      <c r="D9" s="10" t="s">
        <v>102</v>
      </c>
      <c r="E9" s="8" t="s">
        <v>103</v>
      </c>
      <c r="F9" s="8">
        <v>2022</v>
      </c>
      <c r="G9" s="66" t="s">
        <v>101</v>
      </c>
      <c r="H9" s="66" t="s">
        <v>101</v>
      </c>
      <c r="I9" s="14" t="s">
        <v>113</v>
      </c>
      <c r="J9" s="12">
        <v>20</v>
      </c>
      <c r="K9" s="8">
        <v>77440</v>
      </c>
      <c r="L9" s="8"/>
      <c r="M9" s="8"/>
      <c r="N9" s="8"/>
      <c r="O9" s="8"/>
      <c r="P9" s="8"/>
      <c r="Q9" s="15" t="s">
        <v>103</v>
      </c>
      <c r="R9" t="str">
        <f t="shared" si="0"/>
        <v>4154320000000000006|opr_415432_201604198602021038|2022-01-31 15:13:31|K01|024040100415432001KD|2022|2022-01-31 15:13:31|2022-01-31 15:13:31|1010401005000070|20|77440||||||024040100415432001KD|</v>
      </c>
    </row>
  </sheetData>
  <mergeCells count="16">
    <mergeCell ref="A1:A3"/>
    <mergeCell ref="B1:B3"/>
    <mergeCell ref="C1:C3"/>
    <mergeCell ref="D1:D3"/>
    <mergeCell ref="E1:E3"/>
    <mergeCell ref="F1:F3"/>
    <mergeCell ref="G2:G3"/>
    <mergeCell ref="H1:H3"/>
    <mergeCell ref="I1:I3"/>
    <mergeCell ref="J1:J3"/>
    <mergeCell ref="K1:K3"/>
    <mergeCell ref="L1:L3"/>
    <mergeCell ref="N1:N3"/>
    <mergeCell ref="O1:O3"/>
    <mergeCell ref="P1:P3"/>
    <mergeCell ref="Q1:Q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E12" sqref="E12"/>
    </sheetView>
  </sheetViews>
  <sheetFormatPr defaultColWidth="8.88888888888889" defaultRowHeight="14.4"/>
  <cols>
    <col min="1" max="1" width="34.1111111111111" customWidth="1"/>
    <col min="2" max="2" width="36.8888888888889" customWidth="1"/>
    <col min="3" max="3" width="26.2222222222222" customWidth="1"/>
    <col min="6" max="6" width="16.5555555555556" customWidth="1"/>
    <col min="10" max="10" width="38" customWidth="1"/>
  </cols>
  <sheetData>
    <row r="1" ht="48" customHeight="1" spans="1:13">
      <c r="A1" s="1" t="s">
        <v>114</v>
      </c>
      <c r="B1" s="1" t="s">
        <v>115</v>
      </c>
      <c r="C1" s="2" t="s">
        <v>116</v>
      </c>
      <c r="D1" s="2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16 SEGMEN</vt:lpstr>
      <vt:lpstr>HEADER</vt:lpstr>
      <vt:lpstr>DETAIL BARANG</vt:lpstr>
      <vt:lpstr>DETAIL COA</vt:lpstr>
      <vt:lpstr>per 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RSUP FATMAWATI</cp:lastModifiedBy>
  <dcterms:created xsi:type="dcterms:W3CDTF">2017-10-09T10:01:00Z</dcterms:created>
  <cp:lastPrinted>2018-10-03T09:14:00Z</cp:lastPrinted>
  <dcterms:modified xsi:type="dcterms:W3CDTF">2022-11-28T01:30:32Z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90321713A2734EB99C66E71C17AEA713</vt:lpwstr>
  </property>
</Properties>
</file>