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#2022\Request\221027_InterkoneksiSAKTI\"/>
    </mc:Choice>
  </mc:AlternateContent>
  <bookViews>
    <workbookView xWindow="-105" yWindow="-105" windowWidth="23250" windowHeight="12450" firstSheet="1" activeTab="2"/>
  </bookViews>
  <sheets>
    <sheet name="Umum" sheetId="6" r:id="rId1"/>
    <sheet name="TransaksiPembelian" sheetId="5" r:id="rId2"/>
    <sheet name="TransaksiNonPembelian&amp;Referensi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2" i="3" l="1"/>
  <c r="B42" i="3"/>
  <c r="I25" i="3"/>
  <c r="B25" i="3"/>
  <c r="J88" i="5"/>
  <c r="B88" i="5"/>
  <c r="J70" i="5"/>
  <c r="B70" i="5"/>
  <c r="J47" i="5"/>
  <c r="B47" i="5"/>
  <c r="J31" i="5"/>
  <c r="B31" i="5"/>
  <c r="I29" i="3" l="1"/>
  <c r="J82" i="5"/>
  <c r="J59" i="5"/>
  <c r="J60" i="5"/>
  <c r="J44" i="5"/>
</calcChain>
</file>

<file path=xl/sharedStrings.xml><?xml version="1.0" encoding="utf-8"?>
<sst xmlns="http://schemas.openxmlformats.org/spreadsheetml/2006/main" count="691" uniqueCount="229">
  <si>
    <t>ID</t>
  </si>
  <si>
    <t>CREATED_BY</t>
  </si>
  <si>
    <t>CREATED_DATE</t>
  </si>
  <si>
    <t>KODE_TAHUN_ANGGARAN</t>
  </si>
  <si>
    <t>NO_DOKUMEN</t>
  </si>
  <si>
    <t>TGL_DOKUMEN</t>
  </si>
  <si>
    <t>No</t>
  </si>
  <si>
    <t>NUMBER</t>
  </si>
  <si>
    <t>user yang meng-create data</t>
  </si>
  <si>
    <t>Tanggal create data</t>
  </si>
  <si>
    <t>TIMESTAMP</t>
  </si>
  <si>
    <t>KODE_BARANG</t>
  </si>
  <si>
    <t>Column Name</t>
  </si>
  <si>
    <t>Type</t>
  </si>
  <si>
    <t>Type Mod</t>
  </si>
  <si>
    <t>Not Null</t>
  </si>
  <si>
    <t>Default</t>
  </si>
  <si>
    <t>Comment</t>
  </si>
  <si>
    <t>VARCHAR2(50)</t>
  </si>
  <si>
    <t>[NULL]</t>
  </si>
  <si>
    <t>NUMBER(19,0)</t>
  </si>
  <si>
    <t>VARCHAR2(255)</t>
  </si>
  <si>
    <t>Tabel:</t>
  </si>
  <si>
    <t>KAMUS DATA DAN DATA SAMPEL</t>
  </si>
  <si>
    <t>tahun anggaran transaksi</t>
  </si>
  <si>
    <t>00402174/CC/32/30/06/2022</t>
  </si>
  <si>
    <t>ANDI BASKORO</t>
  </si>
  <si>
    <t>opr_321321_199001182012102001</t>
  </si>
  <si>
    <t>2022-06-28 00:00:00.000</t>
  </si>
  <si>
    <t>KODE_UAKPB</t>
  </si>
  <si>
    <t>DESKRIPSI_BARANG</t>
  </si>
  <si>
    <t>SATUAN</t>
  </si>
  <si>
    <t>Deskripsi Barang</t>
  </si>
  <si>
    <t>HVS</t>
  </si>
  <si>
    <t>RIM</t>
  </si>
  <si>
    <t>1010302001000001</t>
  </si>
  <si>
    <t>PER_T_BLU_TEMP</t>
  </si>
  <si>
    <t>KODE_JENIS_TRANSAKSI</t>
  </si>
  <si>
    <t>TGL_PEMBUKUAN</t>
  </si>
  <si>
    <t>NO_BUKTI</t>
  </si>
  <si>
    <t>Primary Key(PK), ID didapat dari sequeces oracle  SEQ_PER_BLU_TEMP</t>
  </si>
  <si>
    <t>Sampel Data</t>
  </si>
  <si>
    <t xml:space="preserve">kode uakpb </t>
  </si>
  <si>
    <t>Jenis Transaksi K01</t>
  </si>
  <si>
    <t>No Bukti Transaksi</t>
  </si>
  <si>
    <t>015090900537770000KD</t>
  </si>
  <si>
    <t>K01</t>
  </si>
  <si>
    <t>VARCHAR2(3)</t>
  </si>
  <si>
    <t>2022-06-28</t>
  </si>
  <si>
    <t>024040100415423002KD202100050K</t>
  </si>
  <si>
    <t>nomor dokumen transaksi, generate by sistem</t>
  </si>
  <si>
    <t>JUMLAH</t>
  </si>
  <si>
    <t>HARGA_SATUAN</t>
  </si>
  <si>
    <t>KETERANGAN</t>
  </si>
  <si>
    <t>Uraian/Keterangan</t>
  </si>
  <si>
    <t>PER_R_BLU_TEMP</t>
  </si>
  <si>
    <t>Kode Barang 16 Digit</t>
  </si>
  <si>
    <t>Jumlah Barang</t>
  </si>
  <si>
    <t xml:space="preserve">Harga Satuan </t>
  </si>
  <si>
    <t>KODE</t>
  </si>
  <si>
    <t>1010301010000001015090900537770000KD</t>
  </si>
  <si>
    <t>kode uakpb Induk</t>
  </si>
  <si>
    <t>KODE_SUBSUBKELOMPOK</t>
  </si>
  <si>
    <t>Kode SubsubKelompok 10 Digit</t>
  </si>
  <si>
    <t>1010302001</t>
  </si>
  <si>
    <t>Temp Table Transaksi BLU dan Referensi</t>
  </si>
  <si>
    <t>tanggal dokumen transaksi, 
format YYYY-MM-DD</t>
  </si>
  <si>
    <t>tgl Pembukuan
format YYYY-MM-DD</t>
  </si>
  <si>
    <t>VARCHAR2(4)</t>
  </si>
  <si>
    <t>NUMBER(10)</t>
  </si>
  <si>
    <t>PROCESS_FLAG</t>
  </si>
  <si>
    <t>ERROR_FLAG</t>
  </si>
  <si>
    <t>ERROR_DESC</t>
  </si>
  <si>
    <t>Error Flag</t>
  </si>
  <si>
    <t>Error Code</t>
  </si>
  <si>
    <t>Flag Sudah di Process atau Belum
0 New
1 Processed</t>
  </si>
  <si>
    <t>Primary Key(PK), ID didapat dari sequeces oracle  SEQ_PER_BLU_REF</t>
  </si>
  <si>
    <t>Kombinasi Kode Barang (16 Digit) dan Kode UAKPB Induk</t>
  </si>
  <si>
    <t>Satuan Barang</t>
  </si>
  <si>
    <t>093010199626397000KP</t>
  </si>
  <si>
    <t>Kode UAKPB</t>
  </si>
  <si>
    <t>versioning data</t>
  </si>
  <si>
    <t>NUMBER(10,0)</t>
  </si>
  <si>
    <t>VERSION</t>
  </si>
  <si>
    <t>user yang melakukan perubahan</t>
  </si>
  <si>
    <t>MODIFIED_BY</t>
  </si>
  <si>
    <t>Foreign Key(FK), link ke table API_T_BAST_NONK_DETAIL</t>
  </si>
  <si>
    <t>ID_DETAIL</t>
  </si>
  <si>
    <t>Jumlah barang</t>
  </si>
  <si>
    <t>JUMLAH_BARANG</t>
  </si>
  <si>
    <t>harga satuan barang/persediaan</t>
  </si>
  <si>
    <t>NUMBER(19,2)</t>
  </si>
  <si>
    <t>HARGA</t>
  </si>
  <si>
    <t>Kode barang/persediaan 16 Digit</t>
  </si>
  <si>
    <t>Tanggal perubahan data</t>
  </si>
  <si>
    <t>MODIFIED_DATE</t>
  </si>
  <si>
    <t>flag deleted, 1=deleted, 0=undeleted</t>
  </si>
  <si>
    <t>NUMBER(1,0)</t>
  </si>
  <si>
    <t>DELETED</t>
  </si>
  <si>
    <t>Primary Key(PK), ID didapat dari sequeces oracle  SEQ_API_T_BAST_NONK_DETAIL_PER</t>
  </si>
  <si>
    <t>Sampel Data BAST Jasa</t>
  </si>
  <si>
    <t>Sampel Data BAST Barang</t>
  </si>
  <si>
    <t>API_T_BAST_NONK_DETIL_PER</t>
  </si>
  <si>
    <t>Tabel</t>
  </si>
  <si>
    <t xml:space="preserve">Nilai original untuk mata uang asing/valas, contoh input 100 US
maka yang akan masuk kolom nilai_valas adalah 100 dan yang masuk ke kolom nilai_bast_detail adalah nilai kurs x nilai valas (10.000 x 100 usd =  1.000.000)  </t>
  </si>
  <si>
    <t>NUMBER(21,2)</t>
  </si>
  <si>
    <t>NILAI_VALAS_DETAIL</t>
  </si>
  <si>
    <t>626397.175.521211.09301WA.3836EBD.A000000001.00000.1.0154.2.000000.000000.953.051.0A.001309</t>
  </si>
  <si>
    <t>626397.175.532111.09301BC.3850EBA.A000000001.00000.1.0154.2.000000.000000.963.053.0B.000548</t>
  </si>
  <si>
    <t>Kode coa 16 segment</t>
  </si>
  <si>
    <t>KODE_COA</t>
  </si>
  <si>
    <t>Volume level suboutput</t>
  </si>
  <si>
    <t>VOL_SUB_OUTPUT</t>
  </si>
  <si>
    <t>Foreign Key(FK), link ke table API_T_BAST_NONK_HEADER</t>
  </si>
  <si>
    <t>ID_HEADER</t>
  </si>
  <si>
    <t>Nilai pendetilan</t>
  </si>
  <si>
    <t>NILAI_COA_DETAIL</t>
  </si>
  <si>
    <t>Melaksanakan Asesmen Pengendalian Internal</t>
  </si>
  <si>
    <t>Mengembangkan Infrastruktur TIK - Umum</t>
  </si>
  <si>
    <t>Deskripsi sub komponen</t>
  </si>
  <si>
    <t>VARCHAR2(500)</t>
  </si>
  <si>
    <t>DESC_SUB_KOMPONEN</t>
  </si>
  <si>
    <t>Pembuatan Laporan Keuangan</t>
  </si>
  <si>
    <t>Optimalisasi Server, Storage, Network</t>
  </si>
  <si>
    <t>Deskripsi Item</t>
  </si>
  <si>
    <t>DESC_ITEM</t>
  </si>
  <si>
    <t>001309</t>
  </si>
  <si>
    <t>000548</t>
  </si>
  <si>
    <t>ITEM ID/KODE ITEM</t>
  </si>
  <si>
    <t>ID_ITEM</t>
  </si>
  <si>
    <t>0A</t>
  </si>
  <si>
    <t>0B</t>
  </si>
  <si>
    <t>Kode sub komponen, refer ke hasil generate dari table coa detil</t>
  </si>
  <si>
    <t>KODE_SUB_KOMPONEN</t>
  </si>
  <si>
    <t>051</t>
  </si>
  <si>
    <t>053</t>
  </si>
  <si>
    <t>Kode komponen, refer ke hasil generate dari table coa detil</t>
  </si>
  <si>
    <t>KODE_KOMPONEN</t>
  </si>
  <si>
    <t>Kode sub output, refer ke hasil generate dari table coa detil</t>
  </si>
  <si>
    <t>KODE_SUB_OUTPUT</t>
  </si>
  <si>
    <t>Primary Key(PK), ID didapat dari sequeces oracle  SEQ_API_T_BAST_NONK_COA_DETAIL</t>
  </si>
  <si>
    <t>NO</t>
  </si>
  <si>
    <t>API_T_BAST_NONK_COA_DETAIL</t>
  </si>
  <si>
    <t>Kode barang/persediaan</t>
  </si>
  <si>
    <t>Primary Key(PK), ID didapat dari sequeces oracle  SEQ_API_T_BAST_NONK_DETAIL</t>
  </si>
  <si>
    <t>API_T_BAST_NONK_DETIL</t>
  </si>
  <si>
    <t>tgl dokumen untuk pembukuan/jurnal glp</t>
  </si>
  <si>
    <t>DATE</t>
  </si>
  <si>
    <t>TGL_DOKUMEN2</t>
  </si>
  <si>
    <t>nilai kurs</t>
  </si>
  <si>
    <t>NILAI_KURS</t>
  </si>
  <si>
    <t>tanggal jatuh tempo</t>
  </si>
  <si>
    <t>TGL_JATUH_TEMPO</t>
  </si>
  <si>
    <t>2021-11-17 00:00:00.000</t>
  </si>
  <si>
    <t>tanggal dipa</t>
  </si>
  <si>
    <t>TGL_DIPA</t>
  </si>
  <si>
    <t>DIPA-093.01.1.626397/2022</t>
  </si>
  <si>
    <t>nomor dipa</t>
  </si>
  <si>
    <t>NO_DIPA</t>
  </si>
  <si>
    <t>626397.175.521211.09301WA.3836EBD.A000000001.00000.1.0154.2.000000.000000</t>
  </si>
  <si>
    <t>626397.175.532111.09301BC.3850EBA.A000000001.00000.1.0154.2.000000.000000</t>
  </si>
  <si>
    <t>Kode COA 12 segmen</t>
  </si>
  <si>
    <t>KODE_GLP_T_COA</t>
  </si>
  <si>
    <t>nilai total bast</t>
  </si>
  <si>
    <t>NILAI_BAST</t>
  </si>
  <si>
    <t>IDR</t>
  </si>
  <si>
    <t>mata uang</t>
  </si>
  <si>
    <t>KODE_MATA_UANG</t>
  </si>
  <si>
    <t>id referensi wajib bayar/wajib setor (referensi supplier bendahara)</t>
  </si>
  <si>
    <t>ID_WP_WB</t>
  </si>
  <si>
    <t>id supplier bank</t>
  </si>
  <si>
    <t>SUPPLIER_BANK_ID</t>
  </si>
  <si>
    <t>DWI ANDRIYANI</t>
  </si>
  <si>
    <t>nama penerima barang bast</t>
  </si>
  <si>
    <t>NAMA_PENERIMA</t>
  </si>
  <si>
    <t>0001-Pembayaran CC atas nama DWI ANDRIYANI/4365830000072810</t>
  </si>
  <si>
    <t>0001-Pembayaran CC atas nama ANDI BASKORO/4365830050133074 Pembelian Mesin Absensi</t>
  </si>
  <si>
    <t>uraian dokumen bast</t>
  </si>
  <si>
    <t>URAIAN_DOKUMEN</t>
  </si>
  <si>
    <t>tanggal dokumen bast</t>
  </si>
  <si>
    <t>00102392/CC/52/50/07/2022</t>
  </si>
  <si>
    <t>nomor dokumen bast</t>
  </si>
  <si>
    <t>tgl kirim data ke sakti</t>
  </si>
  <si>
    <t xml:space="preserve">SYSDATE </t>
  </si>
  <si>
    <t>TGL_KIRIM</t>
  </si>
  <si>
    <t xml:space="preserve">kode satker </t>
  </si>
  <si>
    <t>KODE_SATKER</t>
  </si>
  <si>
    <t>kategori/jenis BAST</t>
  </si>
  <si>
    <t>VARCHAR2(2)</t>
  </si>
  <si>
    <t>KATEGORI</t>
  </si>
  <si>
    <t>Primary Key(PK), ID didapat dari sequeces oracle  SEQ_API_T_BAST_NONK_HEADER</t>
  </si>
  <si>
    <t>API_T_BAST_NONK_HEADER</t>
  </si>
  <si>
    <t>API BAST NON KONTRAKTUAL</t>
  </si>
  <si>
    <t>Interkoneksi Persediaan BLU - SAKTI</t>
  </si>
  <si>
    <t xml:space="preserve">Untuk Transaksi Pembelian interkoneksi Data mulai dari data BAST </t>
  </si>
  <si>
    <t>Nilai Barang Persediaan harus bulat (tidak boleh desimal)</t>
  </si>
  <si>
    <t>Kode Barang Persediaan harus Numeric 16 digit</t>
  </si>
  <si>
    <t>Kode UAKPB harus 20 digit sesuai dengan aturan kodifikasi UAKPB (BA-ES1-SATKER-PembantuSatker-JenisKewenangan)</t>
  </si>
  <si>
    <t>Referensi Persediaan harus ada sebelum data di Upload</t>
  </si>
  <si>
    <t>Proses Upload data untuk transaksi Pembelian beserta data BAST melalui modul Komitmen</t>
  </si>
  <si>
    <t>Proses Upload Referensi &amp; data untuk transaksi SELAIN Pembelian melalui modul Persediaan</t>
  </si>
  <si>
    <t>NAMA_FILE</t>
  </si>
  <si>
    <t>Nama File yg diupload</t>
  </si>
  <si>
    <t>KODE_UAKPB_TUJUAN</t>
  </si>
  <si>
    <t>kode uakpb Tujuan untuk TK</t>
  </si>
  <si>
    <t>015090900537780000KD</t>
  </si>
  <si>
    <t>RSUP Dr. Sardjito</t>
  </si>
  <si>
    <t>2022-10-21 00:00:01.000</t>
  </si>
  <si>
    <t>03-00075</t>
  </si>
  <si>
    <t>Pengadaan Obat Tahun 2022 (Lidocaine Spray 10% 50 ml) Tahap 1</t>
  </si>
  <si>
    <t>Paijo</t>
  </si>
  <si>
    <t>415582.030.525129.02404DG.6388CAB.F000000001.00000.2.0402.2.000000.000000</t>
  </si>
  <si>
    <t>DIPA-024.04.2.415582/2022</t>
  </si>
  <si>
    <t>003</t>
  </si>
  <si>
    <t>001050</t>
  </si>
  <si>
    <t>Pengadaan Obat-obatan BLU</t>
  </si>
  <si>
    <t>Pengadaan Obat-obatan dan BMHP Pelayanan Reguler</t>
  </si>
  <si>
    <t>415582.030.525129.02404DG.6388CAB.F000000001.00000.2.0402.2.000000.000000.003.051.0A.000050</t>
  </si>
  <si>
    <t>1010401001000777</t>
  </si>
  <si>
    <t>024040400415582000KD</t>
  </si>
  <si>
    <t>Xylocaine spray 10 %</t>
  </si>
  <si>
    <t>Botol</t>
  </si>
  <si>
    <t>2022-10-21 00:00:05.000</t>
  </si>
  <si>
    <t>2022-10-21</t>
  </si>
  <si>
    <t>024040400415582003KD202200001K</t>
  </si>
  <si>
    <t>00001/Pasien XXX</t>
  </si>
  <si>
    <t>1010401001000777024040400415582000KD</t>
  </si>
  <si>
    <t>1010401001</t>
  </si>
  <si>
    <t>opr_415582_201511199009182509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</si>
</sst>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3" fillId="0" borderId="1" xfId="1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47" fontId="0" fillId="0" borderId="0" xfId="0" applyNumberFormat="1"/>
    <xf numFmtId="0" fontId="0" fillId="0" borderId="1" xfId="0" applyBorder="1" applyAlignment="1">
      <alignment horizontal="center" vertical="top" wrapText="1"/>
    </xf>
    <xf numFmtId="22" fontId="0" fillId="0" borderId="1" xfId="0" quotePrefix="1" applyNumberFormat="1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22" fontId="0" fillId="0" borderId="1" xfId="0" quotePrefix="1" applyNumberForma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2" fontId="0" fillId="0" borderId="1" xfId="0" quotePrefix="1" applyNumberFormat="1" applyBorder="1" applyAlignment="1">
      <alignment horizontal="center" vertical="center" wrapText="1"/>
    </xf>
    <xf numFmtId="22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H14" sqref="H14"/>
    </sheetView>
  </sheetViews>
  <sheetFormatPr defaultRowHeight="15" x14ac:dyDescent="0.25"/>
  <cols>
    <col min="1" max="1" width="4.140625" customWidth="1"/>
  </cols>
  <sheetData>
    <row r="1" spans="1:10" x14ac:dyDescent="0.25">
      <c r="A1" t="s">
        <v>193</v>
      </c>
    </row>
    <row r="3" spans="1:10" x14ac:dyDescent="0.25">
      <c r="A3">
        <v>1</v>
      </c>
      <c r="B3" t="s">
        <v>194</v>
      </c>
    </row>
    <row r="4" spans="1:10" x14ac:dyDescent="0.25">
      <c r="A4">
        <v>2</v>
      </c>
      <c r="B4" t="s">
        <v>195</v>
      </c>
    </row>
    <row r="5" spans="1:10" x14ac:dyDescent="0.25">
      <c r="A5">
        <v>3</v>
      </c>
      <c r="B5" t="s">
        <v>196</v>
      </c>
    </row>
    <row r="6" spans="1:10" x14ac:dyDescent="0.25">
      <c r="A6">
        <v>4</v>
      </c>
      <c r="B6" t="s">
        <v>197</v>
      </c>
    </row>
    <row r="7" spans="1:10" x14ac:dyDescent="0.25">
      <c r="A7">
        <v>5</v>
      </c>
      <c r="B7" t="s">
        <v>198</v>
      </c>
      <c r="J7" s="27"/>
    </row>
    <row r="8" spans="1:10" x14ac:dyDescent="0.25">
      <c r="A8">
        <v>6</v>
      </c>
      <c r="B8" t="s">
        <v>199</v>
      </c>
    </row>
    <row r="9" spans="1:10" x14ac:dyDescent="0.25">
      <c r="A9">
        <v>6</v>
      </c>
      <c r="B9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A25" zoomScale="83" zoomScaleNormal="83" workbookViewId="0">
      <selection activeCell="B36" sqref="B36:B46"/>
    </sheetView>
  </sheetViews>
  <sheetFormatPr defaultRowHeight="15" x14ac:dyDescent="0.25"/>
  <cols>
    <col min="1" max="1" width="8.7109375" style="1" customWidth="1"/>
    <col min="2" max="2" width="23.42578125" bestFit="1" customWidth="1"/>
    <col min="3" max="3" width="14.28515625" bestFit="1" customWidth="1"/>
    <col min="4" max="4" width="9.28515625" bestFit="1" customWidth="1"/>
    <col min="6" max="6" width="10" customWidth="1"/>
    <col min="7" max="7" width="35.42578125" customWidth="1"/>
    <col min="8" max="8" width="34.42578125" style="26" hidden="1" customWidth="1"/>
    <col min="9" max="9" width="36.7109375" hidden="1" customWidth="1"/>
    <col min="10" max="10" width="36.7109375" style="27" customWidth="1"/>
  </cols>
  <sheetData>
    <row r="1" spans="1:10" x14ac:dyDescent="0.25">
      <c r="A1" s="11" t="s">
        <v>23</v>
      </c>
    </row>
    <row r="2" spans="1:10" x14ac:dyDescent="0.25">
      <c r="A2" s="11" t="s">
        <v>192</v>
      </c>
    </row>
    <row r="3" spans="1:10" x14ac:dyDescent="0.25">
      <c r="A3" s="2"/>
      <c r="B3" s="3"/>
      <c r="C3" s="3"/>
      <c r="D3" s="3"/>
      <c r="E3" s="3"/>
      <c r="F3" s="3"/>
      <c r="G3" s="3"/>
      <c r="I3" s="3"/>
    </row>
    <row r="4" spans="1:10" x14ac:dyDescent="0.25">
      <c r="A4" s="4" t="s">
        <v>22</v>
      </c>
      <c r="B4" s="5" t="s">
        <v>191</v>
      </c>
      <c r="C4" s="3"/>
      <c r="D4" s="3"/>
      <c r="E4" s="3"/>
      <c r="F4" s="3"/>
      <c r="G4" s="3"/>
      <c r="I4" s="3"/>
    </row>
    <row r="5" spans="1:10" x14ac:dyDescent="0.25">
      <c r="A5" s="6" t="s">
        <v>6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28" t="s">
        <v>101</v>
      </c>
      <c r="I5" s="6" t="s">
        <v>100</v>
      </c>
      <c r="J5" s="29" t="s">
        <v>206</v>
      </c>
    </row>
    <row r="6" spans="1:10" ht="45" x14ac:dyDescent="0.25">
      <c r="A6" s="7">
        <v>1</v>
      </c>
      <c r="B6" s="8" t="s">
        <v>0</v>
      </c>
      <c r="C6" s="8" t="s">
        <v>20</v>
      </c>
      <c r="D6" s="7" t="s">
        <v>19</v>
      </c>
      <c r="E6" s="7" t="b">
        <v>1</v>
      </c>
      <c r="F6" s="7" t="s">
        <v>19</v>
      </c>
      <c r="G6" s="12" t="s">
        <v>190</v>
      </c>
      <c r="H6" s="22">
        <v>10462</v>
      </c>
      <c r="I6" s="7">
        <v>10463</v>
      </c>
      <c r="J6" s="34">
        <v>10777</v>
      </c>
    </row>
    <row r="7" spans="1:10" x14ac:dyDescent="0.25">
      <c r="A7" s="7">
        <v>2</v>
      </c>
      <c r="B7" s="8" t="s">
        <v>1</v>
      </c>
      <c r="C7" s="8" t="s">
        <v>18</v>
      </c>
      <c r="D7" s="7" t="s">
        <v>19</v>
      </c>
      <c r="E7" s="7" t="b">
        <v>0</v>
      </c>
      <c r="F7" s="7" t="s">
        <v>19</v>
      </c>
      <c r="G7" s="10" t="s">
        <v>8</v>
      </c>
      <c r="H7" s="22" t="s">
        <v>27</v>
      </c>
      <c r="I7" s="7" t="s">
        <v>27</v>
      </c>
      <c r="J7" s="21" t="s">
        <v>228</v>
      </c>
    </row>
    <row r="8" spans="1:10" x14ac:dyDescent="0.25">
      <c r="A8" s="7">
        <v>3</v>
      </c>
      <c r="B8" s="8" t="s">
        <v>2</v>
      </c>
      <c r="C8" s="8" t="s">
        <v>10</v>
      </c>
      <c r="D8" s="7" t="s">
        <v>19</v>
      </c>
      <c r="E8" s="7" t="b">
        <v>0</v>
      </c>
      <c r="F8" s="7" t="s">
        <v>19</v>
      </c>
      <c r="G8" s="10" t="s">
        <v>9</v>
      </c>
      <c r="H8" s="30" t="s">
        <v>28</v>
      </c>
      <c r="I8" s="25" t="s">
        <v>28</v>
      </c>
      <c r="J8" s="31" t="s">
        <v>207</v>
      </c>
    </row>
    <row r="9" spans="1:10" x14ac:dyDescent="0.25">
      <c r="A9" s="7">
        <v>4</v>
      </c>
      <c r="B9" s="8" t="s">
        <v>98</v>
      </c>
      <c r="C9" s="8" t="s">
        <v>97</v>
      </c>
      <c r="D9" s="7" t="s">
        <v>19</v>
      </c>
      <c r="E9" s="7" t="b">
        <v>0</v>
      </c>
      <c r="F9" s="7" t="s">
        <v>19</v>
      </c>
      <c r="G9" s="10" t="s">
        <v>96</v>
      </c>
      <c r="H9" s="22">
        <v>0</v>
      </c>
      <c r="I9" s="7">
        <v>0</v>
      </c>
      <c r="J9" s="21">
        <v>0</v>
      </c>
    </row>
    <row r="10" spans="1:10" x14ac:dyDescent="0.25">
      <c r="A10" s="7">
        <v>5</v>
      </c>
      <c r="B10" s="8" t="s">
        <v>85</v>
      </c>
      <c r="C10" s="8" t="s">
        <v>18</v>
      </c>
      <c r="D10" s="7" t="s">
        <v>19</v>
      </c>
      <c r="E10" s="7" t="b">
        <v>0</v>
      </c>
      <c r="F10" s="7" t="s">
        <v>19</v>
      </c>
      <c r="G10" s="10" t="s">
        <v>84</v>
      </c>
      <c r="H10" s="22"/>
      <c r="I10" s="7"/>
      <c r="J10" s="21"/>
    </row>
    <row r="11" spans="1:10" x14ac:dyDescent="0.25">
      <c r="A11" s="7">
        <v>6</v>
      </c>
      <c r="B11" s="8" t="s">
        <v>95</v>
      </c>
      <c r="C11" s="8" t="s">
        <v>10</v>
      </c>
      <c r="D11" s="7" t="s">
        <v>19</v>
      </c>
      <c r="E11" s="7" t="b">
        <v>0</v>
      </c>
      <c r="F11" s="7" t="s">
        <v>19</v>
      </c>
      <c r="G11" s="10" t="s">
        <v>94</v>
      </c>
      <c r="H11" s="22"/>
      <c r="I11" s="7"/>
      <c r="J11" s="21"/>
    </row>
    <row r="12" spans="1:10" x14ac:dyDescent="0.25">
      <c r="A12" s="7">
        <v>7</v>
      </c>
      <c r="B12" s="8" t="s">
        <v>83</v>
      </c>
      <c r="C12" s="8" t="s">
        <v>82</v>
      </c>
      <c r="D12" s="7" t="s">
        <v>19</v>
      </c>
      <c r="E12" s="7" t="b">
        <v>0</v>
      </c>
      <c r="F12" s="7" t="s">
        <v>19</v>
      </c>
      <c r="G12" s="12" t="s">
        <v>81</v>
      </c>
      <c r="H12" s="22">
        <v>0</v>
      </c>
      <c r="I12" s="7">
        <v>0</v>
      </c>
      <c r="J12" s="21">
        <v>0</v>
      </c>
    </row>
    <row r="13" spans="1:10" x14ac:dyDescent="0.25">
      <c r="A13" s="7">
        <v>8</v>
      </c>
      <c r="B13" s="8" t="s">
        <v>189</v>
      </c>
      <c r="C13" s="8" t="s">
        <v>188</v>
      </c>
      <c r="D13" s="7" t="s">
        <v>19</v>
      </c>
      <c r="E13" s="7" t="b">
        <v>1</v>
      </c>
      <c r="F13" s="7" t="s">
        <v>19</v>
      </c>
      <c r="G13" s="12" t="s">
        <v>187</v>
      </c>
      <c r="H13" s="22">
        <v>3</v>
      </c>
      <c r="I13" s="7">
        <v>4</v>
      </c>
      <c r="J13" s="21">
        <v>3</v>
      </c>
    </row>
    <row r="14" spans="1:10" x14ac:dyDescent="0.25">
      <c r="A14" s="7">
        <v>9</v>
      </c>
      <c r="B14" s="8" t="s">
        <v>186</v>
      </c>
      <c r="C14" s="8" t="s">
        <v>21</v>
      </c>
      <c r="D14" s="7" t="s">
        <v>19</v>
      </c>
      <c r="E14" s="7" t="b">
        <v>1</v>
      </c>
      <c r="F14" s="7" t="s">
        <v>19</v>
      </c>
      <c r="G14" s="12" t="s">
        <v>185</v>
      </c>
      <c r="H14" s="22">
        <v>626397</v>
      </c>
      <c r="I14" s="7">
        <v>626397</v>
      </c>
      <c r="J14" s="21">
        <v>415582</v>
      </c>
    </row>
    <row r="15" spans="1:10" x14ac:dyDescent="0.25">
      <c r="A15" s="7">
        <v>10</v>
      </c>
      <c r="B15" s="8" t="s">
        <v>3</v>
      </c>
      <c r="C15" s="8" t="s">
        <v>21</v>
      </c>
      <c r="D15" s="7" t="s">
        <v>19</v>
      </c>
      <c r="E15" s="7" t="b">
        <v>0</v>
      </c>
      <c r="F15" s="7" t="s">
        <v>19</v>
      </c>
      <c r="G15" s="12" t="s">
        <v>24</v>
      </c>
      <c r="H15" s="22">
        <v>2022</v>
      </c>
      <c r="I15" s="7">
        <v>2022</v>
      </c>
      <c r="J15" s="21">
        <v>2022</v>
      </c>
    </row>
    <row r="16" spans="1:10" x14ac:dyDescent="0.25">
      <c r="A16" s="7">
        <v>11</v>
      </c>
      <c r="B16" s="8" t="s">
        <v>184</v>
      </c>
      <c r="C16" s="8" t="s">
        <v>147</v>
      </c>
      <c r="D16" s="7" t="s">
        <v>19</v>
      </c>
      <c r="E16" s="7" t="b">
        <v>1</v>
      </c>
      <c r="F16" s="7" t="s">
        <v>183</v>
      </c>
      <c r="G16" s="12" t="s">
        <v>182</v>
      </c>
      <c r="H16" s="30" t="s">
        <v>28</v>
      </c>
      <c r="I16" s="25" t="s">
        <v>28</v>
      </c>
      <c r="J16" s="31" t="s">
        <v>207</v>
      </c>
    </row>
    <row r="17" spans="1:10" x14ac:dyDescent="0.25">
      <c r="A17" s="7">
        <v>12</v>
      </c>
      <c r="B17" s="8" t="s">
        <v>4</v>
      </c>
      <c r="C17" s="8" t="s">
        <v>18</v>
      </c>
      <c r="D17" s="7" t="s">
        <v>19</v>
      </c>
      <c r="E17" s="7" t="b">
        <v>1</v>
      </c>
      <c r="F17" s="7" t="s">
        <v>19</v>
      </c>
      <c r="G17" s="12" t="s">
        <v>181</v>
      </c>
      <c r="H17" s="22" t="s">
        <v>25</v>
      </c>
      <c r="I17" s="7" t="s">
        <v>180</v>
      </c>
      <c r="J17" s="21" t="s">
        <v>208</v>
      </c>
    </row>
    <row r="18" spans="1:10" x14ac:dyDescent="0.25">
      <c r="A18" s="7">
        <v>13</v>
      </c>
      <c r="B18" s="8" t="s">
        <v>5</v>
      </c>
      <c r="C18" s="8" t="s">
        <v>147</v>
      </c>
      <c r="D18" s="7" t="s">
        <v>19</v>
      </c>
      <c r="E18" s="7" t="b">
        <v>0</v>
      </c>
      <c r="F18" s="7" t="s">
        <v>19</v>
      </c>
      <c r="G18" s="12" t="s">
        <v>179</v>
      </c>
      <c r="H18" s="30" t="s">
        <v>28</v>
      </c>
      <c r="I18" s="25" t="s">
        <v>28</v>
      </c>
      <c r="J18" s="31" t="s">
        <v>207</v>
      </c>
    </row>
    <row r="19" spans="1:10" ht="45" x14ac:dyDescent="0.25">
      <c r="A19" s="7">
        <v>14</v>
      </c>
      <c r="B19" s="8" t="s">
        <v>178</v>
      </c>
      <c r="C19" s="8" t="s">
        <v>21</v>
      </c>
      <c r="D19" s="7" t="s">
        <v>19</v>
      </c>
      <c r="E19" s="7" t="b">
        <v>1</v>
      </c>
      <c r="F19" s="7" t="s">
        <v>19</v>
      </c>
      <c r="G19" s="12" t="s">
        <v>177</v>
      </c>
      <c r="H19" s="22" t="s">
        <v>176</v>
      </c>
      <c r="I19" s="15" t="s">
        <v>175</v>
      </c>
      <c r="J19" s="22" t="s">
        <v>209</v>
      </c>
    </row>
    <row r="20" spans="1:10" x14ac:dyDescent="0.25">
      <c r="A20" s="7">
        <v>15</v>
      </c>
      <c r="B20" s="8" t="s">
        <v>174</v>
      </c>
      <c r="C20" s="8" t="s">
        <v>21</v>
      </c>
      <c r="D20" s="7" t="s">
        <v>19</v>
      </c>
      <c r="E20" s="7" t="b">
        <v>0</v>
      </c>
      <c r="F20" s="7" t="s">
        <v>19</v>
      </c>
      <c r="G20" s="12" t="s">
        <v>173</v>
      </c>
      <c r="H20" s="22" t="s">
        <v>26</v>
      </c>
      <c r="I20" s="7" t="s">
        <v>172</v>
      </c>
      <c r="J20" s="21" t="s">
        <v>210</v>
      </c>
    </row>
    <row r="21" spans="1:10" x14ac:dyDescent="0.25">
      <c r="A21" s="7">
        <v>16</v>
      </c>
      <c r="B21" s="8" t="s">
        <v>171</v>
      </c>
      <c r="C21" s="8" t="s">
        <v>20</v>
      </c>
      <c r="D21" s="7" t="s">
        <v>19</v>
      </c>
      <c r="E21" s="7" t="b">
        <v>0</v>
      </c>
      <c r="F21" s="7" t="s">
        <v>19</v>
      </c>
      <c r="G21" s="12" t="s">
        <v>170</v>
      </c>
      <c r="H21" s="22">
        <v>77764</v>
      </c>
      <c r="I21" s="7">
        <v>77764</v>
      </c>
      <c r="J21" s="21">
        <v>136806</v>
      </c>
    </row>
    <row r="22" spans="1:10" ht="30" x14ac:dyDescent="0.25">
      <c r="A22" s="7">
        <v>17</v>
      </c>
      <c r="B22" s="8" t="s">
        <v>169</v>
      </c>
      <c r="C22" s="8" t="s">
        <v>20</v>
      </c>
      <c r="D22" s="7" t="s">
        <v>19</v>
      </c>
      <c r="E22" s="7" t="b">
        <v>0</v>
      </c>
      <c r="F22" s="7" t="s">
        <v>19</v>
      </c>
      <c r="G22" s="12" t="s">
        <v>168</v>
      </c>
      <c r="H22" s="22">
        <v>179760</v>
      </c>
      <c r="I22" s="7">
        <v>179760</v>
      </c>
      <c r="J22" s="21">
        <v>847937</v>
      </c>
    </row>
    <row r="23" spans="1:10" x14ac:dyDescent="0.25">
      <c r="A23" s="7">
        <v>18</v>
      </c>
      <c r="B23" s="8" t="s">
        <v>167</v>
      </c>
      <c r="C23" s="8" t="s">
        <v>21</v>
      </c>
      <c r="D23" s="7" t="s">
        <v>19</v>
      </c>
      <c r="E23" s="7" t="b">
        <v>1</v>
      </c>
      <c r="F23" s="7" t="s">
        <v>19</v>
      </c>
      <c r="G23" s="12" t="s">
        <v>166</v>
      </c>
      <c r="H23" s="22" t="s">
        <v>165</v>
      </c>
      <c r="I23" s="7" t="s">
        <v>165</v>
      </c>
      <c r="J23" s="21" t="s">
        <v>165</v>
      </c>
    </row>
    <row r="24" spans="1:10" x14ac:dyDescent="0.25">
      <c r="A24" s="7">
        <v>19</v>
      </c>
      <c r="B24" s="8" t="s">
        <v>164</v>
      </c>
      <c r="C24" s="8" t="s">
        <v>91</v>
      </c>
      <c r="D24" s="7" t="s">
        <v>19</v>
      </c>
      <c r="E24" s="7" t="b">
        <v>0</v>
      </c>
      <c r="F24" s="7" t="s">
        <v>19</v>
      </c>
      <c r="G24" s="12" t="s">
        <v>163</v>
      </c>
      <c r="H24" s="22">
        <v>13061000</v>
      </c>
      <c r="I24" s="7">
        <v>675546</v>
      </c>
      <c r="J24" s="21">
        <v>1891070</v>
      </c>
    </row>
    <row r="25" spans="1:10" ht="45" x14ac:dyDescent="0.25">
      <c r="A25" s="7">
        <v>20</v>
      </c>
      <c r="B25" s="8" t="s">
        <v>162</v>
      </c>
      <c r="C25" s="8" t="s">
        <v>21</v>
      </c>
      <c r="D25" s="7" t="s">
        <v>19</v>
      </c>
      <c r="E25" s="7" t="b">
        <v>1</v>
      </c>
      <c r="F25" s="7" t="s">
        <v>19</v>
      </c>
      <c r="G25" s="12" t="s">
        <v>161</v>
      </c>
      <c r="H25" s="22" t="s">
        <v>160</v>
      </c>
      <c r="I25" s="15" t="s">
        <v>159</v>
      </c>
      <c r="J25" s="22" t="s">
        <v>211</v>
      </c>
    </row>
    <row r="26" spans="1:10" x14ac:dyDescent="0.25">
      <c r="A26" s="7">
        <v>21</v>
      </c>
      <c r="B26" s="8" t="s">
        <v>158</v>
      </c>
      <c r="C26" s="8" t="s">
        <v>18</v>
      </c>
      <c r="D26" s="7" t="s">
        <v>19</v>
      </c>
      <c r="E26" s="7" t="b">
        <v>0</v>
      </c>
      <c r="F26" s="7" t="s">
        <v>19</v>
      </c>
      <c r="G26" s="12" t="s">
        <v>157</v>
      </c>
      <c r="H26" s="22" t="s">
        <v>156</v>
      </c>
      <c r="I26" s="7" t="s">
        <v>156</v>
      </c>
      <c r="J26" s="21" t="s">
        <v>212</v>
      </c>
    </row>
    <row r="27" spans="1:10" x14ac:dyDescent="0.25">
      <c r="A27" s="7">
        <v>22</v>
      </c>
      <c r="B27" s="8" t="s">
        <v>155</v>
      </c>
      <c r="C27" s="8" t="s">
        <v>147</v>
      </c>
      <c r="D27" s="7" t="s">
        <v>19</v>
      </c>
      <c r="E27" s="7" t="b">
        <v>0</v>
      </c>
      <c r="F27" s="7" t="s">
        <v>19</v>
      </c>
      <c r="G27" s="12" t="s">
        <v>154</v>
      </c>
      <c r="H27" s="23" t="s">
        <v>153</v>
      </c>
      <c r="I27" s="17" t="s">
        <v>153</v>
      </c>
      <c r="J27" s="32" t="s">
        <v>153</v>
      </c>
    </row>
    <row r="28" spans="1:10" x14ac:dyDescent="0.25">
      <c r="A28" s="7">
        <v>23</v>
      </c>
      <c r="B28" s="8" t="s">
        <v>152</v>
      </c>
      <c r="C28" s="8" t="s">
        <v>147</v>
      </c>
      <c r="D28" s="7" t="s">
        <v>19</v>
      </c>
      <c r="E28" s="7" t="b">
        <v>0</v>
      </c>
      <c r="F28" s="7" t="s">
        <v>19</v>
      </c>
      <c r="G28" s="12" t="s">
        <v>151</v>
      </c>
      <c r="H28" s="22"/>
      <c r="I28" s="7"/>
      <c r="J28" s="21"/>
    </row>
    <row r="29" spans="1:10" x14ac:dyDescent="0.25">
      <c r="A29" s="7">
        <v>24</v>
      </c>
      <c r="B29" s="8" t="s">
        <v>150</v>
      </c>
      <c r="C29" s="8" t="s">
        <v>91</v>
      </c>
      <c r="D29" s="7" t="s">
        <v>19</v>
      </c>
      <c r="E29" s="7" t="b">
        <v>0</v>
      </c>
      <c r="F29" s="7" t="s">
        <v>19</v>
      </c>
      <c r="G29" s="12" t="s">
        <v>149</v>
      </c>
      <c r="H29" s="22"/>
      <c r="I29" s="7"/>
      <c r="J29" s="21"/>
    </row>
    <row r="30" spans="1:10" ht="30" x14ac:dyDescent="0.25">
      <c r="A30" s="7">
        <v>25</v>
      </c>
      <c r="B30" s="8" t="s">
        <v>148</v>
      </c>
      <c r="C30" s="8" t="s">
        <v>147</v>
      </c>
      <c r="D30" s="7" t="s">
        <v>19</v>
      </c>
      <c r="E30" s="7" t="b">
        <v>0</v>
      </c>
      <c r="F30" s="7" t="s">
        <v>19</v>
      </c>
      <c r="G30" s="12" t="s">
        <v>146</v>
      </c>
      <c r="H30" s="30" t="s">
        <v>28</v>
      </c>
      <c r="I30" s="25" t="s">
        <v>28</v>
      </c>
      <c r="J30" s="31" t="s">
        <v>207</v>
      </c>
    </row>
    <row r="31" spans="1:10" x14ac:dyDescent="0.25">
      <c r="A31" s="2"/>
      <c r="B31" s="3" t="str">
        <f>+B6&amp;";"&amp;B7&amp;";"&amp;B8&amp;";"&amp;B9&amp;";"&amp;B10&amp;";"&amp;B11&amp;";"&amp;B12&amp;";"&amp;B13&amp;";"&amp;B14&amp;";"&amp;B15&amp;";"&amp;B16&amp;";"&amp;B17&amp;";"&amp;B18&amp;";"&amp;B19&amp;";"&amp;B20&amp;";"&amp;B21&amp;";"&amp;B22&amp;";"&amp;B23&amp;";"&amp;B24&amp;";"&amp;B25&amp;";"&amp;B26&amp;";"&amp;B27&amp;";"&amp;B28&amp;";"&amp;B29&amp;";"&amp;B30</f>
        <v>ID;CREATED_BY;CREATED_DATE;DELETED;MODIFIED_BY;MODIFIED_DATE;VERSION;KATEGORI;KODE_SATKER;KODE_TAHUN_ANGGARAN;TGL_KIRIM;NO_DOKUMEN;TGL_DOKUMEN;URAIAN_DOKUMEN;NAMA_PENERIMA;SUPPLIER_BANK_ID;ID_WP_WB;KODE_MATA_UANG;NILAI_BAST;KODE_GLP_T_COA;NO_DIPA;TGL_DIPA;TGL_JATUH_TEMPO;NILAI_KURS;TGL_DOKUMEN2</v>
      </c>
      <c r="C31" s="3"/>
      <c r="D31" s="3"/>
      <c r="E31" s="3"/>
      <c r="F31" s="3"/>
      <c r="G31" s="13"/>
      <c r="H31" s="33"/>
      <c r="I31" s="3"/>
      <c r="J31" s="3" t="str">
        <f>+J6&amp;";"&amp;J7&amp;";"&amp;J8&amp;";"&amp;J9&amp;";"&amp;J10&amp;";"&amp;J11&amp;";"&amp;J12&amp;";"&amp;J13&amp;";"&amp;J14&amp;";"&amp;J15&amp;";"&amp;J16&amp;";"&amp;J17&amp;";"&amp;J18&amp;";"&amp;J19&amp;";"&amp;J20&amp;";"&amp;J21&amp;";"&amp;J22&amp;";"&amp;J23&amp;";"&amp;J24&amp;";"&amp;J25&amp;";"&amp;J26&amp;";"&amp;J27&amp;";"&amp;J28&amp;";"&amp;J29&amp;";"&amp;J30</f>
        <v>10777;opr_415582_201511199009182509;2022-10-21 00:00:01.000;0;;;0;3;415582;2022;2022-10-21 00:00:01.000;03-00075;2022-10-21 00:00:01.000;Pengadaan Obat Tahun 2022 (Lidocaine Spray 10% 50 ml) Tahap 1;Paijo;136806;847937;IDR;1891070;415582.030.525129.02404DG.6388CAB.F000000001.00000.2.0402.2.000000.000000;DIPA-024.04.2.415582/2022;2021-11-17 00:00:00.000;;;2022-10-21 00:00:01.000</v>
      </c>
    </row>
    <row r="32" spans="1:10" x14ac:dyDescent="0.25">
      <c r="A32" s="2"/>
      <c r="B32" s="3"/>
      <c r="C32" s="3"/>
      <c r="D32" s="3"/>
      <c r="E32" s="3"/>
      <c r="F32" s="3"/>
      <c r="G32" s="13"/>
      <c r="I32" s="3"/>
    </row>
    <row r="33" spans="1:10" x14ac:dyDescent="0.25">
      <c r="A33" s="2"/>
      <c r="B33" s="3"/>
      <c r="C33" s="3"/>
      <c r="D33" s="3"/>
      <c r="E33" s="3"/>
      <c r="F33" s="3"/>
      <c r="G33" s="13"/>
      <c r="I33" s="3"/>
    </row>
    <row r="34" spans="1:10" x14ac:dyDescent="0.25">
      <c r="A34" s="4" t="s">
        <v>103</v>
      </c>
      <c r="B34" s="5" t="s">
        <v>145</v>
      </c>
      <c r="C34" s="3"/>
      <c r="D34" s="3"/>
      <c r="E34" s="3"/>
      <c r="F34" s="3"/>
      <c r="G34" s="13"/>
      <c r="I34" s="3"/>
    </row>
    <row r="35" spans="1:10" x14ac:dyDescent="0.25">
      <c r="A35" s="20" t="s">
        <v>6</v>
      </c>
      <c r="B35" s="20" t="s">
        <v>12</v>
      </c>
      <c r="C35" s="20" t="s">
        <v>13</v>
      </c>
      <c r="D35" s="20" t="s">
        <v>14</v>
      </c>
      <c r="E35" s="20" t="s">
        <v>15</v>
      </c>
      <c r="F35" s="20" t="s">
        <v>16</v>
      </c>
      <c r="G35" s="19" t="s">
        <v>17</v>
      </c>
      <c r="H35" s="28" t="s">
        <v>101</v>
      </c>
      <c r="I35" s="6" t="s">
        <v>100</v>
      </c>
      <c r="J35" s="29" t="s">
        <v>206</v>
      </c>
    </row>
    <row r="36" spans="1:10" ht="45" x14ac:dyDescent="0.25">
      <c r="A36" s="7">
        <v>1</v>
      </c>
      <c r="B36" s="9" t="s">
        <v>0</v>
      </c>
      <c r="C36" s="7" t="s">
        <v>20</v>
      </c>
      <c r="D36" s="7" t="s">
        <v>19</v>
      </c>
      <c r="E36" s="7" t="b">
        <v>1</v>
      </c>
      <c r="F36" s="7" t="s">
        <v>19</v>
      </c>
      <c r="G36" s="12" t="s">
        <v>144</v>
      </c>
      <c r="H36" s="21">
        <v>43</v>
      </c>
      <c r="I36" s="8"/>
      <c r="J36" s="34">
        <v>789</v>
      </c>
    </row>
    <row r="37" spans="1:10" x14ac:dyDescent="0.25">
      <c r="A37" s="7">
        <v>2</v>
      </c>
      <c r="B37" s="9" t="s">
        <v>1</v>
      </c>
      <c r="C37" s="7" t="s">
        <v>18</v>
      </c>
      <c r="D37" s="7" t="s">
        <v>19</v>
      </c>
      <c r="E37" s="7" t="b">
        <v>0</v>
      </c>
      <c r="F37" s="7" t="s">
        <v>19</v>
      </c>
      <c r="G37" s="10" t="s">
        <v>8</v>
      </c>
      <c r="H37" s="22" t="s">
        <v>27</v>
      </c>
      <c r="I37" s="8"/>
      <c r="J37" s="21" t="s">
        <v>228</v>
      </c>
    </row>
    <row r="38" spans="1:10" x14ac:dyDescent="0.25">
      <c r="A38" s="7">
        <v>3</v>
      </c>
      <c r="B38" s="9" t="s">
        <v>2</v>
      </c>
      <c r="C38" s="7" t="s">
        <v>10</v>
      </c>
      <c r="D38" s="7" t="s">
        <v>19</v>
      </c>
      <c r="E38" s="7" t="b">
        <v>0</v>
      </c>
      <c r="F38" s="7" t="s">
        <v>19</v>
      </c>
      <c r="G38" s="10" t="s">
        <v>9</v>
      </c>
      <c r="H38" s="30" t="s">
        <v>28</v>
      </c>
      <c r="I38" s="8"/>
      <c r="J38" s="31" t="s">
        <v>207</v>
      </c>
    </row>
    <row r="39" spans="1:10" x14ac:dyDescent="0.25">
      <c r="A39" s="7">
        <v>4</v>
      </c>
      <c r="B39" s="9" t="s">
        <v>98</v>
      </c>
      <c r="C39" s="7" t="s">
        <v>97</v>
      </c>
      <c r="D39" s="7" t="s">
        <v>19</v>
      </c>
      <c r="E39" s="7" t="b">
        <v>0</v>
      </c>
      <c r="F39" s="7" t="s">
        <v>19</v>
      </c>
      <c r="G39" s="10" t="s">
        <v>96</v>
      </c>
      <c r="H39" s="21">
        <v>0</v>
      </c>
      <c r="I39" s="8"/>
      <c r="J39" s="21">
        <v>0</v>
      </c>
    </row>
    <row r="40" spans="1:10" x14ac:dyDescent="0.25">
      <c r="A40" s="7">
        <v>5</v>
      </c>
      <c r="B40" s="9" t="s">
        <v>95</v>
      </c>
      <c r="C40" s="7" t="s">
        <v>10</v>
      </c>
      <c r="D40" s="7" t="s">
        <v>19</v>
      </c>
      <c r="E40" s="7" t="b">
        <v>0</v>
      </c>
      <c r="F40" s="7" t="s">
        <v>19</v>
      </c>
      <c r="G40" s="10" t="s">
        <v>94</v>
      </c>
      <c r="H40" s="21"/>
      <c r="I40" s="8"/>
      <c r="J40" s="21"/>
    </row>
    <row r="41" spans="1:10" x14ac:dyDescent="0.25">
      <c r="A41" s="7">
        <v>6</v>
      </c>
      <c r="B41" s="9" t="s">
        <v>11</v>
      </c>
      <c r="C41" s="7" t="s">
        <v>21</v>
      </c>
      <c r="D41" s="7" t="s">
        <v>19</v>
      </c>
      <c r="E41" s="7" t="b">
        <v>1</v>
      </c>
      <c r="F41" s="7" t="s">
        <v>19</v>
      </c>
      <c r="G41" s="12" t="s">
        <v>143</v>
      </c>
      <c r="H41" s="21">
        <v>1010302001</v>
      </c>
      <c r="I41" s="8"/>
      <c r="J41" s="21">
        <v>1010401001</v>
      </c>
    </row>
    <row r="42" spans="1:10" x14ac:dyDescent="0.25">
      <c r="A42" s="7">
        <v>7</v>
      </c>
      <c r="B42" s="9" t="s">
        <v>92</v>
      </c>
      <c r="C42" s="7" t="s">
        <v>91</v>
      </c>
      <c r="D42" s="7" t="s">
        <v>19</v>
      </c>
      <c r="E42" s="7" t="b">
        <v>1</v>
      </c>
      <c r="F42" s="7" t="s">
        <v>19</v>
      </c>
      <c r="G42" s="12" t="s">
        <v>90</v>
      </c>
      <c r="H42" s="21">
        <v>3265250</v>
      </c>
      <c r="I42" s="8"/>
      <c r="J42" s="21">
        <v>189107</v>
      </c>
    </row>
    <row r="43" spans="1:10" x14ac:dyDescent="0.25">
      <c r="A43" s="7">
        <v>8</v>
      </c>
      <c r="B43" s="9" t="s">
        <v>89</v>
      </c>
      <c r="C43" s="7" t="s">
        <v>20</v>
      </c>
      <c r="D43" s="7" t="s">
        <v>19</v>
      </c>
      <c r="E43" s="7" t="b">
        <v>1</v>
      </c>
      <c r="F43" s="7" t="s">
        <v>19</v>
      </c>
      <c r="G43" s="12" t="s">
        <v>88</v>
      </c>
      <c r="H43" s="21">
        <v>4</v>
      </c>
      <c r="I43" s="8"/>
      <c r="J43" s="21">
        <v>10</v>
      </c>
    </row>
    <row r="44" spans="1:10" ht="30" x14ac:dyDescent="0.25">
      <c r="A44" s="7">
        <v>9</v>
      </c>
      <c r="B44" s="9" t="s">
        <v>114</v>
      </c>
      <c r="C44" s="7" t="s">
        <v>20</v>
      </c>
      <c r="D44" s="7" t="s">
        <v>19</v>
      </c>
      <c r="E44" s="7" t="b">
        <v>1</v>
      </c>
      <c r="F44" s="7" t="s">
        <v>19</v>
      </c>
      <c r="G44" s="12" t="s">
        <v>113</v>
      </c>
      <c r="H44" s="21">
        <v>10462</v>
      </c>
      <c r="I44" s="8"/>
      <c r="J44" s="21">
        <f>J6</f>
        <v>10777</v>
      </c>
    </row>
    <row r="45" spans="1:10" x14ac:dyDescent="0.25">
      <c r="A45" s="7">
        <v>10</v>
      </c>
      <c r="B45" s="9" t="s">
        <v>85</v>
      </c>
      <c r="C45" s="7" t="s">
        <v>18</v>
      </c>
      <c r="D45" s="7" t="s">
        <v>19</v>
      </c>
      <c r="E45" s="7" t="b">
        <v>0</v>
      </c>
      <c r="F45" s="7" t="s">
        <v>19</v>
      </c>
      <c r="G45" s="10" t="s">
        <v>84</v>
      </c>
      <c r="H45" s="21"/>
      <c r="I45" s="8"/>
      <c r="J45" s="21"/>
    </row>
    <row r="46" spans="1:10" x14ac:dyDescent="0.25">
      <c r="A46" s="7">
        <v>11</v>
      </c>
      <c r="B46" s="9" t="s">
        <v>83</v>
      </c>
      <c r="C46" s="7" t="s">
        <v>82</v>
      </c>
      <c r="D46" s="7" t="s">
        <v>19</v>
      </c>
      <c r="E46" s="7" t="b">
        <v>0</v>
      </c>
      <c r="F46" s="7" t="s">
        <v>19</v>
      </c>
      <c r="G46" s="10" t="s">
        <v>81</v>
      </c>
      <c r="H46" s="21"/>
      <c r="I46" s="8"/>
      <c r="J46" s="21"/>
    </row>
    <row r="47" spans="1:10" x14ac:dyDescent="0.25">
      <c r="A47" s="2"/>
      <c r="B47" s="3" t="str">
        <f>B36&amp;";"&amp;B37&amp;";"&amp;B38&amp;";"&amp;B39&amp;";"&amp;B40&amp;";"&amp;B41&amp;";"&amp;B42&amp;";"&amp;B43&amp;";"&amp;B44&amp;";"&amp;B45&amp;";"&amp;B46</f>
        <v>ID;CREATED_BY;CREATED_DATE;DELETED;MODIFIED_DATE;KODE_BARANG;HARGA;JUMLAH_BARANG;ID_HEADER;MODIFIED_BY;VERSION</v>
      </c>
      <c r="C47" s="3"/>
      <c r="D47" s="3"/>
      <c r="E47" s="3"/>
      <c r="F47" s="3"/>
      <c r="G47" s="13"/>
      <c r="H47" s="33"/>
      <c r="I47" s="3"/>
      <c r="J47" s="3" t="str">
        <f>J36&amp;";"&amp;J37&amp;";"&amp;J38&amp;";"&amp;J39&amp;";"&amp;J40&amp;";"&amp;J41&amp;";"&amp;J42&amp;";"&amp;J43&amp;";"&amp;J44&amp;";"&amp;J45&amp;";"&amp;J46</f>
        <v>789;opr_415582_201511199009182509;2022-10-21 00:00:01.000;0;;1010401001;189107;10;10777;;</v>
      </c>
    </row>
    <row r="48" spans="1:10" x14ac:dyDescent="0.25">
      <c r="A48" s="2"/>
      <c r="B48" s="3"/>
      <c r="C48" s="3"/>
      <c r="D48" s="3"/>
      <c r="E48" s="3"/>
      <c r="F48" s="3"/>
      <c r="G48" s="13"/>
      <c r="I48" s="3"/>
    </row>
    <row r="49" spans="1:10" x14ac:dyDescent="0.25">
      <c r="A49" s="2"/>
      <c r="B49" s="3"/>
      <c r="C49" s="3"/>
      <c r="D49" s="3"/>
      <c r="E49" s="3"/>
      <c r="F49" s="3"/>
      <c r="G49" s="13"/>
      <c r="I49" s="3"/>
    </row>
    <row r="50" spans="1:10" x14ac:dyDescent="0.25">
      <c r="A50" s="4" t="s">
        <v>103</v>
      </c>
      <c r="B50" s="5" t="s">
        <v>142</v>
      </c>
      <c r="C50" s="3"/>
      <c r="D50" s="3"/>
      <c r="E50" s="3"/>
      <c r="F50" s="3"/>
      <c r="G50" s="13"/>
      <c r="I50" s="3"/>
    </row>
    <row r="51" spans="1:10" x14ac:dyDescent="0.25">
      <c r="A51" s="6" t="s">
        <v>141</v>
      </c>
      <c r="B51" s="6" t="s">
        <v>12</v>
      </c>
      <c r="C51" s="6" t="s">
        <v>13</v>
      </c>
      <c r="D51" s="6" t="s">
        <v>14</v>
      </c>
      <c r="E51" s="6" t="s">
        <v>15</v>
      </c>
      <c r="F51" s="6" t="s">
        <v>16</v>
      </c>
      <c r="G51" s="24" t="s">
        <v>17</v>
      </c>
      <c r="H51" s="28" t="s">
        <v>101</v>
      </c>
      <c r="I51" s="6" t="s">
        <v>100</v>
      </c>
      <c r="J51" s="29" t="s">
        <v>206</v>
      </c>
    </row>
    <row r="52" spans="1:10" ht="45" x14ac:dyDescent="0.25">
      <c r="A52" s="7">
        <v>1</v>
      </c>
      <c r="B52" s="9" t="s">
        <v>0</v>
      </c>
      <c r="C52" s="7" t="s">
        <v>7</v>
      </c>
      <c r="D52" s="7" t="s">
        <v>19</v>
      </c>
      <c r="E52" s="7" t="b">
        <v>1</v>
      </c>
      <c r="F52" s="7" t="s">
        <v>19</v>
      </c>
      <c r="G52" s="10" t="s">
        <v>140</v>
      </c>
      <c r="H52" s="22">
        <v>5658</v>
      </c>
      <c r="I52" s="7">
        <v>5659</v>
      </c>
      <c r="J52" s="34">
        <v>5659</v>
      </c>
    </row>
    <row r="53" spans="1:10" ht="30" x14ac:dyDescent="0.25">
      <c r="A53" s="7">
        <v>2</v>
      </c>
      <c r="B53" s="9" t="s">
        <v>139</v>
      </c>
      <c r="C53" s="7" t="s">
        <v>21</v>
      </c>
      <c r="D53" s="7" t="s">
        <v>19</v>
      </c>
      <c r="E53" s="7" t="b">
        <v>0</v>
      </c>
      <c r="F53" s="7" t="s">
        <v>19</v>
      </c>
      <c r="G53" s="10" t="s">
        <v>138</v>
      </c>
      <c r="H53" s="22">
        <v>963</v>
      </c>
      <c r="I53" s="7">
        <v>953</v>
      </c>
      <c r="J53" s="32" t="s">
        <v>213</v>
      </c>
    </row>
    <row r="54" spans="1:10" ht="30" x14ac:dyDescent="0.25">
      <c r="A54" s="7">
        <v>3</v>
      </c>
      <c r="B54" s="9" t="s">
        <v>137</v>
      </c>
      <c r="C54" s="7" t="s">
        <v>21</v>
      </c>
      <c r="D54" s="7" t="s">
        <v>19</v>
      </c>
      <c r="E54" s="7" t="b">
        <v>0</v>
      </c>
      <c r="F54" s="7" t="s">
        <v>19</v>
      </c>
      <c r="G54" s="10" t="s">
        <v>136</v>
      </c>
      <c r="H54" s="23" t="s">
        <v>135</v>
      </c>
      <c r="I54" s="17" t="s">
        <v>134</v>
      </c>
      <c r="J54" s="32" t="s">
        <v>134</v>
      </c>
    </row>
    <row r="55" spans="1:10" ht="30" x14ac:dyDescent="0.25">
      <c r="A55" s="7">
        <v>4</v>
      </c>
      <c r="B55" s="9" t="s">
        <v>133</v>
      </c>
      <c r="C55" s="7" t="s">
        <v>21</v>
      </c>
      <c r="D55" s="7" t="s">
        <v>19</v>
      </c>
      <c r="E55" s="7" t="b">
        <v>0</v>
      </c>
      <c r="F55" s="7" t="s">
        <v>19</v>
      </c>
      <c r="G55" s="10" t="s">
        <v>132</v>
      </c>
      <c r="H55" s="22" t="s">
        <v>131</v>
      </c>
      <c r="I55" s="7" t="s">
        <v>130</v>
      </c>
      <c r="J55" s="21" t="s">
        <v>130</v>
      </c>
    </row>
    <row r="56" spans="1:10" x14ac:dyDescent="0.25">
      <c r="A56" s="7">
        <v>5</v>
      </c>
      <c r="B56" s="9" t="s">
        <v>129</v>
      </c>
      <c r="C56" s="7" t="s">
        <v>21</v>
      </c>
      <c r="D56" s="7" t="s">
        <v>19</v>
      </c>
      <c r="E56" s="7" t="b">
        <v>0</v>
      </c>
      <c r="F56" s="7" t="s">
        <v>19</v>
      </c>
      <c r="G56" s="10" t="s">
        <v>128</v>
      </c>
      <c r="H56" s="23" t="s">
        <v>127</v>
      </c>
      <c r="I56" s="17" t="s">
        <v>126</v>
      </c>
      <c r="J56" s="32" t="s">
        <v>214</v>
      </c>
    </row>
    <row r="57" spans="1:10" ht="30" x14ac:dyDescent="0.25">
      <c r="A57" s="7">
        <v>6</v>
      </c>
      <c r="B57" s="9" t="s">
        <v>125</v>
      </c>
      <c r="C57" s="7" t="s">
        <v>120</v>
      </c>
      <c r="D57" s="7" t="s">
        <v>19</v>
      </c>
      <c r="E57" s="7" t="b">
        <v>0</v>
      </c>
      <c r="F57" s="7" t="s">
        <v>19</v>
      </c>
      <c r="G57" s="10" t="s">
        <v>124</v>
      </c>
      <c r="H57" s="22" t="s">
        <v>123</v>
      </c>
      <c r="I57" s="7" t="s">
        <v>122</v>
      </c>
      <c r="J57" s="22" t="s">
        <v>216</v>
      </c>
    </row>
    <row r="58" spans="1:10" ht="30" x14ac:dyDescent="0.25">
      <c r="A58" s="7">
        <v>7</v>
      </c>
      <c r="B58" s="9" t="s">
        <v>121</v>
      </c>
      <c r="C58" s="7" t="s">
        <v>120</v>
      </c>
      <c r="D58" s="7" t="s">
        <v>19</v>
      </c>
      <c r="E58" s="7" t="b">
        <v>0</v>
      </c>
      <c r="F58" s="7" t="s">
        <v>19</v>
      </c>
      <c r="G58" s="10" t="s">
        <v>119</v>
      </c>
      <c r="H58" s="22" t="s">
        <v>118</v>
      </c>
      <c r="I58" s="15" t="s">
        <v>117</v>
      </c>
      <c r="J58" s="22" t="s">
        <v>215</v>
      </c>
    </row>
    <row r="59" spans="1:10" x14ac:dyDescent="0.25">
      <c r="A59" s="7">
        <v>8</v>
      </c>
      <c r="B59" s="9" t="s">
        <v>116</v>
      </c>
      <c r="C59" s="7" t="s">
        <v>105</v>
      </c>
      <c r="D59" s="7" t="s">
        <v>19</v>
      </c>
      <c r="E59" s="7" t="b">
        <v>0</v>
      </c>
      <c r="F59" s="7" t="s">
        <v>19</v>
      </c>
      <c r="G59" s="10" t="s">
        <v>115</v>
      </c>
      <c r="H59" s="22">
        <v>13061000</v>
      </c>
      <c r="I59" s="7">
        <v>675546</v>
      </c>
      <c r="J59" s="21">
        <f>J24</f>
        <v>1891070</v>
      </c>
    </row>
    <row r="60" spans="1:10" ht="30" x14ac:dyDescent="0.25">
      <c r="A60" s="7">
        <v>9</v>
      </c>
      <c r="B60" s="9" t="s">
        <v>114</v>
      </c>
      <c r="C60" s="7" t="s">
        <v>7</v>
      </c>
      <c r="D60" s="7" t="s">
        <v>19</v>
      </c>
      <c r="E60" s="7" t="b">
        <v>0</v>
      </c>
      <c r="F60" s="7" t="s">
        <v>19</v>
      </c>
      <c r="G60" s="10" t="s">
        <v>113</v>
      </c>
      <c r="H60" s="22">
        <v>10462</v>
      </c>
      <c r="I60" s="7">
        <v>10463</v>
      </c>
      <c r="J60" s="21">
        <f>J6</f>
        <v>10777</v>
      </c>
    </row>
    <row r="61" spans="1:10" x14ac:dyDescent="0.25">
      <c r="A61" s="7">
        <v>10</v>
      </c>
      <c r="B61" s="9" t="s">
        <v>112</v>
      </c>
      <c r="C61" s="7" t="s">
        <v>7</v>
      </c>
      <c r="D61" s="7" t="s">
        <v>19</v>
      </c>
      <c r="E61" s="7" t="b">
        <v>0</v>
      </c>
      <c r="F61" s="7" t="s">
        <v>19</v>
      </c>
      <c r="G61" s="10" t="s">
        <v>111</v>
      </c>
      <c r="H61" s="22"/>
      <c r="I61" s="7"/>
      <c r="J61" s="21"/>
    </row>
    <row r="62" spans="1:10" x14ac:dyDescent="0.25">
      <c r="A62" s="7">
        <v>11</v>
      </c>
      <c r="B62" s="9" t="s">
        <v>1</v>
      </c>
      <c r="C62" s="7" t="s">
        <v>18</v>
      </c>
      <c r="D62" s="7" t="s">
        <v>19</v>
      </c>
      <c r="E62" s="7" t="b">
        <v>0</v>
      </c>
      <c r="F62" s="7" t="s">
        <v>19</v>
      </c>
      <c r="G62" s="10" t="s">
        <v>8</v>
      </c>
      <c r="H62" s="22" t="s">
        <v>27</v>
      </c>
      <c r="I62" s="15" t="s">
        <v>27</v>
      </c>
      <c r="J62" s="21" t="s">
        <v>228</v>
      </c>
    </row>
    <row r="63" spans="1:10" x14ac:dyDescent="0.25">
      <c r="A63" s="7">
        <v>12</v>
      </c>
      <c r="B63" s="9" t="s">
        <v>85</v>
      </c>
      <c r="C63" s="7" t="s">
        <v>18</v>
      </c>
      <c r="D63" s="7" t="s">
        <v>19</v>
      </c>
      <c r="E63" s="7" t="b">
        <v>0</v>
      </c>
      <c r="F63" s="7" t="s">
        <v>19</v>
      </c>
      <c r="G63" s="10" t="s">
        <v>84</v>
      </c>
      <c r="H63" s="22"/>
      <c r="I63" s="7"/>
      <c r="J63" s="21"/>
    </row>
    <row r="64" spans="1:10" x14ac:dyDescent="0.25">
      <c r="A64" s="7">
        <v>13</v>
      </c>
      <c r="B64" s="9" t="s">
        <v>2</v>
      </c>
      <c r="C64" s="7" t="s">
        <v>10</v>
      </c>
      <c r="D64" s="7" t="s">
        <v>19</v>
      </c>
      <c r="E64" s="7" t="b">
        <v>0</v>
      </c>
      <c r="F64" s="7" t="s">
        <v>19</v>
      </c>
      <c r="G64" s="10" t="s">
        <v>9</v>
      </c>
      <c r="H64" s="30" t="s">
        <v>28</v>
      </c>
      <c r="I64" s="16" t="s">
        <v>28</v>
      </c>
      <c r="J64" s="30" t="s">
        <v>207</v>
      </c>
    </row>
    <row r="65" spans="1:10" x14ac:dyDescent="0.25">
      <c r="A65" s="7">
        <v>14</v>
      </c>
      <c r="B65" s="9" t="s">
        <v>95</v>
      </c>
      <c r="C65" s="7" t="s">
        <v>10</v>
      </c>
      <c r="D65" s="7" t="s">
        <v>19</v>
      </c>
      <c r="E65" s="7" t="b">
        <v>0</v>
      </c>
      <c r="F65" s="7" t="s">
        <v>19</v>
      </c>
      <c r="G65" s="10" t="s">
        <v>94</v>
      </c>
      <c r="H65" s="22"/>
      <c r="I65" s="7"/>
      <c r="J65" s="21"/>
    </row>
    <row r="66" spans="1:10" x14ac:dyDescent="0.25">
      <c r="A66" s="7">
        <v>15</v>
      </c>
      <c r="B66" s="9" t="s">
        <v>98</v>
      </c>
      <c r="C66" s="7" t="s">
        <v>97</v>
      </c>
      <c r="D66" s="7" t="s">
        <v>19</v>
      </c>
      <c r="E66" s="7" t="b">
        <v>0</v>
      </c>
      <c r="F66" s="7" t="s">
        <v>19</v>
      </c>
      <c r="G66" s="10" t="s">
        <v>96</v>
      </c>
      <c r="H66" s="22">
        <v>0</v>
      </c>
      <c r="I66" s="7">
        <v>0</v>
      </c>
      <c r="J66" s="21">
        <v>0</v>
      </c>
    </row>
    <row r="67" spans="1:10" x14ac:dyDescent="0.25">
      <c r="A67" s="7">
        <v>16</v>
      </c>
      <c r="B67" s="9" t="s">
        <v>83</v>
      </c>
      <c r="C67" s="7" t="s">
        <v>82</v>
      </c>
      <c r="D67" s="7" t="s">
        <v>19</v>
      </c>
      <c r="E67" s="7" t="b">
        <v>0</v>
      </c>
      <c r="F67" s="7" t="s">
        <v>19</v>
      </c>
      <c r="G67" s="10" t="s">
        <v>81</v>
      </c>
      <c r="H67" s="22">
        <v>0</v>
      </c>
      <c r="I67" s="7">
        <v>0</v>
      </c>
      <c r="J67" s="21">
        <v>0</v>
      </c>
    </row>
    <row r="68" spans="1:10" ht="45" x14ac:dyDescent="0.25">
      <c r="A68" s="7">
        <v>17</v>
      </c>
      <c r="B68" s="9" t="s">
        <v>110</v>
      </c>
      <c r="C68" s="7" t="s">
        <v>21</v>
      </c>
      <c r="D68" s="7" t="s">
        <v>19</v>
      </c>
      <c r="E68" s="7" t="b">
        <v>0</v>
      </c>
      <c r="F68" s="7" t="s">
        <v>19</v>
      </c>
      <c r="G68" s="10" t="s">
        <v>109</v>
      </c>
      <c r="H68" s="22" t="s">
        <v>108</v>
      </c>
      <c r="I68" s="15" t="s">
        <v>107</v>
      </c>
      <c r="J68" s="22" t="s">
        <v>217</v>
      </c>
    </row>
    <row r="69" spans="1:10" ht="105" x14ac:dyDescent="0.25">
      <c r="A69" s="7">
        <v>18</v>
      </c>
      <c r="B69" s="9" t="s">
        <v>106</v>
      </c>
      <c r="C69" s="7" t="s">
        <v>105</v>
      </c>
      <c r="D69" s="7" t="s">
        <v>19</v>
      </c>
      <c r="E69" s="7" t="b">
        <v>0</v>
      </c>
      <c r="F69" s="7" t="s">
        <v>19</v>
      </c>
      <c r="G69" s="10" t="s">
        <v>104</v>
      </c>
      <c r="H69" s="22">
        <v>13061000</v>
      </c>
      <c r="I69" s="21">
        <v>675546</v>
      </c>
      <c r="J69" s="21">
        <v>1891070</v>
      </c>
    </row>
    <row r="70" spans="1:10" x14ac:dyDescent="0.25">
      <c r="A70" s="2"/>
      <c r="B70" s="3" t="str">
        <f>B52&amp;";"&amp;B53&amp;";"&amp;B54&amp;";"&amp;B55&amp;";"&amp;B56&amp;";"&amp;B57&amp;";"&amp;B58&amp;";"&amp;B59&amp;";"&amp;B60&amp;";"&amp;B61&amp;";"&amp;B62&amp;";"&amp;B63&amp;";"&amp;B64&amp;";"&amp;B65&amp;";"&amp;B66&amp;";"&amp;B67&amp;";"&amp;B68&amp;";"&amp;B69</f>
        <v>ID;KODE_SUB_OUTPUT;KODE_KOMPONEN;KODE_SUB_KOMPONEN;ID_ITEM;DESC_ITEM;DESC_SUB_KOMPONEN;NILAI_COA_DETAIL;ID_HEADER;VOL_SUB_OUTPUT;CREATED_BY;MODIFIED_BY;CREATED_DATE;MODIFIED_DATE;DELETED;VERSION;KODE_COA;NILAI_VALAS_DETAIL</v>
      </c>
      <c r="C70" s="3"/>
      <c r="D70" s="3"/>
      <c r="E70" s="3"/>
      <c r="F70" s="3"/>
      <c r="G70" s="13"/>
      <c r="H70" s="33"/>
      <c r="I70" s="3"/>
      <c r="J70" s="3" t="str">
        <f>J52&amp;";"&amp;J53&amp;";"&amp;J54&amp;";"&amp;J55&amp;";"&amp;J56&amp;";"&amp;J57&amp;";"&amp;J58&amp;";"&amp;J59&amp;";"&amp;J60&amp;";"&amp;J61&amp;";"&amp;J62&amp;";"&amp;J63&amp;";"&amp;J64&amp;";"&amp;J65&amp;";"&amp;J66&amp;";"&amp;J67&amp;";"&amp;J68&amp;";"&amp;J69</f>
        <v>5659;003;051;0A;001050;Pengadaan Obat-obatan dan BMHP Pelayanan Reguler;Pengadaan Obat-obatan BLU;1891070;10777;;opr_415582_201511199009182509;;2022-10-21 00:00:01.000;;0;0;415582.030.525129.02404DG.6388CAB.F000000001.00000.2.0402.2.000000.000000.003.051.0A.000050;1891070</v>
      </c>
    </row>
    <row r="71" spans="1:10" x14ac:dyDescent="0.25">
      <c r="A71" s="2"/>
      <c r="B71" s="3"/>
      <c r="C71" s="3"/>
      <c r="D71" s="3"/>
      <c r="E71" s="3"/>
      <c r="F71" s="3"/>
      <c r="G71" s="3"/>
      <c r="I71" s="3"/>
    </row>
    <row r="72" spans="1:10" x14ac:dyDescent="0.25">
      <c r="A72" s="4" t="s">
        <v>103</v>
      </c>
      <c r="B72" s="5" t="s">
        <v>102</v>
      </c>
      <c r="C72" s="3"/>
      <c r="D72" s="3"/>
      <c r="E72" s="3"/>
      <c r="F72" s="3"/>
      <c r="G72" s="13"/>
      <c r="I72" s="3"/>
    </row>
    <row r="73" spans="1:10" x14ac:dyDescent="0.25">
      <c r="A73" s="20" t="s">
        <v>6</v>
      </c>
      <c r="B73" s="20" t="s">
        <v>12</v>
      </c>
      <c r="C73" s="20" t="s">
        <v>13</v>
      </c>
      <c r="D73" s="20" t="s">
        <v>14</v>
      </c>
      <c r="E73" s="20" t="s">
        <v>15</v>
      </c>
      <c r="F73" s="20" t="s">
        <v>16</v>
      </c>
      <c r="G73" s="19" t="s">
        <v>17</v>
      </c>
      <c r="H73" s="28" t="s">
        <v>101</v>
      </c>
      <c r="I73" s="6" t="s">
        <v>100</v>
      </c>
      <c r="J73" s="29" t="s">
        <v>206</v>
      </c>
    </row>
    <row r="74" spans="1:10" ht="45" x14ac:dyDescent="0.25">
      <c r="A74" s="7">
        <v>1</v>
      </c>
      <c r="B74" s="9" t="s">
        <v>0</v>
      </c>
      <c r="C74" s="7" t="s">
        <v>20</v>
      </c>
      <c r="D74" s="7" t="s">
        <v>19</v>
      </c>
      <c r="E74" s="7" t="b">
        <v>1</v>
      </c>
      <c r="F74" s="7" t="s">
        <v>19</v>
      </c>
      <c r="G74" s="12" t="s">
        <v>99</v>
      </c>
      <c r="H74" s="21">
        <v>90</v>
      </c>
      <c r="I74" s="8"/>
      <c r="J74" s="34">
        <v>90</v>
      </c>
    </row>
    <row r="75" spans="1:10" x14ac:dyDescent="0.25">
      <c r="A75" s="7">
        <v>2</v>
      </c>
      <c r="B75" s="9" t="s">
        <v>1</v>
      </c>
      <c r="C75" s="7" t="s">
        <v>18</v>
      </c>
      <c r="D75" s="7" t="s">
        <v>19</v>
      </c>
      <c r="E75" s="7" t="b">
        <v>0</v>
      </c>
      <c r="F75" s="7" t="s">
        <v>19</v>
      </c>
      <c r="G75" s="10" t="s">
        <v>8</v>
      </c>
      <c r="H75" s="22" t="s">
        <v>27</v>
      </c>
      <c r="I75" s="8"/>
      <c r="J75" s="21" t="s">
        <v>228</v>
      </c>
    </row>
    <row r="76" spans="1:10" x14ac:dyDescent="0.25">
      <c r="A76" s="7">
        <v>3</v>
      </c>
      <c r="B76" s="9" t="s">
        <v>2</v>
      </c>
      <c r="C76" s="7" t="s">
        <v>10</v>
      </c>
      <c r="D76" s="7" t="s">
        <v>19</v>
      </c>
      <c r="E76" s="7" t="b">
        <v>0</v>
      </c>
      <c r="F76" s="7" t="s">
        <v>19</v>
      </c>
      <c r="G76" s="10" t="s">
        <v>9</v>
      </c>
      <c r="H76" s="30" t="s">
        <v>28</v>
      </c>
      <c r="I76" s="8"/>
      <c r="J76" s="21" t="s">
        <v>207</v>
      </c>
    </row>
    <row r="77" spans="1:10" x14ac:dyDescent="0.25">
      <c r="A77" s="7">
        <v>4</v>
      </c>
      <c r="B77" s="9" t="s">
        <v>98</v>
      </c>
      <c r="C77" s="7" t="s">
        <v>97</v>
      </c>
      <c r="D77" s="7" t="s">
        <v>19</v>
      </c>
      <c r="E77" s="7" t="b">
        <v>0</v>
      </c>
      <c r="F77" s="7" t="s">
        <v>19</v>
      </c>
      <c r="G77" s="10" t="s">
        <v>96</v>
      </c>
      <c r="H77" s="21">
        <v>0</v>
      </c>
      <c r="I77" s="8"/>
      <c r="J77" s="21">
        <v>0</v>
      </c>
    </row>
    <row r="78" spans="1:10" x14ac:dyDescent="0.25">
      <c r="A78" s="7">
        <v>5</v>
      </c>
      <c r="B78" s="9" t="s">
        <v>95</v>
      </c>
      <c r="C78" s="7" t="s">
        <v>10</v>
      </c>
      <c r="D78" s="7" t="s">
        <v>19</v>
      </c>
      <c r="E78" s="7" t="b">
        <v>0</v>
      </c>
      <c r="F78" s="7" t="s">
        <v>19</v>
      </c>
      <c r="G78" s="10" t="s">
        <v>94</v>
      </c>
      <c r="H78" s="21"/>
      <c r="I78" s="8"/>
      <c r="J78" s="21"/>
    </row>
    <row r="79" spans="1:10" x14ac:dyDescent="0.25">
      <c r="A79" s="7">
        <v>6</v>
      </c>
      <c r="B79" s="9" t="s">
        <v>11</v>
      </c>
      <c r="C79" s="7" t="s">
        <v>21</v>
      </c>
      <c r="D79" s="7" t="s">
        <v>19</v>
      </c>
      <c r="E79" s="7" t="b">
        <v>1</v>
      </c>
      <c r="F79" s="7" t="s">
        <v>19</v>
      </c>
      <c r="G79" s="12" t="s">
        <v>93</v>
      </c>
      <c r="H79" s="32" t="s">
        <v>35</v>
      </c>
      <c r="I79" s="8"/>
      <c r="J79" s="32" t="s">
        <v>218</v>
      </c>
    </row>
    <row r="80" spans="1:10" x14ac:dyDescent="0.25">
      <c r="A80" s="7">
        <v>7</v>
      </c>
      <c r="B80" s="9" t="s">
        <v>92</v>
      </c>
      <c r="C80" s="7" t="s">
        <v>91</v>
      </c>
      <c r="D80" s="7" t="s">
        <v>19</v>
      </c>
      <c r="E80" s="7" t="b">
        <v>1</v>
      </c>
      <c r="F80" s="7" t="s">
        <v>19</v>
      </c>
      <c r="G80" s="12" t="s">
        <v>90</v>
      </c>
      <c r="H80" s="21">
        <v>3265250</v>
      </c>
      <c r="I80" s="8"/>
      <c r="J80" s="21">
        <v>189107</v>
      </c>
    </row>
    <row r="81" spans="1:10" x14ac:dyDescent="0.25">
      <c r="A81" s="7">
        <v>8</v>
      </c>
      <c r="B81" s="9" t="s">
        <v>89</v>
      </c>
      <c r="C81" s="7" t="s">
        <v>20</v>
      </c>
      <c r="D81" s="7" t="s">
        <v>19</v>
      </c>
      <c r="E81" s="7" t="b">
        <v>1</v>
      </c>
      <c r="F81" s="7" t="s">
        <v>19</v>
      </c>
      <c r="G81" s="12" t="s">
        <v>88</v>
      </c>
      <c r="H81" s="21">
        <v>4</v>
      </c>
      <c r="I81" s="8"/>
      <c r="J81" s="21">
        <v>10</v>
      </c>
    </row>
    <row r="82" spans="1:10" ht="30" x14ac:dyDescent="0.25">
      <c r="A82" s="7">
        <v>9</v>
      </c>
      <c r="B82" s="9" t="s">
        <v>87</v>
      </c>
      <c r="C82" s="7" t="s">
        <v>20</v>
      </c>
      <c r="D82" s="7" t="s">
        <v>19</v>
      </c>
      <c r="E82" s="7" t="b">
        <v>1</v>
      </c>
      <c r="F82" s="7" t="s">
        <v>19</v>
      </c>
      <c r="G82" s="12" t="s">
        <v>86</v>
      </c>
      <c r="H82" s="21">
        <v>43</v>
      </c>
      <c r="I82" s="8"/>
      <c r="J82" s="21">
        <f>J36</f>
        <v>789</v>
      </c>
    </row>
    <row r="83" spans="1:10" x14ac:dyDescent="0.25">
      <c r="A83" s="7">
        <v>10</v>
      </c>
      <c r="B83" s="9" t="s">
        <v>85</v>
      </c>
      <c r="C83" s="7" t="s">
        <v>18</v>
      </c>
      <c r="D83" s="7" t="s">
        <v>19</v>
      </c>
      <c r="E83" s="7" t="b">
        <v>0</v>
      </c>
      <c r="F83" s="7" t="s">
        <v>19</v>
      </c>
      <c r="G83" s="10" t="s">
        <v>84</v>
      </c>
      <c r="H83" s="21"/>
      <c r="I83" s="8"/>
      <c r="J83" s="21"/>
    </row>
    <row r="84" spans="1:10" x14ac:dyDescent="0.25">
      <c r="A84" s="7">
        <v>11</v>
      </c>
      <c r="B84" s="9" t="s">
        <v>83</v>
      </c>
      <c r="C84" s="7" t="s">
        <v>82</v>
      </c>
      <c r="D84" s="7" t="s">
        <v>19</v>
      </c>
      <c r="E84" s="7" t="b">
        <v>0</v>
      </c>
      <c r="F84" s="7" t="s">
        <v>19</v>
      </c>
      <c r="G84" s="10" t="s">
        <v>81</v>
      </c>
      <c r="H84" s="21"/>
      <c r="I84" s="8"/>
      <c r="J84" s="21"/>
    </row>
    <row r="85" spans="1:10" x14ac:dyDescent="0.25">
      <c r="A85" s="7">
        <v>12</v>
      </c>
      <c r="B85" s="9" t="s">
        <v>29</v>
      </c>
      <c r="C85" s="7" t="s">
        <v>21</v>
      </c>
      <c r="D85" s="7" t="s">
        <v>19</v>
      </c>
      <c r="E85" s="7" t="b">
        <v>1</v>
      </c>
      <c r="F85" s="7" t="s">
        <v>19</v>
      </c>
      <c r="G85" s="12" t="s">
        <v>80</v>
      </c>
      <c r="H85" s="32" t="s">
        <v>79</v>
      </c>
      <c r="I85" s="8"/>
      <c r="J85" s="21" t="s">
        <v>219</v>
      </c>
    </row>
    <row r="86" spans="1:10" x14ac:dyDescent="0.25">
      <c r="A86" s="7">
        <v>13</v>
      </c>
      <c r="B86" s="9" t="s">
        <v>30</v>
      </c>
      <c r="C86" s="7" t="s">
        <v>21</v>
      </c>
      <c r="D86" s="7" t="s">
        <v>19</v>
      </c>
      <c r="E86" s="7" t="b">
        <v>1</v>
      </c>
      <c r="F86" s="7" t="s">
        <v>19</v>
      </c>
      <c r="G86" s="12" t="s">
        <v>32</v>
      </c>
      <c r="H86" s="32" t="s">
        <v>33</v>
      </c>
      <c r="I86" s="8"/>
      <c r="J86" s="21" t="s">
        <v>220</v>
      </c>
    </row>
    <row r="87" spans="1:10" x14ac:dyDescent="0.25">
      <c r="A87" s="7">
        <v>14</v>
      </c>
      <c r="B87" s="9" t="s">
        <v>31</v>
      </c>
      <c r="C87" s="7" t="s">
        <v>21</v>
      </c>
      <c r="D87" s="7" t="s">
        <v>19</v>
      </c>
      <c r="E87" s="7" t="b">
        <v>1</v>
      </c>
      <c r="F87" s="7" t="s">
        <v>19</v>
      </c>
      <c r="G87" s="12" t="s">
        <v>78</v>
      </c>
      <c r="H87" s="32" t="s">
        <v>34</v>
      </c>
      <c r="I87" s="8"/>
      <c r="J87" s="21" t="s">
        <v>221</v>
      </c>
    </row>
    <row r="88" spans="1:10" x14ac:dyDescent="0.25">
      <c r="A88" s="2"/>
      <c r="B88" s="3" t="str">
        <f>B74&amp;";"&amp;B75&amp;";"&amp;B76&amp;";"&amp;B77&amp;";"&amp;B78&amp;";"&amp;B79&amp;";"&amp;B80&amp;";"&amp;B81&amp;";"&amp;B82&amp;";"&amp;B83&amp;";"&amp;B84&amp;";"&amp;B85&amp;";"&amp;B86&amp;";"&amp;B87</f>
        <v>ID;CREATED_BY;CREATED_DATE;DELETED;MODIFIED_DATE;KODE_BARANG;HARGA;JUMLAH_BARANG;ID_DETAIL;MODIFIED_BY;VERSION;KODE_UAKPB;DESKRIPSI_BARANG;SATUAN</v>
      </c>
      <c r="C88" s="3"/>
      <c r="D88" s="3"/>
      <c r="E88" s="3"/>
      <c r="F88" s="3"/>
      <c r="G88" s="13"/>
      <c r="H88" s="33"/>
      <c r="I88" s="3"/>
      <c r="J88" s="3" t="str">
        <f>J74&amp;";"&amp;J75&amp;";"&amp;J76&amp;";"&amp;J77&amp;";"&amp;J78&amp;";"&amp;J79&amp;";"&amp;J80&amp;";"&amp;J81&amp;";"&amp;J82&amp;";"&amp;J83&amp;";"&amp;J84&amp;";"&amp;J85&amp;";"&amp;J86&amp;";"&amp;J87</f>
        <v>90;opr_415582_201511199009182509;2022-10-21 00:00:01.000;0;;1010401001000777;189107;10;789;;;024040400415582000KD;Xylocaine spray 10 %;Botol</v>
      </c>
    </row>
    <row r="89" spans="1:10" x14ac:dyDescent="0.25">
      <c r="A89" s="14"/>
    </row>
    <row r="90" spans="1:10" x14ac:dyDescent="0.25">
      <c r="A90"/>
    </row>
    <row r="91" spans="1:10" x14ac:dyDescent="0.25">
      <c r="A91"/>
    </row>
    <row r="92" spans="1:10" x14ac:dyDescent="0.25">
      <c r="A92"/>
    </row>
    <row r="93" spans="1:10" x14ac:dyDescent="0.25">
      <c r="A93"/>
    </row>
    <row r="94" spans="1:10" x14ac:dyDescent="0.25">
      <c r="A94"/>
    </row>
    <row r="95" spans="1:10" x14ac:dyDescent="0.25">
      <c r="A95"/>
    </row>
    <row r="96" spans="1:10" x14ac:dyDescent="0.25">
      <c r="A96"/>
    </row>
    <row r="97" spans="1:1" x14ac:dyDescent="0.25">
      <c r="A97"/>
    </row>
    <row r="98" spans="1:1" x14ac:dyDescent="0.25">
      <c r="A98" s="14"/>
    </row>
    <row r="99" spans="1:1" x14ac:dyDescent="0.25">
      <c r="A99"/>
    </row>
    <row r="100" spans="1:1" x14ac:dyDescent="0.25">
      <c r="A100"/>
    </row>
    <row r="101" spans="1:1" x14ac:dyDescent="0.25">
      <c r="A101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85" zoomScaleNormal="85" workbookViewId="0">
      <selection activeCell="B29" sqref="B29:B41"/>
    </sheetView>
  </sheetViews>
  <sheetFormatPr defaultRowHeight="15" x14ac:dyDescent="0.25"/>
  <cols>
    <col min="1" max="1" width="8.7109375" style="1" customWidth="1"/>
    <col min="2" max="2" width="23.42578125" bestFit="1" customWidth="1"/>
    <col min="3" max="3" width="14.28515625" bestFit="1" customWidth="1"/>
    <col min="4" max="4" width="9.28515625" bestFit="1" customWidth="1"/>
    <col min="6" max="6" width="10" customWidth="1"/>
    <col min="7" max="7" width="35.42578125" customWidth="1"/>
    <col min="8" max="8" width="36.85546875" hidden="1" customWidth="1"/>
    <col min="9" max="9" width="42.28515625" style="27" bestFit="1" customWidth="1"/>
  </cols>
  <sheetData>
    <row r="1" spans="1:10" x14ac:dyDescent="0.25">
      <c r="A1" s="11" t="s">
        <v>23</v>
      </c>
    </row>
    <row r="2" spans="1:10" x14ac:dyDescent="0.25">
      <c r="A2" s="11" t="s">
        <v>65</v>
      </c>
    </row>
    <row r="3" spans="1:10" x14ac:dyDescent="0.25">
      <c r="A3" s="2"/>
      <c r="B3" s="3"/>
      <c r="C3" s="3"/>
      <c r="D3" s="3"/>
      <c r="E3" s="3"/>
      <c r="F3" s="3"/>
      <c r="G3" s="3"/>
      <c r="H3" s="3"/>
    </row>
    <row r="4" spans="1:10" x14ac:dyDescent="0.25">
      <c r="A4" s="4" t="s">
        <v>22</v>
      </c>
      <c r="B4" s="5" t="s">
        <v>36</v>
      </c>
      <c r="C4" s="3"/>
      <c r="D4" s="3"/>
      <c r="E4" s="3"/>
      <c r="F4" s="3"/>
      <c r="G4" s="3"/>
      <c r="H4" s="3"/>
    </row>
    <row r="5" spans="1:10" x14ac:dyDescent="0.25">
      <c r="A5" s="6" t="s">
        <v>6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41</v>
      </c>
      <c r="I5" s="29" t="s">
        <v>206</v>
      </c>
    </row>
    <row r="6" spans="1:10" ht="30" x14ac:dyDescent="0.25">
      <c r="A6" s="7">
        <v>1</v>
      </c>
      <c r="B6" s="8" t="s">
        <v>0</v>
      </c>
      <c r="C6" s="8" t="s">
        <v>20</v>
      </c>
      <c r="D6" s="7" t="s">
        <v>19</v>
      </c>
      <c r="E6" s="7" t="b">
        <v>1</v>
      </c>
      <c r="F6" s="7" t="s">
        <v>19</v>
      </c>
      <c r="G6" s="12" t="s">
        <v>40</v>
      </c>
      <c r="H6" s="15">
        <v>10462</v>
      </c>
      <c r="I6" s="21">
        <v>10777</v>
      </c>
    </row>
    <row r="7" spans="1:10" x14ac:dyDescent="0.25">
      <c r="A7" s="7">
        <v>2</v>
      </c>
      <c r="B7" s="9" t="s">
        <v>1</v>
      </c>
      <c r="C7" s="8" t="s">
        <v>21</v>
      </c>
      <c r="D7" s="7" t="s">
        <v>19</v>
      </c>
      <c r="E7" s="7" t="b">
        <v>0</v>
      </c>
      <c r="F7" s="7" t="s">
        <v>19</v>
      </c>
      <c r="G7" s="10" t="s">
        <v>8</v>
      </c>
      <c r="H7" s="15" t="s">
        <v>27</v>
      </c>
      <c r="I7" s="21" t="s">
        <v>228</v>
      </c>
      <c r="J7" s="27"/>
    </row>
    <row r="8" spans="1:10" x14ac:dyDescent="0.25">
      <c r="A8" s="7">
        <v>3</v>
      </c>
      <c r="B8" s="9" t="s">
        <v>2</v>
      </c>
      <c r="C8" s="8" t="s">
        <v>10</v>
      </c>
      <c r="D8" s="7" t="s">
        <v>19</v>
      </c>
      <c r="E8" s="7" t="b">
        <v>0</v>
      </c>
      <c r="F8" s="7" t="s">
        <v>19</v>
      </c>
      <c r="G8" s="10" t="s">
        <v>9</v>
      </c>
      <c r="H8" s="16" t="s">
        <v>28</v>
      </c>
      <c r="I8" s="21" t="s">
        <v>222</v>
      </c>
    </row>
    <row r="9" spans="1:10" x14ac:dyDescent="0.25">
      <c r="A9" s="7">
        <v>4</v>
      </c>
      <c r="B9" s="8" t="s">
        <v>37</v>
      </c>
      <c r="C9" s="8" t="s">
        <v>47</v>
      </c>
      <c r="D9" s="7" t="s">
        <v>19</v>
      </c>
      <c r="E9" s="7" t="b">
        <v>1</v>
      </c>
      <c r="F9" s="7" t="s">
        <v>19</v>
      </c>
      <c r="G9" s="18" t="s">
        <v>43</v>
      </c>
      <c r="H9" s="15" t="s">
        <v>46</v>
      </c>
      <c r="I9" s="21" t="s">
        <v>46</v>
      </c>
    </row>
    <row r="10" spans="1:10" x14ac:dyDescent="0.25">
      <c r="A10" s="7">
        <v>5</v>
      </c>
      <c r="B10" s="8" t="s">
        <v>29</v>
      </c>
      <c r="C10" s="8" t="s">
        <v>21</v>
      </c>
      <c r="D10" s="7" t="s">
        <v>19</v>
      </c>
      <c r="E10" s="7" t="b">
        <v>1</v>
      </c>
      <c r="F10" s="7" t="s">
        <v>19</v>
      </c>
      <c r="G10" s="12" t="s">
        <v>42</v>
      </c>
      <c r="H10" s="15" t="s">
        <v>45</v>
      </c>
      <c r="I10" s="21" t="s">
        <v>219</v>
      </c>
    </row>
    <row r="11" spans="1:10" x14ac:dyDescent="0.25">
      <c r="A11" s="7">
        <v>6</v>
      </c>
      <c r="B11" s="8" t="s">
        <v>3</v>
      </c>
      <c r="C11" s="8" t="s">
        <v>68</v>
      </c>
      <c r="D11" s="7" t="s">
        <v>19</v>
      </c>
      <c r="E11" s="7" t="b">
        <v>1</v>
      </c>
      <c r="F11" s="7" t="s">
        <v>19</v>
      </c>
      <c r="G11" s="12" t="s">
        <v>24</v>
      </c>
      <c r="H11" s="15">
        <v>2022</v>
      </c>
      <c r="I11" s="21">
        <v>2022</v>
      </c>
    </row>
    <row r="12" spans="1:10" ht="30" x14ac:dyDescent="0.25">
      <c r="A12" s="7">
        <v>7</v>
      </c>
      <c r="B12" s="8" t="s">
        <v>38</v>
      </c>
      <c r="C12" s="8" t="s">
        <v>21</v>
      </c>
      <c r="D12" s="7" t="s">
        <v>19</v>
      </c>
      <c r="E12" s="7" t="b">
        <v>1</v>
      </c>
      <c r="F12" s="7" t="s">
        <v>19</v>
      </c>
      <c r="G12" s="12" t="s">
        <v>67</v>
      </c>
      <c r="H12" s="16" t="s">
        <v>48</v>
      </c>
      <c r="I12" s="35" t="s">
        <v>223</v>
      </c>
    </row>
    <row r="13" spans="1:10" ht="30" x14ac:dyDescent="0.25">
      <c r="A13" s="7">
        <v>8</v>
      </c>
      <c r="B13" s="8" t="s">
        <v>4</v>
      </c>
      <c r="C13" s="8" t="s">
        <v>21</v>
      </c>
      <c r="D13" s="7" t="s">
        <v>19</v>
      </c>
      <c r="E13" s="7" t="b">
        <v>1</v>
      </c>
      <c r="F13" s="7" t="s">
        <v>19</v>
      </c>
      <c r="G13" s="12" t="s">
        <v>50</v>
      </c>
      <c r="H13" s="15" t="s">
        <v>49</v>
      </c>
      <c r="I13" s="21" t="s">
        <v>224</v>
      </c>
    </row>
    <row r="14" spans="1:10" ht="30" x14ac:dyDescent="0.25">
      <c r="A14" s="7">
        <v>9</v>
      </c>
      <c r="B14" s="8" t="s">
        <v>5</v>
      </c>
      <c r="C14" s="8" t="s">
        <v>21</v>
      </c>
      <c r="D14" s="7" t="s">
        <v>19</v>
      </c>
      <c r="E14" s="7" t="b">
        <v>1</v>
      </c>
      <c r="F14" s="7" t="s">
        <v>19</v>
      </c>
      <c r="G14" s="12" t="s">
        <v>66</v>
      </c>
      <c r="H14" s="16" t="s">
        <v>48</v>
      </c>
      <c r="I14" s="35" t="s">
        <v>223</v>
      </c>
    </row>
    <row r="15" spans="1:10" x14ac:dyDescent="0.25">
      <c r="A15" s="7">
        <v>10</v>
      </c>
      <c r="B15" s="8" t="s">
        <v>39</v>
      </c>
      <c r="C15" s="8" t="s">
        <v>21</v>
      </c>
      <c r="D15" s="7" t="s">
        <v>19</v>
      </c>
      <c r="E15" s="7" t="b">
        <v>1</v>
      </c>
      <c r="F15" s="7" t="s">
        <v>19</v>
      </c>
      <c r="G15" s="12" t="s">
        <v>44</v>
      </c>
      <c r="H15" s="15" t="s">
        <v>25</v>
      </c>
      <c r="I15" s="32" t="s">
        <v>225</v>
      </c>
    </row>
    <row r="16" spans="1:10" x14ac:dyDescent="0.25">
      <c r="A16" s="7">
        <v>11</v>
      </c>
      <c r="B16" s="8" t="s">
        <v>11</v>
      </c>
      <c r="C16" s="8" t="s">
        <v>21</v>
      </c>
      <c r="D16" s="7" t="s">
        <v>19</v>
      </c>
      <c r="E16" s="7" t="b">
        <v>1</v>
      </c>
      <c r="F16" s="7" t="s">
        <v>19</v>
      </c>
      <c r="G16" s="12" t="s">
        <v>56</v>
      </c>
      <c r="H16" s="15" t="s">
        <v>26</v>
      </c>
      <c r="I16" s="32" t="s">
        <v>218</v>
      </c>
    </row>
    <row r="17" spans="1:10" x14ac:dyDescent="0.25">
      <c r="A17" s="7">
        <v>12</v>
      </c>
      <c r="B17" s="8" t="s">
        <v>51</v>
      </c>
      <c r="C17" s="8" t="s">
        <v>69</v>
      </c>
      <c r="D17" s="7" t="s">
        <v>19</v>
      </c>
      <c r="E17" s="7" t="b">
        <v>1</v>
      </c>
      <c r="F17" s="7">
        <v>0</v>
      </c>
      <c r="G17" s="12" t="s">
        <v>57</v>
      </c>
      <c r="H17" s="15">
        <v>77764</v>
      </c>
      <c r="I17" s="21">
        <v>5</v>
      </c>
    </row>
    <row r="18" spans="1:10" x14ac:dyDescent="0.25">
      <c r="A18" s="7">
        <v>13</v>
      </c>
      <c r="B18" s="8" t="s">
        <v>52</v>
      </c>
      <c r="C18" s="8" t="s">
        <v>20</v>
      </c>
      <c r="D18" s="7" t="s">
        <v>19</v>
      </c>
      <c r="E18" s="7" t="b">
        <v>1</v>
      </c>
      <c r="F18" s="7">
        <v>0</v>
      </c>
      <c r="G18" s="12" t="s">
        <v>58</v>
      </c>
      <c r="H18" s="15">
        <v>13061000</v>
      </c>
      <c r="I18" s="21">
        <v>189107</v>
      </c>
    </row>
    <row r="19" spans="1:10" x14ac:dyDescent="0.25">
      <c r="A19" s="7">
        <v>14</v>
      </c>
      <c r="B19" s="8" t="s">
        <v>53</v>
      </c>
      <c r="C19" s="8" t="s">
        <v>21</v>
      </c>
      <c r="D19" s="7" t="s">
        <v>19</v>
      </c>
      <c r="E19" s="7" t="b">
        <v>0</v>
      </c>
      <c r="F19" s="7" t="s">
        <v>19</v>
      </c>
      <c r="G19" s="12" t="s">
        <v>54</v>
      </c>
      <c r="H19" s="15"/>
      <c r="I19" s="21"/>
    </row>
    <row r="20" spans="1:10" ht="45" x14ac:dyDescent="0.25">
      <c r="A20" s="7">
        <v>15</v>
      </c>
      <c r="B20" s="8" t="s">
        <v>70</v>
      </c>
      <c r="C20" s="8" t="s">
        <v>7</v>
      </c>
      <c r="D20" s="7" t="s">
        <v>19</v>
      </c>
      <c r="E20" s="7" t="b">
        <v>1</v>
      </c>
      <c r="F20" s="7">
        <v>0</v>
      </c>
      <c r="G20" s="12" t="s">
        <v>75</v>
      </c>
      <c r="H20" s="15"/>
      <c r="I20" s="21"/>
    </row>
    <row r="21" spans="1:10" x14ac:dyDescent="0.25">
      <c r="A21" s="7">
        <v>16</v>
      </c>
      <c r="B21" s="8" t="s">
        <v>71</v>
      </c>
      <c r="C21" s="8" t="s">
        <v>21</v>
      </c>
      <c r="D21" s="7" t="s">
        <v>19</v>
      </c>
      <c r="E21" s="7" t="b">
        <v>0</v>
      </c>
      <c r="F21" s="7" t="s">
        <v>19</v>
      </c>
      <c r="G21" s="12" t="s">
        <v>73</v>
      </c>
      <c r="H21" s="15"/>
      <c r="I21" s="21"/>
    </row>
    <row r="22" spans="1:10" x14ac:dyDescent="0.25">
      <c r="A22" s="7">
        <v>17</v>
      </c>
      <c r="B22" s="8" t="s">
        <v>72</v>
      </c>
      <c r="C22" s="8" t="s">
        <v>21</v>
      </c>
      <c r="D22" s="7" t="s">
        <v>19</v>
      </c>
      <c r="E22" s="7" t="b">
        <v>0</v>
      </c>
      <c r="F22" s="7" t="s">
        <v>19</v>
      </c>
      <c r="G22" s="12" t="s">
        <v>74</v>
      </c>
      <c r="H22" s="15"/>
      <c r="I22" s="21"/>
    </row>
    <row r="23" spans="1:10" x14ac:dyDescent="0.25">
      <c r="A23" s="7">
        <v>18</v>
      </c>
      <c r="B23" s="8" t="s">
        <v>201</v>
      </c>
      <c r="C23" s="8" t="s">
        <v>21</v>
      </c>
      <c r="D23" s="7" t="s">
        <v>19</v>
      </c>
      <c r="E23" s="7" t="b">
        <v>0</v>
      </c>
      <c r="F23" s="7" t="s">
        <v>19</v>
      </c>
      <c r="G23" s="12" t="s">
        <v>202</v>
      </c>
      <c r="H23" s="15"/>
      <c r="I23" s="21"/>
    </row>
    <row r="24" spans="1:10" x14ac:dyDescent="0.25">
      <c r="A24" s="7">
        <v>19</v>
      </c>
      <c r="B24" s="8" t="s">
        <v>203</v>
      </c>
      <c r="C24" s="8" t="s">
        <v>21</v>
      </c>
      <c r="D24" s="7" t="s">
        <v>19</v>
      </c>
      <c r="E24" s="7" t="b">
        <v>1</v>
      </c>
      <c r="F24" s="7" t="s">
        <v>19</v>
      </c>
      <c r="G24" s="12" t="s">
        <v>204</v>
      </c>
      <c r="H24" s="15" t="s">
        <v>205</v>
      </c>
      <c r="I24" s="32" t="s">
        <v>219</v>
      </c>
    </row>
    <row r="25" spans="1:10" x14ac:dyDescent="0.25">
      <c r="A25" s="2"/>
      <c r="B25" s="3" t="str">
        <f>B6&amp;";"&amp;B7&amp;";"&amp;B8&amp;";"&amp;B9&amp;";"&amp;B10&amp;";"&amp;B11&amp;";"&amp;B12&amp;";"&amp;B13&amp;";"&amp;B14&amp;";"&amp;B15&amp;";"&amp;B16&amp;";"&amp;B17&amp;";"&amp;B18&amp;";"&amp;B19&amp;";"&amp;B20&amp;";"&amp;B21&amp;";"&amp;B22&amp;";"&amp;B23&amp;";"&amp;B24</f>
        <v>ID;CREATED_BY;CREATED_DATE;KODE_JENIS_TRANSAKSI;KODE_UAKPB;KODE_TAHUN_ANGGARAN;TGL_PEMBUKUAN;NO_DOKUMEN;TGL_DOKUMEN;NO_BUKTI;KODE_BARANG;JUMLAH;HARGA_SATUAN;KETERANGAN;PROCESS_FLAG;ERROR_FLAG;ERROR_DESC;NAMA_FILE;KODE_UAKPB_TUJUAN</v>
      </c>
      <c r="C25" s="3"/>
      <c r="D25" s="3"/>
      <c r="E25" s="3"/>
      <c r="F25" s="3"/>
      <c r="G25" s="13"/>
      <c r="H25" s="33"/>
      <c r="I25" s="3" t="str">
        <f>I6&amp;";"&amp;I7&amp;";"&amp;I8&amp;";"&amp;I9&amp;";"&amp;I10&amp;";"&amp;I11&amp;";"&amp;I12&amp;";"&amp;I13&amp;";"&amp;I14&amp;";"&amp;I15&amp;";"&amp;I16&amp;";"&amp;I17&amp;";"&amp;I18&amp;";"&amp;I19&amp;";"&amp;I20&amp;";"&amp;I21&amp;";"&amp;I22&amp;";"&amp;I23&amp;";"&amp;I24</f>
        <v>10777;opr_415582_201511199009182509;2022-10-21 00:00:05.000;K01;024040400415582000KD;2022;2022-10-21;024040400415582003KD202200001K;2022-10-21;00001/Pasien XXX;1010401001000777;5;189107;;;;;;024040400415582000KD</v>
      </c>
      <c r="J25" s="3"/>
    </row>
    <row r="26" spans="1:10" x14ac:dyDescent="0.25">
      <c r="A26" s="2"/>
      <c r="B26" s="3"/>
      <c r="C26" s="3"/>
      <c r="D26" s="3"/>
      <c r="E26" s="3"/>
      <c r="F26" s="3"/>
      <c r="G26" s="13"/>
      <c r="H26" s="13"/>
    </row>
    <row r="27" spans="1:10" x14ac:dyDescent="0.25">
      <c r="A27" s="4" t="s">
        <v>22</v>
      </c>
      <c r="B27" s="5" t="s">
        <v>55</v>
      </c>
      <c r="C27" s="3"/>
      <c r="D27" s="3"/>
      <c r="E27" s="3"/>
      <c r="F27" s="3"/>
      <c r="G27" s="3"/>
      <c r="H27" s="3"/>
    </row>
    <row r="28" spans="1:10" x14ac:dyDescent="0.25">
      <c r="A28" s="6" t="s">
        <v>6</v>
      </c>
      <c r="B28" s="6" t="s">
        <v>12</v>
      </c>
      <c r="C28" s="6" t="s">
        <v>13</v>
      </c>
      <c r="D28" s="6" t="s">
        <v>14</v>
      </c>
      <c r="E28" s="6" t="s">
        <v>15</v>
      </c>
      <c r="F28" s="6" t="s">
        <v>16</v>
      </c>
      <c r="G28" s="6" t="s">
        <v>17</v>
      </c>
      <c r="H28" s="6" t="s">
        <v>41</v>
      </c>
      <c r="I28" s="29" t="s">
        <v>206</v>
      </c>
    </row>
    <row r="29" spans="1:10" ht="30" x14ac:dyDescent="0.25">
      <c r="A29" s="7">
        <v>1</v>
      </c>
      <c r="B29" s="8" t="s">
        <v>0</v>
      </c>
      <c r="C29" s="8" t="s">
        <v>20</v>
      </c>
      <c r="D29" s="7" t="s">
        <v>19</v>
      </c>
      <c r="E29" s="7" t="b">
        <v>1</v>
      </c>
      <c r="F29" s="7" t="s">
        <v>19</v>
      </c>
      <c r="G29" s="12" t="s">
        <v>76</v>
      </c>
      <c r="H29" s="15">
        <v>10462</v>
      </c>
      <c r="I29" s="21">
        <f>I6</f>
        <v>10777</v>
      </c>
    </row>
    <row r="30" spans="1:10" ht="30" x14ac:dyDescent="0.25">
      <c r="A30" s="7">
        <v>2</v>
      </c>
      <c r="B30" s="8" t="s">
        <v>59</v>
      </c>
      <c r="C30" s="8" t="s">
        <v>21</v>
      </c>
      <c r="D30" s="7" t="s">
        <v>19</v>
      </c>
      <c r="E30" s="7" t="b">
        <v>1</v>
      </c>
      <c r="F30" s="7" t="s">
        <v>19</v>
      </c>
      <c r="G30" s="12" t="s">
        <v>77</v>
      </c>
      <c r="H30" s="15" t="s">
        <v>60</v>
      </c>
      <c r="I30" s="32" t="s">
        <v>226</v>
      </c>
    </row>
    <row r="31" spans="1:10" x14ac:dyDescent="0.25">
      <c r="A31" s="7">
        <v>3</v>
      </c>
      <c r="B31" s="9" t="s">
        <v>1</v>
      </c>
      <c r="C31" s="8" t="s">
        <v>18</v>
      </c>
      <c r="D31" s="7" t="s">
        <v>19</v>
      </c>
      <c r="E31" s="7" t="b">
        <v>0</v>
      </c>
      <c r="F31" s="7" t="s">
        <v>19</v>
      </c>
      <c r="G31" s="10" t="s">
        <v>8</v>
      </c>
      <c r="H31" s="15" t="s">
        <v>27</v>
      </c>
      <c r="I31" s="21" t="s">
        <v>228</v>
      </c>
    </row>
    <row r="32" spans="1:10" x14ac:dyDescent="0.25">
      <c r="A32" s="7">
        <v>4</v>
      </c>
      <c r="B32" s="9" t="s">
        <v>2</v>
      </c>
      <c r="C32" s="8" t="s">
        <v>10</v>
      </c>
      <c r="D32" s="7" t="s">
        <v>19</v>
      </c>
      <c r="E32" s="7" t="b">
        <v>0</v>
      </c>
      <c r="F32" s="7" t="s">
        <v>19</v>
      </c>
      <c r="G32" s="10" t="s">
        <v>9</v>
      </c>
      <c r="H32" s="16" t="s">
        <v>28</v>
      </c>
      <c r="I32" s="21" t="s">
        <v>222</v>
      </c>
    </row>
    <row r="33" spans="1:10" x14ac:dyDescent="0.25">
      <c r="A33" s="7">
        <v>5</v>
      </c>
      <c r="B33" s="8" t="s">
        <v>29</v>
      </c>
      <c r="C33" s="8" t="s">
        <v>21</v>
      </c>
      <c r="D33" s="7" t="s">
        <v>19</v>
      </c>
      <c r="E33" s="7" t="b">
        <v>1</v>
      </c>
      <c r="F33" s="7" t="s">
        <v>19</v>
      </c>
      <c r="G33" s="12" t="s">
        <v>61</v>
      </c>
      <c r="H33" s="15" t="s">
        <v>45</v>
      </c>
      <c r="I33" s="21" t="s">
        <v>219</v>
      </c>
    </row>
    <row r="34" spans="1:10" x14ac:dyDescent="0.25">
      <c r="A34" s="7">
        <v>6</v>
      </c>
      <c r="B34" s="8" t="s">
        <v>62</v>
      </c>
      <c r="C34" s="8" t="s">
        <v>21</v>
      </c>
      <c r="D34" s="7" t="s">
        <v>19</v>
      </c>
      <c r="E34" s="7" t="b">
        <v>1</v>
      </c>
      <c r="F34" s="7" t="s">
        <v>19</v>
      </c>
      <c r="G34" s="12" t="s">
        <v>63</v>
      </c>
      <c r="H34" s="17" t="s">
        <v>64</v>
      </c>
      <c r="I34" s="32" t="s">
        <v>227</v>
      </c>
    </row>
    <row r="35" spans="1:10" x14ac:dyDescent="0.25">
      <c r="A35" s="7">
        <v>7</v>
      </c>
      <c r="B35" s="8" t="s">
        <v>11</v>
      </c>
      <c r="C35" s="8" t="s">
        <v>21</v>
      </c>
      <c r="D35" s="7" t="s">
        <v>19</v>
      </c>
      <c r="E35" s="7" t="b">
        <v>1</v>
      </c>
      <c r="F35" s="7" t="s">
        <v>19</v>
      </c>
      <c r="G35" s="12" t="s">
        <v>56</v>
      </c>
      <c r="H35" s="17" t="s">
        <v>35</v>
      </c>
      <c r="I35" s="32" t="s">
        <v>218</v>
      </c>
    </row>
    <row r="36" spans="1:10" x14ac:dyDescent="0.25">
      <c r="A36" s="7">
        <v>8</v>
      </c>
      <c r="B36" s="8" t="s">
        <v>30</v>
      </c>
      <c r="C36" s="8" t="s">
        <v>21</v>
      </c>
      <c r="D36" s="7" t="s">
        <v>19</v>
      </c>
      <c r="E36" s="7" t="b">
        <v>1</v>
      </c>
      <c r="F36" s="7" t="s">
        <v>19</v>
      </c>
      <c r="G36" s="12" t="s">
        <v>32</v>
      </c>
      <c r="H36" s="15" t="s">
        <v>33</v>
      </c>
      <c r="I36" s="21" t="s">
        <v>220</v>
      </c>
    </row>
    <row r="37" spans="1:10" x14ac:dyDescent="0.25">
      <c r="A37" s="7">
        <v>9</v>
      </c>
      <c r="B37" s="8" t="s">
        <v>31</v>
      </c>
      <c r="C37" s="8" t="s">
        <v>21</v>
      </c>
      <c r="D37" s="7" t="s">
        <v>19</v>
      </c>
      <c r="E37" s="7" t="b">
        <v>1</v>
      </c>
      <c r="F37" s="7" t="s">
        <v>19</v>
      </c>
      <c r="G37" s="12" t="s">
        <v>24</v>
      </c>
      <c r="H37" s="15" t="s">
        <v>34</v>
      </c>
      <c r="I37" s="21" t="s">
        <v>221</v>
      </c>
    </row>
    <row r="38" spans="1:10" ht="45" x14ac:dyDescent="0.25">
      <c r="A38" s="7">
        <v>10</v>
      </c>
      <c r="B38" s="8" t="s">
        <v>70</v>
      </c>
      <c r="C38" s="8" t="s">
        <v>7</v>
      </c>
      <c r="D38" s="7" t="s">
        <v>19</v>
      </c>
      <c r="E38" s="7" t="b">
        <v>1</v>
      </c>
      <c r="F38" s="7">
        <v>0</v>
      </c>
      <c r="G38" s="12" t="s">
        <v>75</v>
      </c>
      <c r="H38" s="15"/>
      <c r="I38" s="21"/>
    </row>
    <row r="39" spans="1:10" x14ac:dyDescent="0.25">
      <c r="A39" s="7">
        <v>11</v>
      </c>
      <c r="B39" s="8" t="s">
        <v>71</v>
      </c>
      <c r="C39" s="8" t="s">
        <v>21</v>
      </c>
      <c r="D39" s="7" t="s">
        <v>19</v>
      </c>
      <c r="E39" s="7" t="b">
        <v>0</v>
      </c>
      <c r="F39" s="7" t="s">
        <v>19</v>
      </c>
      <c r="G39" s="12" t="s">
        <v>73</v>
      </c>
      <c r="H39" s="15"/>
      <c r="I39" s="21"/>
    </row>
    <row r="40" spans="1:10" x14ac:dyDescent="0.25">
      <c r="A40" s="7">
        <v>12</v>
      </c>
      <c r="B40" s="8" t="s">
        <v>72</v>
      </c>
      <c r="C40" s="8" t="s">
        <v>21</v>
      </c>
      <c r="D40" s="7" t="s">
        <v>19</v>
      </c>
      <c r="E40" s="7" t="b">
        <v>0</v>
      </c>
      <c r="F40" s="7" t="s">
        <v>19</v>
      </c>
      <c r="G40" s="12" t="s">
        <v>74</v>
      </c>
      <c r="H40" s="15"/>
      <c r="I40" s="21"/>
    </row>
    <row r="41" spans="1:10" x14ac:dyDescent="0.25">
      <c r="A41" s="7">
        <v>13</v>
      </c>
      <c r="B41" s="8" t="s">
        <v>201</v>
      </c>
      <c r="C41" s="8" t="s">
        <v>21</v>
      </c>
      <c r="D41" s="7" t="s">
        <v>19</v>
      </c>
      <c r="E41" s="7" t="b">
        <v>0</v>
      </c>
      <c r="F41" s="7" t="s">
        <v>19</v>
      </c>
      <c r="G41" s="12" t="s">
        <v>202</v>
      </c>
      <c r="H41" s="15"/>
      <c r="I41" s="21"/>
    </row>
    <row r="42" spans="1:10" x14ac:dyDescent="0.25">
      <c r="A42" s="2"/>
      <c r="B42" s="3" t="str">
        <f>B29&amp;";"&amp;B30&amp;";"&amp;B31&amp;";"&amp;B32&amp;";"&amp;B33&amp;";"&amp;B34&amp;";"&amp;B35&amp;";"&amp;B36&amp;";"&amp;B37&amp;";"&amp;B38&amp;";"&amp;B39&amp;";"&amp;B40&amp;";"&amp;B41</f>
        <v>ID;KODE;CREATED_BY;CREATED_DATE;KODE_UAKPB;KODE_SUBSUBKELOMPOK;KODE_BARANG;DESKRIPSI_BARANG;SATUAN;PROCESS_FLAG;ERROR_FLAG;ERROR_DESC;NAMA_FILE</v>
      </c>
      <c r="C42" s="3"/>
      <c r="D42" s="3"/>
      <c r="E42" s="3"/>
      <c r="F42" s="3"/>
      <c r="G42" s="13"/>
      <c r="H42" s="33"/>
      <c r="I42" s="3" t="str">
        <f>I29&amp;";"&amp;I30&amp;";"&amp;I31&amp;";"&amp;I32&amp;";"&amp;I33&amp;";"&amp;I34&amp;";"&amp;I35&amp;";"&amp;I36&amp;";"&amp;I37&amp;";"&amp;I38&amp;";"&amp;I39&amp;";"&amp;I40&amp;";"&amp;I41</f>
        <v>10777;1010401001000777024040400415582000KD;opr_415582_201511199009182509;2022-10-21 00:00:05.000;024040400415582000KD;1010401001;1010401001000777;Xylocaine spray 10 %;Botol;;;;</v>
      </c>
      <c r="J42" s="3"/>
    </row>
    <row r="43" spans="1:10" x14ac:dyDescent="0.25">
      <c r="A43"/>
    </row>
    <row r="44" spans="1:10" x14ac:dyDescent="0.25">
      <c r="A44"/>
    </row>
    <row r="45" spans="1:10" x14ac:dyDescent="0.25">
      <c r="A45"/>
    </row>
    <row r="46" spans="1:10" x14ac:dyDescent="0.25">
      <c r="A46"/>
    </row>
    <row r="47" spans="1:10" x14ac:dyDescent="0.25">
      <c r="A47"/>
    </row>
    <row r="48" spans="1:10" x14ac:dyDescent="0.25">
      <c r="A48" s="14"/>
    </row>
    <row r="49" spans="1:1" x14ac:dyDescent="0.25">
      <c r="A49"/>
    </row>
    <row r="50" spans="1:1" x14ac:dyDescent="0.25">
      <c r="A50"/>
    </row>
    <row r="51" spans="1:1" x14ac:dyDescent="0.25">
      <c r="A5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Umum</vt:lpstr>
      <vt:lpstr>TransaksiPembelian</vt:lpstr>
      <vt:lpstr>TransaksiNonPembelian&amp;Referensi</vt:lpstr>
    </vt:vector>
  </TitlesOfParts>
  <Company>sitp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fachrimunand</dc:creator>
  <cp:lastModifiedBy>ASUS</cp:lastModifiedBy>
  <dcterms:created xsi:type="dcterms:W3CDTF">2022-07-08T01:36:27Z</dcterms:created>
  <dcterms:modified xsi:type="dcterms:W3CDTF">2022-11-02T02:22:57Z</dcterms:modified>
</cp:coreProperties>
</file>