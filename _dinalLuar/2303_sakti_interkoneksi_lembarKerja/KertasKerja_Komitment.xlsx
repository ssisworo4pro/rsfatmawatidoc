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8530" windowHeight="6950" tabRatio="775" activeTab="2"/>
  </bookViews>
  <sheets>
    <sheet name="16 SEGMEN" sheetId="3" r:id="rId1"/>
    <sheet name="BAST A" sheetId="6" r:id="rId2"/>
    <sheet name="BAST B" sheetId="4" r:id="rId3"/>
    <sheet name="BAST C" sheetId="5" r:id="rId4"/>
  </sheets>
  <definedNames>
    <definedName name="_xlnm._FilterDatabase" localSheetId="0" hidden="1">'16 SEGMEN'!$A$1:$S$16</definedName>
    <definedName name="_xlnm._FilterDatabase" localSheetId="1" hidden="1">'BAST A'!$A$1:$R$3</definedName>
  </definedNames>
  <calcPr calcId="145621"/>
</workbook>
</file>

<file path=xl/calcChain.xml><?xml version="1.0" encoding="utf-8"?>
<calcChain xmlns="http://schemas.openxmlformats.org/spreadsheetml/2006/main">
  <c r="F3" i="5" l="1"/>
  <c r="I7" i="4"/>
  <c r="I6" i="4"/>
  <c r="H6" i="4"/>
  <c r="F6" i="4"/>
  <c r="I5" i="4"/>
  <c r="H5" i="4"/>
  <c r="F5" i="4"/>
  <c r="I4" i="4"/>
  <c r="H4" i="4"/>
  <c r="F4" i="4"/>
  <c r="I3" i="4"/>
  <c r="H3" i="4"/>
  <c r="F3" i="4"/>
  <c r="I2" i="4"/>
  <c r="H2" i="4"/>
  <c r="F2" i="4"/>
  <c r="Q3" i="6"/>
  <c r="S16" i="3"/>
  <c r="R16" i="3"/>
  <c r="S15" i="3"/>
  <c r="R15" i="3"/>
  <c r="S14" i="3"/>
  <c r="R14" i="3"/>
  <c r="S13" i="3"/>
  <c r="R13" i="3"/>
  <c r="S12" i="3"/>
  <c r="R12" i="3"/>
  <c r="S11" i="3"/>
  <c r="R11" i="3"/>
  <c r="S10" i="3"/>
  <c r="R10" i="3"/>
  <c r="S9" i="3"/>
  <c r="R9" i="3"/>
  <c r="S8" i="3"/>
  <c r="R8" i="3"/>
  <c r="S7" i="3"/>
  <c r="R7" i="3"/>
  <c r="S6" i="3"/>
  <c r="R6" i="3"/>
  <c r="S5" i="3"/>
  <c r="R5" i="3"/>
  <c r="S4" i="3"/>
  <c r="R4" i="3"/>
  <c r="S3" i="3"/>
  <c r="R3" i="3"/>
</calcChain>
</file>

<file path=xl/sharedStrings.xml><?xml version="1.0" encoding="utf-8"?>
<sst xmlns="http://schemas.openxmlformats.org/spreadsheetml/2006/main" count="247" uniqueCount="93">
  <si>
    <t>KODE_SATKER</t>
  </si>
  <si>
    <t>kd_lokasi2</t>
  </si>
  <si>
    <t>AKUN</t>
  </si>
  <si>
    <t>kode lokasi satker default</t>
  </si>
  <si>
    <t>KODE KPPN</t>
  </si>
  <si>
    <t>BA_Es1_Program</t>
  </si>
  <si>
    <t>Kegiatan_Output</t>
  </si>
  <si>
    <t>Sumber Dana_Cara Penarikan_No Register</t>
  </si>
  <si>
    <t>Rekening Bank</t>
  </si>
  <si>
    <t>Kewenangan</t>
  </si>
  <si>
    <t>Lokasi1_Lokasi2</t>
  </si>
  <si>
    <t>Tipe Anggaran</t>
  </si>
  <si>
    <t>IntraCo</t>
  </si>
  <si>
    <t>Cadangan</t>
  </si>
  <si>
    <t>kode SubOutput</t>
  </si>
  <si>
    <t>Kode Komponen</t>
  </si>
  <si>
    <t>kode SubKomponen</t>
  </si>
  <si>
    <t>Cons Item</t>
  </si>
  <si>
    <t>16 SEGMEN</t>
  </si>
  <si>
    <t>12 SEGMEN</t>
  </si>
  <si>
    <t>02404DG</t>
  </si>
  <si>
    <t>6388CAB</t>
  </si>
  <si>
    <t>F000000001</t>
  </si>
  <si>
    <t>00000</t>
  </si>
  <si>
    <t>2</t>
  </si>
  <si>
    <t>0154</t>
  </si>
  <si>
    <t>000000</t>
  </si>
  <si>
    <t>003</t>
  </si>
  <si>
    <t>052</t>
  </si>
  <si>
    <t>0A</t>
  </si>
  <si>
    <t>000001</t>
  </si>
  <si>
    <t>051</t>
  </si>
  <si>
    <t>000285</t>
  </si>
  <si>
    <t>000286</t>
  </si>
  <si>
    <t>001</t>
  </si>
  <si>
    <t>000131</t>
  </si>
  <si>
    <t>000132</t>
  </si>
  <si>
    <t>000133</t>
  </si>
  <si>
    <t>000134</t>
  </si>
  <si>
    <t>000135</t>
  </si>
  <si>
    <t>000136</t>
  </si>
  <si>
    <t>000137</t>
  </si>
  <si>
    <t>000138</t>
  </si>
  <si>
    <t>000139</t>
  </si>
  <si>
    <t>000140</t>
  </si>
  <si>
    <t>000141</t>
  </si>
  <si>
    <t>TAHUN ANGGARAN</t>
  </si>
  <si>
    <t>NO.DOK. BAST</t>
  </si>
  <si>
    <t>TANGGAL BUKU BAST</t>
  </si>
  <si>
    <t>TANGGAL DOK. BAST</t>
  </si>
  <si>
    <t>Uraian BAST</t>
  </si>
  <si>
    <t>1 BAST Barang LS Non Kontrak/ Pengesahan Belanja BLU
Default 1</t>
  </si>
  <si>
    <t>nama penerima barang bast</t>
  </si>
  <si>
    <t>nomor rekening supplier bendahara satker (tipe 2)</t>
  </si>
  <si>
    <t>mata uang</t>
  </si>
  <si>
    <t>nilai total bast</t>
  </si>
  <si>
    <t>nomor dipa</t>
  </si>
  <si>
    <t>tanggal dipa</t>
  </si>
  <si>
    <t>nilai kurs</t>
  </si>
  <si>
    <t>Kode coa 12 segment</t>
  </si>
  <si>
    <t>NPWP</t>
  </si>
  <si>
    <t>006/ALK/01/23</t>
  </si>
  <si>
    <t>2023-01-09 00:00:00.000</t>
  </si>
  <si>
    <t>PEMBAYARAN OBAT</t>
  </si>
  <si>
    <t>TIM PENERIMA</t>
  </si>
  <si>
    <t>8100124154321000</t>
  </si>
  <si>
    <t>IDR</t>
  </si>
  <si>
    <t>DIPA-024.04.2.415432/2023</t>
  </si>
  <si>
    <t>2022-11-30 00:00:00.000</t>
  </si>
  <si>
    <t xml:space="preserve"> 415432.182.525121.02404DG.6388CAB.F000000001.00000.2.0154.2.000000.000000</t>
  </si>
  <si>
    <t>001446764016000</t>
  </si>
  <si>
    <t>KODE BARANG/PERSEDIAAN 10 DIGIT</t>
  </si>
  <si>
    <t>kode katalog</t>
  </si>
  <si>
    <t>HARGA SATUAN BARANG</t>
  </si>
  <si>
    <t>JUMLAH BARANG</t>
  </si>
  <si>
    <t>KODE UAKPB</t>
  </si>
  <si>
    <t>1010401999</t>
  </si>
  <si>
    <t>004207</t>
  </si>
  <si>
    <t>024040100415432001KD</t>
  </si>
  <si>
    <t>1010401006</t>
  </si>
  <si>
    <t>000761</t>
  </si>
  <si>
    <t>000700</t>
  </si>
  <si>
    <t>000623</t>
  </si>
  <si>
    <t>000598</t>
  </si>
  <si>
    <t>Kode coa 16 segment</t>
  </si>
  <si>
    <t>Nilai pendetilan dalam RP</t>
  </si>
  <si>
    <t>Nilai pendetilan dalam valas</t>
  </si>
  <si>
    <t>Volume level suboutput</t>
  </si>
  <si>
    <t>415432.182.525121.02404DG.6388CAB.F000000001.00000.2.0154.2.000000.000000.003|052|0A|000001</t>
  </si>
  <si>
    <t>415432|2023|006/ALK/01/23|2023-01-09 00:00:00.000|2023-01-09 00:00:00.000|PEMBAYARAN OBAT|1|TIM PENERIMA|8100124154321000|IDR|70716510|DIPA-024.04.2.415432/2023|2022-11-30 00:00:00.000|1| 415432.182.525121.02404DG.6388CAB.F000000001.00000.2.0154.2.000000.000000|001446764016000</t>
  </si>
  <si>
    <t>1010401999004207|143120|95|024040100415432001KD</t>
  </si>
  <si>
    <t>1010401006000761|6748|50|024040100415432001KD</t>
  </si>
  <si>
    <t>415432.182.525121.02404DG.6388CAB.F000000001.00000.2.0154.2.000000.000000.003|052|0A|000001.70716510.70716510.8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</si>
</sst>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_);_(* \(#,##0\);_(* &quot;-&quot;??_);_(@_)"/>
    <numFmt numFmtId="166" formatCode="_(* #,##0_);_(* \(#,##0\);_(* &quot;-&quot;_);_(@_)"/>
    <numFmt numFmtId="168" formatCode="_(* #,##0.00_);_(* \(#,##0.00\);_(* &quot;-&quot;??_);_(@_)"/>
    <numFmt numFmtId="169" formatCode="dd\-mm\-yyyy"/>
    <numFmt numFmtId="170" formatCode="_(* #,##0.00_);_(* \(#,##0.00\);_(* &quot;-&quot;_);_(@_)"/>
  </numFmts>
  <fonts count="8">
    <font>
      <sz val="11"/>
      <color theme="1"/>
      <name val="Calibri"/>
      <charset val="134"/>
      <scheme val="minor"/>
    </font>
    <font>
      <sz val="9"/>
      <color theme="1"/>
      <name val="Arial"/>
      <charset val="134"/>
    </font>
    <font>
      <b/>
      <sz val="11"/>
      <color theme="1"/>
      <name val="Calibri"/>
      <charset val="134"/>
      <scheme val="minor"/>
    </font>
    <font>
      <sz val="9"/>
      <name val="Arial"/>
      <charset val="134"/>
    </font>
    <font>
      <sz val="8"/>
      <color theme="1"/>
      <name val="Calibri"/>
      <charset val="134"/>
      <scheme val="minor"/>
    </font>
    <font>
      <sz val="9"/>
      <color rgb="FFFF0000"/>
      <name val="Arial"/>
      <charset val="134"/>
    </font>
    <font>
      <sz val="11"/>
      <color theme="1"/>
      <name val="Calibri"/>
      <charset val="1"/>
      <scheme val="minor"/>
    </font>
    <font>
      <sz val="11"/>
      <color theme="1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4">
    <xf numFmtId="0" fontId="0" fillId="0" borderId="0"/>
    <xf numFmtId="0" fontId="6" fillId="0" borderId="0"/>
    <xf numFmtId="168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5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0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 wrapText="1"/>
    </xf>
    <xf numFmtId="0" fontId="1" fillId="3" borderId="0" xfId="0" applyFont="1" applyFill="1" applyBorder="1" applyAlignment="1">
      <alignment horizontal="center" vertical="top" wrapText="1"/>
    </xf>
    <xf numFmtId="0" fontId="1" fillId="0" borderId="1" xfId="0" applyFont="1" applyBorder="1"/>
    <xf numFmtId="168" fontId="1" fillId="0" borderId="1" xfId="2" applyFont="1" applyBorder="1"/>
    <xf numFmtId="168" fontId="1" fillId="0" borderId="1" xfId="2" applyFont="1" applyBorder="1" applyAlignment="1">
      <alignment horizontal="center"/>
    </xf>
    <xf numFmtId="0" fontId="0" fillId="0" borderId="0" xfId="0" applyFill="1"/>
    <xf numFmtId="166" fontId="1" fillId="3" borderId="0" xfId="0" applyNumberFormat="1" applyFont="1" applyFill="1" applyBorder="1"/>
    <xf numFmtId="0" fontId="2" fillId="5" borderId="0" xfId="0" applyFont="1" applyFill="1"/>
    <xf numFmtId="168" fontId="2" fillId="0" borderId="0" xfId="2" applyFont="1" applyFill="1"/>
    <xf numFmtId="0" fontId="1" fillId="5" borderId="0" xfId="0" applyFont="1" applyFill="1" applyAlignment="1">
      <alignment vertical="top"/>
    </xf>
    <xf numFmtId="168" fontId="1" fillId="0" borderId="0" xfId="2" applyFont="1" applyAlignment="1">
      <alignment vertical="top"/>
    </xf>
    <xf numFmtId="0" fontId="3" fillId="3" borderId="1" xfId="0" applyFont="1" applyFill="1" applyBorder="1" applyAlignment="1"/>
    <xf numFmtId="0" fontId="1" fillId="0" borderId="1" xfId="0" applyFont="1" applyFill="1" applyBorder="1" applyAlignment="1"/>
    <xf numFmtId="164" fontId="3" fillId="3" borderId="1" xfId="2" applyNumberFormat="1" applyFont="1" applyFill="1" applyBorder="1" applyAlignment="1">
      <alignment horizontal="center"/>
    </xf>
    <xf numFmtId="168" fontId="1" fillId="3" borderId="1" xfId="0" applyNumberFormat="1" applyFont="1" applyFill="1" applyBorder="1" applyAlignment="1">
      <alignment vertical="top"/>
    </xf>
    <xf numFmtId="168" fontId="1" fillId="3" borderId="0" xfId="0" applyNumberFormat="1" applyFont="1" applyFill="1" applyBorder="1"/>
    <xf numFmtId="168" fontId="1" fillId="5" borderId="0" xfId="2" applyFont="1" applyFill="1"/>
    <xf numFmtId="0" fontId="1" fillId="3" borderId="0" xfId="0" applyNumberFormat="1" applyFont="1" applyFill="1" applyBorder="1"/>
    <xf numFmtId="164" fontId="1" fillId="0" borderId="1" xfId="2" applyNumberFormat="1" applyFont="1" applyBorder="1" applyAlignment="1">
      <alignment horizontal="center"/>
    </xf>
    <xf numFmtId="168" fontId="0" fillId="6" borderId="0" xfId="0" applyNumberFormat="1" applyFill="1"/>
    <xf numFmtId="168" fontId="2" fillId="0" borderId="0" xfId="2" applyFont="1" applyFill="1"/>
    <xf numFmtId="0" fontId="4" fillId="0" borderId="0" xfId="0" applyFont="1" applyAlignment="1">
      <alignment horizontal="center" vertical="center"/>
    </xf>
    <xf numFmtId="0" fontId="0" fillId="0" borderId="0" xfId="0" applyFill="1" applyAlignment="1"/>
    <xf numFmtId="0" fontId="0" fillId="0" borderId="0" xfId="0" applyFill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9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center" wrapText="1"/>
    </xf>
    <xf numFmtId="169" fontId="1" fillId="4" borderId="1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/>
    </xf>
    <xf numFmtId="15" fontId="3" fillId="7" borderId="1" xfId="0" applyNumberFormat="1" applyFont="1" applyFill="1" applyBorder="1" applyAlignment="1">
      <alignment horizontal="center"/>
    </xf>
    <xf numFmtId="0" fontId="3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68" fontId="1" fillId="2" borderId="1" xfId="2" applyNumberFormat="1" applyFont="1" applyFill="1" applyBorder="1" applyAlignment="1">
      <alignment vertical="top"/>
    </xf>
    <xf numFmtId="168" fontId="1" fillId="4" borderId="1" xfId="2" applyNumberFormat="1" applyFont="1" applyFill="1" applyBorder="1" applyAlignment="1">
      <alignment vertical="top" wrapText="1"/>
    </xf>
    <xf numFmtId="49" fontId="1" fillId="0" borderId="1" xfId="3" applyNumberFormat="1" applyFont="1" applyFill="1" applyBorder="1" applyAlignment="1">
      <alignment horizontal="center"/>
    </xf>
    <xf numFmtId="168" fontId="3" fillId="3" borderId="1" xfId="2" applyFont="1" applyFill="1" applyBorder="1" applyAlignment="1"/>
    <xf numFmtId="170" fontId="3" fillId="0" borderId="1" xfId="3" applyNumberFormat="1" applyFont="1" applyFill="1" applyBorder="1" applyAlignment="1">
      <alignment horizontal="center"/>
    </xf>
    <xf numFmtId="0" fontId="3" fillId="5" borderId="0" xfId="0" applyFont="1" applyFill="1" applyAlignment="1">
      <alignment vertical="top"/>
    </xf>
    <xf numFmtId="0" fontId="0" fillId="6" borderId="0" xfId="0" applyFill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 vertical="top" wrapText="1"/>
    </xf>
    <xf numFmtId="0" fontId="1" fillId="0" borderId="1" xfId="0" applyFont="1" applyFill="1" applyBorder="1"/>
    <xf numFmtId="0" fontId="5" fillId="0" borderId="1" xfId="0" quotePrefix="1" applyFont="1" applyFill="1" applyBorder="1" applyAlignment="1">
      <alignment horizontal="center"/>
    </xf>
    <xf numFmtId="0" fontId="1" fillId="0" borderId="1" xfId="0" quotePrefix="1" applyFont="1" applyFill="1" applyBorder="1" applyAlignment="1">
      <alignment horizontal="center"/>
    </xf>
    <xf numFmtId="0" fontId="1" fillId="0" borderId="1" xfId="0" quotePrefix="1" applyFont="1" applyFill="1" applyBorder="1"/>
    <xf numFmtId="0" fontId="3" fillId="3" borderId="1" xfId="0" quotePrefix="1" applyFont="1" applyFill="1" applyBorder="1" applyAlignment="1">
      <alignment horizontal="center"/>
    </xf>
    <xf numFmtId="168" fontId="3" fillId="3" borderId="1" xfId="0" quotePrefix="1" applyNumberFormat="1" applyFont="1" applyFill="1" applyBorder="1" applyAlignment="1">
      <alignment vertical="top"/>
    </xf>
  </cellXfs>
  <cellStyles count="24">
    <cellStyle name="Comma" xfId="2" builtinId="3"/>
    <cellStyle name="Comma [0]" xfId="3" builtinId="6"/>
    <cellStyle name="Normal" xfId="0" builtinId="0"/>
    <cellStyle name="Normal 10" xfId="15"/>
    <cellStyle name="Normal 10 2" xfId="6"/>
    <cellStyle name="Normal 11" xfId="16"/>
    <cellStyle name="Normal 11 2" xfId="11"/>
    <cellStyle name="Normal 12" xfId="17"/>
    <cellStyle name="Normal 2" xfId="9"/>
    <cellStyle name="Normal 2 2" xfId="18"/>
    <cellStyle name="Normal 3" xfId="10"/>
    <cellStyle name="Normal 3 2" xfId="19"/>
    <cellStyle name="Normal 4" xfId="7"/>
    <cellStyle name="Normal 4 2" xfId="8"/>
    <cellStyle name="Normal 5" xfId="5"/>
    <cellStyle name="Normal 5 2" xfId="14"/>
    <cellStyle name="Normal 6" xfId="12"/>
    <cellStyle name="Normal 6 2" xfId="1"/>
    <cellStyle name="Normal 7" xfId="13"/>
    <cellStyle name="Normal 7 2" xfId="4"/>
    <cellStyle name="Normal 8" xfId="20"/>
    <cellStyle name="Normal 8 2" xfId="21"/>
    <cellStyle name="Normal 9" xfId="22"/>
    <cellStyle name="Normal 9 2" xfId="23"/>
  </cellStyles>
  <dxfs count="0"/>
  <tableStyles count="0" defaultTableStyle="TableStyleMedium9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"/>
  <sheetViews>
    <sheetView topLeftCell="M1" workbookViewId="0">
      <selection activeCell="R3" sqref="R3"/>
    </sheetView>
  </sheetViews>
  <sheetFormatPr defaultColWidth="8.81640625" defaultRowHeight="14.5"/>
  <cols>
    <col min="1" max="1" width="13.08984375" customWidth="1"/>
    <col min="2" max="2" width="16.6328125" customWidth="1"/>
    <col min="3" max="3" width="10" customWidth="1"/>
    <col min="4" max="4" width="16.90625" customWidth="1"/>
    <col min="5" max="5" width="14.81640625" style="24" customWidth="1"/>
    <col min="6" max="6" width="18.36328125" style="24" customWidth="1"/>
    <col min="7" max="7" width="12.453125" style="8" customWidth="1"/>
    <col min="8" max="8" width="12.26953125" style="8" customWidth="1"/>
    <col min="9" max="9" width="14.26953125" style="25" customWidth="1"/>
    <col min="10" max="10" width="9.54296875" style="8" customWidth="1"/>
    <col min="11" max="11" width="10.08984375" style="8" customWidth="1"/>
    <col min="12" max="12" width="23.08984375" style="26" customWidth="1"/>
    <col min="13" max="13" width="13.81640625" style="8" customWidth="1"/>
    <col min="14" max="14" width="13.90625" style="8" customWidth="1"/>
    <col min="15" max="15" width="13.08984375" style="8" customWidth="1"/>
    <col min="16" max="17" width="15.81640625" style="8" customWidth="1"/>
    <col min="18" max="18" width="18.54296875" style="8" customWidth="1"/>
    <col min="19" max="19" width="20.6328125" style="10" customWidth="1"/>
    <col min="20" max="20" width="23" style="11" customWidth="1"/>
    <col min="21" max="21" width="14.54296875" style="8" customWidth="1"/>
    <col min="22" max="22" width="13.453125" style="8"/>
    <col min="23" max="24" width="8.81640625" style="8"/>
    <col min="25" max="27" width="14.54296875" style="8"/>
    <col min="28" max="16384" width="8.81640625" style="8"/>
  </cols>
  <sheetData>
    <row r="1" spans="1:20" customFormat="1">
      <c r="A1" s="1" t="s">
        <v>0</v>
      </c>
      <c r="B1" s="1" t="s">
        <v>1</v>
      </c>
      <c r="C1" s="1" t="s">
        <v>2</v>
      </c>
      <c r="D1" s="1"/>
      <c r="E1" s="27"/>
      <c r="F1" s="28"/>
      <c r="G1" s="1"/>
      <c r="H1" s="29"/>
      <c r="I1" s="37"/>
      <c r="J1" s="1"/>
      <c r="K1" s="1"/>
      <c r="L1" s="1"/>
      <c r="M1" s="1"/>
      <c r="N1" s="1"/>
      <c r="O1" s="1"/>
      <c r="P1" s="1"/>
      <c r="Q1" s="2"/>
      <c r="R1" s="2"/>
      <c r="S1" s="12"/>
      <c r="T1" s="13"/>
    </row>
    <row r="2" spans="1:20" customFormat="1" ht="23">
      <c r="A2" s="3" t="s">
        <v>3</v>
      </c>
      <c r="B2" s="3" t="s">
        <v>4</v>
      </c>
      <c r="C2" s="3" t="s">
        <v>2</v>
      </c>
      <c r="D2" s="3" t="s">
        <v>5</v>
      </c>
      <c r="E2" s="30" t="s">
        <v>6</v>
      </c>
      <c r="F2" s="31" t="s">
        <v>7</v>
      </c>
      <c r="G2" s="3" t="s">
        <v>8</v>
      </c>
      <c r="H2" s="32" t="s">
        <v>9</v>
      </c>
      <c r="I2" s="38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51" t="s">
        <v>17</v>
      </c>
      <c r="Q2" s="4"/>
      <c r="R2" s="4" t="s">
        <v>18</v>
      </c>
      <c r="S2" s="42" t="s">
        <v>19</v>
      </c>
      <c r="T2" s="13"/>
    </row>
    <row r="3" spans="1:20">
      <c r="A3" s="44">
        <v>415432</v>
      </c>
      <c r="B3" s="44">
        <v>182</v>
      </c>
      <c r="C3" s="45">
        <v>525121</v>
      </c>
      <c r="D3" s="44" t="s">
        <v>20</v>
      </c>
      <c r="E3" s="46" t="s">
        <v>21</v>
      </c>
      <c r="F3" s="46" t="s">
        <v>22</v>
      </c>
      <c r="G3" s="47" t="s">
        <v>23</v>
      </c>
      <c r="H3" s="53" t="s">
        <v>24</v>
      </c>
      <c r="I3" s="53" t="s">
        <v>25</v>
      </c>
      <c r="J3" s="33">
        <v>2</v>
      </c>
      <c r="K3" s="52" t="s">
        <v>26</v>
      </c>
      <c r="L3" s="50" t="s">
        <v>26</v>
      </c>
      <c r="M3" s="53" t="s">
        <v>27</v>
      </c>
      <c r="N3" s="54" t="s">
        <v>28</v>
      </c>
      <c r="O3" s="50" t="s">
        <v>29</v>
      </c>
      <c r="P3" s="55" t="s">
        <v>30</v>
      </c>
      <c r="R3" s="9" t="str">
        <f>A3&amp;"."&amp;B3&amp;"."&amp;C3&amp;"."&amp;D3&amp;"."&amp;E3&amp;"."&amp;F3&amp;"."&amp;G3&amp;"."&amp;H3&amp;"."&amp;I3&amp;"."&amp;J3&amp;"."&amp;K3&amp;"."&amp;L3&amp;"."&amp;M3&amp;"|"&amp;N3&amp;"|"&amp;O3&amp;"|"&amp;P3</f>
        <v>415432.182.525121.02404DG.6388CAB.F000000001.00000.2.0154.2.000000.000000.003|052|0A|000001</v>
      </c>
      <c r="S3" s="9" t="str">
        <f t="shared" ref="S3:S16" si="0">A3&amp;"."&amp;B3&amp;"."&amp;C3&amp;"."&amp;D3&amp;"."&amp;E3&amp;"."&amp;F3&amp;"."&amp;G3&amp;"."&amp;H3&amp;"."&amp;I3&amp;"."&amp;J3&amp;"."&amp;K3&amp;"."&amp;L3</f>
        <v>415432.182.525121.02404DG.6388CAB.F000000001.00000.2.0154.2.000000.000000</v>
      </c>
    </row>
    <row r="4" spans="1:20">
      <c r="A4" s="5">
        <v>415432</v>
      </c>
      <c r="B4" s="5">
        <v>182</v>
      </c>
      <c r="C4" s="48">
        <v>525121</v>
      </c>
      <c r="D4" s="5" t="s">
        <v>20</v>
      </c>
      <c r="E4" s="49" t="s">
        <v>21</v>
      </c>
      <c r="F4" s="49" t="s">
        <v>22</v>
      </c>
      <c r="G4" s="50" t="s">
        <v>23</v>
      </c>
      <c r="H4" s="54" t="s">
        <v>24</v>
      </c>
      <c r="I4" s="54" t="s">
        <v>25</v>
      </c>
      <c r="J4" s="33">
        <v>2</v>
      </c>
      <c r="K4" s="52" t="s">
        <v>26</v>
      </c>
      <c r="L4" s="50" t="s">
        <v>26</v>
      </c>
      <c r="M4" s="54" t="s">
        <v>27</v>
      </c>
      <c r="N4" s="54" t="s">
        <v>31</v>
      </c>
      <c r="O4" s="50" t="s">
        <v>29</v>
      </c>
      <c r="P4" s="55" t="s">
        <v>32</v>
      </c>
      <c r="R4" s="9" t="str">
        <f t="shared" ref="R4:R16" si="1">A4&amp;"."&amp;B4&amp;"."&amp;C4&amp;"."&amp;D4&amp;"."&amp;E4&amp;"."&amp;F4&amp;"."&amp;G4&amp;"."&amp;H4&amp;"."&amp;I4&amp;"."&amp;J4&amp;"."&amp;K4&amp;"."&amp;L4&amp;"."&amp;M4&amp;"."&amp;N4&amp;"."&amp;O4&amp;"."&amp;P4</f>
        <v>415432.182.525121.02404DG.6388CAB.F000000001.00000.2.0154.2.000000.000000.003.051.0A.000285</v>
      </c>
      <c r="S4" s="9" t="str">
        <f t="shared" si="0"/>
        <v>415432.182.525121.02404DG.6388CAB.F000000001.00000.2.0154.2.000000.000000</v>
      </c>
    </row>
    <row r="5" spans="1:20">
      <c r="A5" s="5">
        <v>415432</v>
      </c>
      <c r="B5" s="5">
        <v>182</v>
      </c>
      <c r="C5" s="48">
        <v>525121</v>
      </c>
      <c r="D5" s="5" t="s">
        <v>20</v>
      </c>
      <c r="E5" s="49" t="s">
        <v>21</v>
      </c>
      <c r="F5" s="49" t="s">
        <v>22</v>
      </c>
      <c r="G5" s="50" t="s">
        <v>23</v>
      </c>
      <c r="H5" s="54" t="s">
        <v>24</v>
      </c>
      <c r="I5" s="54" t="s">
        <v>25</v>
      </c>
      <c r="J5" s="33">
        <v>2</v>
      </c>
      <c r="K5" s="52" t="s">
        <v>26</v>
      </c>
      <c r="L5" s="50" t="s">
        <v>26</v>
      </c>
      <c r="M5" s="54" t="s">
        <v>27</v>
      </c>
      <c r="N5" s="54" t="s">
        <v>31</v>
      </c>
      <c r="O5" s="50" t="s">
        <v>29</v>
      </c>
      <c r="P5" s="55" t="s">
        <v>33</v>
      </c>
      <c r="R5" s="9" t="str">
        <f t="shared" si="1"/>
        <v>415432.182.525121.02404DG.6388CAB.F000000001.00000.2.0154.2.000000.000000.003.051.0A.000286</v>
      </c>
      <c r="S5" s="9" t="str">
        <f t="shared" si="0"/>
        <v>415432.182.525121.02404DG.6388CAB.F000000001.00000.2.0154.2.000000.000000</v>
      </c>
    </row>
    <row r="6" spans="1:20">
      <c r="A6" s="5">
        <v>415432</v>
      </c>
      <c r="B6" s="5">
        <v>182</v>
      </c>
      <c r="C6" s="48">
        <v>525121</v>
      </c>
      <c r="D6" s="5" t="s">
        <v>20</v>
      </c>
      <c r="E6" s="49" t="s">
        <v>21</v>
      </c>
      <c r="F6" s="49" t="s">
        <v>22</v>
      </c>
      <c r="G6" s="50" t="s">
        <v>23</v>
      </c>
      <c r="H6" s="54" t="s">
        <v>24</v>
      </c>
      <c r="I6" s="54" t="s">
        <v>25</v>
      </c>
      <c r="J6" s="33">
        <v>2</v>
      </c>
      <c r="K6" s="52" t="s">
        <v>26</v>
      </c>
      <c r="L6" s="50" t="s">
        <v>26</v>
      </c>
      <c r="M6" s="54" t="s">
        <v>34</v>
      </c>
      <c r="N6" s="54" t="s">
        <v>31</v>
      </c>
      <c r="O6" s="50" t="s">
        <v>29</v>
      </c>
      <c r="P6" s="55" t="s">
        <v>35</v>
      </c>
      <c r="R6" s="9" t="str">
        <f t="shared" si="1"/>
        <v>415432.182.525121.02404DG.6388CAB.F000000001.00000.2.0154.2.000000.000000.001.051.0A.000131</v>
      </c>
      <c r="S6" s="9" t="str">
        <f t="shared" si="0"/>
        <v>415432.182.525121.02404DG.6388CAB.F000000001.00000.2.0154.2.000000.000000</v>
      </c>
    </row>
    <row r="7" spans="1:20">
      <c r="A7" s="5">
        <v>415432</v>
      </c>
      <c r="B7" s="5">
        <v>182</v>
      </c>
      <c r="C7" s="48">
        <v>525121</v>
      </c>
      <c r="D7" s="5" t="s">
        <v>20</v>
      </c>
      <c r="E7" s="49" t="s">
        <v>21</v>
      </c>
      <c r="F7" s="49" t="s">
        <v>22</v>
      </c>
      <c r="G7" s="50" t="s">
        <v>23</v>
      </c>
      <c r="H7" s="54" t="s">
        <v>24</v>
      </c>
      <c r="I7" s="54" t="s">
        <v>25</v>
      </c>
      <c r="J7" s="33">
        <v>2</v>
      </c>
      <c r="K7" s="52" t="s">
        <v>26</v>
      </c>
      <c r="L7" s="50" t="s">
        <v>26</v>
      </c>
      <c r="M7" s="54" t="s">
        <v>34</v>
      </c>
      <c r="N7" s="54" t="s">
        <v>31</v>
      </c>
      <c r="O7" s="50" t="s">
        <v>29</v>
      </c>
      <c r="P7" s="55" t="s">
        <v>36</v>
      </c>
      <c r="R7" s="9" t="str">
        <f t="shared" si="1"/>
        <v>415432.182.525121.02404DG.6388CAB.F000000001.00000.2.0154.2.000000.000000.001.051.0A.000132</v>
      </c>
      <c r="S7" s="9" t="str">
        <f t="shared" si="0"/>
        <v>415432.182.525121.02404DG.6388CAB.F000000001.00000.2.0154.2.000000.000000</v>
      </c>
    </row>
    <row r="8" spans="1:20">
      <c r="A8" s="5">
        <v>415432</v>
      </c>
      <c r="B8" s="5">
        <v>182</v>
      </c>
      <c r="C8" s="48">
        <v>525121</v>
      </c>
      <c r="D8" s="5" t="s">
        <v>20</v>
      </c>
      <c r="E8" s="49" t="s">
        <v>21</v>
      </c>
      <c r="F8" s="49" t="s">
        <v>22</v>
      </c>
      <c r="G8" s="50" t="s">
        <v>23</v>
      </c>
      <c r="H8" s="54" t="s">
        <v>24</v>
      </c>
      <c r="I8" s="54" t="s">
        <v>25</v>
      </c>
      <c r="J8" s="33">
        <v>2</v>
      </c>
      <c r="K8" s="52" t="s">
        <v>26</v>
      </c>
      <c r="L8" s="50" t="s">
        <v>26</v>
      </c>
      <c r="M8" s="54" t="s">
        <v>34</v>
      </c>
      <c r="N8" s="54" t="s">
        <v>31</v>
      </c>
      <c r="O8" s="50" t="s">
        <v>29</v>
      </c>
      <c r="P8" s="55" t="s">
        <v>37</v>
      </c>
      <c r="R8" s="9" t="str">
        <f t="shared" si="1"/>
        <v>415432.182.525121.02404DG.6388CAB.F000000001.00000.2.0154.2.000000.000000.001.051.0A.000133</v>
      </c>
      <c r="S8" s="9" t="str">
        <f t="shared" si="0"/>
        <v>415432.182.525121.02404DG.6388CAB.F000000001.00000.2.0154.2.000000.000000</v>
      </c>
    </row>
    <row r="9" spans="1:20">
      <c r="A9" s="5">
        <v>415432</v>
      </c>
      <c r="B9" s="5">
        <v>182</v>
      </c>
      <c r="C9" s="48">
        <v>525121</v>
      </c>
      <c r="D9" s="5" t="s">
        <v>20</v>
      </c>
      <c r="E9" s="49" t="s">
        <v>21</v>
      </c>
      <c r="F9" s="49" t="s">
        <v>22</v>
      </c>
      <c r="G9" s="50" t="s">
        <v>23</v>
      </c>
      <c r="H9" s="54" t="s">
        <v>24</v>
      </c>
      <c r="I9" s="54" t="s">
        <v>25</v>
      </c>
      <c r="J9" s="33">
        <v>2</v>
      </c>
      <c r="K9" s="52" t="s">
        <v>26</v>
      </c>
      <c r="L9" s="50" t="s">
        <v>26</v>
      </c>
      <c r="M9" s="54" t="s">
        <v>34</v>
      </c>
      <c r="N9" s="54" t="s">
        <v>31</v>
      </c>
      <c r="O9" s="50" t="s">
        <v>29</v>
      </c>
      <c r="P9" s="55" t="s">
        <v>38</v>
      </c>
      <c r="R9" s="9" t="str">
        <f t="shared" si="1"/>
        <v>415432.182.525121.02404DG.6388CAB.F000000001.00000.2.0154.2.000000.000000.001.051.0A.000134</v>
      </c>
      <c r="S9" s="9" t="str">
        <f t="shared" si="0"/>
        <v>415432.182.525121.02404DG.6388CAB.F000000001.00000.2.0154.2.000000.000000</v>
      </c>
    </row>
    <row r="10" spans="1:20">
      <c r="A10" s="5">
        <v>415432</v>
      </c>
      <c r="B10" s="5">
        <v>182</v>
      </c>
      <c r="C10" s="48">
        <v>525121</v>
      </c>
      <c r="D10" s="5" t="s">
        <v>20</v>
      </c>
      <c r="E10" s="49" t="s">
        <v>21</v>
      </c>
      <c r="F10" s="49" t="s">
        <v>22</v>
      </c>
      <c r="G10" s="50" t="s">
        <v>23</v>
      </c>
      <c r="H10" s="54" t="s">
        <v>24</v>
      </c>
      <c r="I10" s="54" t="s">
        <v>25</v>
      </c>
      <c r="J10" s="33">
        <v>2</v>
      </c>
      <c r="K10" s="52" t="s">
        <v>26</v>
      </c>
      <c r="L10" s="50" t="s">
        <v>26</v>
      </c>
      <c r="M10" s="54" t="s">
        <v>34</v>
      </c>
      <c r="N10" s="54" t="s">
        <v>31</v>
      </c>
      <c r="O10" s="50" t="s">
        <v>29</v>
      </c>
      <c r="P10" s="55" t="s">
        <v>39</v>
      </c>
      <c r="R10" s="9" t="str">
        <f t="shared" si="1"/>
        <v>415432.182.525121.02404DG.6388CAB.F000000001.00000.2.0154.2.000000.000000.001.051.0A.000135</v>
      </c>
      <c r="S10" s="9" t="str">
        <f t="shared" si="0"/>
        <v>415432.182.525121.02404DG.6388CAB.F000000001.00000.2.0154.2.000000.000000</v>
      </c>
    </row>
    <row r="11" spans="1:20">
      <c r="A11" s="5">
        <v>415432</v>
      </c>
      <c r="B11" s="5">
        <v>182</v>
      </c>
      <c r="C11" s="48">
        <v>525121</v>
      </c>
      <c r="D11" s="5" t="s">
        <v>20</v>
      </c>
      <c r="E11" s="49" t="s">
        <v>21</v>
      </c>
      <c r="F11" s="49" t="s">
        <v>22</v>
      </c>
      <c r="G11" s="50" t="s">
        <v>23</v>
      </c>
      <c r="H11" s="54" t="s">
        <v>24</v>
      </c>
      <c r="I11" s="54" t="s">
        <v>25</v>
      </c>
      <c r="J11" s="33">
        <v>2</v>
      </c>
      <c r="K11" s="52" t="s">
        <v>26</v>
      </c>
      <c r="L11" s="50" t="s">
        <v>26</v>
      </c>
      <c r="M11" s="54" t="s">
        <v>34</v>
      </c>
      <c r="N11" s="54" t="s">
        <v>31</v>
      </c>
      <c r="O11" s="50" t="s">
        <v>29</v>
      </c>
      <c r="P11" s="55" t="s">
        <v>40</v>
      </c>
      <c r="R11" s="9" t="str">
        <f t="shared" si="1"/>
        <v>415432.182.525121.02404DG.6388CAB.F000000001.00000.2.0154.2.000000.000000.001.051.0A.000136</v>
      </c>
      <c r="S11" s="9" t="str">
        <f t="shared" si="0"/>
        <v>415432.182.525121.02404DG.6388CAB.F000000001.00000.2.0154.2.000000.000000</v>
      </c>
    </row>
    <row r="12" spans="1:20">
      <c r="A12" s="5">
        <v>415432</v>
      </c>
      <c r="B12" s="5">
        <v>182</v>
      </c>
      <c r="C12" s="48">
        <v>525121</v>
      </c>
      <c r="D12" s="5" t="s">
        <v>20</v>
      </c>
      <c r="E12" s="49" t="s">
        <v>21</v>
      </c>
      <c r="F12" s="49" t="s">
        <v>22</v>
      </c>
      <c r="G12" s="50" t="s">
        <v>23</v>
      </c>
      <c r="H12" s="54" t="s">
        <v>24</v>
      </c>
      <c r="I12" s="54" t="s">
        <v>25</v>
      </c>
      <c r="J12" s="33">
        <v>2</v>
      </c>
      <c r="K12" s="52" t="s">
        <v>26</v>
      </c>
      <c r="L12" s="50" t="s">
        <v>26</v>
      </c>
      <c r="M12" s="54" t="s">
        <v>34</v>
      </c>
      <c r="N12" s="54" t="s">
        <v>31</v>
      </c>
      <c r="O12" s="50" t="s">
        <v>29</v>
      </c>
      <c r="P12" s="55" t="s">
        <v>41</v>
      </c>
      <c r="R12" s="9" t="str">
        <f t="shared" si="1"/>
        <v>415432.182.525121.02404DG.6388CAB.F000000001.00000.2.0154.2.000000.000000.001.051.0A.000137</v>
      </c>
      <c r="S12" s="9" t="str">
        <f t="shared" si="0"/>
        <v>415432.182.525121.02404DG.6388CAB.F000000001.00000.2.0154.2.000000.000000</v>
      </c>
    </row>
    <row r="13" spans="1:20">
      <c r="A13" s="5">
        <v>415432</v>
      </c>
      <c r="B13" s="5">
        <v>182</v>
      </c>
      <c r="C13" s="48">
        <v>525121</v>
      </c>
      <c r="D13" s="5" t="s">
        <v>20</v>
      </c>
      <c r="E13" s="49" t="s">
        <v>21</v>
      </c>
      <c r="F13" s="49" t="s">
        <v>22</v>
      </c>
      <c r="G13" s="50" t="s">
        <v>23</v>
      </c>
      <c r="H13" s="54" t="s">
        <v>24</v>
      </c>
      <c r="I13" s="54" t="s">
        <v>25</v>
      </c>
      <c r="J13" s="33">
        <v>2</v>
      </c>
      <c r="K13" s="52" t="s">
        <v>26</v>
      </c>
      <c r="L13" s="50" t="s">
        <v>26</v>
      </c>
      <c r="M13" s="54" t="s">
        <v>34</v>
      </c>
      <c r="N13" s="54" t="s">
        <v>31</v>
      </c>
      <c r="O13" s="50" t="s">
        <v>29</v>
      </c>
      <c r="P13" s="55" t="s">
        <v>42</v>
      </c>
      <c r="R13" s="9" t="str">
        <f t="shared" si="1"/>
        <v>415432.182.525121.02404DG.6388CAB.F000000001.00000.2.0154.2.000000.000000.001.051.0A.000138</v>
      </c>
      <c r="S13" s="9" t="str">
        <f t="shared" si="0"/>
        <v>415432.182.525121.02404DG.6388CAB.F000000001.00000.2.0154.2.000000.000000</v>
      </c>
    </row>
    <row r="14" spans="1:20">
      <c r="A14" s="5">
        <v>415432</v>
      </c>
      <c r="B14" s="5">
        <v>182</v>
      </c>
      <c r="C14" s="48">
        <v>525121</v>
      </c>
      <c r="D14" s="5" t="s">
        <v>20</v>
      </c>
      <c r="E14" s="49" t="s">
        <v>21</v>
      </c>
      <c r="F14" s="49" t="s">
        <v>22</v>
      </c>
      <c r="G14" s="50" t="s">
        <v>23</v>
      </c>
      <c r="H14" s="54" t="s">
        <v>24</v>
      </c>
      <c r="I14" s="54" t="s">
        <v>25</v>
      </c>
      <c r="J14" s="33">
        <v>2</v>
      </c>
      <c r="K14" s="52" t="s">
        <v>26</v>
      </c>
      <c r="L14" s="50" t="s">
        <v>26</v>
      </c>
      <c r="M14" s="54" t="s">
        <v>34</v>
      </c>
      <c r="N14" s="54" t="s">
        <v>31</v>
      </c>
      <c r="O14" s="50" t="s">
        <v>29</v>
      </c>
      <c r="P14" s="55" t="s">
        <v>43</v>
      </c>
      <c r="R14" s="9" t="str">
        <f t="shared" si="1"/>
        <v>415432.182.525121.02404DG.6388CAB.F000000001.00000.2.0154.2.000000.000000.001.051.0A.000139</v>
      </c>
      <c r="S14" s="9" t="str">
        <f t="shared" si="0"/>
        <v>415432.182.525121.02404DG.6388CAB.F000000001.00000.2.0154.2.000000.000000</v>
      </c>
    </row>
    <row r="15" spans="1:20">
      <c r="A15" s="5">
        <v>415432</v>
      </c>
      <c r="B15" s="5">
        <v>182</v>
      </c>
      <c r="C15" s="48">
        <v>525121</v>
      </c>
      <c r="D15" s="5" t="s">
        <v>20</v>
      </c>
      <c r="E15" s="49" t="s">
        <v>21</v>
      </c>
      <c r="F15" s="49" t="s">
        <v>22</v>
      </c>
      <c r="G15" s="50" t="s">
        <v>23</v>
      </c>
      <c r="H15" s="54" t="s">
        <v>24</v>
      </c>
      <c r="I15" s="54" t="s">
        <v>25</v>
      </c>
      <c r="J15" s="33">
        <v>2</v>
      </c>
      <c r="K15" s="52" t="s">
        <v>26</v>
      </c>
      <c r="L15" s="50" t="s">
        <v>26</v>
      </c>
      <c r="M15" s="54" t="s">
        <v>34</v>
      </c>
      <c r="N15" s="54" t="s">
        <v>31</v>
      </c>
      <c r="O15" s="50" t="s">
        <v>29</v>
      </c>
      <c r="P15" s="55" t="s">
        <v>44</v>
      </c>
      <c r="R15" s="9" t="str">
        <f t="shared" si="1"/>
        <v>415432.182.525121.02404DG.6388CAB.F000000001.00000.2.0154.2.000000.000000.001.051.0A.000140</v>
      </c>
      <c r="S15" s="9" t="str">
        <f t="shared" si="0"/>
        <v>415432.182.525121.02404DG.6388CAB.F000000001.00000.2.0154.2.000000.000000</v>
      </c>
    </row>
    <row r="16" spans="1:20">
      <c r="A16" s="5">
        <v>415432</v>
      </c>
      <c r="B16" s="5">
        <v>182</v>
      </c>
      <c r="C16" s="48">
        <v>525121</v>
      </c>
      <c r="D16" s="5" t="s">
        <v>20</v>
      </c>
      <c r="E16" s="49" t="s">
        <v>21</v>
      </c>
      <c r="F16" s="49" t="s">
        <v>22</v>
      </c>
      <c r="G16" s="50" t="s">
        <v>23</v>
      </c>
      <c r="H16" s="54" t="s">
        <v>24</v>
      </c>
      <c r="I16" s="54" t="s">
        <v>25</v>
      </c>
      <c r="J16" s="33">
        <v>2</v>
      </c>
      <c r="K16" s="52" t="s">
        <v>26</v>
      </c>
      <c r="L16" s="50" t="s">
        <v>26</v>
      </c>
      <c r="M16" s="54" t="s">
        <v>34</v>
      </c>
      <c r="N16" s="54" t="s">
        <v>31</v>
      </c>
      <c r="O16" s="50" t="s">
        <v>29</v>
      </c>
      <c r="P16" s="55" t="s">
        <v>45</v>
      </c>
      <c r="R16" s="9" t="str">
        <f t="shared" si="1"/>
        <v>415432.182.525121.02404DG.6388CAB.F000000001.00000.2.0154.2.000000.000000.001.051.0A.000141</v>
      </c>
      <c r="S16" s="9" t="str">
        <f t="shared" si="0"/>
        <v>415432.182.525121.02404DG.6388CAB.F000000001.00000.2.0154.2.000000.000000</v>
      </c>
    </row>
  </sheetData>
  <autoFilter ref="A1:S16"/>
  <pageMargins left="0.69930555555555596" right="0.69930555555555596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C4"/>
  <sheetViews>
    <sheetView topLeftCell="G1" workbookViewId="0">
      <selection activeCell="G4" sqref="G4"/>
    </sheetView>
  </sheetViews>
  <sheetFormatPr defaultColWidth="8.81640625" defaultRowHeight="14.5"/>
  <cols>
    <col min="1" max="1" width="13.08984375" customWidth="1"/>
    <col min="2" max="2" width="16.6328125" customWidth="1"/>
    <col min="3" max="3" width="13.90625" customWidth="1"/>
    <col min="4" max="4" width="20.6328125" customWidth="1"/>
    <col min="5" max="5" width="20.6328125" style="24" customWidth="1"/>
    <col min="6" max="6" width="18.36328125" style="24" customWidth="1"/>
    <col min="7" max="7" width="12.453125" style="8" customWidth="1"/>
    <col min="8" max="8" width="12.26953125" style="8" customWidth="1"/>
    <col min="9" max="9" width="19.90625" style="25" customWidth="1"/>
    <col min="10" max="10" width="9.54296875" style="8" customWidth="1"/>
    <col min="11" max="11" width="14.54296875" style="8" customWidth="1"/>
    <col min="12" max="12" width="23.08984375" style="26" customWidth="1"/>
    <col min="13" max="13" width="20.6328125" style="8" customWidth="1"/>
    <col min="14" max="14" width="13.90625" style="8" customWidth="1"/>
    <col min="15" max="15" width="66.54296875" style="8" customWidth="1"/>
    <col min="16" max="16" width="15.81640625" style="8" customWidth="1"/>
    <col min="17" max="17" width="18.54296875" style="8" customWidth="1"/>
    <col min="18" max="18" width="20.6328125" style="10" customWidth="1"/>
    <col min="19" max="19" width="23" style="11" customWidth="1"/>
    <col min="20" max="20" width="14.54296875" style="8" customWidth="1"/>
    <col min="21" max="21" width="13.453125" style="8"/>
    <col min="22" max="23" width="8.81640625" style="8"/>
    <col min="24" max="26" width="14.54296875" style="8"/>
    <col min="27" max="16383" width="8.81640625" style="8"/>
  </cols>
  <sheetData>
    <row r="1" spans="1:25" customFormat="1">
      <c r="A1" s="1" t="s">
        <v>0</v>
      </c>
      <c r="B1" s="1" t="s">
        <v>1</v>
      </c>
      <c r="C1" s="1"/>
      <c r="D1" s="1"/>
      <c r="E1" s="27"/>
      <c r="F1" s="28"/>
      <c r="G1" s="1"/>
      <c r="H1" s="29"/>
      <c r="I1" s="37"/>
      <c r="J1" s="1"/>
      <c r="K1" s="1"/>
      <c r="L1" s="1"/>
      <c r="M1" s="1"/>
      <c r="N1" s="1"/>
      <c r="O1" s="1"/>
      <c r="P1" s="2"/>
      <c r="Q1" s="2"/>
      <c r="R1" s="12"/>
      <c r="S1" s="13"/>
    </row>
    <row r="2" spans="1:25" customFormat="1" ht="106" customHeight="1">
      <c r="A2" s="3" t="s">
        <v>3</v>
      </c>
      <c r="B2" s="3" t="s">
        <v>46</v>
      </c>
      <c r="C2" s="3" t="s">
        <v>47</v>
      </c>
      <c r="D2" s="3" t="s">
        <v>48</v>
      </c>
      <c r="E2" s="30" t="s">
        <v>49</v>
      </c>
      <c r="F2" s="31" t="s">
        <v>50</v>
      </c>
      <c r="G2" s="3" t="s">
        <v>51</v>
      </c>
      <c r="H2" s="32" t="s">
        <v>52</v>
      </c>
      <c r="I2" s="38" t="s">
        <v>53</v>
      </c>
      <c r="J2" s="3" t="s">
        <v>54</v>
      </c>
      <c r="K2" s="3" t="s">
        <v>55</v>
      </c>
      <c r="L2" s="3" t="s">
        <v>56</v>
      </c>
      <c r="M2" s="3" t="s">
        <v>57</v>
      </c>
      <c r="N2" s="3" t="s">
        <v>58</v>
      </c>
      <c r="O2" s="3" t="s">
        <v>59</v>
      </c>
      <c r="P2" s="3" t="s">
        <v>60</v>
      </c>
      <c r="Q2" s="4"/>
      <c r="R2" s="42"/>
      <c r="S2" s="13"/>
    </row>
    <row r="3" spans="1:25">
      <c r="A3" s="14">
        <v>415432</v>
      </c>
      <c r="B3" s="15">
        <v>2023</v>
      </c>
      <c r="C3" s="33" t="s">
        <v>61</v>
      </c>
      <c r="D3" s="56" t="s">
        <v>62</v>
      </c>
      <c r="E3" s="56" t="s">
        <v>62</v>
      </c>
      <c r="F3" s="34" t="s">
        <v>63</v>
      </c>
      <c r="G3" s="35">
        <v>1</v>
      </c>
      <c r="H3" s="36" t="s">
        <v>64</v>
      </c>
      <c r="I3" s="39" t="s">
        <v>65</v>
      </c>
      <c r="J3" s="33" t="s">
        <v>66</v>
      </c>
      <c r="K3" s="40">
        <v>70716510</v>
      </c>
      <c r="L3" s="41" t="s">
        <v>67</v>
      </c>
      <c r="M3" s="56" t="s">
        <v>68</v>
      </c>
      <c r="N3" s="41">
        <v>1</v>
      </c>
      <c r="O3" s="36" t="s">
        <v>69</v>
      </c>
      <c r="P3" s="57" t="s">
        <v>70</v>
      </c>
      <c r="Q3" s="9" t="str">
        <f>A3&amp;"|"&amp;B3&amp;"|"&amp;C3&amp;"|"&amp;D3&amp;"|"&amp;E3&amp;"|"&amp;F3&amp;"|"&amp;G3&amp;"|"&amp;H3&amp;"|"&amp;I3&amp;"|"&amp;J3&amp;"|"&amp;K3&amp;"|"&amp;L3&amp;"|"&amp;M3&amp;"|"&amp;N3&amp;"|"&amp;O3&amp;"|"&amp;P3</f>
        <v>415432|2023|006/ALK/01/23|2023-01-09 00:00:00.000|2023-01-09 00:00:00.000|PEMBAYARAN OBAT|1|TIM PENERIMA|8100124154321000|IDR|70716510|DIPA-024.04.2.415432/2023|2022-11-30 00:00:00.000|1| 415432.182.525121.02404DG.6388CAB.F000000001.00000.2.0154.2.000000.000000|001446764016000</v>
      </c>
      <c r="R3" s="19"/>
    </row>
    <row r="4" spans="1:25">
      <c r="A4" t="s">
        <v>89</v>
      </c>
      <c r="Q4" s="9"/>
      <c r="Y4" s="43"/>
    </row>
  </sheetData>
  <autoFilter ref="A1:R3"/>
  <pageMargins left="0.69930555555555596" right="0.69930555555555596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R9"/>
  <sheetViews>
    <sheetView tabSelected="1" workbookViewId="0">
      <selection activeCell="C2" sqref="C2"/>
    </sheetView>
  </sheetViews>
  <sheetFormatPr defaultColWidth="8.81640625" defaultRowHeight="14.5"/>
  <cols>
    <col min="1" max="1" width="17.54296875" customWidth="1"/>
    <col min="2" max="2" width="14.1796875" customWidth="1"/>
    <col min="3" max="3" width="30.90625" customWidth="1"/>
    <col min="4" max="4" width="15.1796875" customWidth="1"/>
    <col min="5" max="5" width="22" style="8" customWidth="1"/>
    <col min="6" max="6" width="42.90625" style="8" customWidth="1"/>
    <col min="7" max="7" width="20.6328125" style="10" customWidth="1"/>
    <col min="8" max="8" width="23" style="11" customWidth="1"/>
    <col min="9" max="9" width="14.54296875" style="8" customWidth="1"/>
    <col min="10" max="10" width="13.453125" style="8"/>
    <col min="11" max="12" width="8.81640625" style="8"/>
    <col min="13" max="15" width="14.54296875" style="8"/>
    <col min="16" max="16372" width="8.81640625" style="8"/>
  </cols>
  <sheetData>
    <row r="1" spans="1:9" customFormat="1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2"/>
      <c r="G1" s="12"/>
      <c r="H1" s="13"/>
    </row>
    <row r="2" spans="1:9" s="8" customFormat="1">
      <c r="A2" s="14" t="s">
        <v>76</v>
      </c>
      <c r="B2" s="14" t="s">
        <v>77</v>
      </c>
      <c r="C2" s="15">
        <v>143120</v>
      </c>
      <c r="D2" s="16">
        <v>95</v>
      </c>
      <c r="E2" s="17" t="s">
        <v>78</v>
      </c>
      <c r="F2" s="18" t="str">
        <f>A2&amp;B2&amp;"|"&amp;C2&amp;"|"&amp;D2&amp;"|"&amp;E2</f>
        <v>1010401999004207|143120|95|024040100415432001KD</v>
      </c>
      <c r="G2" s="19"/>
      <c r="H2" s="20" t="str">
        <f>A2&amp;"|,|"&amp;C2&amp;"|,|"&amp;D2&amp;"|"</f>
        <v>1010401999|,|143120|,|95|</v>
      </c>
      <c r="I2" s="22">
        <f>D2*C2</f>
        <v>13596400</v>
      </c>
    </row>
    <row r="3" spans="1:9" s="8" customFormat="1">
      <c r="A3" s="5" t="s">
        <v>79</v>
      </c>
      <c r="B3" s="5" t="s">
        <v>80</v>
      </c>
      <c r="C3" s="5">
        <v>6748</v>
      </c>
      <c r="D3" s="21">
        <v>50</v>
      </c>
      <c r="E3" s="17" t="s">
        <v>78</v>
      </c>
      <c r="F3" s="18" t="str">
        <f>A3&amp;B3&amp;"|"&amp;C3&amp;"|"&amp;D3&amp;"|"&amp;E3</f>
        <v>1010401006000761|6748|50|024040100415432001KD</v>
      </c>
      <c r="G3" s="10"/>
      <c r="H3" s="20" t="str">
        <f>A3&amp;"|,|"&amp;C3&amp;"|,|"&amp;D3&amp;"|"</f>
        <v>1010401006|,|6748|,|50|</v>
      </c>
      <c r="I3" s="22">
        <f>D3*C3</f>
        <v>337400</v>
      </c>
    </row>
    <row r="4" spans="1:9" s="8" customFormat="1">
      <c r="A4" s="5" t="s">
        <v>79</v>
      </c>
      <c r="B4" s="5" t="s">
        <v>81</v>
      </c>
      <c r="C4" s="5">
        <v>21191</v>
      </c>
      <c r="D4" s="21">
        <v>50</v>
      </c>
      <c r="E4" s="17" t="s">
        <v>78</v>
      </c>
      <c r="F4" s="18" t="str">
        <f>A4&amp;B4&amp;"|"&amp;C4&amp;"|"&amp;D4&amp;"|"&amp;E4</f>
        <v>1010401006000700|21191|50|024040100415432001KD</v>
      </c>
      <c r="G4" s="10"/>
      <c r="H4" s="20" t="str">
        <f>A4&amp;"|,|"&amp;C4&amp;"|,|"&amp;D4&amp;"|"</f>
        <v>1010401006|,|21191|,|50|</v>
      </c>
      <c r="I4" s="22">
        <f>D4*C4</f>
        <v>1059550</v>
      </c>
    </row>
    <row r="5" spans="1:9" s="8" customFormat="1">
      <c r="A5" s="5" t="s">
        <v>79</v>
      </c>
      <c r="B5" s="5" t="s">
        <v>82</v>
      </c>
      <c r="C5" s="5">
        <v>1688</v>
      </c>
      <c r="D5" s="21">
        <v>70</v>
      </c>
      <c r="E5" s="17" t="s">
        <v>78</v>
      </c>
      <c r="F5" s="18" t="str">
        <f>A5&amp;B5&amp;"|"&amp;C5&amp;"|"&amp;D5&amp;"|"&amp;E5</f>
        <v>1010401006000623|1688|70|024040100415432001KD</v>
      </c>
      <c r="G5" s="10"/>
      <c r="H5" s="20" t="str">
        <f>A5&amp;"|,|"&amp;C5&amp;"|,|"&amp;D5&amp;"|"</f>
        <v>1010401006|,|1688|,|70|</v>
      </c>
      <c r="I5" s="22">
        <f>D5*C5</f>
        <v>118160</v>
      </c>
    </row>
    <row r="6" spans="1:9" s="8" customFormat="1">
      <c r="A6" s="5" t="s">
        <v>79</v>
      </c>
      <c r="B6" s="5" t="s">
        <v>83</v>
      </c>
      <c r="C6" s="5">
        <v>22242</v>
      </c>
      <c r="D6" s="21">
        <v>2500</v>
      </c>
      <c r="E6" s="17" t="s">
        <v>78</v>
      </c>
      <c r="F6" s="18" t="str">
        <f>A6&amp;B6&amp;"|"&amp;C6&amp;"|"&amp;D6&amp;"|"&amp;E6</f>
        <v>1010401006000598|22242|2500|024040100415432001KD</v>
      </c>
      <c r="G6" s="10"/>
      <c r="H6" s="20" t="str">
        <f>A6&amp;"|,|"&amp;C6&amp;"|,|"&amp;D6&amp;"|"</f>
        <v>1010401006|,|22242|,|2500|</v>
      </c>
      <c r="I6" s="22">
        <f>D6*C6</f>
        <v>55605000</v>
      </c>
    </row>
    <row r="7" spans="1:9">
      <c r="I7" s="23">
        <f>SUM(I2:I6)</f>
        <v>70716510</v>
      </c>
    </row>
    <row r="8" spans="1:9">
      <c r="A8" t="s">
        <v>90</v>
      </c>
    </row>
    <row r="9" spans="1:9">
      <c r="A9" t="s">
        <v>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A5" sqref="A5"/>
    </sheetView>
  </sheetViews>
  <sheetFormatPr defaultColWidth="8.90625" defaultRowHeight="14.5"/>
  <cols>
    <col min="1" max="1" width="85.6328125" customWidth="1"/>
    <col min="2" max="3" width="12.90625"/>
  </cols>
  <sheetData>
    <row r="1" spans="1:6">
      <c r="A1" s="1"/>
      <c r="B1" s="1"/>
      <c r="C1" s="1"/>
      <c r="D1" s="1"/>
      <c r="E1" s="2"/>
      <c r="F1" s="2"/>
    </row>
    <row r="2" spans="1:6" ht="34.5">
      <c r="A2" s="3" t="s">
        <v>84</v>
      </c>
      <c r="B2" s="3" t="s">
        <v>85</v>
      </c>
      <c r="C2" s="3" t="s">
        <v>86</v>
      </c>
      <c r="D2" s="3" t="s">
        <v>87</v>
      </c>
      <c r="E2" s="4"/>
      <c r="F2" s="4"/>
    </row>
    <row r="3" spans="1:6">
      <c r="A3" s="5" t="s">
        <v>88</v>
      </c>
      <c r="B3" s="6">
        <v>70716510</v>
      </c>
      <c r="C3" s="7">
        <v>70716510</v>
      </c>
      <c r="D3" s="5">
        <v>8</v>
      </c>
      <c r="E3" s="8"/>
      <c r="F3" s="9" t="str">
        <f>A3&amp;"."&amp;B3&amp;"."&amp;C3&amp;"."&amp;D3</f>
        <v>415432.182.525121.02404DG.6388CAB.F000000001.00000.2.0154.2.000000.000000.003|052|0A|000001.70716510.70716510.8</v>
      </c>
    </row>
    <row r="5" spans="1:6">
      <c r="A5" t="s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16 SEGMEN</vt:lpstr>
      <vt:lpstr>BAST A</vt:lpstr>
      <vt:lpstr>BAST B</vt:lpstr>
      <vt:lpstr>BAST 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sapto sisworo</cp:lastModifiedBy>
  <cp:lastPrinted>2018-10-03T09:14:00Z</cp:lastPrinted>
  <dcterms:created xsi:type="dcterms:W3CDTF">2017-10-09T10:01:00Z</dcterms:created>
  <dcterms:modified xsi:type="dcterms:W3CDTF">2023-03-30T07:22:21Z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1033-11.2.0.11513</vt:lpwstr>
  </property>
  <property fmtid="{D5CDD505-2E9C-101B-9397-08002B2CF9AE}" pid="3" name="ICV">
    <vt:lpwstr>90321713A2734EB99C66E71C17AEA713</vt:lpwstr>
  </property>
</Properties>
</file>