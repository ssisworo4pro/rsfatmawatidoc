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20" windowHeight="8530" activeTab="3"/>
  </bookViews>
  <sheets>
    <sheet name="MASTER" sheetId="1" r:id="rId1"/>
    <sheet name="91. BZA (Update 06 Sep)" sheetId="2" r:id="rId2"/>
    <sheet name="92. POV (Update 06 Sep)" sheetId="3" r:id="rId3"/>
    <sheet name="93. POA (Update 06 Sep)" sheetId="4" r:id="rId4"/>
  </sheets>
  <definedNames>
    <definedName name="_xlnm._FilterDatabase" localSheetId="1" hidden="1">'91. BZA (Update 06 Sep)'!$A$1:$E$1000</definedName>
    <definedName name="_xlnm._FilterDatabase" localSheetId="2" hidden="1">'92. POV (Update 06 Sep)'!$A$1:$G$988</definedName>
    <definedName name="_xlnm._FilterDatabase" localSheetId="3" hidden="1">'93. POA (Update 06 Sep)'!$A$1:$I$2049</definedName>
  </definedNames>
  <calcPr calcId="124519"/>
</workbook>
</file>

<file path=xl/calcChain.xml><?xml version="1.0" encoding="utf-8"?>
<calcChain xmlns="http://schemas.openxmlformats.org/spreadsheetml/2006/main">
  <c r="I1380" i="4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2" a="1"/>
  <c r="C2049" s="1"/>
  <c r="G795" i="3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E580" i="2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 a="1"/>
  <c r="C2"/>
  <c r="K17" i="1"/>
  <c r="H17"/>
  <c r="K16"/>
  <c r="H16"/>
  <c r="K15"/>
  <c r="H15"/>
  <c r="K14"/>
  <c r="H14"/>
  <c r="K13"/>
  <c r="H13"/>
  <c r="K12"/>
  <c r="H12"/>
  <c r="K11"/>
  <c r="H11"/>
  <c r="K10"/>
  <c r="H10"/>
  <c r="K8"/>
  <c r="H8"/>
  <c r="K7"/>
  <c r="H7"/>
  <c r="C8" i="4" l="1"/>
  <c r="K8" s="1"/>
  <c r="C20"/>
  <c r="K20" s="1"/>
  <c r="C32"/>
  <c r="K32" s="1"/>
  <c r="C44"/>
  <c r="K44" s="1"/>
  <c r="C56"/>
  <c r="K56" s="1"/>
  <c r="C68"/>
  <c r="K68" s="1"/>
  <c r="C80"/>
  <c r="K80" s="1"/>
  <c r="C92"/>
  <c r="K92" s="1"/>
  <c r="C104"/>
  <c r="K104" s="1"/>
  <c r="C116"/>
  <c r="K116" s="1"/>
  <c r="C128"/>
  <c r="K128" s="1"/>
  <c r="C140"/>
  <c r="K140" s="1"/>
  <c r="C152"/>
  <c r="K152" s="1"/>
  <c r="C164"/>
  <c r="K164" s="1"/>
  <c r="C176"/>
  <c r="K176" s="1"/>
  <c r="C188"/>
  <c r="K188" s="1"/>
  <c r="C200"/>
  <c r="K200" s="1"/>
  <c r="C212"/>
  <c r="K212" s="1"/>
  <c r="C224"/>
  <c r="K224" s="1"/>
  <c r="C236"/>
  <c r="K236" s="1"/>
  <c r="C248"/>
  <c r="K248" s="1"/>
  <c r="C260"/>
  <c r="K260" s="1"/>
  <c r="C272"/>
  <c r="K272" s="1"/>
  <c r="C284"/>
  <c r="K284" s="1"/>
  <c r="C296"/>
  <c r="K296" s="1"/>
  <c r="C308"/>
  <c r="K308" s="1"/>
  <c r="C320"/>
  <c r="K320" s="1"/>
  <c r="C332"/>
  <c r="K332" s="1"/>
  <c r="C344"/>
  <c r="K344" s="1"/>
  <c r="C356"/>
  <c r="K356" s="1"/>
  <c r="C368"/>
  <c r="K368" s="1"/>
  <c r="C380"/>
  <c r="K380" s="1"/>
  <c r="C392"/>
  <c r="K392" s="1"/>
  <c r="C404"/>
  <c r="K404" s="1"/>
  <c r="C416"/>
  <c r="K416" s="1"/>
  <c r="C428"/>
  <c r="K428" s="1"/>
  <c r="C440"/>
  <c r="K440" s="1"/>
  <c r="C452"/>
  <c r="K452" s="1"/>
  <c r="C464"/>
  <c r="K464" s="1"/>
  <c r="C476"/>
  <c r="K476" s="1"/>
  <c r="C488"/>
  <c r="K488" s="1"/>
  <c r="C500"/>
  <c r="K500" s="1"/>
  <c r="C512"/>
  <c r="K512" s="1"/>
  <c r="C524"/>
  <c r="K524" s="1"/>
  <c r="C536"/>
  <c r="K536" s="1"/>
  <c r="C548"/>
  <c r="K548" s="1"/>
  <c r="C560"/>
  <c r="K560" s="1"/>
  <c r="C572"/>
  <c r="K572" s="1"/>
  <c r="C584"/>
  <c r="K584" s="1"/>
  <c r="C596"/>
  <c r="K596" s="1"/>
  <c r="C608"/>
  <c r="K608" s="1"/>
  <c r="C620"/>
  <c r="K620" s="1"/>
  <c r="C632"/>
  <c r="K632" s="1"/>
  <c r="C644"/>
  <c r="K644" s="1"/>
  <c r="C656"/>
  <c r="K656" s="1"/>
  <c r="C668"/>
  <c r="K668" s="1"/>
  <c r="C680"/>
  <c r="K680" s="1"/>
  <c r="C692"/>
  <c r="K692" s="1"/>
  <c r="C704"/>
  <c r="K704" s="1"/>
  <c r="C716"/>
  <c r="K716" s="1"/>
  <c r="C728"/>
  <c r="K728" s="1"/>
  <c r="C740"/>
  <c r="K740" s="1"/>
  <c r="C752"/>
  <c r="K752" s="1"/>
  <c r="C764"/>
  <c r="K764" s="1"/>
  <c r="C776"/>
  <c r="K776" s="1"/>
  <c r="C788"/>
  <c r="K788" s="1"/>
  <c r="C800"/>
  <c r="K800" s="1"/>
  <c r="C812"/>
  <c r="K812" s="1"/>
  <c r="C824"/>
  <c r="K824" s="1"/>
  <c r="C836"/>
  <c r="K836" s="1"/>
  <c r="C848"/>
  <c r="K848" s="1"/>
  <c r="C860"/>
  <c r="K860" s="1"/>
  <c r="C872"/>
  <c r="K872" s="1"/>
  <c r="C884"/>
  <c r="K884" s="1"/>
  <c r="C896"/>
  <c r="K896" s="1"/>
  <c r="C908"/>
  <c r="K908" s="1"/>
  <c r="C920"/>
  <c r="K920" s="1"/>
  <c r="C932"/>
  <c r="K932" s="1"/>
  <c r="C944"/>
  <c r="K944" s="1"/>
  <c r="C956"/>
  <c r="K956" s="1"/>
  <c r="C968"/>
  <c r="K968" s="1"/>
  <c r="C980"/>
  <c r="K980" s="1"/>
  <c r="C992"/>
  <c r="K992" s="1"/>
  <c r="C1004"/>
  <c r="K1004" s="1"/>
  <c r="C1016"/>
  <c r="K1016" s="1"/>
  <c r="C1028"/>
  <c r="K1028" s="1"/>
  <c r="C1040"/>
  <c r="K1040" s="1"/>
  <c r="C1052"/>
  <c r="K1052" s="1"/>
  <c r="C1064"/>
  <c r="K1064" s="1"/>
  <c r="C1076"/>
  <c r="K1076" s="1"/>
  <c r="C1088"/>
  <c r="K1088" s="1"/>
  <c r="C1100"/>
  <c r="K1100" s="1"/>
  <c r="C1112"/>
  <c r="K1112" s="1"/>
  <c r="C1124"/>
  <c r="K1124" s="1"/>
  <c r="C1136"/>
  <c r="K1136" s="1"/>
  <c r="C1148"/>
  <c r="K1148" s="1"/>
  <c r="C1160"/>
  <c r="K1160" s="1"/>
  <c r="C1172"/>
  <c r="K1172" s="1"/>
  <c r="C1184"/>
  <c r="K1184" s="1"/>
  <c r="C1196"/>
  <c r="K1196" s="1"/>
  <c r="C1208"/>
  <c r="K1208" s="1"/>
  <c r="C1220"/>
  <c r="K1220" s="1"/>
  <c r="C1232"/>
  <c r="K1232" s="1"/>
  <c r="C1244"/>
  <c r="K1244" s="1"/>
  <c r="C1256"/>
  <c r="K1256" s="1"/>
  <c r="C1268"/>
  <c r="K1268" s="1"/>
  <c r="C1280"/>
  <c r="K1280" s="1"/>
  <c r="C1292"/>
  <c r="K1292" s="1"/>
  <c r="C1304"/>
  <c r="K1304" s="1"/>
  <c r="C1316"/>
  <c r="K1316" s="1"/>
  <c r="C1328"/>
  <c r="K1328" s="1"/>
  <c r="C1340"/>
  <c r="K1340" s="1"/>
  <c r="C1352"/>
  <c r="K1352" s="1"/>
  <c r="C1364"/>
  <c r="K1364" s="1"/>
  <c r="C1376"/>
  <c r="K1376" s="1"/>
  <c r="C1388"/>
  <c r="C1400"/>
  <c r="C1412"/>
  <c r="C1424"/>
  <c r="C1436"/>
  <c r="C1448"/>
  <c r="C1460"/>
  <c r="C1472"/>
  <c r="C1484"/>
  <c r="C1496"/>
  <c r="C1508"/>
  <c r="C1520"/>
  <c r="C1532"/>
  <c r="C1544"/>
  <c r="C1556"/>
  <c r="C1568"/>
  <c r="C1580"/>
  <c r="C1592"/>
  <c r="C1604"/>
  <c r="C1616"/>
  <c r="C1628"/>
  <c r="C1640"/>
  <c r="C1652"/>
  <c r="C1664"/>
  <c r="C1676"/>
  <c r="C1688"/>
  <c r="C1700"/>
  <c r="C1712"/>
  <c r="C1724"/>
  <c r="C1736"/>
  <c r="C1748"/>
  <c r="C1760"/>
  <c r="C1772"/>
  <c r="C1784"/>
  <c r="C1796"/>
  <c r="C1808"/>
  <c r="C1820"/>
  <c r="C1832"/>
  <c r="C1844"/>
  <c r="C1856"/>
  <c r="C1868"/>
  <c r="C1880"/>
  <c r="C1892"/>
  <c r="C1904"/>
  <c r="C1916"/>
  <c r="C1928"/>
  <c r="C1940"/>
  <c r="C1952"/>
  <c r="C1964"/>
  <c r="C1976"/>
  <c r="C1988"/>
  <c r="C2000"/>
  <c r="C2012"/>
  <c r="C2024"/>
  <c r="C2036"/>
  <c r="C2048"/>
  <c r="C7"/>
  <c r="K7" s="1"/>
  <c r="C19"/>
  <c r="K19" s="1"/>
  <c r="C31"/>
  <c r="K31" s="1"/>
  <c r="C43"/>
  <c r="K43" s="1"/>
  <c r="C55"/>
  <c r="K55" s="1"/>
  <c r="C67"/>
  <c r="K67" s="1"/>
  <c r="C79"/>
  <c r="K79" s="1"/>
  <c r="C91"/>
  <c r="K91" s="1"/>
  <c r="C103"/>
  <c r="K103" s="1"/>
  <c r="C115"/>
  <c r="K115" s="1"/>
  <c r="C127"/>
  <c r="K127" s="1"/>
  <c r="C139"/>
  <c r="K139" s="1"/>
  <c r="C151"/>
  <c r="K151" s="1"/>
  <c r="C163"/>
  <c r="K163" s="1"/>
  <c r="C175"/>
  <c r="K175" s="1"/>
  <c r="C187"/>
  <c r="K187" s="1"/>
  <c r="C199"/>
  <c r="K199" s="1"/>
  <c r="C211"/>
  <c r="K211" s="1"/>
  <c r="C223"/>
  <c r="K223" s="1"/>
  <c r="C235"/>
  <c r="K235" s="1"/>
  <c r="C247"/>
  <c r="K247" s="1"/>
  <c r="C259"/>
  <c r="K259" s="1"/>
  <c r="C271"/>
  <c r="K271" s="1"/>
  <c r="C283"/>
  <c r="K283" s="1"/>
  <c r="C295"/>
  <c r="K295" s="1"/>
  <c r="C307"/>
  <c r="K307" s="1"/>
  <c r="C319"/>
  <c r="K319" s="1"/>
  <c r="C331"/>
  <c r="K331" s="1"/>
  <c r="C343"/>
  <c r="K343" s="1"/>
  <c r="C355"/>
  <c r="K355" s="1"/>
  <c r="C367"/>
  <c r="K367" s="1"/>
  <c r="C379"/>
  <c r="K379" s="1"/>
  <c r="C391"/>
  <c r="K391" s="1"/>
  <c r="C403"/>
  <c r="K403" s="1"/>
  <c r="C415"/>
  <c r="K415" s="1"/>
  <c r="C427"/>
  <c r="K427" s="1"/>
  <c r="C439"/>
  <c r="K439" s="1"/>
  <c r="C451"/>
  <c r="K451" s="1"/>
  <c r="C463"/>
  <c r="K463" s="1"/>
  <c r="C475"/>
  <c r="K475" s="1"/>
  <c r="C487"/>
  <c r="K487" s="1"/>
  <c r="C499"/>
  <c r="K499" s="1"/>
  <c r="C511"/>
  <c r="K511" s="1"/>
  <c r="C523"/>
  <c r="K523" s="1"/>
  <c r="C535"/>
  <c r="K535" s="1"/>
  <c r="C547"/>
  <c r="K547" s="1"/>
  <c r="C559"/>
  <c r="K559" s="1"/>
  <c r="C571"/>
  <c r="K571" s="1"/>
  <c r="C583"/>
  <c r="K583" s="1"/>
  <c r="C595"/>
  <c r="K595" s="1"/>
  <c r="C607"/>
  <c r="K607" s="1"/>
  <c r="C619"/>
  <c r="K619" s="1"/>
  <c r="C631"/>
  <c r="K631" s="1"/>
  <c r="C643"/>
  <c r="K643" s="1"/>
  <c r="C655"/>
  <c r="K655" s="1"/>
  <c r="C667"/>
  <c r="K667" s="1"/>
  <c r="C679"/>
  <c r="K679" s="1"/>
  <c r="C691"/>
  <c r="K691" s="1"/>
  <c r="C703"/>
  <c r="K703" s="1"/>
  <c r="C715"/>
  <c r="K715" s="1"/>
  <c r="C727"/>
  <c r="K727" s="1"/>
  <c r="C739"/>
  <c r="K739" s="1"/>
  <c r="C751"/>
  <c r="K751" s="1"/>
  <c r="C763"/>
  <c r="K763" s="1"/>
  <c r="C775"/>
  <c r="K775" s="1"/>
  <c r="C787"/>
  <c r="K787" s="1"/>
  <c r="C799"/>
  <c r="K799" s="1"/>
  <c r="C811"/>
  <c r="K811" s="1"/>
  <c r="C823"/>
  <c r="K823" s="1"/>
  <c r="C835"/>
  <c r="K835" s="1"/>
  <c r="C847"/>
  <c r="K847" s="1"/>
  <c r="C859"/>
  <c r="K859" s="1"/>
  <c r="C871"/>
  <c r="K871" s="1"/>
  <c r="C883"/>
  <c r="K883" s="1"/>
  <c r="C895"/>
  <c r="K895" s="1"/>
  <c r="C907"/>
  <c r="K907" s="1"/>
  <c r="C919"/>
  <c r="K919" s="1"/>
  <c r="C931"/>
  <c r="K931" s="1"/>
  <c r="C943"/>
  <c r="K943" s="1"/>
  <c r="C955"/>
  <c r="K955" s="1"/>
  <c r="C967"/>
  <c r="K967" s="1"/>
  <c r="C979"/>
  <c r="K979" s="1"/>
  <c r="C991"/>
  <c r="K991" s="1"/>
  <c r="C1003"/>
  <c r="K1003" s="1"/>
  <c r="C1015"/>
  <c r="K1015" s="1"/>
  <c r="C1027"/>
  <c r="K1027" s="1"/>
  <c r="C1039"/>
  <c r="K1039" s="1"/>
  <c r="C1051"/>
  <c r="K1051" s="1"/>
  <c r="C1063"/>
  <c r="K1063" s="1"/>
  <c r="C1075"/>
  <c r="K1075" s="1"/>
  <c r="C1087"/>
  <c r="K1087" s="1"/>
  <c r="C1099"/>
  <c r="K1099" s="1"/>
  <c r="C1111"/>
  <c r="K1111" s="1"/>
  <c r="C1123"/>
  <c r="K1123" s="1"/>
  <c r="C1135"/>
  <c r="K1135" s="1"/>
  <c r="C1147"/>
  <c r="K1147" s="1"/>
  <c r="C1159"/>
  <c r="K1159" s="1"/>
  <c r="C1171"/>
  <c r="K1171" s="1"/>
  <c r="C1183"/>
  <c r="K1183" s="1"/>
  <c r="C1195"/>
  <c r="K1195" s="1"/>
  <c r="C1207"/>
  <c r="K1207" s="1"/>
  <c r="C1219"/>
  <c r="K1219" s="1"/>
  <c r="C1231"/>
  <c r="K1231" s="1"/>
  <c r="C1243"/>
  <c r="K1243" s="1"/>
  <c r="C1255"/>
  <c r="K1255" s="1"/>
  <c r="C1267"/>
  <c r="K1267" s="1"/>
  <c r="C1279"/>
  <c r="K1279" s="1"/>
  <c r="C1291"/>
  <c r="K1291" s="1"/>
  <c r="C1303"/>
  <c r="K1303" s="1"/>
  <c r="C1315"/>
  <c r="K1315" s="1"/>
  <c r="C1327"/>
  <c r="K1327" s="1"/>
  <c r="C1339"/>
  <c r="K1339" s="1"/>
  <c r="C1351"/>
  <c r="K1351" s="1"/>
  <c r="C1363"/>
  <c r="K1363" s="1"/>
  <c r="C1375"/>
  <c r="K1375" s="1"/>
  <c r="C1387"/>
  <c r="C1399"/>
  <c r="C1411"/>
  <c r="C1423"/>
  <c r="C1435"/>
  <c r="C1447"/>
  <c r="C1459"/>
  <c r="C1471"/>
  <c r="C1483"/>
  <c r="C1495"/>
  <c r="C1507"/>
  <c r="C1519"/>
  <c r="C1531"/>
  <c r="C1543"/>
  <c r="C1555"/>
  <c r="C1567"/>
  <c r="C1579"/>
  <c r="C1591"/>
  <c r="C1603"/>
  <c r="C1615"/>
  <c r="C1627"/>
  <c r="C1639"/>
  <c r="C1651"/>
  <c r="C1663"/>
  <c r="C1675"/>
  <c r="C1687"/>
  <c r="C1699"/>
  <c r="C1711"/>
  <c r="C1723"/>
  <c r="C1735"/>
  <c r="C1747"/>
  <c r="C1759"/>
  <c r="C1771"/>
  <c r="C1783"/>
  <c r="C1795"/>
  <c r="C1807"/>
  <c r="C1819"/>
  <c r="C1831"/>
  <c r="C1843"/>
  <c r="C1855"/>
  <c r="C1867"/>
  <c r="C1879"/>
  <c r="C1891"/>
  <c r="C1903"/>
  <c r="C1915"/>
  <c r="C1927"/>
  <c r="C1939"/>
  <c r="C1951"/>
  <c r="C1963"/>
  <c r="C1975"/>
  <c r="C1987"/>
  <c r="C1999"/>
  <c r="C2011"/>
  <c r="C2023"/>
  <c r="C2035"/>
  <c r="C2047"/>
  <c r="C6"/>
  <c r="K6" s="1"/>
  <c r="C18"/>
  <c r="K18" s="1"/>
  <c r="C30"/>
  <c r="K30" s="1"/>
  <c r="C42"/>
  <c r="K42" s="1"/>
  <c r="C54"/>
  <c r="K54" s="1"/>
  <c r="C66"/>
  <c r="K66" s="1"/>
  <c r="C78"/>
  <c r="K78" s="1"/>
  <c r="C90"/>
  <c r="K90" s="1"/>
  <c r="C102"/>
  <c r="K102" s="1"/>
  <c r="C114"/>
  <c r="K114" s="1"/>
  <c r="C126"/>
  <c r="K126" s="1"/>
  <c r="C138"/>
  <c r="K138" s="1"/>
  <c r="C150"/>
  <c r="K150" s="1"/>
  <c r="C162"/>
  <c r="K162" s="1"/>
  <c r="C174"/>
  <c r="K174" s="1"/>
  <c r="C186"/>
  <c r="K186" s="1"/>
  <c r="C198"/>
  <c r="K198" s="1"/>
  <c r="C210"/>
  <c r="K210" s="1"/>
  <c r="C222"/>
  <c r="K222" s="1"/>
  <c r="C234"/>
  <c r="K234" s="1"/>
  <c r="C246"/>
  <c r="K246" s="1"/>
  <c r="C258"/>
  <c r="K258" s="1"/>
  <c r="C270"/>
  <c r="K270" s="1"/>
  <c r="C282"/>
  <c r="K282" s="1"/>
  <c r="C294"/>
  <c r="K294" s="1"/>
  <c r="C306"/>
  <c r="K306" s="1"/>
  <c r="C318"/>
  <c r="K318" s="1"/>
  <c r="C330"/>
  <c r="K330" s="1"/>
  <c r="C342"/>
  <c r="K342" s="1"/>
  <c r="C354"/>
  <c r="K354" s="1"/>
  <c r="C366"/>
  <c r="K366" s="1"/>
  <c r="C378"/>
  <c r="K378" s="1"/>
  <c r="C390"/>
  <c r="K390" s="1"/>
  <c r="C402"/>
  <c r="K402" s="1"/>
  <c r="C414"/>
  <c r="K414" s="1"/>
  <c r="C426"/>
  <c r="K426" s="1"/>
  <c r="C438"/>
  <c r="K438" s="1"/>
  <c r="C450"/>
  <c r="K450" s="1"/>
  <c r="C462"/>
  <c r="K462" s="1"/>
  <c r="C474"/>
  <c r="K474" s="1"/>
  <c r="C486"/>
  <c r="K486" s="1"/>
  <c r="C498"/>
  <c r="K498" s="1"/>
  <c r="C510"/>
  <c r="K510" s="1"/>
  <c r="C522"/>
  <c r="K522" s="1"/>
  <c r="C534"/>
  <c r="K534" s="1"/>
  <c r="C546"/>
  <c r="K546" s="1"/>
  <c r="C558"/>
  <c r="K558" s="1"/>
  <c r="C570"/>
  <c r="K570" s="1"/>
  <c r="C582"/>
  <c r="K582" s="1"/>
  <c r="C594"/>
  <c r="K594" s="1"/>
  <c r="C606"/>
  <c r="K606" s="1"/>
  <c r="C618"/>
  <c r="K618" s="1"/>
  <c r="C630"/>
  <c r="K630" s="1"/>
  <c r="C642"/>
  <c r="K642" s="1"/>
  <c r="C654"/>
  <c r="K654" s="1"/>
  <c r="C666"/>
  <c r="K666" s="1"/>
  <c r="C678"/>
  <c r="K678" s="1"/>
  <c r="C690"/>
  <c r="K690" s="1"/>
  <c r="C702"/>
  <c r="K702" s="1"/>
  <c r="C714"/>
  <c r="K714" s="1"/>
  <c r="C726"/>
  <c r="K726" s="1"/>
  <c r="C738"/>
  <c r="K738" s="1"/>
  <c r="C750"/>
  <c r="K750" s="1"/>
  <c r="C762"/>
  <c r="K762" s="1"/>
  <c r="C774"/>
  <c r="K774" s="1"/>
  <c r="C786"/>
  <c r="K786" s="1"/>
  <c r="C798"/>
  <c r="K798" s="1"/>
  <c r="C810"/>
  <c r="K810" s="1"/>
  <c r="C822"/>
  <c r="K822" s="1"/>
  <c r="C834"/>
  <c r="K834" s="1"/>
  <c r="C846"/>
  <c r="K846" s="1"/>
  <c r="C858"/>
  <c r="K858" s="1"/>
  <c r="C870"/>
  <c r="K870" s="1"/>
  <c r="C882"/>
  <c r="K882" s="1"/>
  <c r="C894"/>
  <c r="K894" s="1"/>
  <c r="C906"/>
  <c r="K906" s="1"/>
  <c r="C918"/>
  <c r="K918" s="1"/>
  <c r="C930"/>
  <c r="K930" s="1"/>
  <c r="C942"/>
  <c r="K942" s="1"/>
  <c r="C954"/>
  <c r="K954" s="1"/>
  <c r="C966"/>
  <c r="K966" s="1"/>
  <c r="C978"/>
  <c r="K978" s="1"/>
  <c r="C990"/>
  <c r="K990" s="1"/>
  <c r="C1002"/>
  <c r="K1002" s="1"/>
  <c r="C1014"/>
  <c r="K1014" s="1"/>
  <c r="C1026"/>
  <c r="K1026" s="1"/>
  <c r="C1038"/>
  <c r="K1038" s="1"/>
  <c r="C1050"/>
  <c r="K1050" s="1"/>
  <c r="C1062"/>
  <c r="K1062" s="1"/>
  <c r="C1074"/>
  <c r="K1074" s="1"/>
  <c r="C1086"/>
  <c r="K1086" s="1"/>
  <c r="C1098"/>
  <c r="K1098" s="1"/>
  <c r="C1110"/>
  <c r="K1110" s="1"/>
  <c r="C1122"/>
  <c r="K1122" s="1"/>
  <c r="C1134"/>
  <c r="K1134" s="1"/>
  <c r="C1146"/>
  <c r="K1146" s="1"/>
  <c r="C1158"/>
  <c r="K1158" s="1"/>
  <c r="C1170"/>
  <c r="K1170" s="1"/>
  <c r="C1182"/>
  <c r="K1182" s="1"/>
  <c r="C1194"/>
  <c r="K1194" s="1"/>
  <c r="C1206"/>
  <c r="K1206" s="1"/>
  <c r="C1218"/>
  <c r="K1218" s="1"/>
  <c r="C1230"/>
  <c r="K1230" s="1"/>
  <c r="C1242"/>
  <c r="K1242" s="1"/>
  <c r="C1254"/>
  <c r="K1254" s="1"/>
  <c r="C1266"/>
  <c r="K1266" s="1"/>
  <c r="C1278"/>
  <c r="K1278" s="1"/>
  <c r="C1290"/>
  <c r="K1290" s="1"/>
  <c r="C1302"/>
  <c r="K1302" s="1"/>
  <c r="C1314"/>
  <c r="K1314" s="1"/>
  <c r="C1326"/>
  <c r="K1326" s="1"/>
  <c r="C1338"/>
  <c r="K1338" s="1"/>
  <c r="C1350"/>
  <c r="K1350" s="1"/>
  <c r="C1362"/>
  <c r="K1362" s="1"/>
  <c r="C1374"/>
  <c r="K1374" s="1"/>
  <c r="C1386"/>
  <c r="C1398"/>
  <c r="C1410"/>
  <c r="C1422"/>
  <c r="C1434"/>
  <c r="C1446"/>
  <c r="C1458"/>
  <c r="C1470"/>
  <c r="C1482"/>
  <c r="C1494"/>
  <c r="C1506"/>
  <c r="C1518"/>
  <c r="C1530"/>
  <c r="C1542"/>
  <c r="C1554"/>
  <c r="C1566"/>
  <c r="C1578"/>
  <c r="C1590"/>
  <c r="C1602"/>
  <c r="C1614"/>
  <c r="C1626"/>
  <c r="C1638"/>
  <c r="C1650"/>
  <c r="C1662"/>
  <c r="C1674"/>
  <c r="C1686"/>
  <c r="C1698"/>
  <c r="C1710"/>
  <c r="C1722"/>
  <c r="C1734"/>
  <c r="C1746"/>
  <c r="C1758"/>
  <c r="C1770"/>
  <c r="C1782"/>
  <c r="C1794"/>
  <c r="C1806"/>
  <c r="C1818"/>
  <c r="C1830"/>
  <c r="C1842"/>
  <c r="C1854"/>
  <c r="C1866"/>
  <c r="C1878"/>
  <c r="C1890"/>
  <c r="C1902"/>
  <c r="C1914"/>
  <c r="C1926"/>
  <c r="C1938"/>
  <c r="C1950"/>
  <c r="C1962"/>
  <c r="C1974"/>
  <c r="C1986"/>
  <c r="C1998"/>
  <c r="C2010"/>
  <c r="C2022"/>
  <c r="C2034"/>
  <c r="C2046"/>
  <c r="C5"/>
  <c r="K5" s="1"/>
  <c r="C17"/>
  <c r="K17" s="1"/>
  <c r="C29"/>
  <c r="K29" s="1"/>
  <c r="C41"/>
  <c r="K41" s="1"/>
  <c r="C53"/>
  <c r="K53" s="1"/>
  <c r="C65"/>
  <c r="K65" s="1"/>
  <c r="C77"/>
  <c r="K77" s="1"/>
  <c r="C89"/>
  <c r="K89" s="1"/>
  <c r="C101"/>
  <c r="K101" s="1"/>
  <c r="C113"/>
  <c r="K113" s="1"/>
  <c r="C125"/>
  <c r="K125" s="1"/>
  <c r="C137"/>
  <c r="K137" s="1"/>
  <c r="C149"/>
  <c r="K149" s="1"/>
  <c r="C161"/>
  <c r="K161" s="1"/>
  <c r="C173"/>
  <c r="K173" s="1"/>
  <c r="C185"/>
  <c r="K185" s="1"/>
  <c r="C197"/>
  <c r="K197" s="1"/>
  <c r="C209"/>
  <c r="K209" s="1"/>
  <c r="C221"/>
  <c r="K221" s="1"/>
  <c r="C233"/>
  <c r="K233" s="1"/>
  <c r="C245"/>
  <c r="K245" s="1"/>
  <c r="C257"/>
  <c r="K257" s="1"/>
  <c r="C269"/>
  <c r="K269" s="1"/>
  <c r="C281"/>
  <c r="K281" s="1"/>
  <c r="C293"/>
  <c r="K293" s="1"/>
  <c r="C305"/>
  <c r="K305" s="1"/>
  <c r="C317"/>
  <c r="K317" s="1"/>
  <c r="C329"/>
  <c r="K329" s="1"/>
  <c r="C341"/>
  <c r="K341" s="1"/>
  <c r="C353"/>
  <c r="K353" s="1"/>
  <c r="C365"/>
  <c r="K365" s="1"/>
  <c r="C377"/>
  <c r="K377" s="1"/>
  <c r="C389"/>
  <c r="K389" s="1"/>
  <c r="C401"/>
  <c r="K401" s="1"/>
  <c r="C413"/>
  <c r="K413" s="1"/>
  <c r="C425"/>
  <c r="K425" s="1"/>
  <c r="C437"/>
  <c r="K437" s="1"/>
  <c r="C449"/>
  <c r="K449" s="1"/>
  <c r="C461"/>
  <c r="K461" s="1"/>
  <c r="C473"/>
  <c r="K473" s="1"/>
  <c r="C485"/>
  <c r="K485" s="1"/>
  <c r="C497"/>
  <c r="K497" s="1"/>
  <c r="C509"/>
  <c r="K509" s="1"/>
  <c r="C521"/>
  <c r="K521" s="1"/>
  <c r="C533"/>
  <c r="K533" s="1"/>
  <c r="C545"/>
  <c r="K545" s="1"/>
  <c r="C557"/>
  <c r="K557" s="1"/>
  <c r="C569"/>
  <c r="K569" s="1"/>
  <c r="C581"/>
  <c r="K581" s="1"/>
  <c r="C593"/>
  <c r="K593" s="1"/>
  <c r="C605"/>
  <c r="K605" s="1"/>
  <c r="C617"/>
  <c r="K617" s="1"/>
  <c r="C629"/>
  <c r="K629" s="1"/>
  <c r="C641"/>
  <c r="K641" s="1"/>
  <c r="C653"/>
  <c r="K653" s="1"/>
  <c r="C665"/>
  <c r="K665" s="1"/>
  <c r="C677"/>
  <c r="K677" s="1"/>
  <c r="C689"/>
  <c r="K689" s="1"/>
  <c r="C701"/>
  <c r="K701" s="1"/>
  <c r="C713"/>
  <c r="K713" s="1"/>
  <c r="C725"/>
  <c r="K725" s="1"/>
  <c r="C737"/>
  <c r="K737" s="1"/>
  <c r="C749"/>
  <c r="K749" s="1"/>
  <c r="C761"/>
  <c r="K761" s="1"/>
  <c r="C773"/>
  <c r="K773" s="1"/>
  <c r="C785"/>
  <c r="K785" s="1"/>
  <c r="C797"/>
  <c r="K797" s="1"/>
  <c r="C809"/>
  <c r="K809" s="1"/>
  <c r="C821"/>
  <c r="K821" s="1"/>
  <c r="C833"/>
  <c r="K833" s="1"/>
  <c r="C845"/>
  <c r="K845" s="1"/>
  <c r="C857"/>
  <c r="K857" s="1"/>
  <c r="C869"/>
  <c r="K869" s="1"/>
  <c r="C881"/>
  <c r="K881" s="1"/>
  <c r="C893"/>
  <c r="K893" s="1"/>
  <c r="C905"/>
  <c r="K905" s="1"/>
  <c r="C917"/>
  <c r="K917" s="1"/>
  <c r="C929"/>
  <c r="K929" s="1"/>
  <c r="C941"/>
  <c r="K941" s="1"/>
  <c r="C953"/>
  <c r="K953" s="1"/>
  <c r="C965"/>
  <c r="K965" s="1"/>
  <c r="C977"/>
  <c r="K977" s="1"/>
  <c r="C989"/>
  <c r="K989" s="1"/>
  <c r="C1001"/>
  <c r="K1001" s="1"/>
  <c r="C1013"/>
  <c r="K1013" s="1"/>
  <c r="C1025"/>
  <c r="K1025" s="1"/>
  <c r="C1037"/>
  <c r="K1037" s="1"/>
  <c r="C1049"/>
  <c r="K1049" s="1"/>
  <c r="C1061"/>
  <c r="K1061" s="1"/>
  <c r="C1073"/>
  <c r="K1073" s="1"/>
  <c r="C1085"/>
  <c r="K1085" s="1"/>
  <c r="C1097"/>
  <c r="K1097" s="1"/>
  <c r="C1109"/>
  <c r="K1109" s="1"/>
  <c r="C1121"/>
  <c r="K1121" s="1"/>
  <c r="C1133"/>
  <c r="K1133" s="1"/>
  <c r="C1145"/>
  <c r="K1145" s="1"/>
  <c r="C1157"/>
  <c r="K1157" s="1"/>
  <c r="C1169"/>
  <c r="K1169" s="1"/>
  <c r="C1181"/>
  <c r="K1181" s="1"/>
  <c r="C1193"/>
  <c r="K1193" s="1"/>
  <c r="C1205"/>
  <c r="K1205" s="1"/>
  <c r="C1217"/>
  <c r="K1217" s="1"/>
  <c r="C1229"/>
  <c r="K1229" s="1"/>
  <c r="C1241"/>
  <c r="K1241" s="1"/>
  <c r="C1253"/>
  <c r="K1253" s="1"/>
  <c r="C1265"/>
  <c r="K1265" s="1"/>
  <c r="C1277"/>
  <c r="K1277" s="1"/>
  <c r="C1289"/>
  <c r="K1289" s="1"/>
  <c r="C1301"/>
  <c r="K1301" s="1"/>
  <c r="C1313"/>
  <c r="K1313" s="1"/>
  <c r="C1325"/>
  <c r="K1325" s="1"/>
  <c r="C1337"/>
  <c r="K1337" s="1"/>
  <c r="C1349"/>
  <c r="K1349" s="1"/>
  <c r="C1361"/>
  <c r="K1361" s="1"/>
  <c r="C1373"/>
  <c r="K1373" s="1"/>
  <c r="C1385"/>
  <c r="C1397"/>
  <c r="C1409"/>
  <c r="C1421"/>
  <c r="C1433"/>
  <c r="C1445"/>
  <c r="C1457"/>
  <c r="C1469"/>
  <c r="C1481"/>
  <c r="C1493"/>
  <c r="C1505"/>
  <c r="C1517"/>
  <c r="C1529"/>
  <c r="C1541"/>
  <c r="C1553"/>
  <c r="C1565"/>
  <c r="C1577"/>
  <c r="C1589"/>
  <c r="C1601"/>
  <c r="C1613"/>
  <c r="C1625"/>
  <c r="C1637"/>
  <c r="C1649"/>
  <c r="C1661"/>
  <c r="C1673"/>
  <c r="C1685"/>
  <c r="C1697"/>
  <c r="C1709"/>
  <c r="C1721"/>
  <c r="C1733"/>
  <c r="C1745"/>
  <c r="C1757"/>
  <c r="C1769"/>
  <c r="C1781"/>
  <c r="C1793"/>
  <c r="C1805"/>
  <c r="C1817"/>
  <c r="C1829"/>
  <c r="C1841"/>
  <c r="C1853"/>
  <c r="C1865"/>
  <c r="C1877"/>
  <c r="C1889"/>
  <c r="C1901"/>
  <c r="C1913"/>
  <c r="C1925"/>
  <c r="C1937"/>
  <c r="C1949"/>
  <c r="C1961"/>
  <c r="C1973"/>
  <c r="C1985"/>
  <c r="C1997"/>
  <c r="C2009"/>
  <c r="C2021"/>
  <c r="C2033"/>
  <c r="C2045"/>
  <c r="C4"/>
  <c r="K4" s="1"/>
  <c r="C16"/>
  <c r="K16" s="1"/>
  <c r="C28"/>
  <c r="K28" s="1"/>
  <c r="C40"/>
  <c r="K40" s="1"/>
  <c r="C52"/>
  <c r="K52" s="1"/>
  <c r="C64"/>
  <c r="K64" s="1"/>
  <c r="C76"/>
  <c r="K76" s="1"/>
  <c r="C88"/>
  <c r="K88" s="1"/>
  <c r="C100"/>
  <c r="K100" s="1"/>
  <c r="C112"/>
  <c r="K112" s="1"/>
  <c r="C124"/>
  <c r="K124" s="1"/>
  <c r="C136"/>
  <c r="K136" s="1"/>
  <c r="C148"/>
  <c r="K148" s="1"/>
  <c r="C160"/>
  <c r="K160" s="1"/>
  <c r="C172"/>
  <c r="K172" s="1"/>
  <c r="C184"/>
  <c r="K184" s="1"/>
  <c r="C196"/>
  <c r="K196" s="1"/>
  <c r="C208"/>
  <c r="K208" s="1"/>
  <c r="C220"/>
  <c r="K220" s="1"/>
  <c r="C232"/>
  <c r="K232" s="1"/>
  <c r="C244"/>
  <c r="K244" s="1"/>
  <c r="C256"/>
  <c r="K256" s="1"/>
  <c r="C268"/>
  <c r="K268" s="1"/>
  <c r="C280"/>
  <c r="K280" s="1"/>
  <c r="C292"/>
  <c r="K292" s="1"/>
  <c r="C304"/>
  <c r="K304" s="1"/>
  <c r="C316"/>
  <c r="K316" s="1"/>
  <c r="C328"/>
  <c r="K328" s="1"/>
  <c r="C340"/>
  <c r="K340" s="1"/>
  <c r="C352"/>
  <c r="K352" s="1"/>
  <c r="C364"/>
  <c r="K364" s="1"/>
  <c r="C376"/>
  <c r="K376" s="1"/>
  <c r="C388"/>
  <c r="K388" s="1"/>
  <c r="C400"/>
  <c r="K400" s="1"/>
  <c r="C412"/>
  <c r="K412" s="1"/>
  <c r="C424"/>
  <c r="K424" s="1"/>
  <c r="C436"/>
  <c r="K436" s="1"/>
  <c r="C448"/>
  <c r="K448" s="1"/>
  <c r="C460"/>
  <c r="K460" s="1"/>
  <c r="C472"/>
  <c r="K472" s="1"/>
  <c r="C484"/>
  <c r="K484" s="1"/>
  <c r="C496"/>
  <c r="K496" s="1"/>
  <c r="C508"/>
  <c r="K508" s="1"/>
  <c r="C520"/>
  <c r="K520" s="1"/>
  <c r="C532"/>
  <c r="K532" s="1"/>
  <c r="C544"/>
  <c r="K544" s="1"/>
  <c r="C556"/>
  <c r="K556" s="1"/>
  <c r="C568"/>
  <c r="K568" s="1"/>
  <c r="C580"/>
  <c r="K580" s="1"/>
  <c r="C592"/>
  <c r="K592" s="1"/>
  <c r="C604"/>
  <c r="K604" s="1"/>
  <c r="C616"/>
  <c r="K616" s="1"/>
  <c r="C628"/>
  <c r="K628" s="1"/>
  <c r="C640"/>
  <c r="K640" s="1"/>
  <c r="C652"/>
  <c r="K652" s="1"/>
  <c r="C664"/>
  <c r="K664" s="1"/>
  <c r="C676"/>
  <c r="K676" s="1"/>
  <c r="C688"/>
  <c r="K688" s="1"/>
  <c r="C700"/>
  <c r="K700" s="1"/>
  <c r="C712"/>
  <c r="K712" s="1"/>
  <c r="C724"/>
  <c r="K724" s="1"/>
  <c r="C736"/>
  <c r="K736" s="1"/>
  <c r="C748"/>
  <c r="K748" s="1"/>
  <c r="C760"/>
  <c r="K760" s="1"/>
  <c r="C772"/>
  <c r="K772" s="1"/>
  <c r="C784"/>
  <c r="K784" s="1"/>
  <c r="C796"/>
  <c r="K796" s="1"/>
  <c r="C808"/>
  <c r="K808" s="1"/>
  <c r="C820"/>
  <c r="K820" s="1"/>
  <c r="C832"/>
  <c r="K832" s="1"/>
  <c r="C844"/>
  <c r="K844" s="1"/>
  <c r="C856"/>
  <c r="K856" s="1"/>
  <c r="C868"/>
  <c r="K868" s="1"/>
  <c r="C880"/>
  <c r="K880" s="1"/>
  <c r="C892"/>
  <c r="K892" s="1"/>
  <c r="C904"/>
  <c r="K904" s="1"/>
  <c r="C916"/>
  <c r="K916" s="1"/>
  <c r="C928"/>
  <c r="K928" s="1"/>
  <c r="C940"/>
  <c r="K940" s="1"/>
  <c r="C952"/>
  <c r="K952" s="1"/>
  <c r="C964"/>
  <c r="K964" s="1"/>
  <c r="C976"/>
  <c r="K976" s="1"/>
  <c r="C988"/>
  <c r="K988" s="1"/>
  <c r="C1000"/>
  <c r="K1000" s="1"/>
  <c r="C1012"/>
  <c r="K1012" s="1"/>
  <c r="C1024"/>
  <c r="K1024" s="1"/>
  <c r="C1036"/>
  <c r="K1036" s="1"/>
  <c r="C1048"/>
  <c r="K1048" s="1"/>
  <c r="C1060"/>
  <c r="K1060" s="1"/>
  <c r="C1072"/>
  <c r="K1072" s="1"/>
  <c r="C1084"/>
  <c r="K1084" s="1"/>
  <c r="C1096"/>
  <c r="K1096" s="1"/>
  <c r="C1108"/>
  <c r="K1108" s="1"/>
  <c r="C1120"/>
  <c r="K1120" s="1"/>
  <c r="C1132"/>
  <c r="K1132" s="1"/>
  <c r="C1144"/>
  <c r="K1144" s="1"/>
  <c r="C1156"/>
  <c r="K1156" s="1"/>
  <c r="C1168"/>
  <c r="K1168" s="1"/>
  <c r="C1180"/>
  <c r="K1180" s="1"/>
  <c r="C1192"/>
  <c r="K1192" s="1"/>
  <c r="C1204"/>
  <c r="K1204" s="1"/>
  <c r="C1216"/>
  <c r="K1216" s="1"/>
  <c r="C1228"/>
  <c r="K1228" s="1"/>
  <c r="C1240"/>
  <c r="K1240" s="1"/>
  <c r="C1252"/>
  <c r="K1252" s="1"/>
  <c r="C1264"/>
  <c r="K1264" s="1"/>
  <c r="C1276"/>
  <c r="K1276" s="1"/>
  <c r="C1288"/>
  <c r="K1288" s="1"/>
  <c r="C1300"/>
  <c r="K1300" s="1"/>
  <c r="C1312"/>
  <c r="K1312" s="1"/>
  <c r="C1324"/>
  <c r="K1324" s="1"/>
  <c r="C1336"/>
  <c r="K1336" s="1"/>
  <c r="C1348"/>
  <c r="K1348" s="1"/>
  <c r="C1360"/>
  <c r="K1360" s="1"/>
  <c r="C1372"/>
  <c r="K1372" s="1"/>
  <c r="C1384"/>
  <c r="C1396"/>
  <c r="C1408"/>
  <c r="C1420"/>
  <c r="C1432"/>
  <c r="C1444"/>
  <c r="C1456"/>
  <c r="C1468"/>
  <c r="C1480"/>
  <c r="C1492"/>
  <c r="C1504"/>
  <c r="C1516"/>
  <c r="C1528"/>
  <c r="C1540"/>
  <c r="C1552"/>
  <c r="C1564"/>
  <c r="C1576"/>
  <c r="C1588"/>
  <c r="C1600"/>
  <c r="C1612"/>
  <c r="C1624"/>
  <c r="C1636"/>
  <c r="C1648"/>
  <c r="C1660"/>
  <c r="C1672"/>
  <c r="C1684"/>
  <c r="C1696"/>
  <c r="C1708"/>
  <c r="C1720"/>
  <c r="C1732"/>
  <c r="C1744"/>
  <c r="C1756"/>
  <c r="C1768"/>
  <c r="C1780"/>
  <c r="C1792"/>
  <c r="C1804"/>
  <c r="C1816"/>
  <c r="C1828"/>
  <c r="C1840"/>
  <c r="C1852"/>
  <c r="C1864"/>
  <c r="C1876"/>
  <c r="C1888"/>
  <c r="C1900"/>
  <c r="C1912"/>
  <c r="C1924"/>
  <c r="C1936"/>
  <c r="C1948"/>
  <c r="C1960"/>
  <c r="C1972"/>
  <c r="C1984"/>
  <c r="C1996"/>
  <c r="C2008"/>
  <c r="C2020"/>
  <c r="C2032"/>
  <c r="C2044"/>
  <c r="C3"/>
  <c r="K3" s="1"/>
  <c r="C15"/>
  <c r="K15" s="1"/>
  <c r="C27"/>
  <c r="K27" s="1"/>
  <c r="C39"/>
  <c r="K39" s="1"/>
  <c r="C51"/>
  <c r="K51" s="1"/>
  <c r="C63"/>
  <c r="K63" s="1"/>
  <c r="C75"/>
  <c r="K75" s="1"/>
  <c r="C87"/>
  <c r="K87" s="1"/>
  <c r="C99"/>
  <c r="K99" s="1"/>
  <c r="C111"/>
  <c r="K111" s="1"/>
  <c r="C123"/>
  <c r="K123" s="1"/>
  <c r="C135"/>
  <c r="K135" s="1"/>
  <c r="C147"/>
  <c r="K147" s="1"/>
  <c r="C159"/>
  <c r="K159" s="1"/>
  <c r="C171"/>
  <c r="K171" s="1"/>
  <c r="C183"/>
  <c r="K183" s="1"/>
  <c r="C195"/>
  <c r="K195" s="1"/>
  <c r="C207"/>
  <c r="K207" s="1"/>
  <c r="C219"/>
  <c r="K219" s="1"/>
  <c r="C231"/>
  <c r="K231" s="1"/>
  <c r="C243"/>
  <c r="K243" s="1"/>
  <c r="C255"/>
  <c r="K255" s="1"/>
  <c r="C267"/>
  <c r="K267" s="1"/>
  <c r="C279"/>
  <c r="K279" s="1"/>
  <c r="C291"/>
  <c r="K291" s="1"/>
  <c r="C303"/>
  <c r="K303" s="1"/>
  <c r="C315"/>
  <c r="K315" s="1"/>
  <c r="C327"/>
  <c r="K327" s="1"/>
  <c r="C339"/>
  <c r="K339" s="1"/>
  <c r="C351"/>
  <c r="K351" s="1"/>
  <c r="C363"/>
  <c r="K363" s="1"/>
  <c r="C375"/>
  <c r="K375" s="1"/>
  <c r="C387"/>
  <c r="K387" s="1"/>
  <c r="C399"/>
  <c r="K399" s="1"/>
  <c r="C411"/>
  <c r="K411" s="1"/>
  <c r="C423"/>
  <c r="K423" s="1"/>
  <c r="C435"/>
  <c r="K435" s="1"/>
  <c r="C447"/>
  <c r="K447" s="1"/>
  <c r="C459"/>
  <c r="K459" s="1"/>
  <c r="C471"/>
  <c r="K471" s="1"/>
  <c r="C483"/>
  <c r="K483" s="1"/>
  <c r="C495"/>
  <c r="K495" s="1"/>
  <c r="C507"/>
  <c r="K507" s="1"/>
  <c r="C519"/>
  <c r="K519" s="1"/>
  <c r="C531"/>
  <c r="K531" s="1"/>
  <c r="C543"/>
  <c r="K543" s="1"/>
  <c r="C555"/>
  <c r="K555" s="1"/>
  <c r="C567"/>
  <c r="K567" s="1"/>
  <c r="C579"/>
  <c r="K579" s="1"/>
  <c r="C591"/>
  <c r="K591" s="1"/>
  <c r="C603"/>
  <c r="K603" s="1"/>
  <c r="C615"/>
  <c r="K615" s="1"/>
  <c r="C627"/>
  <c r="K627" s="1"/>
  <c r="C639"/>
  <c r="K639" s="1"/>
  <c r="C651"/>
  <c r="K651" s="1"/>
  <c r="C663"/>
  <c r="K663" s="1"/>
  <c r="C675"/>
  <c r="K675" s="1"/>
  <c r="C687"/>
  <c r="K687" s="1"/>
  <c r="C699"/>
  <c r="K699" s="1"/>
  <c r="C711"/>
  <c r="K711" s="1"/>
  <c r="C723"/>
  <c r="K723" s="1"/>
  <c r="C735"/>
  <c r="K735" s="1"/>
  <c r="C747"/>
  <c r="K747" s="1"/>
  <c r="C759"/>
  <c r="K759" s="1"/>
  <c r="C771"/>
  <c r="K771" s="1"/>
  <c r="C783"/>
  <c r="K783" s="1"/>
  <c r="C795"/>
  <c r="K795" s="1"/>
  <c r="C807"/>
  <c r="K807" s="1"/>
  <c r="C819"/>
  <c r="K819" s="1"/>
  <c r="C831"/>
  <c r="K831" s="1"/>
  <c r="C843"/>
  <c r="K843" s="1"/>
  <c r="C855"/>
  <c r="K855" s="1"/>
  <c r="C867"/>
  <c r="K867" s="1"/>
  <c r="C879"/>
  <c r="K879" s="1"/>
  <c r="C891"/>
  <c r="K891" s="1"/>
  <c r="C903"/>
  <c r="K903" s="1"/>
  <c r="C915"/>
  <c r="K915" s="1"/>
  <c r="C927"/>
  <c r="K927" s="1"/>
  <c r="C939"/>
  <c r="K939" s="1"/>
  <c r="C951"/>
  <c r="K951" s="1"/>
  <c r="C963"/>
  <c r="K963" s="1"/>
  <c r="C975"/>
  <c r="K975" s="1"/>
  <c r="C987"/>
  <c r="K987" s="1"/>
  <c r="C999"/>
  <c r="K999" s="1"/>
  <c r="C1011"/>
  <c r="K1011" s="1"/>
  <c r="C1023"/>
  <c r="K1023" s="1"/>
  <c r="C1035"/>
  <c r="K1035" s="1"/>
  <c r="C1047"/>
  <c r="K1047" s="1"/>
  <c r="C1059"/>
  <c r="K1059" s="1"/>
  <c r="C1071"/>
  <c r="K1071" s="1"/>
  <c r="C1083"/>
  <c r="K1083" s="1"/>
  <c r="C1095"/>
  <c r="K1095" s="1"/>
  <c r="C1107"/>
  <c r="K1107" s="1"/>
  <c r="C1119"/>
  <c r="K1119" s="1"/>
  <c r="C1131"/>
  <c r="K1131" s="1"/>
  <c r="C1143"/>
  <c r="K1143" s="1"/>
  <c r="C1155"/>
  <c r="K1155" s="1"/>
  <c r="C1167"/>
  <c r="K1167" s="1"/>
  <c r="C1179"/>
  <c r="K1179" s="1"/>
  <c r="C1191"/>
  <c r="K1191" s="1"/>
  <c r="C1203"/>
  <c r="K1203" s="1"/>
  <c r="C1215"/>
  <c r="K1215" s="1"/>
  <c r="C1227"/>
  <c r="K1227" s="1"/>
  <c r="C1239"/>
  <c r="K1239" s="1"/>
  <c r="C1251"/>
  <c r="K1251" s="1"/>
  <c r="C1263"/>
  <c r="K1263" s="1"/>
  <c r="C1275"/>
  <c r="K1275" s="1"/>
  <c r="C1287"/>
  <c r="K1287" s="1"/>
  <c r="C1299"/>
  <c r="K1299" s="1"/>
  <c r="C1311"/>
  <c r="K1311" s="1"/>
  <c r="C1323"/>
  <c r="K1323" s="1"/>
  <c r="C1335"/>
  <c r="K1335" s="1"/>
  <c r="C1347"/>
  <c r="K1347" s="1"/>
  <c r="C1359"/>
  <c r="K1359" s="1"/>
  <c r="C1371"/>
  <c r="K1371" s="1"/>
  <c r="C1383"/>
  <c r="C1395"/>
  <c r="C1407"/>
  <c r="C1419"/>
  <c r="C1431"/>
  <c r="C1443"/>
  <c r="C1455"/>
  <c r="C1467"/>
  <c r="C1479"/>
  <c r="C1491"/>
  <c r="C1503"/>
  <c r="C1515"/>
  <c r="C1527"/>
  <c r="C1539"/>
  <c r="C1551"/>
  <c r="C1563"/>
  <c r="C1575"/>
  <c r="C1587"/>
  <c r="C1599"/>
  <c r="C1611"/>
  <c r="C1623"/>
  <c r="C1635"/>
  <c r="C1647"/>
  <c r="C1659"/>
  <c r="C1671"/>
  <c r="C1683"/>
  <c r="C1695"/>
  <c r="C1707"/>
  <c r="C1719"/>
  <c r="C1731"/>
  <c r="C1743"/>
  <c r="C1755"/>
  <c r="C1767"/>
  <c r="C1779"/>
  <c r="C1791"/>
  <c r="C1803"/>
  <c r="C1815"/>
  <c r="C1827"/>
  <c r="C1839"/>
  <c r="C1851"/>
  <c r="C1863"/>
  <c r="C1875"/>
  <c r="C1887"/>
  <c r="C1899"/>
  <c r="C1911"/>
  <c r="C1923"/>
  <c r="C1935"/>
  <c r="C1947"/>
  <c r="C1959"/>
  <c r="C1971"/>
  <c r="C1983"/>
  <c r="C1995"/>
  <c r="C2007"/>
  <c r="C2019"/>
  <c r="C2031"/>
  <c r="C2043"/>
  <c r="C14"/>
  <c r="K14" s="1"/>
  <c r="C26"/>
  <c r="K26" s="1"/>
  <c r="C38"/>
  <c r="K38" s="1"/>
  <c r="C50"/>
  <c r="K50" s="1"/>
  <c r="C62"/>
  <c r="K62" s="1"/>
  <c r="C74"/>
  <c r="C86"/>
  <c r="K86" s="1"/>
  <c r="C98"/>
  <c r="K98" s="1"/>
  <c r="C110"/>
  <c r="K110" s="1"/>
  <c r="C122"/>
  <c r="K122" s="1"/>
  <c r="C134"/>
  <c r="K134" s="1"/>
  <c r="C146"/>
  <c r="K146" s="1"/>
  <c r="C158"/>
  <c r="K158" s="1"/>
  <c r="C170"/>
  <c r="K170" s="1"/>
  <c r="C182"/>
  <c r="K182" s="1"/>
  <c r="C194"/>
  <c r="K194" s="1"/>
  <c r="C206"/>
  <c r="K206" s="1"/>
  <c r="C218"/>
  <c r="K218" s="1"/>
  <c r="C230"/>
  <c r="K230" s="1"/>
  <c r="C242"/>
  <c r="K242" s="1"/>
  <c r="C254"/>
  <c r="K254" s="1"/>
  <c r="C266"/>
  <c r="K266" s="1"/>
  <c r="C278"/>
  <c r="K278" s="1"/>
  <c r="C290"/>
  <c r="K290" s="1"/>
  <c r="C302"/>
  <c r="K302" s="1"/>
  <c r="C314"/>
  <c r="K314" s="1"/>
  <c r="C326"/>
  <c r="K326" s="1"/>
  <c r="C338"/>
  <c r="K338" s="1"/>
  <c r="C350"/>
  <c r="K350" s="1"/>
  <c r="C362"/>
  <c r="K362" s="1"/>
  <c r="C374"/>
  <c r="K374" s="1"/>
  <c r="C386"/>
  <c r="K386" s="1"/>
  <c r="C398"/>
  <c r="K398" s="1"/>
  <c r="C410"/>
  <c r="K410" s="1"/>
  <c r="C422"/>
  <c r="K422" s="1"/>
  <c r="C434"/>
  <c r="K434" s="1"/>
  <c r="C446"/>
  <c r="K446" s="1"/>
  <c r="C458"/>
  <c r="K458" s="1"/>
  <c r="C470"/>
  <c r="K470" s="1"/>
  <c r="C482"/>
  <c r="K482" s="1"/>
  <c r="C494"/>
  <c r="K494" s="1"/>
  <c r="C506"/>
  <c r="K506" s="1"/>
  <c r="C518"/>
  <c r="K518" s="1"/>
  <c r="C530"/>
  <c r="K530" s="1"/>
  <c r="C542"/>
  <c r="K542" s="1"/>
  <c r="C554"/>
  <c r="K554" s="1"/>
  <c r="C566"/>
  <c r="K566" s="1"/>
  <c r="C578"/>
  <c r="K578" s="1"/>
  <c r="C590"/>
  <c r="K590" s="1"/>
  <c r="C602"/>
  <c r="K602" s="1"/>
  <c r="C614"/>
  <c r="K614" s="1"/>
  <c r="C626"/>
  <c r="K626" s="1"/>
  <c r="C638"/>
  <c r="K638" s="1"/>
  <c r="C650"/>
  <c r="K650" s="1"/>
  <c r="C662"/>
  <c r="K662" s="1"/>
  <c r="C674"/>
  <c r="K674" s="1"/>
  <c r="C686"/>
  <c r="K686" s="1"/>
  <c r="C698"/>
  <c r="K698" s="1"/>
  <c r="C710"/>
  <c r="K710" s="1"/>
  <c r="C722"/>
  <c r="K722" s="1"/>
  <c r="C734"/>
  <c r="K734" s="1"/>
  <c r="C746"/>
  <c r="K746" s="1"/>
  <c r="C758"/>
  <c r="K758" s="1"/>
  <c r="C770"/>
  <c r="K770" s="1"/>
  <c r="C782"/>
  <c r="K782" s="1"/>
  <c r="C794"/>
  <c r="K794" s="1"/>
  <c r="C806"/>
  <c r="K806" s="1"/>
  <c r="C818"/>
  <c r="K818" s="1"/>
  <c r="C830"/>
  <c r="K830" s="1"/>
  <c r="C842"/>
  <c r="K842" s="1"/>
  <c r="C854"/>
  <c r="K854" s="1"/>
  <c r="C866"/>
  <c r="K866" s="1"/>
  <c r="C878"/>
  <c r="K878" s="1"/>
  <c r="C890"/>
  <c r="K890" s="1"/>
  <c r="C902"/>
  <c r="K902" s="1"/>
  <c r="C914"/>
  <c r="K914" s="1"/>
  <c r="C926"/>
  <c r="K926" s="1"/>
  <c r="C938"/>
  <c r="K938" s="1"/>
  <c r="C950"/>
  <c r="K950" s="1"/>
  <c r="C962"/>
  <c r="K962" s="1"/>
  <c r="C974"/>
  <c r="K974" s="1"/>
  <c r="C986"/>
  <c r="K986" s="1"/>
  <c r="C998"/>
  <c r="K998" s="1"/>
  <c r="C1010"/>
  <c r="K1010" s="1"/>
  <c r="C1022"/>
  <c r="K1022" s="1"/>
  <c r="C1034"/>
  <c r="K1034" s="1"/>
  <c r="C1046"/>
  <c r="K1046" s="1"/>
  <c r="C1058"/>
  <c r="K1058" s="1"/>
  <c r="C1070"/>
  <c r="K1070" s="1"/>
  <c r="C1082"/>
  <c r="K1082" s="1"/>
  <c r="C1094"/>
  <c r="K1094" s="1"/>
  <c r="C1106"/>
  <c r="K1106" s="1"/>
  <c r="C1118"/>
  <c r="K1118" s="1"/>
  <c r="C1130"/>
  <c r="K1130" s="1"/>
  <c r="C1142"/>
  <c r="K1142" s="1"/>
  <c r="C1154"/>
  <c r="K1154" s="1"/>
  <c r="C1166"/>
  <c r="K1166" s="1"/>
  <c r="C1178"/>
  <c r="K1178" s="1"/>
  <c r="C1190"/>
  <c r="K1190" s="1"/>
  <c r="C1202"/>
  <c r="K1202" s="1"/>
  <c r="C1214"/>
  <c r="K1214" s="1"/>
  <c r="C1226"/>
  <c r="K1226" s="1"/>
  <c r="C1238"/>
  <c r="K1238" s="1"/>
  <c r="C1250"/>
  <c r="K1250" s="1"/>
  <c r="C1262"/>
  <c r="K1262" s="1"/>
  <c r="C1274"/>
  <c r="K1274" s="1"/>
  <c r="C1286"/>
  <c r="K1286" s="1"/>
  <c r="C1298"/>
  <c r="K1298" s="1"/>
  <c r="C1310"/>
  <c r="K1310" s="1"/>
  <c r="C1322"/>
  <c r="K1322" s="1"/>
  <c r="C1334"/>
  <c r="K1334" s="1"/>
  <c r="C1346"/>
  <c r="K1346" s="1"/>
  <c r="C1358"/>
  <c r="K1358" s="1"/>
  <c r="C1370"/>
  <c r="K1370" s="1"/>
  <c r="C1382"/>
  <c r="C1394"/>
  <c r="C1406"/>
  <c r="C1418"/>
  <c r="C1430"/>
  <c r="C1442"/>
  <c r="C1454"/>
  <c r="C1466"/>
  <c r="C1478"/>
  <c r="C1490"/>
  <c r="C1502"/>
  <c r="C1514"/>
  <c r="C1526"/>
  <c r="C1538"/>
  <c r="C1550"/>
  <c r="C1562"/>
  <c r="C1574"/>
  <c r="C1586"/>
  <c r="C1598"/>
  <c r="C1610"/>
  <c r="C1622"/>
  <c r="C1634"/>
  <c r="C1646"/>
  <c r="C1658"/>
  <c r="C1670"/>
  <c r="C1682"/>
  <c r="C1694"/>
  <c r="C1706"/>
  <c r="C1718"/>
  <c r="C1730"/>
  <c r="C1742"/>
  <c r="C1754"/>
  <c r="C1766"/>
  <c r="C1778"/>
  <c r="C1790"/>
  <c r="C1802"/>
  <c r="C1814"/>
  <c r="C1826"/>
  <c r="C1838"/>
  <c r="C1850"/>
  <c r="C1862"/>
  <c r="C1874"/>
  <c r="C1886"/>
  <c r="C1898"/>
  <c r="C1910"/>
  <c r="C1922"/>
  <c r="C1934"/>
  <c r="C1946"/>
  <c r="C1958"/>
  <c r="C1970"/>
  <c r="C1982"/>
  <c r="C1994"/>
  <c r="C2006"/>
  <c r="C2018"/>
  <c r="C2030"/>
  <c r="C2042"/>
  <c r="C2"/>
  <c r="K2" s="1"/>
  <c r="C13"/>
  <c r="K13" s="1"/>
  <c r="C25"/>
  <c r="K25" s="1"/>
  <c r="C37"/>
  <c r="K37" s="1"/>
  <c r="C49"/>
  <c r="K49" s="1"/>
  <c r="C61"/>
  <c r="K61" s="1"/>
  <c r="C73"/>
  <c r="K73" s="1"/>
  <c r="C85"/>
  <c r="K85" s="1"/>
  <c r="C97"/>
  <c r="K97" s="1"/>
  <c r="C109"/>
  <c r="K109" s="1"/>
  <c r="C121"/>
  <c r="K121" s="1"/>
  <c r="C133"/>
  <c r="K133" s="1"/>
  <c r="C145"/>
  <c r="K145" s="1"/>
  <c r="C157"/>
  <c r="K157" s="1"/>
  <c r="C169"/>
  <c r="K169" s="1"/>
  <c r="C181"/>
  <c r="K181" s="1"/>
  <c r="C193"/>
  <c r="K193" s="1"/>
  <c r="C205"/>
  <c r="K205" s="1"/>
  <c r="C217"/>
  <c r="K217" s="1"/>
  <c r="C229"/>
  <c r="K229" s="1"/>
  <c r="C241"/>
  <c r="K241" s="1"/>
  <c r="C253"/>
  <c r="K253" s="1"/>
  <c r="C265"/>
  <c r="K265" s="1"/>
  <c r="C277"/>
  <c r="K277" s="1"/>
  <c r="C289"/>
  <c r="K289" s="1"/>
  <c r="C301"/>
  <c r="K301" s="1"/>
  <c r="C313"/>
  <c r="K313" s="1"/>
  <c r="C325"/>
  <c r="K325" s="1"/>
  <c r="C337"/>
  <c r="K337" s="1"/>
  <c r="C349"/>
  <c r="K349" s="1"/>
  <c r="C361"/>
  <c r="K361" s="1"/>
  <c r="C373"/>
  <c r="K373" s="1"/>
  <c r="C385"/>
  <c r="K385" s="1"/>
  <c r="C397"/>
  <c r="K397" s="1"/>
  <c r="C409"/>
  <c r="K409" s="1"/>
  <c r="C421"/>
  <c r="K421" s="1"/>
  <c r="C433"/>
  <c r="K433" s="1"/>
  <c r="C445"/>
  <c r="K445" s="1"/>
  <c r="C457"/>
  <c r="K457" s="1"/>
  <c r="C469"/>
  <c r="K469" s="1"/>
  <c r="C481"/>
  <c r="K481" s="1"/>
  <c r="C493"/>
  <c r="K493" s="1"/>
  <c r="C505"/>
  <c r="K505" s="1"/>
  <c r="C517"/>
  <c r="K517" s="1"/>
  <c r="C529"/>
  <c r="K529" s="1"/>
  <c r="C541"/>
  <c r="K541" s="1"/>
  <c r="C553"/>
  <c r="K553" s="1"/>
  <c r="C565"/>
  <c r="K565" s="1"/>
  <c r="C577"/>
  <c r="K577" s="1"/>
  <c r="C589"/>
  <c r="K589" s="1"/>
  <c r="C601"/>
  <c r="K601" s="1"/>
  <c r="C613"/>
  <c r="K613" s="1"/>
  <c r="C625"/>
  <c r="K625" s="1"/>
  <c r="C637"/>
  <c r="K637" s="1"/>
  <c r="C649"/>
  <c r="K649" s="1"/>
  <c r="C661"/>
  <c r="K661" s="1"/>
  <c r="C673"/>
  <c r="K673" s="1"/>
  <c r="C685"/>
  <c r="K685" s="1"/>
  <c r="C697"/>
  <c r="K697" s="1"/>
  <c r="C709"/>
  <c r="K709" s="1"/>
  <c r="C721"/>
  <c r="K721" s="1"/>
  <c r="C733"/>
  <c r="K733" s="1"/>
  <c r="C745"/>
  <c r="K745" s="1"/>
  <c r="C757"/>
  <c r="K757" s="1"/>
  <c r="C769"/>
  <c r="K769" s="1"/>
  <c r="C781"/>
  <c r="K781" s="1"/>
  <c r="C793"/>
  <c r="K793" s="1"/>
  <c r="C805"/>
  <c r="K805" s="1"/>
  <c r="C817"/>
  <c r="K817" s="1"/>
  <c r="C829"/>
  <c r="K829" s="1"/>
  <c r="C841"/>
  <c r="K841" s="1"/>
  <c r="C853"/>
  <c r="K853" s="1"/>
  <c r="C865"/>
  <c r="K865" s="1"/>
  <c r="C877"/>
  <c r="K877" s="1"/>
  <c r="C889"/>
  <c r="K889" s="1"/>
  <c r="C901"/>
  <c r="K901" s="1"/>
  <c r="C913"/>
  <c r="K913" s="1"/>
  <c r="C925"/>
  <c r="K925" s="1"/>
  <c r="C937"/>
  <c r="K937" s="1"/>
  <c r="C949"/>
  <c r="K949" s="1"/>
  <c r="C961"/>
  <c r="K961" s="1"/>
  <c r="C973"/>
  <c r="K973" s="1"/>
  <c r="C985"/>
  <c r="K985" s="1"/>
  <c r="C997"/>
  <c r="K997" s="1"/>
  <c r="C1009"/>
  <c r="K1009" s="1"/>
  <c r="C1021"/>
  <c r="K1021" s="1"/>
  <c r="C1033"/>
  <c r="K1033" s="1"/>
  <c r="C1045"/>
  <c r="K1045" s="1"/>
  <c r="C1057"/>
  <c r="K1057" s="1"/>
  <c r="C1069"/>
  <c r="K1069" s="1"/>
  <c r="C1081"/>
  <c r="K1081" s="1"/>
  <c r="C1093"/>
  <c r="K1093" s="1"/>
  <c r="C1105"/>
  <c r="K1105" s="1"/>
  <c r="C1117"/>
  <c r="K1117" s="1"/>
  <c r="C1129"/>
  <c r="K1129" s="1"/>
  <c r="C1141"/>
  <c r="K1141" s="1"/>
  <c r="C1153"/>
  <c r="K1153" s="1"/>
  <c r="C1165"/>
  <c r="K1165" s="1"/>
  <c r="C1177"/>
  <c r="K1177" s="1"/>
  <c r="C1189"/>
  <c r="K1189" s="1"/>
  <c r="C1201"/>
  <c r="K1201" s="1"/>
  <c r="C1213"/>
  <c r="K1213" s="1"/>
  <c r="C1225"/>
  <c r="K1225" s="1"/>
  <c r="C1237"/>
  <c r="K1237" s="1"/>
  <c r="C1249"/>
  <c r="K1249" s="1"/>
  <c r="C1261"/>
  <c r="K1261" s="1"/>
  <c r="C1273"/>
  <c r="K1273" s="1"/>
  <c r="C1285"/>
  <c r="K1285" s="1"/>
  <c r="C1297"/>
  <c r="K1297" s="1"/>
  <c r="C1309"/>
  <c r="K1309" s="1"/>
  <c r="C1321"/>
  <c r="K1321" s="1"/>
  <c r="C1333"/>
  <c r="K1333" s="1"/>
  <c r="C1345"/>
  <c r="K1345" s="1"/>
  <c r="C1357"/>
  <c r="K1357" s="1"/>
  <c r="C1369"/>
  <c r="K1369" s="1"/>
  <c r="C1381"/>
  <c r="C1393"/>
  <c r="C1405"/>
  <c r="C1417"/>
  <c r="C1429"/>
  <c r="C1441"/>
  <c r="C1453"/>
  <c r="C1465"/>
  <c r="C1477"/>
  <c r="C1489"/>
  <c r="C1501"/>
  <c r="C1513"/>
  <c r="C1525"/>
  <c r="C1537"/>
  <c r="C1549"/>
  <c r="C1561"/>
  <c r="C1573"/>
  <c r="C1585"/>
  <c r="C1597"/>
  <c r="C1609"/>
  <c r="C1621"/>
  <c r="C1633"/>
  <c r="C1645"/>
  <c r="C1657"/>
  <c r="C1669"/>
  <c r="C1681"/>
  <c r="C1693"/>
  <c r="C1705"/>
  <c r="C1717"/>
  <c r="C1729"/>
  <c r="C1741"/>
  <c r="C1753"/>
  <c r="C1765"/>
  <c r="C1777"/>
  <c r="C1789"/>
  <c r="C1801"/>
  <c r="C1813"/>
  <c r="C1825"/>
  <c r="C1837"/>
  <c r="C1849"/>
  <c r="C1861"/>
  <c r="C1873"/>
  <c r="C1885"/>
  <c r="C1897"/>
  <c r="C1909"/>
  <c r="C1921"/>
  <c r="C1933"/>
  <c r="C1945"/>
  <c r="C1957"/>
  <c r="C1969"/>
  <c r="C1981"/>
  <c r="C1993"/>
  <c r="C2005"/>
  <c r="C2017"/>
  <c r="C2029"/>
  <c r="C2041"/>
  <c r="C12"/>
  <c r="K12" s="1"/>
  <c r="C24"/>
  <c r="K24" s="1"/>
  <c r="C36"/>
  <c r="K36" s="1"/>
  <c r="C48"/>
  <c r="K48" s="1"/>
  <c r="C60"/>
  <c r="K60" s="1"/>
  <c r="C72"/>
  <c r="K72" s="1"/>
  <c r="C84"/>
  <c r="K84" s="1"/>
  <c r="C96"/>
  <c r="K96" s="1"/>
  <c r="C108"/>
  <c r="K108" s="1"/>
  <c r="C120"/>
  <c r="K120" s="1"/>
  <c r="C132"/>
  <c r="K132" s="1"/>
  <c r="C144"/>
  <c r="K144" s="1"/>
  <c r="C156"/>
  <c r="K156" s="1"/>
  <c r="C168"/>
  <c r="K168" s="1"/>
  <c r="C180"/>
  <c r="K180" s="1"/>
  <c r="C192"/>
  <c r="K192" s="1"/>
  <c r="C204"/>
  <c r="K204" s="1"/>
  <c r="C216"/>
  <c r="K216" s="1"/>
  <c r="C228"/>
  <c r="K228" s="1"/>
  <c r="C240"/>
  <c r="K240" s="1"/>
  <c r="C252"/>
  <c r="K252" s="1"/>
  <c r="C264"/>
  <c r="K264" s="1"/>
  <c r="C276"/>
  <c r="K276" s="1"/>
  <c r="C288"/>
  <c r="K288" s="1"/>
  <c r="C300"/>
  <c r="K300" s="1"/>
  <c r="C312"/>
  <c r="K312" s="1"/>
  <c r="C324"/>
  <c r="K324" s="1"/>
  <c r="C336"/>
  <c r="K336" s="1"/>
  <c r="C348"/>
  <c r="K348" s="1"/>
  <c r="C360"/>
  <c r="K360" s="1"/>
  <c r="C372"/>
  <c r="K372" s="1"/>
  <c r="C384"/>
  <c r="K384" s="1"/>
  <c r="C396"/>
  <c r="K396" s="1"/>
  <c r="C408"/>
  <c r="K408" s="1"/>
  <c r="C420"/>
  <c r="K420" s="1"/>
  <c r="C432"/>
  <c r="K432" s="1"/>
  <c r="C444"/>
  <c r="K444" s="1"/>
  <c r="C456"/>
  <c r="K456" s="1"/>
  <c r="C468"/>
  <c r="K468" s="1"/>
  <c r="C480"/>
  <c r="K480" s="1"/>
  <c r="C492"/>
  <c r="K492" s="1"/>
  <c r="C504"/>
  <c r="K504" s="1"/>
  <c r="C516"/>
  <c r="K516" s="1"/>
  <c r="C528"/>
  <c r="K528" s="1"/>
  <c r="C540"/>
  <c r="K540" s="1"/>
  <c r="C552"/>
  <c r="K552" s="1"/>
  <c r="C564"/>
  <c r="K564" s="1"/>
  <c r="C576"/>
  <c r="K576" s="1"/>
  <c r="C588"/>
  <c r="K588" s="1"/>
  <c r="C600"/>
  <c r="K600" s="1"/>
  <c r="C612"/>
  <c r="K612" s="1"/>
  <c r="C624"/>
  <c r="K624" s="1"/>
  <c r="C636"/>
  <c r="K636" s="1"/>
  <c r="C648"/>
  <c r="K648" s="1"/>
  <c r="C660"/>
  <c r="K660" s="1"/>
  <c r="C672"/>
  <c r="K672" s="1"/>
  <c r="C684"/>
  <c r="K684" s="1"/>
  <c r="C696"/>
  <c r="K696" s="1"/>
  <c r="C708"/>
  <c r="K708" s="1"/>
  <c r="C720"/>
  <c r="K720" s="1"/>
  <c r="C732"/>
  <c r="K732" s="1"/>
  <c r="C744"/>
  <c r="K744" s="1"/>
  <c r="C756"/>
  <c r="K756" s="1"/>
  <c r="C768"/>
  <c r="K768" s="1"/>
  <c r="C780"/>
  <c r="K780" s="1"/>
  <c r="C792"/>
  <c r="K792" s="1"/>
  <c r="C804"/>
  <c r="K804" s="1"/>
  <c r="C816"/>
  <c r="K816" s="1"/>
  <c r="C828"/>
  <c r="K828" s="1"/>
  <c r="C840"/>
  <c r="K840" s="1"/>
  <c r="C852"/>
  <c r="K852" s="1"/>
  <c r="C864"/>
  <c r="K864" s="1"/>
  <c r="C876"/>
  <c r="K876" s="1"/>
  <c r="C888"/>
  <c r="K888" s="1"/>
  <c r="C900"/>
  <c r="K900" s="1"/>
  <c r="C912"/>
  <c r="K912" s="1"/>
  <c r="C924"/>
  <c r="K924" s="1"/>
  <c r="C936"/>
  <c r="K936" s="1"/>
  <c r="C948"/>
  <c r="K948" s="1"/>
  <c r="C960"/>
  <c r="K960" s="1"/>
  <c r="C972"/>
  <c r="K972" s="1"/>
  <c r="C984"/>
  <c r="K984" s="1"/>
  <c r="C996"/>
  <c r="K996" s="1"/>
  <c r="C1008"/>
  <c r="K1008" s="1"/>
  <c r="C1020"/>
  <c r="K1020" s="1"/>
  <c r="C1032"/>
  <c r="K1032" s="1"/>
  <c r="C1044"/>
  <c r="K1044" s="1"/>
  <c r="C1056"/>
  <c r="K1056" s="1"/>
  <c r="C1068"/>
  <c r="K1068" s="1"/>
  <c r="C1080"/>
  <c r="K1080" s="1"/>
  <c r="C1092"/>
  <c r="K1092" s="1"/>
  <c r="C1104"/>
  <c r="K1104" s="1"/>
  <c r="C1116"/>
  <c r="K1116" s="1"/>
  <c r="C1128"/>
  <c r="K1128" s="1"/>
  <c r="C1140"/>
  <c r="K1140" s="1"/>
  <c r="C1152"/>
  <c r="K1152" s="1"/>
  <c r="C1164"/>
  <c r="K1164" s="1"/>
  <c r="C1176"/>
  <c r="K1176" s="1"/>
  <c r="C1188"/>
  <c r="K1188" s="1"/>
  <c r="C1200"/>
  <c r="K1200" s="1"/>
  <c r="C1212"/>
  <c r="K1212" s="1"/>
  <c r="C1224"/>
  <c r="K1224" s="1"/>
  <c r="C1236"/>
  <c r="K1236" s="1"/>
  <c r="C1248"/>
  <c r="K1248" s="1"/>
  <c r="C1260"/>
  <c r="K1260" s="1"/>
  <c r="C1272"/>
  <c r="K1272" s="1"/>
  <c r="C1284"/>
  <c r="K1284" s="1"/>
  <c r="C1296"/>
  <c r="K1296" s="1"/>
  <c r="C1308"/>
  <c r="K1308" s="1"/>
  <c r="C1320"/>
  <c r="K1320" s="1"/>
  <c r="C1332"/>
  <c r="K1332" s="1"/>
  <c r="C1344"/>
  <c r="K1344" s="1"/>
  <c r="C1356"/>
  <c r="K1356" s="1"/>
  <c r="C1368"/>
  <c r="K1368" s="1"/>
  <c r="C1380"/>
  <c r="K1380" s="1"/>
  <c r="C1392"/>
  <c r="C1404"/>
  <c r="C1416"/>
  <c r="C1428"/>
  <c r="C1440"/>
  <c r="C1452"/>
  <c r="C1464"/>
  <c r="C1476"/>
  <c r="C1488"/>
  <c r="C1500"/>
  <c r="C1512"/>
  <c r="C1524"/>
  <c r="C1536"/>
  <c r="C1548"/>
  <c r="C1560"/>
  <c r="C1572"/>
  <c r="C1584"/>
  <c r="C1596"/>
  <c r="C1608"/>
  <c r="C1620"/>
  <c r="C1632"/>
  <c r="C1644"/>
  <c r="C1656"/>
  <c r="C1668"/>
  <c r="C1680"/>
  <c r="C1692"/>
  <c r="C1704"/>
  <c r="C1716"/>
  <c r="C1728"/>
  <c r="C1740"/>
  <c r="C1752"/>
  <c r="C1764"/>
  <c r="C1776"/>
  <c r="C1788"/>
  <c r="C1800"/>
  <c r="C1812"/>
  <c r="C1824"/>
  <c r="C1836"/>
  <c r="C1848"/>
  <c r="C1860"/>
  <c r="C1872"/>
  <c r="C1884"/>
  <c r="C1896"/>
  <c r="C1908"/>
  <c r="C1920"/>
  <c r="C1932"/>
  <c r="C1944"/>
  <c r="C1956"/>
  <c r="C1968"/>
  <c r="C1980"/>
  <c r="C1992"/>
  <c r="C2004"/>
  <c r="C2016"/>
  <c r="C2028"/>
  <c r="C2040"/>
  <c r="C11"/>
  <c r="K11" s="1"/>
  <c r="C23"/>
  <c r="K23" s="1"/>
  <c r="C35"/>
  <c r="K35" s="1"/>
  <c r="C47"/>
  <c r="K47" s="1"/>
  <c r="C59"/>
  <c r="K59" s="1"/>
  <c r="C71"/>
  <c r="K71" s="1"/>
  <c r="C83"/>
  <c r="K83" s="1"/>
  <c r="C95"/>
  <c r="K95" s="1"/>
  <c r="C107"/>
  <c r="K107" s="1"/>
  <c r="C119"/>
  <c r="K119" s="1"/>
  <c r="C131"/>
  <c r="K131" s="1"/>
  <c r="C143"/>
  <c r="K143" s="1"/>
  <c r="C155"/>
  <c r="K155" s="1"/>
  <c r="C167"/>
  <c r="K167" s="1"/>
  <c r="C179"/>
  <c r="K179" s="1"/>
  <c r="C191"/>
  <c r="K191" s="1"/>
  <c r="C203"/>
  <c r="K203" s="1"/>
  <c r="C215"/>
  <c r="K215" s="1"/>
  <c r="C227"/>
  <c r="K227" s="1"/>
  <c r="C239"/>
  <c r="K239" s="1"/>
  <c r="C251"/>
  <c r="K251" s="1"/>
  <c r="C263"/>
  <c r="K263" s="1"/>
  <c r="C275"/>
  <c r="K275" s="1"/>
  <c r="C287"/>
  <c r="K287" s="1"/>
  <c r="C299"/>
  <c r="K299" s="1"/>
  <c r="C311"/>
  <c r="K311" s="1"/>
  <c r="C323"/>
  <c r="K323" s="1"/>
  <c r="C335"/>
  <c r="K335" s="1"/>
  <c r="C347"/>
  <c r="K347" s="1"/>
  <c r="C359"/>
  <c r="K359" s="1"/>
  <c r="C371"/>
  <c r="K371" s="1"/>
  <c r="C383"/>
  <c r="K383" s="1"/>
  <c r="C395"/>
  <c r="K395" s="1"/>
  <c r="C407"/>
  <c r="K407" s="1"/>
  <c r="C419"/>
  <c r="K419" s="1"/>
  <c r="C431"/>
  <c r="K431" s="1"/>
  <c r="C443"/>
  <c r="K443" s="1"/>
  <c r="C455"/>
  <c r="K455" s="1"/>
  <c r="C467"/>
  <c r="K467" s="1"/>
  <c r="C479"/>
  <c r="K479" s="1"/>
  <c r="C491"/>
  <c r="K491" s="1"/>
  <c r="C503"/>
  <c r="K503" s="1"/>
  <c r="C515"/>
  <c r="K515" s="1"/>
  <c r="C527"/>
  <c r="K527" s="1"/>
  <c r="C539"/>
  <c r="K539" s="1"/>
  <c r="C551"/>
  <c r="K551" s="1"/>
  <c r="C563"/>
  <c r="K563" s="1"/>
  <c r="C575"/>
  <c r="K575" s="1"/>
  <c r="C587"/>
  <c r="K587" s="1"/>
  <c r="C599"/>
  <c r="K599" s="1"/>
  <c r="C611"/>
  <c r="K611" s="1"/>
  <c r="C623"/>
  <c r="K623" s="1"/>
  <c r="C635"/>
  <c r="K635" s="1"/>
  <c r="C647"/>
  <c r="K647" s="1"/>
  <c r="C659"/>
  <c r="K659" s="1"/>
  <c r="C671"/>
  <c r="K671" s="1"/>
  <c r="C683"/>
  <c r="K683" s="1"/>
  <c r="C695"/>
  <c r="K695" s="1"/>
  <c r="C707"/>
  <c r="K707" s="1"/>
  <c r="C719"/>
  <c r="K719" s="1"/>
  <c r="C731"/>
  <c r="K731" s="1"/>
  <c r="C743"/>
  <c r="K743" s="1"/>
  <c r="C755"/>
  <c r="K755" s="1"/>
  <c r="C767"/>
  <c r="K767" s="1"/>
  <c r="C779"/>
  <c r="K779" s="1"/>
  <c r="C791"/>
  <c r="K791" s="1"/>
  <c r="C803"/>
  <c r="K803" s="1"/>
  <c r="C815"/>
  <c r="K815" s="1"/>
  <c r="C827"/>
  <c r="K827" s="1"/>
  <c r="C839"/>
  <c r="K839" s="1"/>
  <c r="C851"/>
  <c r="K851" s="1"/>
  <c r="C863"/>
  <c r="K863" s="1"/>
  <c r="C875"/>
  <c r="K875" s="1"/>
  <c r="C887"/>
  <c r="K887" s="1"/>
  <c r="C899"/>
  <c r="K899" s="1"/>
  <c r="C911"/>
  <c r="K911" s="1"/>
  <c r="C923"/>
  <c r="K923" s="1"/>
  <c r="C935"/>
  <c r="K935" s="1"/>
  <c r="C947"/>
  <c r="K947" s="1"/>
  <c r="C959"/>
  <c r="K959" s="1"/>
  <c r="C971"/>
  <c r="K971" s="1"/>
  <c r="C983"/>
  <c r="K983" s="1"/>
  <c r="C995"/>
  <c r="K995" s="1"/>
  <c r="C1007"/>
  <c r="K1007" s="1"/>
  <c r="C1019"/>
  <c r="K1019" s="1"/>
  <c r="C1031"/>
  <c r="K1031" s="1"/>
  <c r="C1043"/>
  <c r="K1043" s="1"/>
  <c r="C1055"/>
  <c r="K1055" s="1"/>
  <c r="C1067"/>
  <c r="K1067" s="1"/>
  <c r="C1079"/>
  <c r="K1079" s="1"/>
  <c r="C1091"/>
  <c r="K1091" s="1"/>
  <c r="C1103"/>
  <c r="K1103" s="1"/>
  <c r="C1115"/>
  <c r="K1115" s="1"/>
  <c r="C1127"/>
  <c r="K1127" s="1"/>
  <c r="C1139"/>
  <c r="K1139" s="1"/>
  <c r="C1151"/>
  <c r="K1151" s="1"/>
  <c r="C1163"/>
  <c r="K1163" s="1"/>
  <c r="C1175"/>
  <c r="K1175" s="1"/>
  <c r="C1187"/>
  <c r="K1187" s="1"/>
  <c r="C1199"/>
  <c r="K1199" s="1"/>
  <c r="C1211"/>
  <c r="K1211" s="1"/>
  <c r="C1223"/>
  <c r="K1223" s="1"/>
  <c r="C1235"/>
  <c r="K1235" s="1"/>
  <c r="C1247"/>
  <c r="K1247" s="1"/>
  <c r="C1259"/>
  <c r="K1259" s="1"/>
  <c r="C1271"/>
  <c r="K1271" s="1"/>
  <c r="C1283"/>
  <c r="K1283" s="1"/>
  <c r="C1295"/>
  <c r="K1295" s="1"/>
  <c r="C1307"/>
  <c r="K1307" s="1"/>
  <c r="C1319"/>
  <c r="K1319" s="1"/>
  <c r="C1331"/>
  <c r="K1331" s="1"/>
  <c r="C1343"/>
  <c r="K1343" s="1"/>
  <c r="C1355"/>
  <c r="K1355" s="1"/>
  <c r="C1367"/>
  <c r="K1367" s="1"/>
  <c r="C1379"/>
  <c r="K1379" s="1"/>
  <c r="C1391"/>
  <c r="C1403"/>
  <c r="C1415"/>
  <c r="C1427"/>
  <c r="C1439"/>
  <c r="C1451"/>
  <c r="C1463"/>
  <c r="C1475"/>
  <c r="C1487"/>
  <c r="C1499"/>
  <c r="C1511"/>
  <c r="C1523"/>
  <c r="C1535"/>
  <c r="C1547"/>
  <c r="C1559"/>
  <c r="C1571"/>
  <c r="C1583"/>
  <c r="C1595"/>
  <c r="C1607"/>
  <c r="C1619"/>
  <c r="C1631"/>
  <c r="C1643"/>
  <c r="C1655"/>
  <c r="C1667"/>
  <c r="C1679"/>
  <c r="C1691"/>
  <c r="C1703"/>
  <c r="C1715"/>
  <c r="C1727"/>
  <c r="C1739"/>
  <c r="C1751"/>
  <c r="C1763"/>
  <c r="C1775"/>
  <c r="C1787"/>
  <c r="C1799"/>
  <c r="C1811"/>
  <c r="C1823"/>
  <c r="C1835"/>
  <c r="C1847"/>
  <c r="C1859"/>
  <c r="C1871"/>
  <c r="C1883"/>
  <c r="C1895"/>
  <c r="C1907"/>
  <c r="C1919"/>
  <c r="C1931"/>
  <c r="C1943"/>
  <c r="C1955"/>
  <c r="C1967"/>
  <c r="C1979"/>
  <c r="C1991"/>
  <c r="C2003"/>
  <c r="C2015"/>
  <c r="C2027"/>
  <c r="C2039"/>
  <c r="C10"/>
  <c r="K10" s="1"/>
  <c r="C22"/>
  <c r="K22" s="1"/>
  <c r="C34"/>
  <c r="K34" s="1"/>
  <c r="C46"/>
  <c r="K46" s="1"/>
  <c r="C58"/>
  <c r="K58" s="1"/>
  <c r="C70"/>
  <c r="K70" s="1"/>
  <c r="C82"/>
  <c r="K82" s="1"/>
  <c r="C94"/>
  <c r="K94" s="1"/>
  <c r="C106"/>
  <c r="K106" s="1"/>
  <c r="C118"/>
  <c r="K118" s="1"/>
  <c r="C130"/>
  <c r="K130" s="1"/>
  <c r="C142"/>
  <c r="K142" s="1"/>
  <c r="C154"/>
  <c r="K154" s="1"/>
  <c r="C166"/>
  <c r="K166" s="1"/>
  <c r="C178"/>
  <c r="K178" s="1"/>
  <c r="C190"/>
  <c r="K190" s="1"/>
  <c r="C202"/>
  <c r="K202" s="1"/>
  <c r="C214"/>
  <c r="K214" s="1"/>
  <c r="C226"/>
  <c r="K226" s="1"/>
  <c r="C238"/>
  <c r="K238" s="1"/>
  <c r="C250"/>
  <c r="K250" s="1"/>
  <c r="C262"/>
  <c r="K262" s="1"/>
  <c r="C274"/>
  <c r="K274" s="1"/>
  <c r="C286"/>
  <c r="K286" s="1"/>
  <c r="C298"/>
  <c r="K298" s="1"/>
  <c r="C310"/>
  <c r="K310" s="1"/>
  <c r="C322"/>
  <c r="K322" s="1"/>
  <c r="C334"/>
  <c r="K334" s="1"/>
  <c r="C346"/>
  <c r="K346" s="1"/>
  <c r="C358"/>
  <c r="K358" s="1"/>
  <c r="C370"/>
  <c r="K370" s="1"/>
  <c r="C382"/>
  <c r="K382" s="1"/>
  <c r="C394"/>
  <c r="K394" s="1"/>
  <c r="C406"/>
  <c r="K406" s="1"/>
  <c r="C418"/>
  <c r="K418" s="1"/>
  <c r="C430"/>
  <c r="K430" s="1"/>
  <c r="C442"/>
  <c r="K442" s="1"/>
  <c r="C454"/>
  <c r="K454" s="1"/>
  <c r="C466"/>
  <c r="K466" s="1"/>
  <c r="C478"/>
  <c r="K478" s="1"/>
  <c r="C490"/>
  <c r="K490" s="1"/>
  <c r="C502"/>
  <c r="K502" s="1"/>
  <c r="C514"/>
  <c r="K514" s="1"/>
  <c r="C526"/>
  <c r="K526" s="1"/>
  <c r="C538"/>
  <c r="K538" s="1"/>
  <c r="C550"/>
  <c r="K550" s="1"/>
  <c r="C562"/>
  <c r="K562" s="1"/>
  <c r="C574"/>
  <c r="K574" s="1"/>
  <c r="C586"/>
  <c r="K586" s="1"/>
  <c r="C598"/>
  <c r="K598" s="1"/>
  <c r="C610"/>
  <c r="K610" s="1"/>
  <c r="C622"/>
  <c r="K622" s="1"/>
  <c r="C634"/>
  <c r="K634" s="1"/>
  <c r="C646"/>
  <c r="K646" s="1"/>
  <c r="C658"/>
  <c r="K658" s="1"/>
  <c r="C670"/>
  <c r="K670" s="1"/>
  <c r="C682"/>
  <c r="K682" s="1"/>
  <c r="C694"/>
  <c r="K694" s="1"/>
  <c r="C706"/>
  <c r="K706" s="1"/>
  <c r="C718"/>
  <c r="K718" s="1"/>
  <c r="C730"/>
  <c r="K730" s="1"/>
  <c r="C742"/>
  <c r="K742" s="1"/>
  <c r="C754"/>
  <c r="K754" s="1"/>
  <c r="C766"/>
  <c r="K766" s="1"/>
  <c r="C778"/>
  <c r="K778" s="1"/>
  <c r="C790"/>
  <c r="K790" s="1"/>
  <c r="C802"/>
  <c r="K802" s="1"/>
  <c r="C814"/>
  <c r="K814" s="1"/>
  <c r="C826"/>
  <c r="K826" s="1"/>
  <c r="C838"/>
  <c r="K838" s="1"/>
  <c r="C850"/>
  <c r="K850" s="1"/>
  <c r="C862"/>
  <c r="K862" s="1"/>
  <c r="C874"/>
  <c r="K874" s="1"/>
  <c r="C886"/>
  <c r="K886" s="1"/>
  <c r="C898"/>
  <c r="K898" s="1"/>
  <c r="C910"/>
  <c r="K910" s="1"/>
  <c r="C922"/>
  <c r="K922" s="1"/>
  <c r="C934"/>
  <c r="K934" s="1"/>
  <c r="C946"/>
  <c r="K946" s="1"/>
  <c r="C958"/>
  <c r="K958" s="1"/>
  <c r="C970"/>
  <c r="K970" s="1"/>
  <c r="C982"/>
  <c r="K982" s="1"/>
  <c r="C994"/>
  <c r="K994" s="1"/>
  <c r="C1006"/>
  <c r="K1006" s="1"/>
  <c r="C1018"/>
  <c r="K1018" s="1"/>
  <c r="C1030"/>
  <c r="K1030" s="1"/>
  <c r="C1042"/>
  <c r="K1042" s="1"/>
  <c r="C1054"/>
  <c r="K1054" s="1"/>
  <c r="C1066"/>
  <c r="K1066" s="1"/>
  <c r="C1078"/>
  <c r="K1078" s="1"/>
  <c r="C1090"/>
  <c r="K1090" s="1"/>
  <c r="C1102"/>
  <c r="K1102" s="1"/>
  <c r="C1114"/>
  <c r="K1114" s="1"/>
  <c r="C1126"/>
  <c r="K1126" s="1"/>
  <c r="C1138"/>
  <c r="K1138" s="1"/>
  <c r="C1150"/>
  <c r="K1150" s="1"/>
  <c r="C1162"/>
  <c r="K1162" s="1"/>
  <c r="C1174"/>
  <c r="K1174" s="1"/>
  <c r="C1186"/>
  <c r="K1186" s="1"/>
  <c r="C1198"/>
  <c r="K1198" s="1"/>
  <c r="C1210"/>
  <c r="K1210" s="1"/>
  <c r="C1222"/>
  <c r="K1222" s="1"/>
  <c r="C1234"/>
  <c r="K1234" s="1"/>
  <c r="C1246"/>
  <c r="K1246" s="1"/>
  <c r="C1258"/>
  <c r="K1258" s="1"/>
  <c r="C1270"/>
  <c r="K1270" s="1"/>
  <c r="C1282"/>
  <c r="K1282" s="1"/>
  <c r="C1294"/>
  <c r="K1294" s="1"/>
  <c r="C1306"/>
  <c r="K1306" s="1"/>
  <c r="C1318"/>
  <c r="K1318" s="1"/>
  <c r="C1330"/>
  <c r="K1330" s="1"/>
  <c r="C1342"/>
  <c r="K1342" s="1"/>
  <c r="C1354"/>
  <c r="K1354" s="1"/>
  <c r="C1366"/>
  <c r="K1366" s="1"/>
  <c r="C1378"/>
  <c r="K1378" s="1"/>
  <c r="C1390"/>
  <c r="C1402"/>
  <c r="C1414"/>
  <c r="C1426"/>
  <c r="C1438"/>
  <c r="C1450"/>
  <c r="C1462"/>
  <c r="C1474"/>
  <c r="C1486"/>
  <c r="C1498"/>
  <c r="C1510"/>
  <c r="C1522"/>
  <c r="C1534"/>
  <c r="C1546"/>
  <c r="C1558"/>
  <c r="C1570"/>
  <c r="C1582"/>
  <c r="C1594"/>
  <c r="C1606"/>
  <c r="C1618"/>
  <c r="C1630"/>
  <c r="C1642"/>
  <c r="C1654"/>
  <c r="C1666"/>
  <c r="C1678"/>
  <c r="C1690"/>
  <c r="C1702"/>
  <c r="C1714"/>
  <c r="C1726"/>
  <c r="C1738"/>
  <c r="C1750"/>
  <c r="C1762"/>
  <c r="C1774"/>
  <c r="C1786"/>
  <c r="C1798"/>
  <c r="C1810"/>
  <c r="C1822"/>
  <c r="C1834"/>
  <c r="C1846"/>
  <c r="C1858"/>
  <c r="C1870"/>
  <c r="C1882"/>
  <c r="C1894"/>
  <c r="C1906"/>
  <c r="C1918"/>
  <c r="C1930"/>
  <c r="C1942"/>
  <c r="C1954"/>
  <c r="C1966"/>
  <c r="C1978"/>
  <c r="C1990"/>
  <c r="C2002"/>
  <c r="C2014"/>
  <c r="C2026"/>
  <c r="C2038"/>
  <c r="C9"/>
  <c r="K9" s="1"/>
  <c r="C21"/>
  <c r="K21" s="1"/>
  <c r="C33"/>
  <c r="K33" s="1"/>
  <c r="C45"/>
  <c r="K45" s="1"/>
  <c r="C57"/>
  <c r="K57" s="1"/>
  <c r="C69"/>
  <c r="K69" s="1"/>
  <c r="C81"/>
  <c r="K81" s="1"/>
  <c r="C93"/>
  <c r="K93" s="1"/>
  <c r="C105"/>
  <c r="K105" s="1"/>
  <c r="C117"/>
  <c r="K117" s="1"/>
  <c r="C129"/>
  <c r="K129" s="1"/>
  <c r="C141"/>
  <c r="K141" s="1"/>
  <c r="C153"/>
  <c r="K153" s="1"/>
  <c r="C165"/>
  <c r="K165" s="1"/>
  <c r="C177"/>
  <c r="K177" s="1"/>
  <c r="C189"/>
  <c r="K189" s="1"/>
  <c r="C201"/>
  <c r="K201" s="1"/>
  <c r="C213"/>
  <c r="K213" s="1"/>
  <c r="C225"/>
  <c r="K225" s="1"/>
  <c r="C237"/>
  <c r="K237" s="1"/>
  <c r="C249"/>
  <c r="K249" s="1"/>
  <c r="C261"/>
  <c r="K261" s="1"/>
  <c r="C273"/>
  <c r="K273" s="1"/>
  <c r="C285"/>
  <c r="K285" s="1"/>
  <c r="C297"/>
  <c r="K297" s="1"/>
  <c r="C309"/>
  <c r="K309" s="1"/>
  <c r="C321"/>
  <c r="K321" s="1"/>
  <c r="C333"/>
  <c r="K333" s="1"/>
  <c r="C345"/>
  <c r="K345" s="1"/>
  <c r="C357"/>
  <c r="K357" s="1"/>
  <c r="C369"/>
  <c r="K369" s="1"/>
  <c r="C381"/>
  <c r="K381" s="1"/>
  <c r="C393"/>
  <c r="K393" s="1"/>
  <c r="C405"/>
  <c r="K405" s="1"/>
  <c r="C417"/>
  <c r="K417" s="1"/>
  <c r="C429"/>
  <c r="K429" s="1"/>
  <c r="C441"/>
  <c r="K441" s="1"/>
  <c r="C453"/>
  <c r="K453" s="1"/>
  <c r="C465"/>
  <c r="K465" s="1"/>
  <c r="C477"/>
  <c r="K477" s="1"/>
  <c r="C489"/>
  <c r="K489" s="1"/>
  <c r="C501"/>
  <c r="K501" s="1"/>
  <c r="C513"/>
  <c r="K513" s="1"/>
  <c r="C525"/>
  <c r="K525" s="1"/>
  <c r="C537"/>
  <c r="K537" s="1"/>
  <c r="C549"/>
  <c r="K549" s="1"/>
  <c r="C561"/>
  <c r="K561" s="1"/>
  <c r="C573"/>
  <c r="K573" s="1"/>
  <c r="C585"/>
  <c r="K585" s="1"/>
  <c r="C597"/>
  <c r="K597" s="1"/>
  <c r="C609"/>
  <c r="K609" s="1"/>
  <c r="C621"/>
  <c r="K621" s="1"/>
  <c r="C633"/>
  <c r="K633" s="1"/>
  <c r="C645"/>
  <c r="K645" s="1"/>
  <c r="C657"/>
  <c r="K657" s="1"/>
  <c r="C669"/>
  <c r="K669" s="1"/>
  <c r="C681"/>
  <c r="K681" s="1"/>
  <c r="C693"/>
  <c r="K693" s="1"/>
  <c r="C705"/>
  <c r="K705" s="1"/>
  <c r="C717"/>
  <c r="K717" s="1"/>
  <c r="C729"/>
  <c r="K729" s="1"/>
  <c r="C741"/>
  <c r="K741" s="1"/>
  <c r="C753"/>
  <c r="K753" s="1"/>
  <c r="C765"/>
  <c r="K765" s="1"/>
  <c r="C777"/>
  <c r="K777" s="1"/>
  <c r="C789"/>
  <c r="K789" s="1"/>
  <c r="C801"/>
  <c r="K801" s="1"/>
  <c r="C813"/>
  <c r="K813" s="1"/>
  <c r="C825"/>
  <c r="K825" s="1"/>
  <c r="C837"/>
  <c r="K837" s="1"/>
  <c r="C849"/>
  <c r="K849" s="1"/>
  <c r="C861"/>
  <c r="K861" s="1"/>
  <c r="C873"/>
  <c r="K873" s="1"/>
  <c r="C885"/>
  <c r="K885" s="1"/>
  <c r="C897"/>
  <c r="K897" s="1"/>
  <c r="C909"/>
  <c r="K909" s="1"/>
  <c r="C921"/>
  <c r="K921" s="1"/>
  <c r="C933"/>
  <c r="K933" s="1"/>
  <c r="C945"/>
  <c r="K945" s="1"/>
  <c r="C957"/>
  <c r="K957" s="1"/>
  <c r="C969"/>
  <c r="K969" s="1"/>
  <c r="C981"/>
  <c r="K981" s="1"/>
  <c r="C993"/>
  <c r="K993" s="1"/>
  <c r="C1005"/>
  <c r="K1005" s="1"/>
  <c r="C1017"/>
  <c r="K1017" s="1"/>
  <c r="C1029"/>
  <c r="K1029" s="1"/>
  <c r="C1041"/>
  <c r="K1041" s="1"/>
  <c r="C1053"/>
  <c r="K1053" s="1"/>
  <c r="C1065"/>
  <c r="K1065" s="1"/>
  <c r="C1077"/>
  <c r="K1077" s="1"/>
  <c r="C1089"/>
  <c r="K1089" s="1"/>
  <c r="C1101"/>
  <c r="K1101" s="1"/>
  <c r="C1113"/>
  <c r="K1113" s="1"/>
  <c r="C1125"/>
  <c r="K1125" s="1"/>
  <c r="C1137"/>
  <c r="K1137" s="1"/>
  <c r="C1149"/>
  <c r="K1149" s="1"/>
  <c r="C1161"/>
  <c r="K1161" s="1"/>
  <c r="C1173"/>
  <c r="K1173" s="1"/>
  <c r="C1185"/>
  <c r="K1185" s="1"/>
  <c r="C1197"/>
  <c r="K1197" s="1"/>
  <c r="C1209"/>
  <c r="K1209" s="1"/>
  <c r="C1221"/>
  <c r="K1221" s="1"/>
  <c r="C1233"/>
  <c r="K1233" s="1"/>
  <c r="C1245"/>
  <c r="K1245" s="1"/>
  <c r="C1257"/>
  <c r="K1257" s="1"/>
  <c r="C1269"/>
  <c r="K1269" s="1"/>
  <c r="C1281"/>
  <c r="K1281" s="1"/>
  <c r="C1293"/>
  <c r="K1293" s="1"/>
  <c r="C1305"/>
  <c r="K1305" s="1"/>
  <c r="C1317"/>
  <c r="K1317" s="1"/>
  <c r="C1329"/>
  <c r="K1329" s="1"/>
  <c r="C1341"/>
  <c r="K1341" s="1"/>
  <c r="C1353"/>
  <c r="K1353" s="1"/>
  <c r="C1365"/>
  <c r="K1365" s="1"/>
  <c r="C1377"/>
  <c r="K1377" s="1"/>
  <c r="C1389"/>
  <c r="C1401"/>
  <c r="C1413"/>
  <c r="C1425"/>
  <c r="C1437"/>
  <c r="C1449"/>
  <c r="C1461"/>
  <c r="C1473"/>
  <c r="C1485"/>
  <c r="C1497"/>
  <c r="C1509"/>
  <c r="C1521"/>
  <c r="C1533"/>
  <c r="C1545"/>
  <c r="C1557"/>
  <c r="C1569"/>
  <c r="C1581"/>
  <c r="C1593"/>
  <c r="C1605"/>
  <c r="C1617"/>
  <c r="C1629"/>
  <c r="C1641"/>
  <c r="C1653"/>
  <c r="C1665"/>
  <c r="C1677"/>
  <c r="C1689"/>
  <c r="C1701"/>
  <c r="C1713"/>
  <c r="C1725"/>
  <c r="C1737"/>
  <c r="C1749"/>
  <c r="C1761"/>
  <c r="C1773"/>
  <c r="C1785"/>
  <c r="C1797"/>
  <c r="C1809"/>
  <c r="C1821"/>
  <c r="C1833"/>
  <c r="C1845"/>
  <c r="C1857"/>
  <c r="C1869"/>
  <c r="C1881"/>
  <c r="C1893"/>
  <c r="C1905"/>
  <c r="C1917"/>
  <c r="C1929"/>
  <c r="C1941"/>
  <c r="C1953"/>
  <c r="C1965"/>
  <c r="C1977"/>
  <c r="C1989"/>
  <c r="C2001"/>
  <c r="C2013"/>
  <c r="C2025"/>
  <c r="C2037"/>
  <c r="I7" i="1" l="1"/>
  <c r="K74" i="4"/>
</calcChain>
</file>

<file path=xl/sharedStrings.xml><?xml version="1.0" encoding="utf-8"?>
<sst xmlns="http://schemas.openxmlformats.org/spreadsheetml/2006/main" count="13338" uniqueCount="3769">
  <si>
    <t>Manual Filling</t>
  </si>
  <si>
    <t>Semi Automatic (Bisa dari kode 93 lookup berentet, ataupun diinput manual)</t>
  </si>
  <si>
    <t>WAJIB DIISI</t>
  </si>
  <si>
    <t>OPTIONAL</t>
  </si>
  <si>
    <t>WAJIB DIISI (Untuk obat branded/ada pabrik manufaktur)</t>
  </si>
  <si>
    <t>ID Obat SIMRS</t>
  </si>
  <si>
    <t>Nama Obat</t>
  </si>
  <si>
    <t>Satuan Dosis (mg/mL)</t>
  </si>
  <si>
    <t>Satuan obat yang biasanya digunakan untuk pengadaan stok</t>
  </si>
  <si>
    <t>Satuan Eceran (Sediaan obat dalam apa yang diresepkan kepada pasien)</t>
  </si>
  <si>
    <t>Formulat</t>
  </si>
  <si>
    <t>Kode KFA Varian Aktual
(93xxxxxx)</t>
  </si>
  <si>
    <t>Display KFA Varian Aktual (POA)
(93xxxxxx)</t>
  </si>
  <si>
    <t>Kode KFA Varian Template
(92xxxxxx)</t>
  </si>
  <si>
    <t>Display KFA Varian Template (POV)
(92xxxxxx)</t>
  </si>
  <si>
    <t>Kode KFA Ingredients
(91xxxxxx)</t>
  </si>
  <si>
    <t>Display KFA Ingredients
(91xxxxxx)</t>
  </si>
  <si>
    <t>Dosis KFA Ingredients</t>
  </si>
  <si>
    <t>Satuan KFA Ingredients</t>
  </si>
  <si>
    <t>Dosis satuan</t>
  </si>
  <si>
    <t>Pembagi Obat</t>
  </si>
  <si>
    <t>xxxxxxxxx</t>
  </si>
  <si>
    <t>ASCARDIA TABLET, DELAYED ACTION, ENTERIC COATED 80 MG</t>
  </si>
  <si>
    <t>MG</t>
  </si>
  <si>
    <t>BOX</t>
  </si>
  <si>
    <t>TAB</t>
  </si>
  <si>
    <t>ACETYLSALICYLIC ACID</t>
  </si>
  <si>
    <t>Asam Asetilsalisilat 80 mg Tablet Salut Enterik</t>
  </si>
  <si>
    <t>Aspirin</t>
  </si>
  <si>
    <t>mg</t>
  </si>
  <si>
    <t>CONCOR TABLET 1.25 MG</t>
  </si>
  <si>
    <t>BISOPROLOL FUMARATE</t>
  </si>
  <si>
    <t>Bisoprolol Fumarate 1,25 mg Tablet Salut Selaput</t>
  </si>
  <si>
    <t>Bisoprolol</t>
  </si>
  <si>
    <t>BETASERC 24 MG TABLET</t>
  </si>
  <si>
    <t>BETAHISTINE DIHIDROCHLORIDE</t>
  </si>
  <si>
    <t>Betahistine Hydrochloride 24 mg Tablet</t>
  </si>
  <si>
    <t>Betahistine</t>
  </si>
  <si>
    <t>ACARBOSE TABLET 100 MG</t>
  </si>
  <si>
    <t>ACARBOSE</t>
  </si>
  <si>
    <t>Acarbose 100 mg Tablet</t>
  </si>
  <si>
    <t>Acarbose</t>
  </si>
  <si>
    <t>Tenofovir (TDF) 300 mg (Obat Program)</t>
  </si>
  <si>
    <t>Tenofovir Disoproxil</t>
  </si>
  <si>
    <t>Tenofovir Disoproxil 300 mg Tablet Salut Selaput</t>
  </si>
  <si>
    <t>Tenofovir (TDF)/Emtricitabine (FTC) 300mg/200mg (Obat Program)</t>
  </si>
  <si>
    <t>Tenofovir Disoproxil, Emtricitabine</t>
  </si>
  <si>
    <t>Tenofovir Disoproxil 300 mg / Emtricitabine 200 mg Tablet Salut Selaput</t>
  </si>
  <si>
    <t>Emtricitabine</t>
  </si>
  <si>
    <t>FARMADOL 100 ML SOLUTION, INJECTION 10 MG/ML</t>
  </si>
  <si>
    <t>ML</t>
  </si>
  <si>
    <t>VIL</t>
  </si>
  <si>
    <t>ACETAMINOPHEN</t>
  </si>
  <si>
    <t>-</t>
  </si>
  <si>
    <t xml:space="preserve"> -</t>
  </si>
  <si>
    <t/>
  </si>
  <si>
    <t>Paracetamol</t>
  </si>
  <si>
    <t>mL</t>
  </si>
  <si>
    <t>PAMOL TABLET 500 MG</t>
  </si>
  <si>
    <t>GLAUSETA TABLET 250 MG</t>
  </si>
  <si>
    <t>ACETAZOLAMIDE</t>
  </si>
  <si>
    <t>Acetazolamide</t>
  </si>
  <si>
    <t>Paracetamol 120 mg / 5 mL Sirup</t>
  </si>
  <si>
    <t>Unit of Measure (UCUM)</t>
  </si>
  <si>
    <t>URL</t>
  </si>
  <si>
    <t>(((1-Methyl-2-(5-Methyl-3-Oxazolidinyl)Ethoxy)Methoxy)Methoxy)Methanol</t>
  </si>
  <si>
    <t>((2S,3S,5S)-2-(2-(2,6-Dimethylphenoxy)Acetamido)-5-((S)-3-Methyl-2-(2-Oxotetrahydropyrimidin-1(2H)-Yl)Butanamido)-1,6-Diphenylhexan-3-Yl) 3-Methyl-2-(2-Oxotetrahydropyrimidin-1(2H)-Yl)Butanoate, (S)-</t>
  </si>
  <si>
    <t>(-)-Ambroxide</t>
  </si>
  <si>
    <t>(2-(((2-(2-Amino-3-Hydroxy-2-(Hydroxymethyl)Propoxy)-1-Hydroxypropyl)Hydroxyphosphoryl)Oxy)-1-Hydroxypropyl)Phosphonate</t>
  </si>
  <si>
    <t>.Alpha.N-(Methoxycarbonyl)-L-Arginine</t>
  </si>
  <si>
    <t>Abacavir</t>
  </si>
  <si>
    <t>Acetylcysteine</t>
  </si>
  <si>
    <t>Aciclovir</t>
  </si>
  <si>
    <t>Adina Rubella Root Extract</t>
  </si>
  <si>
    <t>Alanine</t>
  </si>
  <si>
    <t>Alanylglutamine</t>
  </si>
  <si>
    <t>Albendazole</t>
  </si>
  <si>
    <t>Albumin Human, Usp</t>
  </si>
  <si>
    <t>Albumin Human-Kjda</t>
  </si>
  <si>
    <t>Albuterol</t>
  </si>
  <si>
    <t>Allopurinol</t>
  </si>
  <si>
    <t>Alpha Tocopherol</t>
  </si>
  <si>
    <t>Alprazolam</t>
  </si>
  <si>
    <t>Alteplase</t>
  </si>
  <si>
    <t>Aluminum Hydroxide</t>
  </si>
  <si>
    <t>Aluminum Phosphate</t>
  </si>
  <si>
    <t>Amikacin</t>
  </si>
  <si>
    <t>Aminophylline</t>
  </si>
  <si>
    <t>Amiodarone</t>
  </si>
  <si>
    <t>Amitriptyline</t>
  </si>
  <si>
    <t>Amlodipine</t>
  </si>
  <si>
    <t>Amoxicillin</t>
  </si>
  <si>
    <t>Ampicillin</t>
  </si>
  <si>
    <t>Anastrozole</t>
  </si>
  <si>
    <t>Anhydrous Dextrose</t>
  </si>
  <si>
    <t>Anti-Inhibitor Coagulant Complex</t>
  </si>
  <si>
    <t>Arginine</t>
  </si>
  <si>
    <t>Aripiprazole</t>
  </si>
  <si>
    <t>Ascorbic Acid</t>
  </si>
  <si>
    <t>Asparaginase</t>
  </si>
  <si>
    <t>Aspartate</t>
  </si>
  <si>
    <t>Aspartic Acid</t>
  </si>
  <si>
    <t>Atorvastatin</t>
  </si>
  <si>
    <t>Atracurium</t>
  </si>
  <si>
    <t>Atropine</t>
  </si>
  <si>
    <t>Aurothioglucose</t>
  </si>
  <si>
    <t>Azathioprine</t>
  </si>
  <si>
    <t>Azithromycin</t>
  </si>
  <si>
    <t>Bacitracin</t>
  </si>
  <si>
    <t>Basiliximab</t>
  </si>
  <si>
    <t>Bcg, Live, Tice Strain</t>
  </si>
  <si>
    <t>Bedaquiline</t>
  </si>
  <si>
    <t>Bendamustine</t>
  </si>
  <si>
    <t>Benserazide</t>
  </si>
  <si>
    <t>Beractant</t>
  </si>
  <si>
    <t>Beta-Alanine</t>
  </si>
  <si>
    <t>Betamethasone</t>
  </si>
  <si>
    <t>Bicalutamide</t>
  </si>
  <si>
    <t>Biotin</t>
  </si>
  <si>
    <t>Bisacodyl</t>
  </si>
  <si>
    <t>Bismuth Subcitrate Potassium</t>
  </si>
  <si>
    <t>Bleomycin</t>
  </si>
  <si>
    <t>Bordetella Pertussis</t>
  </si>
  <si>
    <t>Bordetella Pertussis Filamentous Hemagglutinin Vaccine, Inactivated</t>
  </si>
  <si>
    <t>Bordetella Pertussis Pertactin Vaccine, Inactivated</t>
  </si>
  <si>
    <t>Bordetella Pertussis Toxoid Vaccine, Inactivated</t>
  </si>
  <si>
    <t>Bortezomib</t>
  </si>
  <si>
    <t>Budesonide</t>
  </si>
  <si>
    <t>Bupivacaine</t>
  </si>
  <si>
    <t>Butylscopolamine</t>
  </si>
  <si>
    <t>Cadexomer Iodine</t>
  </si>
  <si>
    <t>Calcitriol</t>
  </si>
  <si>
    <t>Calcium</t>
  </si>
  <si>
    <t>Calcium Chlorate Dihydrate</t>
  </si>
  <si>
    <t>Calcium Chloride</t>
  </si>
  <si>
    <t>Calcium Chloride Dihydrate</t>
  </si>
  <si>
    <t>Calcium Chloride, Dihydration</t>
  </si>
  <si>
    <t>Calcium Gluconate</t>
  </si>
  <si>
    <t>Calcium Lactate</t>
  </si>
  <si>
    <t>Candesartan</t>
  </si>
  <si>
    <t>Capecitabine</t>
  </si>
  <si>
    <t>Captopril</t>
  </si>
  <si>
    <t>Carbamazepine</t>
  </si>
  <si>
    <t>Carbimazole</t>
  </si>
  <si>
    <t>Carboplatin</t>
  </si>
  <si>
    <t>Carvedilol</t>
  </si>
  <si>
    <t>Cefadroxil</t>
  </si>
  <si>
    <t>Cefazolin</t>
  </si>
  <si>
    <t>Cefixime</t>
  </si>
  <si>
    <t>Cefoperazone</t>
  </si>
  <si>
    <t>Cefoperazone Sodium</t>
  </si>
  <si>
    <t>Cefotaxime</t>
  </si>
  <si>
    <t>Ceftazidime</t>
  </si>
  <si>
    <t>Ceftriaxone</t>
  </si>
  <si>
    <t>Cefuroxime</t>
  </si>
  <si>
    <t>Cetirizine</t>
  </si>
  <si>
    <t>Chloramphenicol</t>
  </si>
  <si>
    <t>Chloroquine</t>
  </si>
  <si>
    <t>Chlorpheniramine</t>
  </si>
  <si>
    <t>Chlorpromazine</t>
  </si>
  <si>
    <t>Ciclosporin</t>
  </si>
  <si>
    <t>Cilostazol</t>
  </si>
  <si>
    <t>Ciprofloxacin</t>
  </si>
  <si>
    <t>Cisplatin</t>
  </si>
  <si>
    <t>Clarithromycin</t>
  </si>
  <si>
    <t>Clemizolpenicillin</t>
  </si>
  <si>
    <t>Clindamycin</t>
  </si>
  <si>
    <t>Clobazam</t>
  </si>
  <si>
    <t>Clobetasol</t>
  </si>
  <si>
    <t>Clonazepam</t>
  </si>
  <si>
    <t>Clonidine</t>
  </si>
  <si>
    <t>Clopidogrel</t>
  </si>
  <si>
    <t>Clozapine</t>
  </si>
  <si>
    <t>Codeine</t>
  </si>
  <si>
    <t>Colchicine</t>
  </si>
  <si>
    <t>Copper Sulfate</t>
  </si>
  <si>
    <t>Cyclopentolate</t>
  </si>
  <si>
    <t>Cyclophosphamide</t>
  </si>
  <si>
    <t>Cysteine</t>
  </si>
  <si>
    <t>Cysteine Hydrochloride</t>
  </si>
  <si>
    <t>Cytarabine</t>
  </si>
  <si>
    <t>Dacarbazine</t>
  </si>
  <si>
    <t>Daclatasvir</t>
  </si>
  <si>
    <t>Daunorubicin</t>
  </si>
  <si>
    <t>Deferasirox</t>
  </si>
  <si>
    <t>Deferiprone</t>
  </si>
  <si>
    <t>Deferoxamine</t>
  </si>
  <si>
    <t>Defibrotide, Bovine Lung</t>
  </si>
  <si>
    <t>Desflurane</t>
  </si>
  <si>
    <t>Desmopressin</t>
  </si>
  <si>
    <t>Desogestrel</t>
  </si>
  <si>
    <t>Desoximetasone</t>
  </si>
  <si>
    <t>Dexamethasone</t>
  </si>
  <si>
    <t>Dexmedetomidine</t>
  </si>
  <si>
    <t>Dextrose Hydrous</t>
  </si>
  <si>
    <t>Dextrose Monohydrate</t>
  </si>
  <si>
    <t>Diazepam</t>
  </si>
  <si>
    <t>Dibasic Potassium Phosphate</t>
  </si>
  <si>
    <t>Diclofenac</t>
  </si>
  <si>
    <t>Dienogest</t>
  </si>
  <si>
    <t>Diethylcarbamazine</t>
  </si>
  <si>
    <t>Digoxin</t>
  </si>
  <si>
    <t>Diltiazem</t>
  </si>
  <si>
    <t>Diltiazem Hydrochloride</t>
  </si>
  <si>
    <t>Dimenhydrinate</t>
  </si>
  <si>
    <t>Diphenhydramine</t>
  </si>
  <si>
    <t>Diphtheria Toxoid Vaccine, Inactivated</t>
  </si>
  <si>
    <t>Disodium Edetate Hydrate</t>
  </si>
  <si>
    <t>Disodium Zinc Edetate</t>
  </si>
  <si>
    <t>Divalproex Sodium</t>
  </si>
  <si>
    <t>Dobutamine</t>
  </si>
  <si>
    <t>Docetaxel</t>
  </si>
  <si>
    <t>Docosahexaenoic Acid</t>
  </si>
  <si>
    <t>Dolutegravir</t>
  </si>
  <si>
    <t>Domperidone</t>
  </si>
  <si>
    <t>Donepezil</t>
  </si>
  <si>
    <t>Dopamine</t>
  </si>
  <si>
    <t>Doravirine</t>
  </si>
  <si>
    <t>Doxorubicin</t>
  </si>
  <si>
    <t>Doxycycline</t>
  </si>
  <si>
    <t>Dutasteride</t>
  </si>
  <si>
    <t>Efavirenz</t>
  </si>
  <si>
    <t>Egg Yolk Phosphatides</t>
  </si>
  <si>
    <t>Eicosapentaenoic Acid</t>
  </si>
  <si>
    <t>Elbasvir</t>
  </si>
  <si>
    <t>Eltrombopag</t>
  </si>
  <si>
    <t>Enoxaparin</t>
  </si>
  <si>
    <t>Entecavir</t>
  </si>
  <si>
    <t>Ephedrine</t>
  </si>
  <si>
    <t>Epinephrine</t>
  </si>
  <si>
    <t>Epirubicin</t>
  </si>
  <si>
    <t>Epoetin Alfa</t>
  </si>
  <si>
    <t>Epoetin Beta</t>
  </si>
  <si>
    <t>Eribulin</t>
  </si>
  <si>
    <t>Erlotinib</t>
  </si>
  <si>
    <t>Erythromycin</t>
  </si>
  <si>
    <t>Esomeprazole</t>
  </si>
  <si>
    <t>Etanercept</t>
  </si>
  <si>
    <t>Ethambutol</t>
  </si>
  <si>
    <t>Etoposide</t>
  </si>
  <si>
    <t>Eugenol</t>
  </si>
  <si>
    <t>Everolimus</t>
  </si>
  <si>
    <t>Exemestane</t>
  </si>
  <si>
    <t>Factor Vii</t>
  </si>
  <si>
    <t>Factor Viii</t>
  </si>
  <si>
    <t>Fenofibrate</t>
  </si>
  <si>
    <t>Fenoterol Hydrobromide</t>
  </si>
  <si>
    <t>Fentanyl</t>
  </si>
  <si>
    <t>Ferrous Fumarate</t>
  </si>
  <si>
    <t>Filgrastim</t>
  </si>
  <si>
    <t>Finasteride</t>
  </si>
  <si>
    <t>Fish Oil (Containing Omega-3 Acids)</t>
  </si>
  <si>
    <t>Fish Oils</t>
  </si>
  <si>
    <t>Fluconazole</t>
  </si>
  <si>
    <t>Fludarabine</t>
  </si>
  <si>
    <t>Fluocinolone</t>
  </si>
  <si>
    <t>Fluorodeoxyglucose F18</t>
  </si>
  <si>
    <t>Fluorouracil</t>
  </si>
  <si>
    <t>Fluoxetine</t>
  </si>
  <si>
    <t>Fluticasone</t>
  </si>
  <si>
    <t>Fluticasone Furoate</t>
  </si>
  <si>
    <t>Folic Acid</t>
  </si>
  <si>
    <t>Fondaparinux</t>
  </si>
  <si>
    <t>Formoterol</t>
  </si>
  <si>
    <t>Fosfomycin</t>
  </si>
  <si>
    <t>Fructose</t>
  </si>
  <si>
    <t>Furosemide</t>
  </si>
  <si>
    <t>Fusidate Sodium</t>
  </si>
  <si>
    <t>Fusidic Acid</t>
  </si>
  <si>
    <t>Gabapentin</t>
  </si>
  <si>
    <t>Gadobutrol</t>
  </si>
  <si>
    <t>Gadoxetate Disodium</t>
  </si>
  <si>
    <t>Gefitinib</t>
  </si>
  <si>
    <t>Gemcitabine</t>
  </si>
  <si>
    <t>Gemfibrozil</t>
  </si>
  <si>
    <t>Gentamicin</t>
  </si>
  <si>
    <t>Glibenclamide</t>
  </si>
  <si>
    <t>Gliclazide</t>
  </si>
  <si>
    <t>Glimepiride</t>
  </si>
  <si>
    <t>Glipizide</t>
  </si>
  <si>
    <t>Gliquidone</t>
  </si>
  <si>
    <t>Glucose</t>
  </si>
  <si>
    <t>Glutamate</t>
  </si>
  <si>
    <t>Glutamic Acid</t>
  </si>
  <si>
    <t>Glycerol</t>
  </si>
  <si>
    <t>Glycine</t>
  </si>
  <si>
    <t>Glycopyrronium</t>
  </si>
  <si>
    <t>Goserelin</t>
  </si>
  <si>
    <t>Goserelin Acetate</t>
  </si>
  <si>
    <t>Grazoprevir</t>
  </si>
  <si>
    <t>Griseofulvin</t>
  </si>
  <si>
    <t>Haemophilus Influenzae B (Ross Strain) Capsular Polysaccharide Meningococcal Protein Conjugate Vaccine</t>
  </si>
  <si>
    <t>Haloperidol</t>
  </si>
  <si>
    <t>Halothane</t>
  </si>
  <si>
    <t>Hepatitis B Immune Globulin</t>
  </si>
  <si>
    <t>Hepatitis B Surface Antigen Vaccine</t>
  </si>
  <si>
    <t>Histidine</t>
  </si>
  <si>
    <t>Human-Bovine Reassortant Rotavirus Strain G1 Vaccine</t>
  </si>
  <si>
    <t>Human-Bovine Reassortant Rotavirus Strain G2 Vaccine</t>
  </si>
  <si>
    <t>Human-Bovine Reassortant Rotavirus Strain G3 Vaccine</t>
  </si>
  <si>
    <t>Human-Bovine Reassortant Rotavirus Strain G4 Vaccine</t>
  </si>
  <si>
    <t>Human-Bovine Reassortant Rotavirus Strain P1A[8] Vaccine</t>
  </si>
  <si>
    <t>Hydrochlorothiazide</t>
  </si>
  <si>
    <t>Hydrocortisone</t>
  </si>
  <si>
    <t>Hydromorphone</t>
  </si>
  <si>
    <t>Hydroxycarbamide</t>
  </si>
  <si>
    <t>Hydroxychloroquine</t>
  </si>
  <si>
    <t>Hydroxyproline</t>
  </si>
  <si>
    <t>Ibandronate Sodium</t>
  </si>
  <si>
    <t>Ibuprofen</t>
  </si>
  <si>
    <t>Icodextrin</t>
  </si>
  <si>
    <t>Ifosfamide</t>
  </si>
  <si>
    <t>Iloprost</t>
  </si>
  <si>
    <t>Imatinib</t>
  </si>
  <si>
    <t>Imatinib Mesylate</t>
  </si>
  <si>
    <t>Imidapril</t>
  </si>
  <si>
    <t>Indacaterol</t>
  </si>
  <si>
    <t>Indacaterol Maleate</t>
  </si>
  <si>
    <t>Influenza A Virus (H3N2) Antigen</t>
  </si>
  <si>
    <t>Insulin Aspart, Human</t>
  </si>
  <si>
    <t>Insulin Degludec</t>
  </si>
  <si>
    <t>Insulin Detemir</t>
  </si>
  <si>
    <t>Insulin Glargine</t>
  </si>
  <si>
    <t>Insulin Lispro</t>
  </si>
  <si>
    <t>Insulin, Regular, Human</t>
  </si>
  <si>
    <t>Interferon Alfa-2A</t>
  </si>
  <si>
    <t>Iodine</t>
  </si>
  <si>
    <t>Iohexol</t>
  </si>
  <si>
    <t>Iopromide</t>
  </si>
  <si>
    <t>Ipratropium</t>
  </si>
  <si>
    <t>Ipratropium Bromide</t>
  </si>
  <si>
    <t>Irbesartan</t>
  </si>
  <si>
    <t>Irinotecan</t>
  </si>
  <si>
    <t>Iron Sucrose</t>
  </si>
  <si>
    <t>Isoflurane</t>
  </si>
  <si>
    <t>Isoleucine</t>
  </si>
  <si>
    <t>Isoniazid</t>
  </si>
  <si>
    <t>Isosorbide Dinitrate</t>
  </si>
  <si>
    <t>Itraconazole</t>
  </si>
  <si>
    <t>Ivabradine</t>
  </si>
  <si>
    <t>Japanese Encephalitis Virus</t>
  </si>
  <si>
    <t>Ketamine</t>
  </si>
  <si>
    <t>Ketoconazole</t>
  </si>
  <si>
    <t>Ketoprofen</t>
  </si>
  <si>
    <t>Ketorolac</t>
  </si>
  <si>
    <t>L1 Protein, Human Papillomavirus Type 11 Vaccine</t>
  </si>
  <si>
    <t>L1 Protein, Human Papillomavirus Type 16 Vaccine</t>
  </si>
  <si>
    <t>L1 Protein, Human Papillomavirus Type 18 Vaccine</t>
  </si>
  <si>
    <t>L1 Protein, Human Papillomavirus Type 6 Vaccine</t>
  </si>
  <si>
    <t>Lactulose</t>
  </si>
  <si>
    <t>Lamivudine</t>
  </si>
  <si>
    <t>Lamotrigine</t>
  </si>
  <si>
    <t>Lansoprazole</t>
  </si>
  <si>
    <t>Lapatinib</t>
  </si>
  <si>
    <t>Latanoprost</t>
  </si>
  <si>
    <t>Lecithin</t>
  </si>
  <si>
    <t>Leflunomide</t>
  </si>
  <si>
    <t>Letrozole</t>
  </si>
  <si>
    <t>Leucine</t>
  </si>
  <si>
    <t>Leucovorin</t>
  </si>
  <si>
    <t>Leuprolide</t>
  </si>
  <si>
    <t>Leuprolide Acetate</t>
  </si>
  <si>
    <t>Levetiracetam</t>
  </si>
  <si>
    <t>Levodopa</t>
  </si>
  <si>
    <t>Levofloxacin</t>
  </si>
  <si>
    <t>Levothyroxine Sodium</t>
  </si>
  <si>
    <t>Lidocaine</t>
  </si>
  <si>
    <t>Lisinopril</t>
  </si>
  <si>
    <t>Lithium</t>
  </si>
  <si>
    <t>Loperamide</t>
  </si>
  <si>
    <t>Lopinavir</t>
  </si>
  <si>
    <t>Loratadine</t>
  </si>
  <si>
    <t>Lorazepam</t>
  </si>
  <si>
    <t>Lysine</t>
  </si>
  <si>
    <t>Lysine Acetate</t>
  </si>
  <si>
    <t>Lysine Hydrochloride</t>
  </si>
  <si>
    <t>Lysine Monohydrate</t>
  </si>
  <si>
    <t>Magnesium Acetate</t>
  </si>
  <si>
    <t>Magnesium Amino Acid Chelate</t>
  </si>
  <si>
    <t>Magnesium Chloride</t>
  </si>
  <si>
    <t>Magnesium Chloride Anhydrous</t>
  </si>
  <si>
    <t>Magnesium Chloride Hexahydrate</t>
  </si>
  <si>
    <t>Magnesium Sulfate</t>
  </si>
  <si>
    <t>Magnesium Sulfate Heptahydrate</t>
  </si>
  <si>
    <t>Maltose</t>
  </si>
  <si>
    <t>Maltose Monohydrate</t>
  </si>
  <si>
    <t>Mannitol</t>
  </si>
  <si>
    <t>Maprotiline</t>
  </si>
  <si>
    <t>Measles Virus Vaccine Live, Enders' Attenuated Edmonston Strain</t>
  </si>
  <si>
    <t>Medium Chain Triglycerides</t>
  </si>
  <si>
    <t>Medroxyprogesterone</t>
  </si>
  <si>
    <t>Mefenamic Acid</t>
  </si>
  <si>
    <t>Melphalan</t>
  </si>
  <si>
    <t>Meningococcal Group A Polysaccharide</t>
  </si>
  <si>
    <t>Meningococcal Group C Polysaccharide</t>
  </si>
  <si>
    <t>Meningococcal Polysaccharide Vaccine Group W-135</t>
  </si>
  <si>
    <t>Meningococcal Polysaccharide Vaccine Group Y</t>
  </si>
  <si>
    <t>Meropenem</t>
  </si>
  <si>
    <t>Mesna</t>
  </si>
  <si>
    <t>Metamizole Sodium</t>
  </si>
  <si>
    <t>Metformin</t>
  </si>
  <si>
    <t>Metformin Hydrochloride</t>
  </si>
  <si>
    <t>Methadone</t>
  </si>
  <si>
    <t>Methionine</t>
  </si>
  <si>
    <t>Methotrexate</t>
  </si>
  <si>
    <t>Methoxy Polyethylene Glycol-Epoetin Beta</t>
  </si>
  <si>
    <t>Methyl L-Arginine</t>
  </si>
  <si>
    <t>Methyldopa</t>
  </si>
  <si>
    <t>Methylene Diphosphonate</t>
  </si>
  <si>
    <t>Methylergometrine</t>
  </si>
  <si>
    <t>Methylphenidate</t>
  </si>
  <si>
    <t>Methylphenidate Hydrochloride</t>
  </si>
  <si>
    <t>Methylprednisolone</t>
  </si>
  <si>
    <t>Metoclopramide</t>
  </si>
  <si>
    <t>Metronidazole</t>
  </si>
  <si>
    <t>Micafungin</t>
  </si>
  <si>
    <t>Miconazole</t>
  </si>
  <si>
    <t>Midazolam</t>
  </si>
  <si>
    <t>Mometasone</t>
  </si>
  <si>
    <t>Monobasic Potassium Phosphate</t>
  </si>
  <si>
    <t>Morphine</t>
  </si>
  <si>
    <t>Moxifloxacin</t>
  </si>
  <si>
    <t>Mycophenolic Acid</t>
  </si>
  <si>
    <t>N-Acetyl-Methionine, Dl-</t>
  </si>
  <si>
    <t>N-Acetyltyrosine</t>
  </si>
  <si>
    <t>Naloxone</t>
  </si>
  <si>
    <t>Neostigmine Methylsulfate</t>
  </si>
  <si>
    <t>Nevirapine</t>
  </si>
  <si>
    <t>Nicardipine</t>
  </si>
  <si>
    <t>Nicotinamide</t>
  </si>
  <si>
    <t>Nifedipine</t>
  </si>
  <si>
    <t>Nilotinib</t>
  </si>
  <si>
    <t>Nimodipine</t>
  </si>
  <si>
    <t>Nitroglycerin</t>
  </si>
  <si>
    <t>Norepinephrine</t>
  </si>
  <si>
    <t>Norethisterone</t>
  </si>
  <si>
    <t>Nystatin</t>
  </si>
  <si>
    <t>Octreotide</t>
  </si>
  <si>
    <t>Ofloxacin</t>
  </si>
  <si>
    <t>Olanzapine</t>
  </si>
  <si>
    <t>Olive Oil</t>
  </si>
  <si>
    <t>Olodaterol</t>
  </si>
  <si>
    <t>Olopatadine Hydrochloride</t>
  </si>
  <si>
    <t>Omeprazole</t>
  </si>
  <si>
    <t>Ondansetron</t>
  </si>
  <si>
    <t>Oxaliplatin</t>
  </si>
  <si>
    <t>Oxcarbazepine</t>
  </si>
  <si>
    <t>Oxycodone</t>
  </si>
  <si>
    <t>Oxytetracycline</t>
  </si>
  <si>
    <t>Oxytocin</t>
  </si>
  <si>
    <t>Paclitaxel</t>
  </si>
  <si>
    <t>Paclitaxel Poliglumex</t>
  </si>
  <si>
    <t>Paliperidone</t>
  </si>
  <si>
    <t>Pazopanib</t>
  </si>
  <si>
    <t>Peginterferon Alfa-2A</t>
  </si>
  <si>
    <t>Pemetrexed</t>
  </si>
  <si>
    <t>Penicillin G Benzathine</t>
  </si>
  <si>
    <t>Penicillin G Procaine</t>
  </si>
  <si>
    <t>Perindopril</t>
  </si>
  <si>
    <t>Permethrin</t>
  </si>
  <si>
    <t>Pethidine</t>
  </si>
  <si>
    <t>Phenobarbitalum</t>
  </si>
  <si>
    <t>Phenol</t>
  </si>
  <si>
    <t>Phenolphthalein</t>
  </si>
  <si>
    <t>Phenoxymethylpenicillin</t>
  </si>
  <si>
    <t>Phenylalanine</t>
  </si>
  <si>
    <t>Phenylephrine</t>
  </si>
  <si>
    <t>Phenytoin</t>
  </si>
  <si>
    <t>Pioglitazone</t>
  </si>
  <si>
    <t>Plasma Protein Fraction</t>
  </si>
  <si>
    <t>Poliovirus Vaccine Inactivated, Type 1 (Mahoney)</t>
  </si>
  <si>
    <t>Poliovirus Vaccine Inactivated, Type 2 (Mef-1)</t>
  </si>
  <si>
    <t>Poliovirus Vaccine Inactivated, Type 3 (Saukett)</t>
  </si>
  <si>
    <t>Polymyxin B</t>
  </si>
  <si>
    <t>Potassium Acetate</t>
  </si>
  <si>
    <t>Potassium Aspartate</t>
  </si>
  <si>
    <t>Potassium Chloride</t>
  </si>
  <si>
    <t>Potassium Citrate</t>
  </si>
  <si>
    <t>Potassium Hydroxide</t>
  </si>
  <si>
    <t>Pramipexole</t>
  </si>
  <si>
    <t>Pravastatin</t>
  </si>
  <si>
    <t>Prednisolone</t>
  </si>
  <si>
    <t>Prednisone</t>
  </si>
  <si>
    <t>Pregabalin</t>
  </si>
  <si>
    <t>Primaquine</t>
  </si>
  <si>
    <t>Procaterol</t>
  </si>
  <si>
    <t>Proline</t>
  </si>
  <si>
    <t>Propofol</t>
  </si>
  <si>
    <t>Propranolol</t>
  </si>
  <si>
    <t>Propylthiouracil</t>
  </si>
  <si>
    <t>Pyrantel</t>
  </si>
  <si>
    <t>Pyrazinamide</t>
  </si>
  <si>
    <t>Pyridoxine</t>
  </si>
  <si>
    <t>Pyrimethamine</t>
  </si>
  <si>
    <t>Quetiapine</t>
  </si>
  <si>
    <t>Quinine</t>
  </si>
  <si>
    <t>Rabies Immune Globulin, Human</t>
  </si>
  <si>
    <t>Rabies Virus Vaccine Wistar Strain Pm-1503-3M (Human), Inactivated</t>
  </si>
  <si>
    <t>Ramipril</t>
  </si>
  <si>
    <t>Ranibizumab</t>
  </si>
  <si>
    <t>Ranitidine</t>
  </si>
  <si>
    <t>Ranitidine Hydrochloride</t>
  </si>
  <si>
    <t>Remifentanil</t>
  </si>
  <si>
    <t>Riboflavin</t>
  </si>
  <si>
    <t>Rifampin</t>
  </si>
  <si>
    <t>Rifapentine</t>
  </si>
  <si>
    <t>Rilpivirine</t>
  </si>
  <si>
    <t>Risedronic acid</t>
  </si>
  <si>
    <t>Risperidone</t>
  </si>
  <si>
    <t>Ritonavir</t>
  </si>
  <si>
    <t>Rituximab</t>
  </si>
  <si>
    <t>Rivaroxaban</t>
  </si>
  <si>
    <t>Ropinirole</t>
  </si>
  <si>
    <t>Ropivacaine</t>
  </si>
  <si>
    <t>Rosuvastatin</t>
  </si>
  <si>
    <t>Rosuvastatin Calcium</t>
  </si>
  <si>
    <t>Rotavirus Vaccine, Live Attenuated, G1P[8] Human 89-12 Strain</t>
  </si>
  <si>
    <t>Rubella Virus</t>
  </si>
  <si>
    <t>Rubella Virus Vaccine Live (Wistar Ra 27-3 Strain)</t>
  </si>
  <si>
    <t>Sacubitril</t>
  </si>
  <si>
    <t>Salicylic Acid</t>
  </si>
  <si>
    <t>Salmeterol</t>
  </si>
  <si>
    <t>Secukinumab</t>
  </si>
  <si>
    <t>Serine</t>
  </si>
  <si>
    <t>Sertraline</t>
  </si>
  <si>
    <t>Sevelamer</t>
  </si>
  <si>
    <t>Sevoflurane</t>
  </si>
  <si>
    <t>Sildenafil</t>
  </si>
  <si>
    <t>Silodosin</t>
  </si>
  <si>
    <t>Silver Sulfadiazine</t>
  </si>
  <si>
    <t>Simvastatin</t>
  </si>
  <si>
    <t>Sitagliptin</t>
  </si>
  <si>
    <t>Sodium Acetate</t>
  </si>
  <si>
    <t>Sodium Acetate Trihydrate</t>
  </si>
  <si>
    <t>Sodium Ascorbate</t>
  </si>
  <si>
    <t>Sodium Bicarbonate</t>
  </si>
  <si>
    <t>Sodium Chloride</t>
  </si>
  <si>
    <t>Sodium Citrate</t>
  </si>
  <si>
    <t>Sodium Dihydrogen Phosphate Dihydrate</t>
  </si>
  <si>
    <t>Sodium Fluoride</t>
  </si>
  <si>
    <t>Sodium Glycerophosphate</t>
  </si>
  <si>
    <t>Sodium Hyaluronate</t>
  </si>
  <si>
    <t>Sodium Hydroxide</t>
  </si>
  <si>
    <t>Sodium Lactate</t>
  </si>
  <si>
    <t>Sodium Pantothenate</t>
  </si>
  <si>
    <t>Sodium Phosphate</t>
  </si>
  <si>
    <t>Sodium Phosphate, Dibasic</t>
  </si>
  <si>
    <t>Sodium Valproate</t>
  </si>
  <si>
    <t>Sofosbuvir</t>
  </si>
  <si>
    <t>Solifenacin</t>
  </si>
  <si>
    <t>Somatostatin</t>
  </si>
  <si>
    <t>Soybean Oil</t>
  </si>
  <si>
    <t>Spironolactone</t>
  </si>
  <si>
    <t>Stannous Chloride Dihydrate</t>
  </si>
  <si>
    <t>Streptococcus Pneumoniae Serotype 1 Capsular Antigen Diphtheria Crm197 Protein Conjugate Vaccine</t>
  </si>
  <si>
    <t>Streptococcus Pneumoniae Serotype 14 Capsular Antigen Diphtheria Crm197 Protein Conjugate Vaccine</t>
  </si>
  <si>
    <t>Streptococcus Pneumoniae Serotype 19A Capsular Antigen Diphtheria Crm197 Protein Conjugate Vaccine</t>
  </si>
  <si>
    <t>Streptococcus Pneumoniae Serotype 19F Capsular Antigen Diphtheria Crm197 Protein Conjugate Vaccine</t>
  </si>
  <si>
    <t>Streptococcus Pneumoniae Serotype 23F Capsular Antigen Diphtheria Crm197 Protein Conjugate Vaccine</t>
  </si>
  <si>
    <t>Streptococcus Pneumoniae Serotype 5 Capsular Antigen Diphtheria Crm197 Protein Conjugate Vaccine</t>
  </si>
  <si>
    <t>Streptococcus Pneumoniae Serotype 6A Capsular Antigen Diphtheria Crm197 Protein Conjugate Vaccine</t>
  </si>
  <si>
    <t>Streptococcus Pneumoniae Serotype 6B Capsular Antigen Diphtheria Crm197 Protein Conjugate Vaccine</t>
  </si>
  <si>
    <t>Streptococcus Pneumoniae Serotype 7F Capsular Antigen Diphtheria Crm197 Protein Conjugate Vaccine</t>
  </si>
  <si>
    <t>Streptococcus Pneumoniae Serotype 9V Capsular Antigen Diphtheria Crm197 Protein Conjugate Vaccine</t>
  </si>
  <si>
    <t>Streptomycin</t>
  </si>
  <si>
    <t>Sucralfate</t>
  </si>
  <si>
    <t>Sucroferric Oxyhydroxide</t>
  </si>
  <si>
    <t>Sufentanil</t>
  </si>
  <si>
    <t>Sugammadex</t>
  </si>
  <si>
    <t>Sulbactam</t>
  </si>
  <si>
    <t>Sulbactam Sodium</t>
  </si>
  <si>
    <t>Sulfur</t>
  </si>
  <si>
    <t>Tacrolimus</t>
  </si>
  <si>
    <t>Tamoxifen</t>
  </si>
  <si>
    <t>Tamsulosin</t>
  </si>
  <si>
    <t>Taurine</t>
  </si>
  <si>
    <t>Telmisartan</t>
  </si>
  <si>
    <t>Temozolomide</t>
  </si>
  <si>
    <t>Terazosin</t>
  </si>
  <si>
    <t>Terazosin Hydrochloride</t>
  </si>
  <si>
    <t>Terbutaline</t>
  </si>
  <si>
    <t>Testosterone</t>
  </si>
  <si>
    <t>Testosterone 17-Phenylpropionate</t>
  </si>
  <si>
    <t>Testosterone Decanoate</t>
  </si>
  <si>
    <t>Testosterone Isocaproate</t>
  </si>
  <si>
    <t>Testosterone Propionate</t>
  </si>
  <si>
    <t>Tetanus Immune Globulin</t>
  </si>
  <si>
    <t>Tetanus Toxin</t>
  </si>
  <si>
    <t>Tetanus Toxoid Vaccine, Inactivated</t>
  </si>
  <si>
    <t>Theophylline</t>
  </si>
  <si>
    <t>Thiamazole</t>
  </si>
  <si>
    <t>Thiamine</t>
  </si>
  <si>
    <t>Thiomersal</t>
  </si>
  <si>
    <t>Thiopental</t>
  </si>
  <si>
    <t>Threonine</t>
  </si>
  <si>
    <t>Ticagrelor</t>
  </si>
  <si>
    <t>Timolol</t>
  </si>
  <si>
    <t>Timolol Maleate</t>
  </si>
  <si>
    <t>Tiotropium</t>
  </si>
  <si>
    <t>Tiotropium Bromide</t>
  </si>
  <si>
    <t>Tobramycin</t>
  </si>
  <si>
    <t>Tocilizumab</t>
  </si>
  <si>
    <t>Topiramate</t>
  </si>
  <si>
    <t>Tramadol</t>
  </si>
  <si>
    <t>Tranexamic Acid</t>
  </si>
  <si>
    <t>Trastuzumab</t>
  </si>
  <si>
    <t>Triamcinolonum</t>
  </si>
  <si>
    <t>Trifluoperazine</t>
  </si>
  <si>
    <t>Trihexyphenidyl</t>
  </si>
  <si>
    <t>Trihexyphenidyl Hydrochloride</t>
  </si>
  <si>
    <t>Tropicamide</t>
  </si>
  <si>
    <t>Tryptophan</t>
  </si>
  <si>
    <t>Tyrosine</t>
  </si>
  <si>
    <t>Ursodiol</t>
  </si>
  <si>
    <t>Valganciclovir</t>
  </si>
  <si>
    <t>Valine</t>
  </si>
  <si>
    <t>Valsartan</t>
  </si>
  <si>
    <t>Vancomycin</t>
  </si>
  <si>
    <t>Vancomycin Hydrochloride</t>
  </si>
  <si>
    <t>Verapamil</t>
  </si>
  <si>
    <t>Vildagliptin</t>
  </si>
  <si>
    <t>Vincristine</t>
  </si>
  <si>
    <t>Vinorelbine</t>
  </si>
  <si>
    <t>Vitamin A</t>
  </si>
  <si>
    <t>Vitamin B12</t>
  </si>
  <si>
    <t>Vitamin K1</t>
  </si>
  <si>
    <t>Voriconazole</t>
  </si>
  <si>
    <t>Warfarin</t>
  </si>
  <si>
    <t>Water</t>
  </si>
  <si>
    <t>Xylitol</t>
  </si>
  <si>
    <t>Yellow Fever Virus Strain 17D-204 Live Antigen</t>
  </si>
  <si>
    <t>Zidovudine</t>
  </si>
  <si>
    <t>Zinc Acetate</t>
  </si>
  <si>
    <t>Zinc Sulfate</t>
  </si>
  <si>
    <t>Zoledronic Acid</t>
  </si>
  <si>
    <t>Zonisamide</t>
  </si>
  <si>
    <t>Unit of Measure</t>
  </si>
  <si>
    <t>Jenis Farmalkes</t>
  </si>
  <si>
    <t>Jumlah Produk Obat Aktual</t>
  </si>
  <si>
    <t>Abacavir Sulfate 300 mg Tablet Salut Selaput</t>
  </si>
  <si>
    <t>Tablet</t>
  </si>
  <si>
    <t>Obat</t>
  </si>
  <si>
    <t>Acarbose 50 mg Tablet</t>
  </si>
  <si>
    <t>Acetazolamide 250 mg Tablet</t>
  </si>
  <si>
    <t>Acetylcysteine 100 mg / mL Cairan Inhalasi</t>
  </si>
  <si>
    <t>Ampul</t>
  </si>
  <si>
    <t>Acetylcysteine 200 mg Granule</t>
  </si>
  <si>
    <t>Sachet</t>
  </si>
  <si>
    <t>Acetylcysteine 200 mg Kapsul</t>
  </si>
  <si>
    <t>Kapsul</t>
  </si>
  <si>
    <t>Aciclovir 200 mg Tablet</t>
  </si>
  <si>
    <t>Aciclovir 400 mg Tablet</t>
  </si>
  <si>
    <t>Acidum Methylen Disphosponicum 10 mg / Stannous Chloride Dihydrate 0.238 mg / Acidum Ascorbicum 2 mg Serbuk Injeksi</t>
  </si>
  <si>
    <t>Vial</t>
  </si>
  <si>
    <t>Acyclovir 3% Salep Mata</t>
  </si>
  <si>
    <t>Tube</t>
  </si>
  <si>
    <t>Air Untuk Injeksi / Aqua Pro Injection / Water For Injection 10 ml</t>
  </si>
  <si>
    <t>Albendazole 200 mg / 5 mL Suspensi</t>
  </si>
  <si>
    <t>Botol</t>
  </si>
  <si>
    <t>Albendazole 400 mg Kaplet Kunyah</t>
  </si>
  <si>
    <t>Kaplet</t>
  </si>
  <si>
    <t>Allopurinol 100 mg Tablet</t>
  </si>
  <si>
    <t>Allopurinol 300 mg Kaplet</t>
  </si>
  <si>
    <t>Allopurinol 300 mg Tablet</t>
  </si>
  <si>
    <t>Alprazolam 0,5 mg Tablet</t>
  </si>
  <si>
    <t>Alprazolam 1 mg Tablet</t>
  </si>
  <si>
    <t>Alteplase 50 mg Serbuk Injeksi</t>
  </si>
  <si>
    <t>Aluminium Hydroxide 200 mg / Magnesium Hydroxide 200 mg Tablet Kunyah</t>
  </si>
  <si>
    <t>Units</t>
  </si>
  <si>
    <t>Amikacin 250 mg/ml Injeksi</t>
  </si>
  <si>
    <t>Amino acid Solution with Electrolyte 250mL / Glucose 149 mL / Lipid Emulsion 94 mL Larutan Infus</t>
  </si>
  <si>
    <t>Kantong</t>
  </si>
  <si>
    <t>AminoAcids 5.1% / Lipids 3.8%, Glucose 12.7% Infus</t>
  </si>
  <si>
    <t>Flexy Bag</t>
  </si>
  <si>
    <t>Aminofusin PAED Infus</t>
  </si>
  <si>
    <t>Aminophylline 200 mg Tablet</t>
  </si>
  <si>
    <t>Aminophylline 24 mg / mL Injeksi</t>
  </si>
  <si>
    <t>Amiodarone 50 mg / mL Injeksi</t>
  </si>
  <si>
    <t>Amitriptyline Hydrochloride 25 mg Tablet Salut Selaput</t>
  </si>
  <si>
    <t>Amlodipine Besilate 10 mg Kaplet</t>
  </si>
  <si>
    <t>Amlodipine Besilate 5 mg Tablet</t>
  </si>
  <si>
    <t>Amoxicillin 125 mg / 5 mL Sirup Kering</t>
  </si>
  <si>
    <t>Amoxicillin 250 mg Kaplet</t>
  </si>
  <si>
    <t>Amoxicillin 500 mg Kaplet</t>
  </si>
  <si>
    <t>Amoxicillin Trihydrate 100 mg / mL Sirup Kering</t>
  </si>
  <si>
    <t>Amoxicillin Trihydrate 100 mg/mL Tetes Oral</t>
  </si>
  <si>
    <t>Amoxicillin Trihydrate 250 mg / 5 mL Sirup Kering</t>
  </si>
  <si>
    <t>Ampicillin 500 mg / Sulbactam 250 mg Serbuk Injeksi</t>
  </si>
  <si>
    <t>Ampicillin Sodium 1000 mg Serbuk Injeksi</t>
  </si>
  <si>
    <t>Ampicillin Sodium 250 mg Serbuk Injeksi</t>
  </si>
  <si>
    <t>Anastrozole 1 mg Tablet Salut Selaput</t>
  </si>
  <si>
    <t>Anhydrous Dextrose 40% Infus</t>
  </si>
  <si>
    <t>Aripiprazole 1 mg / mL Cairan Oral</t>
  </si>
  <si>
    <t>Aripiprazole 10 mg Tablet Cepat Larut</t>
  </si>
  <si>
    <t>Aripiprazole 15 mg Tablet</t>
  </si>
  <si>
    <t>Aripiprazole 15 mg Tablet Cepat Larut</t>
  </si>
  <si>
    <t>Aripiprazole 15 mg Tablet Disintegrasi Oral</t>
  </si>
  <si>
    <t>Aripiprazole 5 mg Tablet</t>
  </si>
  <si>
    <t>Asam Asetilsalisilat / Acetylsalicylic Acid 100 mg Tablet Salut Enterik</t>
  </si>
  <si>
    <t>Ascorbic Acid / Asam Askorbat / Vitamin C 250 mg Tablet</t>
  </si>
  <si>
    <t>Ascorbic Acid / Asam Askorbat / Vitamin C 50 mg Tablet</t>
  </si>
  <si>
    <t>ASERING-5 Infus</t>
  </si>
  <si>
    <t>Botol Plastik</t>
  </si>
  <si>
    <t>Asparaginase 10.000 IU Serbuk Injeksi</t>
  </si>
  <si>
    <t>Atorvastatin 20 mg Tablet</t>
  </si>
  <si>
    <t>Atorvastatin Calcium Trihydrate 10 mg Kaplet Salut Selaput</t>
  </si>
  <si>
    <t>Atorvastatin Calcium Trihydrate 10 mg Tablet Salut Selaput</t>
  </si>
  <si>
    <t>Atracurium Besilate 10 mg / mL Injeksi</t>
  </si>
  <si>
    <t>Atropine Sulfate 0,25 mg / mL Injeksi</t>
  </si>
  <si>
    <t>Azathioprine 50 mg Tablet Salut Selaput</t>
  </si>
  <si>
    <t>Azithromycin 500 mg Kaplet Salut Selaput</t>
  </si>
  <si>
    <t>Azithromycin 500 mg Serbuk Injeksi</t>
  </si>
  <si>
    <t>Azithromycin Dihydrate 500 mg / Cefixime Trihydrate 200 mg Tablet Salut Selaput</t>
  </si>
  <si>
    <t>Pasang</t>
  </si>
  <si>
    <t>Bacitracin 500 IU / Polymyxin B 10.000 IU Salep</t>
  </si>
  <si>
    <t>Basiliximab 20 mg Serbuk Injeksi</t>
  </si>
  <si>
    <t>Bedaquiline Fumarate 100 mg Tablet</t>
  </si>
  <si>
    <t>Bendamustine Hydrochloride Monohydrate 5 mg / mL Serbuk Injeksi</t>
  </si>
  <si>
    <t>Benserazide 25 mg / Levodopa 100 mg Tablet</t>
  </si>
  <si>
    <t>Benserazide 25 mg / Levodopa 100 mg Tablet Dispersible</t>
  </si>
  <si>
    <t>Benzathine Benzilpenicillin 1.200.000 IU Serbuk Injeksi</t>
  </si>
  <si>
    <t>Benzathine Benzilpenicillin 2.400.000 IU Serbuk Injeksi</t>
  </si>
  <si>
    <t>Beraprost Sodium 20 mcg Tablet</t>
  </si>
  <si>
    <t>Betahistine Mesilate 6 mg Tablet</t>
  </si>
  <si>
    <t>Betamethasone 0,1% Krim</t>
  </si>
  <si>
    <t>Betamethasone 0.05% Krim</t>
  </si>
  <si>
    <t>Bfluid Infus</t>
  </si>
  <si>
    <t>Bicalutamide 150 mg Tablet</t>
  </si>
  <si>
    <t>Bicalutamide 50 mg Tablet Salut Selaput</t>
  </si>
  <si>
    <t>Bisacodyl 10 mg Suppositoria</t>
  </si>
  <si>
    <t>Suppositoria</t>
  </si>
  <si>
    <t>Bisacodyl 5 mg Suppositoria</t>
  </si>
  <si>
    <t>Bisacodyl 5 mg Tablet Salut Enterik</t>
  </si>
  <si>
    <t>Bisoprolol Fumarate 10 mg Tablet Salut Selaput</t>
  </si>
  <si>
    <t>Bisoprolol Fumarate 2.5 mg Tablet</t>
  </si>
  <si>
    <t>Bisoprolol Fumarate 5 mg Tablet</t>
  </si>
  <si>
    <t>Bleomycin 15 mg Serbuk Injeksi</t>
  </si>
  <si>
    <t>Bortezomib 3,5 mg Serbuk Injeksi Liofilisasi</t>
  </si>
  <si>
    <t>Bovine Lung Lipids 25 mg Suspensi</t>
  </si>
  <si>
    <t>Budesonid 0.25 mg/mL Spray</t>
  </si>
  <si>
    <t>Budesonide 0,25 mg / mL Cairan Inhalasi</t>
  </si>
  <si>
    <t>Respules</t>
  </si>
  <si>
    <t>Budesonide 0,25 mg / mL Suspensi Inhalasi</t>
  </si>
  <si>
    <t>Budesonide 0.5 mg / mL Suspensi Inhalasi</t>
  </si>
  <si>
    <t>Budesonide 160 mcg / Formoterol Fumarate 4,5 mcg Suspensi Inhalasi</t>
  </si>
  <si>
    <t>Turbuhaler</t>
  </si>
  <si>
    <t>Budesonide 80 mcg/ Formoterol Fumarate 4,5 mcg Serbuk Inhaler</t>
  </si>
  <si>
    <t>Bupivacaine 0,5 % Injeksi</t>
  </si>
  <si>
    <t>Calcitriol 0,25 mcg Kapsul Lunak</t>
  </si>
  <si>
    <t>Calcitriol 0,5 mcg Kapsul Lunak</t>
  </si>
  <si>
    <t>Calcium Chloride Hexahydrate 27.5 g / Dextrose Monohydrate 4.3 g / Potassium Chloride 0.16 g / Sodium Chloride 0.15 g</t>
  </si>
  <si>
    <t>Calcium Folinate 10 mg / mL Injeksi</t>
  </si>
  <si>
    <t>Calcium Gluconate 100 mg / mL Injeksi</t>
  </si>
  <si>
    <t>Calcium Lactate 500 mg Kaplet</t>
  </si>
  <si>
    <t>Calcium Lactate 500 mg Tablet/Kaplet</t>
  </si>
  <si>
    <t>Candesartan Cilexetil 16 mg Tablet</t>
  </si>
  <si>
    <t>Candesartan Cilexetil 8 mg Tablet</t>
  </si>
  <si>
    <t>Capecitabine 500 mg Tablet Salut Selaput</t>
  </si>
  <si>
    <t>Captopril 12,5 mg Tablet</t>
  </si>
  <si>
    <t>Captopril 25 mg Tablet</t>
  </si>
  <si>
    <t>Carbamazepine 200 mg Tablet</t>
  </si>
  <si>
    <t>Carbimazole 5 mg Tablet</t>
  </si>
  <si>
    <t>Carboplatin 10 mg / mL Injeksi</t>
  </si>
  <si>
    <t>Carvedilol 25 mg Tablet</t>
  </si>
  <si>
    <t>Carvedilol 6,25 mg Tablet</t>
  </si>
  <si>
    <t>Cefadroxil 125 mg / 5 mL Sirup Kering</t>
  </si>
  <si>
    <t>Cefadroxil 250 mg / 5 mL Sirup Kering</t>
  </si>
  <si>
    <t>Cefadroxil 250 mg Kapsul</t>
  </si>
  <si>
    <t>Cefadroxil 500 mg Kapsul</t>
  </si>
  <si>
    <t>Cefazolin 1.000 mg Serbuk Injeksi</t>
  </si>
  <si>
    <t>Cefixime 100 mg / 5 ml Sirup Kering</t>
  </si>
  <si>
    <t>Cefixime Trihydrate 100 mg Kapsul</t>
  </si>
  <si>
    <t>Cefoperazone 1 G Serbuk Injeksi</t>
  </si>
  <si>
    <t>Cefotaxime Sodium 1 gram Serbuk Injeksi</t>
  </si>
  <si>
    <t>Cefotaxime Sodium 500 mg Serbuk Injeksi</t>
  </si>
  <si>
    <t>Ceftazidime 1 g Serbuk Injeksi</t>
  </si>
  <si>
    <t>Ceftriaxone 1 g Serbuk Injeksi</t>
  </si>
  <si>
    <t>Cefuroxime 750 mg Serbuk Injeksi</t>
  </si>
  <si>
    <t>Cefuroxime Axetil 500 mg Kaplet Salut Selaput</t>
  </si>
  <si>
    <t>Cetirizine Hydrochloride 10 mg Kaplet</t>
  </si>
  <si>
    <t>Cetirizine Hydrochloride 10 mg Kaplet Salut Selaput</t>
  </si>
  <si>
    <t>Cetirizine Hydrochloride 10 mg Kapsul</t>
  </si>
  <si>
    <t>Cetirizine Hydrochloride 10 mg Tablet Salut Selaput</t>
  </si>
  <si>
    <t>Cetirizine Hydrochloride 5 mg / 5 mL Sirup</t>
  </si>
  <si>
    <t>Chloramphenicol 1 % Salep Mata</t>
  </si>
  <si>
    <t>Chloramphenicol 125 mg/5 mL Suspensi</t>
  </si>
  <si>
    <t>Chloramphenicol 2 % Salep Mata</t>
  </si>
  <si>
    <t>Chloramphenicol 500 mg Kapsul</t>
  </si>
  <si>
    <t>Chlorphenamine Maleate 4 mg Tablet</t>
  </si>
  <si>
    <t>Chlorpromazine 25 mg Tablet Salut Selaput</t>
  </si>
  <si>
    <t>Ciclosporin 100mg Kapsul Lunak</t>
  </si>
  <si>
    <t>Ciclosporin 25 mg Kapsul Lunak</t>
  </si>
  <si>
    <t>Ciclosporin 50 mg Kapsul</t>
  </si>
  <si>
    <t>Ciprofloxacin 0,2 % Injeksi</t>
  </si>
  <si>
    <t>Ciprofloxacin 500 mg Tablet Salut Selaput</t>
  </si>
  <si>
    <t>Cisplatin 1 mg / mL Cairan Injeksi</t>
  </si>
  <si>
    <t>Clarithromycin 125 mg / 5 mL Sirup Kering</t>
  </si>
  <si>
    <t>Clarithromycin 250 mg / 5 mL Sirup Kering</t>
  </si>
  <si>
    <t>Clarithromycin 500 mg Kaplet Salut Selaput</t>
  </si>
  <si>
    <t>Clindamycin Hydrochloride 300 mg Kapsul</t>
  </si>
  <si>
    <t>Clobazam 10 mg Tablet</t>
  </si>
  <si>
    <t>Clobetasol Propionate 0,05%  Salep</t>
  </si>
  <si>
    <t>Clobetasol Propionate 0,05% Krim</t>
  </si>
  <si>
    <t>Clonazepam 2 mg Tablet Salut Selaput</t>
  </si>
  <si>
    <t>Clonidine Hydrochloride 0,15 mg Tablet</t>
  </si>
  <si>
    <t>Clonidine Hydrochloride 150 mcg/mL Cairan Injeksi</t>
  </si>
  <si>
    <t>Clopidogrel 300 mg Tablet Salut Selaput</t>
  </si>
  <si>
    <t>Clopidogrel 75 mg Tablet Salut Selaput</t>
  </si>
  <si>
    <t>Clozapine 100 mg Tablet</t>
  </si>
  <si>
    <t>Clozapine 25 mg Tablet</t>
  </si>
  <si>
    <t>Codeine Phosphate Hemihydrate 10 mg Tablet</t>
  </si>
  <si>
    <t>Codeine Phosphate Hemihydrate 15 mg Tablet</t>
  </si>
  <si>
    <t>Codeine Phosphate Hemihydrate 20 mg Tablet</t>
  </si>
  <si>
    <t>Colchicine 500 mcg Tablet</t>
  </si>
  <si>
    <t>Cyanocobalamin 500 mcg / ml Cairan Injeksi</t>
  </si>
  <si>
    <t>Cyclophosphamide 1000 mg Serbuk Injeksi</t>
  </si>
  <si>
    <t>Cyclophosphamide 200 mg Serbuk Injeksi</t>
  </si>
  <si>
    <t>Cyclophosphamide Monohydrate 500 mg Serbuk Injeksi</t>
  </si>
  <si>
    <t>Cystine / L-Cystein 1 mg / Tetra (2-Methoxyisobutyl Isonitrile) Copper (1) Tetrafluoroborate 1 mg / SnCl2 2 H2O 0,1 mg / Sodium Citrate Dihydrate 2,6 mg Serbuk Injeksi</t>
  </si>
  <si>
    <t>Cytarabine 100 mg / mL Injeksi</t>
  </si>
  <si>
    <t>Dacarbazine 200 mg Serbuk Injeksi</t>
  </si>
  <si>
    <t>Daclatasvir Dihydrochloride 30 mg Tablet Salut Selaput</t>
  </si>
  <si>
    <t>Daclatasvir Dihydrochloride 60 mg Tablet Salut Selaput</t>
  </si>
  <si>
    <t>Daunorubicin Hydrochloride 20 mg Serbuk Injeksi</t>
  </si>
  <si>
    <t>Vial + Ampul Pelarut</t>
  </si>
  <si>
    <t>Deferasirox 180 mg Tablet Salut Selaput</t>
  </si>
  <si>
    <t>Deferasirox 250 mg Tablet Dispersible</t>
  </si>
  <si>
    <t>Deferasirox 360 mg Tablet Salut Selaput</t>
  </si>
  <si>
    <t>Deferasirox 500 mg Tablet Dispersible</t>
  </si>
  <si>
    <t>Deferiprone 100 mg / mL Larutan</t>
  </si>
  <si>
    <t>Deferiprone 500 mg Tablet Salut Selaput</t>
  </si>
  <si>
    <t>Deferoxamine Mesilate 500 mg Serbuk Injeksi</t>
  </si>
  <si>
    <t>Delamanid 50 mg Tablet Salut Selaput</t>
  </si>
  <si>
    <t>Desmopressin 0,1 mg Tablet</t>
  </si>
  <si>
    <t>Desmopressin 0.2 mg Tablet</t>
  </si>
  <si>
    <t>Desogestrel 0,075 mg Tablet</t>
  </si>
  <si>
    <t>Desoximetasone 0,25 % Krim</t>
  </si>
  <si>
    <t>Desoximetasone 0,25% Salep</t>
  </si>
  <si>
    <t>Dexamethasone 0,5 mg Tablet</t>
  </si>
  <si>
    <t>Dexamethasone 5 mg / mL Injeksi</t>
  </si>
  <si>
    <t>Dexmedetomidine 100 mcg / mL Injeksi</t>
  </si>
  <si>
    <t>Dextrose 5% Infus</t>
  </si>
  <si>
    <t>Dextrose Anhydrate 10% Infus</t>
  </si>
  <si>
    <t>Dextrose Monohydrate 0.875 g / Sodium Chloride 0.75 g / Potassium Chloride 0.375 g / Sodium Lactate 1.12 g Infus</t>
  </si>
  <si>
    <t>Dextrose Monohydrate 10% Infus</t>
  </si>
  <si>
    <t>Dextrose Monohydrate 12.5 g / Potassium Chloride 0.65 g / Sodium Lactate 1.55 g / Sodium Chloride 1 g Infus</t>
  </si>
  <si>
    <t>Dextrose Monohydrate 15.421 g / Sodium Chloride 1.17 g / Potassium Chloride 0.375 g /  Sodium Lactate 1.12 g Infus</t>
  </si>
  <si>
    <t>Dextrose Monohydrate 20,625 g / Potassium Chloride 0,3 g / Sodium Chloride 0.585 g / Sodium Lactate 0,560 g Infus</t>
  </si>
  <si>
    <t>Dextrose Monohydrate 20.398 g / Sodium Chloride 1.125 g Infus</t>
  </si>
  <si>
    <t>Dextrose Monohydrate 22 g / Sodium Chloride 0,585 g / Sodium Lactate 0,560 g Infus</t>
  </si>
  <si>
    <t>Dextrose Monohydrate 25,00 G / Sodium Chloride 1,125 G Infus</t>
  </si>
  <si>
    <t>Dextrose Monohydrate 25,00 G / Sodium Chloride 2,25 G Infus</t>
  </si>
  <si>
    <t>DIALISAN DP-4 1,5% Dialisis Peritonial</t>
  </si>
  <si>
    <t>Diazepam 10 mg / 2,5 mL Enema</t>
  </si>
  <si>
    <t>Diazepam 2 mg Tablet</t>
  </si>
  <si>
    <t>Diazepam 5 mg / 2,5 mL Enema</t>
  </si>
  <si>
    <t>Diazepam 5 mg / mL Injeksi</t>
  </si>
  <si>
    <t>Diazepam 5 mg Tablet</t>
  </si>
  <si>
    <t>Diclofenac Sodium 25 mg Tablet Salut Enterik</t>
  </si>
  <si>
    <t>Diclofenac Sodium 50 mg Tablet Salut Enterik</t>
  </si>
  <si>
    <t>Dienogest 2 mg Tablet</t>
  </si>
  <si>
    <t>Diethylcarbamazine Citrate 100 mg Tablet</t>
  </si>
  <si>
    <t>Digoxin 0,25 mg Tablet</t>
  </si>
  <si>
    <t>Diltiazem Hydrochloride 100 mg Kapsul Pelepasan Lambat</t>
  </si>
  <si>
    <t>Diltiazem Hydrochloride 200 mg Kapsul Pelepasan Lambat</t>
  </si>
  <si>
    <t>Diltiazem Hydrochloride 30 mg Tablet</t>
  </si>
  <si>
    <t>Diltiazem Hydrochloride 50 mg Serbuk Injeksi</t>
  </si>
  <si>
    <t>Dimenhydrinate 50 mg Tablet</t>
  </si>
  <si>
    <t>Dinatrium / Disodium Edetate Anhydrate 16,5 mg / 5 mL Tetes Mata</t>
  </si>
  <si>
    <t>Diphenhydramine Hydrochloride 10 mg / mL Injeksi</t>
  </si>
  <si>
    <t>Disodium Phosphate Dodecahydrate 10,8 gr / Sodium Dihydrogen Phosphate Dihydrate 24,4 gr Cairan Oral</t>
  </si>
  <si>
    <t>Divalproat Sodium 500 mg Tablet</t>
  </si>
  <si>
    <t>Divalproex Sodium 250 mg Tablet</t>
  </si>
  <si>
    <t>Dobutamine 50 mg / mL Injeksi</t>
  </si>
  <si>
    <t>Docetaxel 10 mg / mL Injeksi</t>
  </si>
  <si>
    <t>Docetaxel 20 mg / mL Injeksi</t>
  </si>
  <si>
    <t>Docetaxel 40 mg / mL Injeksi</t>
  </si>
  <si>
    <t>Doksisilin 100 mg Tablet</t>
  </si>
  <si>
    <t>Dolutegravir 50 mg Tablet Salut Selaput</t>
  </si>
  <si>
    <t>Domperidone 10 mg Kaplet / Tablet</t>
  </si>
  <si>
    <t>Domperidone 10 mg Tablet Cepat Larut</t>
  </si>
  <si>
    <t>Domperidone 10 mg Tablet Salut Selaput</t>
  </si>
  <si>
    <t>Domperidone Maleat 5 mg / 5 mL Suspensi</t>
  </si>
  <si>
    <t>Domperidone Maleat 5 mg / mL Drops</t>
  </si>
  <si>
    <t>Domperidone Maleate 10 mg Kaplet Salut Selaput</t>
  </si>
  <si>
    <t>Domperidone Maleate 10 mg Tablet</t>
  </si>
  <si>
    <t>Domperidone Maleate 10 mg Tablet Salut Selaput</t>
  </si>
  <si>
    <t>Donepezil Hydrochloride 10 mg Tablet Dispersible</t>
  </si>
  <si>
    <t>Donepezil Hydrochloride 5 mg Tablet Salut Selaput</t>
  </si>
  <si>
    <t>Dopamine 40 mg/ml Cairan Injeksi</t>
  </si>
  <si>
    <t>Doxorubicin Hydrochloride 10 mg / 5 mL Cairan Injeksi</t>
  </si>
  <si>
    <t>Doxorubicin Hydrochloride 10 mg Serbuk Injeksi</t>
  </si>
  <si>
    <t>Dutasteride 0,5 mg Kapsul Lunak</t>
  </si>
  <si>
    <t>Efavirenz 600 mg Tablet Salut Selaput</t>
  </si>
  <si>
    <t>Elbasvir 50 mg / Grazoprevir 100 mg Tablet Salut Selaput</t>
  </si>
  <si>
    <t>Electrolytes Larutan Infus</t>
  </si>
  <si>
    <t>Eltrombopag Olamine 25 mg Tablet Salut Selaput</t>
  </si>
  <si>
    <t>Eltrombopag Olamine 50 mg Tablet Salut Selaput</t>
  </si>
  <si>
    <t>Enoxaparin Sodium 10.000 IU / mL Injeksi</t>
  </si>
  <si>
    <t>Prefilled Syringe</t>
  </si>
  <si>
    <t>Entecavir 0,5 mg Tablet Salut Selaput</t>
  </si>
  <si>
    <t>Entecavir 1 mg Tablet Salut Selaput</t>
  </si>
  <si>
    <t>Ephedrine 50 mg / mL Injeksi</t>
  </si>
  <si>
    <t>Epinephrine 1 mg / mL Injeksi</t>
  </si>
  <si>
    <t>Epirubicin Hydrochloride 2 mg / mL Serbuk Injeksi</t>
  </si>
  <si>
    <t>Epoetin Alfa 2000 IU Injeksi</t>
  </si>
  <si>
    <t>Epoetin Alfa 3000 IU Injeksi</t>
  </si>
  <si>
    <t>Epoetin Alfa 4000 IU Injeksi</t>
  </si>
  <si>
    <t>Epoetin Beta 2000 IU Injeksi</t>
  </si>
  <si>
    <t>Eptacog Alfa (activated) 1 mg Serbuk Injeksi</t>
  </si>
  <si>
    <t>Eribulin Mesylate 0,44 mg / mL Injeksi</t>
  </si>
  <si>
    <t>Erlotinib 100 mg Tablet Salut Selaput</t>
  </si>
  <si>
    <t>Erlotinib 150 mg Tablet Salut Selaput</t>
  </si>
  <si>
    <t>Erythromycin 250 mg / 5 mL Sirup Kering</t>
  </si>
  <si>
    <t>Erythromycin 250 mg Kapsul</t>
  </si>
  <si>
    <t>Erythropoietin Alfa 10.000 IU / mL Injeksi</t>
  </si>
  <si>
    <t>Erythropoietin Alfa 2.000 IU / mL Injeksi</t>
  </si>
  <si>
    <t>Erythropoietin Alpha 4000 IU Injeksi</t>
  </si>
  <si>
    <t>Erythropoietin Beta 2.000 IU / mL Injeksi</t>
  </si>
  <si>
    <t>Esomeprazole 40 mg Serbuk Injeksi</t>
  </si>
  <si>
    <t>Etanercept 50 mg/ mL Injeksi</t>
  </si>
  <si>
    <t>Ethambutol 400 mg Tablet Salut Selaput</t>
  </si>
  <si>
    <t>Etoposide 20 mg Injeksi</t>
  </si>
  <si>
    <t>Eugenol 99% Cairan</t>
  </si>
  <si>
    <t>Evafirenz 600 mg / Lamivudine 300 mg / Tenofovir 300 mg Tablet Salut Selaput</t>
  </si>
  <si>
    <t>Everolimus 0,25 mg Tablet</t>
  </si>
  <si>
    <t>Everolimus 0,5 mg Tablet</t>
  </si>
  <si>
    <t>Exemestane 25 mg Tablet Salut Gula</t>
  </si>
  <si>
    <t>Fenitoin / Phenytoin 100 mg Kapsul</t>
  </si>
  <si>
    <t>Fenofibrate 100 mg Kapsul</t>
  </si>
  <si>
    <t>Fenofibrate 300 mg Kapsul</t>
  </si>
  <si>
    <t>Fenoterol Hydrobromide 0,05 mg / Ipratropium Bromide 0,021 mg Aerosol</t>
  </si>
  <si>
    <t>Canister</t>
  </si>
  <si>
    <t>Fentanyl 25 mcg / h Trandermal Patch</t>
  </si>
  <si>
    <t>Pieces</t>
  </si>
  <si>
    <t>Fentanyl 50 mcg / h Trandermal Patch</t>
  </si>
  <si>
    <t>Fentanyl Citrate 0,05 mg / mL Injeksi</t>
  </si>
  <si>
    <t>Ferrous Fumarate 180 mg / Folic Acid 0,4 mg Tablet Salut Gula</t>
  </si>
  <si>
    <t>Ferrous Fumarate 60 mg / Folic Acid 0,4 mg Tablet Salut Gula</t>
  </si>
  <si>
    <t>Filgastrim 300 ug / mL Cairan Injeksi</t>
  </si>
  <si>
    <t>Filgrastim 300 ug/ml Cairan Injeksi</t>
  </si>
  <si>
    <t>Finasteride 5 mg Tablet Salut Selaput</t>
  </si>
  <si>
    <t>Fluconazole 150 mg Kapsul</t>
  </si>
  <si>
    <t>Fluconazole 2 mg / mL Injeksi</t>
  </si>
  <si>
    <t>Fludarabine 10 mg Tablet Salut Selaput</t>
  </si>
  <si>
    <t>Fludarabine 50 mg Serbuk Injeksi</t>
  </si>
  <si>
    <t>Fluorouracil 50 mg / mL Injeksi</t>
  </si>
  <si>
    <t>Fluoxetine 20 mg Tablet</t>
  </si>
  <si>
    <t>Fluoxetine Hydrochloride 10 mg Kapsul</t>
  </si>
  <si>
    <t>Fluoxetine Hydrochloride 20 mg Kapsul</t>
  </si>
  <si>
    <t>Flusinolon / Fluocinolone Acetonide 0,025 % Krim</t>
  </si>
  <si>
    <t>Fluticasone Furoate 27.5 mcg/spray Suspensi</t>
  </si>
  <si>
    <t>Fluticasone Propionate 0,5 mg/ 2 mL Cairan Inhalasi</t>
  </si>
  <si>
    <t>Nebules</t>
  </si>
  <si>
    <t>Fluticasone Propionate 50 ug Aerosol</t>
  </si>
  <si>
    <t>Fondaparinux Sodium 2,5 mg / 0,5 mL Injeksi</t>
  </si>
  <si>
    <t>Fosfomisin / Fosfomycin Trometramol 3 gram Granule</t>
  </si>
  <si>
    <t>Fructose 100 g / Dextrose Monohydrate 55 g / Xylitol 50 g Infus</t>
  </si>
  <si>
    <t>Fructose 30 g / Dextrose Monohydrate 16.319 g / Xylitol 15 g Infus</t>
  </si>
  <si>
    <t>Fructose 60 mg / Dextrose Monohydrate 33 mg / xylitol 30 mg / Electrolyte / Vitamin Infus</t>
  </si>
  <si>
    <t>Furosemide 10 mg / mL Injeksi</t>
  </si>
  <si>
    <t>Furosemide 40 mg Tablet</t>
  </si>
  <si>
    <t>Fusidic Acid 2% Krim</t>
  </si>
  <si>
    <t>Gabapentin 100 mg Kapsul</t>
  </si>
  <si>
    <t>Gabapentin 300 mg Kapsul</t>
  </si>
  <si>
    <t>Gadobutrol 1 mmol / mL Cairan Injeksi</t>
  </si>
  <si>
    <t>Gadoxetic Acid 0,25 mmol / mL Injeksi</t>
  </si>
  <si>
    <t>Gefitinib 250 mg Tablet Salut Selaput</t>
  </si>
  <si>
    <t>Gemcitabine 38 mg/mL Larutan Injeksi</t>
  </si>
  <si>
    <t>Gemcitabine Hydrochloride 1000 mg Serbuk Injeksi</t>
  </si>
  <si>
    <t>Gemcitabine Hydrochloride 200 mg Serbuk Injeksi Liofilisasi</t>
  </si>
  <si>
    <t>Gemfibrozil 600 mg Kaplet Salut Selaput</t>
  </si>
  <si>
    <t>Gentamicin Sulfate 0,3 % Salep Mata</t>
  </si>
  <si>
    <t>Gentamicin Sulfate 0,3 % Tetes Mata</t>
  </si>
  <si>
    <t>Gentamicin Sulfate 1 % Tetes Mata</t>
  </si>
  <si>
    <t>Gentamicin Sulfate 40 mg / mL Injeksi</t>
  </si>
  <si>
    <t>Glibenclamide 5 mg Kaplet</t>
  </si>
  <si>
    <t>Glibenclamide 5 mg Tablet</t>
  </si>
  <si>
    <t>Gliclazid 80 mg Tablet</t>
  </si>
  <si>
    <t>Gliclazide 60 mg Tablet Pelepasan Lambat</t>
  </si>
  <si>
    <t>Glikuidon 30 mg Tablet</t>
  </si>
  <si>
    <t>Glimepiride 1 mg Tablet</t>
  </si>
  <si>
    <t>Glimepiride 2 mg Tablet</t>
  </si>
  <si>
    <t>Glimepiride 3 mg Tablet</t>
  </si>
  <si>
    <t>Glimepiride 4 mg Tablet</t>
  </si>
  <si>
    <t>Glipizide 10 mg Tablet  Pelepasan Lambat</t>
  </si>
  <si>
    <t>Glipizide 5 mg Tablet Pelepasan Lambat</t>
  </si>
  <si>
    <t>Glyceryl Trinitrate 2,5 mg Kapsul Pelepasan Lambat</t>
  </si>
  <si>
    <t>Glyceryl Trinitrate 5 mg Kapsul Pelepasan Lambat</t>
  </si>
  <si>
    <t>Glyceryl Trinitrate 500 mcg Tablet Sublingual</t>
  </si>
  <si>
    <t>Glycopyrronium 50 mcg Serbuk Inhaler</t>
  </si>
  <si>
    <t>Goserelin Acetat 3,6 mg Serbuk Injeksi</t>
  </si>
  <si>
    <t>Goserelin Acetate 10,8 mg Serbuk Injeksi</t>
  </si>
  <si>
    <t>Griseofulvin 125 mg Tablet</t>
  </si>
  <si>
    <t>Griseofulvin 250 mg Tablet</t>
  </si>
  <si>
    <t>Griseofulvin 500 mg Tablet</t>
  </si>
  <si>
    <t>Haloperidol 0,5 mg Tablet</t>
  </si>
  <si>
    <t>Haloperidol 1,5 mg Tablet</t>
  </si>
  <si>
    <t>Haloperidol 2 mg Kapsul</t>
  </si>
  <si>
    <t>Haloperidol 2 mg Tablet</t>
  </si>
  <si>
    <t>Haloperidol 2 mg/mL Drops</t>
  </si>
  <si>
    <t>Haloperidol 5 mg / mL Injeksi</t>
  </si>
  <si>
    <t>Haloperidol 5 mg Tablet Salut Selaput</t>
  </si>
  <si>
    <t>Haloperidol 50 mg / mL Injeksi</t>
  </si>
  <si>
    <t>Halotan / Halothane Inhalasi</t>
  </si>
  <si>
    <t>Human Albumin 20 g / 100 mL Infus</t>
  </si>
  <si>
    <t>Human Albumin 25 g / 100 mL Infus</t>
  </si>
  <si>
    <t>Human Albumin 5 g / 100 mL Infus</t>
  </si>
  <si>
    <t>Human Coagulation Factor VIII 1.000 IU Serbuk Injeksi</t>
  </si>
  <si>
    <t>Human Coagulation Factor VIII 250 IU Serbuk Injeksi</t>
  </si>
  <si>
    <t>Human Coagulation Factor VIII 500 IU Serbuk Injeksi</t>
  </si>
  <si>
    <t>Human Hepatitis B Immunoglobulin 220 IU Injeksi</t>
  </si>
  <si>
    <t>Human Plasma Protein Fraction 5 g / 100 ml Infus</t>
  </si>
  <si>
    <t>Human Prothrombin Complex 500 IU Serbuk Injeksi</t>
  </si>
  <si>
    <t>Human Rabies Immunoglobulin 300 IU Injeksi</t>
  </si>
  <si>
    <t>Hydrochlorothiazide 25 mg Tablet</t>
  </si>
  <si>
    <t>Hydrocortisone 20 mg Tablet</t>
  </si>
  <si>
    <t>Hydromal Infus</t>
  </si>
  <si>
    <t>Hydromorphone Hydrochloride 8 mg Tablet Pelepasan Lambat</t>
  </si>
  <si>
    <t>Hydroxy Urea 500 mg Kapsul</t>
  </si>
  <si>
    <t>Hydroxychloroquine Sulfate 200 mg Tablet Salut Selaput</t>
  </si>
  <si>
    <t>Hyoscine 20 mg / mL Injeksi</t>
  </si>
  <si>
    <t>Hyoscine Butylbromide 10 mg Tablet Salut Selaput</t>
  </si>
  <si>
    <t>Ibandronic 1 mg / mL Injeksi</t>
  </si>
  <si>
    <t>Ibuprofen 100 mg / 5 mL Suspensi</t>
  </si>
  <si>
    <t>Ibuprofen 100 mg / mL Injeksi</t>
  </si>
  <si>
    <t>Ibuprofen 200 mg / 5 mL Suspensi</t>
  </si>
  <si>
    <t>Ibuprofen 200 mg Tablet</t>
  </si>
  <si>
    <t>Ibuprofen 400 mg Tablet</t>
  </si>
  <si>
    <t>Icodextrin 7,5 % Infus</t>
  </si>
  <si>
    <t>Ifosfamide 1000 mg Serbuk Injeksi</t>
  </si>
  <si>
    <t>Ifosfamide 2000 mg Serbuk Injeksi</t>
  </si>
  <si>
    <t>Ifosfamide 500 mg Serbuk Injeksi</t>
  </si>
  <si>
    <t>Iloprost 10 ug / mL Larutan Inhalasi</t>
  </si>
  <si>
    <t>Imatinib Mesylate 100 mg Kapsul</t>
  </si>
  <si>
    <t>Imatinib Mesylate 100 mg Tablet Salut Selaput</t>
  </si>
  <si>
    <t>Imatinib Mesylate 400 mg Tablet Salut Selaput</t>
  </si>
  <si>
    <t>Imidafenacin 0,1 mg Tablet Salut Selaput</t>
  </si>
  <si>
    <t>Imidapril 10 mg Tablet</t>
  </si>
  <si>
    <t>Imidapril 5 mg Tablet</t>
  </si>
  <si>
    <t>Immunoglobulin Human Anti-Tetanus 250 IU / mL Injeksi</t>
  </si>
  <si>
    <t>injeksi</t>
  </si>
  <si>
    <t>Indacaterol 110 mg / Glycopyrronium 50 mg Serbuk Inhaler</t>
  </si>
  <si>
    <t>Indacaterol 150 mcg Kapsul</t>
  </si>
  <si>
    <t>Indacaterol Maleate 300 mcg Serbuk Inhaler</t>
  </si>
  <si>
    <t>Insulin 70 U / Insulin Aspart 30 U Injeksi</t>
  </si>
  <si>
    <t>Cartridges</t>
  </si>
  <si>
    <t>Insulin Detemir 100 IU / mL Injeksi</t>
  </si>
  <si>
    <t>Insulin Glargine 100 IU/ml Cairan Injeksi</t>
  </si>
  <si>
    <t>Insulin Glargine 300 IU/ml Cairan Injeksi</t>
  </si>
  <si>
    <t>Prefilled pen</t>
  </si>
  <si>
    <t>Insulin Human (Intermediate Acting) 100 IU / mL Injeksi</t>
  </si>
  <si>
    <t>Insulin Human (Short Acting) 100 IU / mL Injeksi</t>
  </si>
  <si>
    <t>Insulin Human Analog (Rapid Acting) 100 IU / mL Injeksi</t>
  </si>
  <si>
    <t>Insulin Human Mix 100 IU / mL Injeksi</t>
  </si>
  <si>
    <t>Iohexol 300 mgI / mL Cairan Injeksi</t>
  </si>
  <si>
    <t>Iohexol 350 mgI / mL Cairan Injeksi</t>
  </si>
  <si>
    <t>Iopromide 300 mg / mL Infus</t>
  </si>
  <si>
    <t>Iopromide 370 mg / mL Infus</t>
  </si>
  <si>
    <t>Ipratropium Bromide 0.025% Cairan Inhalasi</t>
  </si>
  <si>
    <t>Irbesartan 150 mg Tablet</t>
  </si>
  <si>
    <t>Irbesartan 300 mg Tablet</t>
  </si>
  <si>
    <t>Irinotecan Hydrochloride 20 mg / mL Injeksi</t>
  </si>
  <si>
    <t>Iron Sucrose 20 mg / mL</t>
  </si>
  <si>
    <t>Isoflurane 100 mL Inhalasi</t>
  </si>
  <si>
    <t>Isoflurane 250 mL Cairan Inhalasi</t>
  </si>
  <si>
    <t>Isoniazid 100 mg Tablet</t>
  </si>
  <si>
    <t>Isoniazid 300 mg Tablet</t>
  </si>
  <si>
    <t>Isosorbide Dinitrate 1 mg / mL Injeksi</t>
  </si>
  <si>
    <t>Isosorbide Dinitrate 10 mg Tablet Sublingual</t>
  </si>
  <si>
    <t>Isosorbide Dinitrate 5 mg Tablet</t>
  </si>
  <si>
    <t>Itraconazole 100 mg Kapsul</t>
  </si>
  <si>
    <t>Ivabradin Hydrochloride 5 mg Tablet Salut Selaput</t>
  </si>
  <si>
    <t>KA-EN 3A Infus</t>
  </si>
  <si>
    <t>Ketamine Hydrochloride 100 mg / mL Injeksi</t>
  </si>
  <si>
    <t>Ketamine Hydrochloride 50 mg / mL Injeksi</t>
  </si>
  <si>
    <t>Ketoconazole 2% Krim</t>
  </si>
  <si>
    <t>Ketoconazole 200 mg Tablet</t>
  </si>
  <si>
    <t>Ketokonazol / Ketoconazole 2% Scalp Solution</t>
  </si>
  <si>
    <t>Ketoprofen 100 mg Supositoria</t>
  </si>
  <si>
    <t>Ketoprofen 50 mg / mL Injeksi</t>
  </si>
  <si>
    <t>Ketorolac Trometamol 30 mg / mL Injeksi</t>
  </si>
  <si>
    <t>Kidmin Infus</t>
  </si>
  <si>
    <t>Laktulosa / Lactulose 3,335 g / 5 mL</t>
  </si>
  <si>
    <t>Lamivudine 100 mg Tablet</t>
  </si>
  <si>
    <t>Lamivudine 100 mg Tablet Salut Selaput</t>
  </si>
  <si>
    <t>Lamivudine 150 mg Tablet</t>
  </si>
  <si>
    <t>Lamotrigine 100 mg Tablet</t>
  </si>
  <si>
    <t>Lamotrigine 25 mg Tablet Dispersibel</t>
  </si>
  <si>
    <t>Lamotrigine 50 mg Tablet</t>
  </si>
  <si>
    <t>Lansoprazole 30 mg / mL Serbuk Injeksi</t>
  </si>
  <si>
    <t>Lansoprazole 30 mg Kapsul Lepas Tunda</t>
  </si>
  <si>
    <t>Lapatinib Tosilate 250 mg Tablet Salut Selaput</t>
  </si>
  <si>
    <t>Latanoprost 0,005% Tetes Mata</t>
  </si>
  <si>
    <t>Leflunomide 20 mg Tablet Salut Selaput</t>
  </si>
  <si>
    <t>Letrozole 2,5 mg Tablet</t>
  </si>
  <si>
    <t>Leuprorelin Acetate 1,88 mg Serbuk Injeksi</t>
  </si>
  <si>
    <t>Leuprorelin Acetate 11,25 mg Serbuk Injeksi</t>
  </si>
  <si>
    <t>Leuprorelin Acetate 3,75 mg Serbuk Injeksi</t>
  </si>
  <si>
    <t>Leuprorelin Acetate 7,5 mg Serbuk Injeksi</t>
  </si>
  <si>
    <t>Leuproreline Acetate 22,5 mg Serbuk Injeksi</t>
  </si>
  <si>
    <t>Levetiracetam 250 mg Tablet Salut Selaput</t>
  </si>
  <si>
    <t>Levetiracetam 500 mg Tablet Salut Selaput</t>
  </si>
  <si>
    <t>Levofloxacin 5 mg/ml Infus</t>
  </si>
  <si>
    <t>Levofloxacin 500 mg Tablet Salut Selaput</t>
  </si>
  <si>
    <t>Levofloxacin Hemihydrate 0,5% Tetes Mata</t>
  </si>
  <si>
    <t>Levofloxacin Hemihydrate 250 mg Tablet Salut Selaput</t>
  </si>
  <si>
    <t>Levofloxacin Hemihydrate 500 mg Kaplet Salut Selaput</t>
  </si>
  <si>
    <t>Levothyroxine Sodium 100 mcg Tablet</t>
  </si>
  <si>
    <t>Levothyroxine Sodium 50 mcg Tablet</t>
  </si>
  <si>
    <t>mcg</t>
  </si>
  <si>
    <t>Lidocaine Hydrochloride 2% Gel</t>
  </si>
  <si>
    <t>Lisinopril Dihydrate 10 mg Tablet</t>
  </si>
  <si>
    <t>Lisinopril Dihydrate 5 mg Tablet</t>
  </si>
  <si>
    <t>Lithium Carbonate 200 mg Tablet</t>
  </si>
  <si>
    <t>Litium / Lithium Carbonate 400 mg Tablet</t>
  </si>
  <si>
    <t>Loperamide 2 mg Tablet/Kaplet</t>
  </si>
  <si>
    <t>Loperamide 2 mg Tablet/Kaplet Salut Selaput</t>
  </si>
  <si>
    <t>Lopinavir 100 mg / Ritonavir 25 mg Tablet Salut Selaput</t>
  </si>
  <si>
    <t>Lopinavir 200 mg / Ritonavir 50 mg Tablet Salut Selaput</t>
  </si>
  <si>
    <t>Loratadine 10 mg Tablet</t>
  </si>
  <si>
    <t>Lorazepam 0,5 mg Tablet</t>
  </si>
  <si>
    <t>Lorazepam 1 mg Tablet</t>
  </si>
  <si>
    <t>Lorazepam 2 mg Tablet Salut Selaput</t>
  </si>
  <si>
    <t>Magnesium Sulfate 20% Injeksi</t>
  </si>
  <si>
    <t>Magnesium Sulfate 400 mg / mL Injeksi</t>
  </si>
  <si>
    <t>Maltose 10% Infus</t>
  </si>
  <si>
    <t>Mannitol 20% Infus</t>
  </si>
  <si>
    <t>Maprotiline Hydrochloride 50 mg Tablet Salut Selaput</t>
  </si>
  <si>
    <t>Medroxyprogesterone Acetate 10 mg Tablet</t>
  </si>
  <si>
    <t>Medroxyprogesterone Acetate 100 mg Tablet</t>
  </si>
  <si>
    <t>Mefenamic Acid 500 mg Kaplet</t>
  </si>
  <si>
    <t>Melphalan 2 mg Tablet Salut Selaput</t>
  </si>
  <si>
    <t>Meropenem 1 g Serbuk Injeksi</t>
  </si>
  <si>
    <t>Meropenem 500 mg Serbuk Injeksi</t>
  </si>
  <si>
    <t>Mesna 100 mg / mL Injeksi</t>
  </si>
  <si>
    <t>Metamizole 500 mg Injeksi</t>
  </si>
  <si>
    <t>Metformin Hidroklorida 500 mg Tablet</t>
  </si>
  <si>
    <t>Metformin Hidroklorida 500 mg Tablet/Kaplet Pelepasan Lambat</t>
  </si>
  <si>
    <t>Metformin Hydrochloride 500 mg Tablet/Kaplet Salut Selaput</t>
  </si>
  <si>
    <t>Metformin Hydrochloride 850 mg Kaplet Salut Selaput</t>
  </si>
  <si>
    <t>Methadone Hydrochloride 50 mg/5 mL Sirup</t>
  </si>
  <si>
    <t>Methotrexate 2,5 mg Tablet</t>
  </si>
  <si>
    <t>Methotrexate 25 mg / mL Injeksi</t>
  </si>
  <si>
    <t>Methoxy Polyethylene Glycol-epoetin Beta 50 mcg / 0,3 mL Injeksi</t>
  </si>
  <si>
    <t>Methoxy Polyethylene Glycol-epoetin Beta 75 mcg / 0,3 mL Injeksi</t>
  </si>
  <si>
    <t>Methyldopa 250 mg Tablet Salut Selaput</t>
  </si>
  <si>
    <t>Methylergometrine 0,125 mg Tablet Salut Selaput</t>
  </si>
  <si>
    <t>Methylergometrine Maleate 0,2 mg / mL Injeksi</t>
  </si>
  <si>
    <t>Methylphenidate 18 mg Tablet Pelepasan Lambat</t>
  </si>
  <si>
    <t>Methylprednisolone 125 mg / vial Serbuk Injeksi</t>
  </si>
  <si>
    <t>Methylprednisolone 16 mg Kaplet</t>
  </si>
  <si>
    <t>Methylprednisolone 4 mg Tablet</t>
  </si>
  <si>
    <t>Methylprednisolone 8 mg Tablet</t>
  </si>
  <si>
    <t>Metilfenidat / Methylphenidate 10 mg Tablet</t>
  </si>
  <si>
    <t>Metilfenidat / Methylphenidate 36 mg Kaplet Pelepasan Lambat</t>
  </si>
  <si>
    <t>Metoclopramide Hydrochloride 10 mg Tablet</t>
  </si>
  <si>
    <t>Metoclopramide Hydrochloride 5 mg / mL Injeksi</t>
  </si>
  <si>
    <t>Metoclopramide Hydrochloride 5 mg Tablet</t>
  </si>
  <si>
    <t>Metronidazole 500 mg Infus</t>
  </si>
  <si>
    <t>Metronidazole 500 mg Ovula</t>
  </si>
  <si>
    <t>Ovula</t>
  </si>
  <si>
    <t>Metronidazole Benzoate 125 mg / 5 mL Suspensi</t>
  </si>
  <si>
    <t>Micafungin Sodium 50 mg Serbuk Injeksi</t>
  </si>
  <si>
    <t>Miconazole 2 % Krim</t>
  </si>
  <si>
    <t>Miconazole Nitrate 2 % Serbuk</t>
  </si>
  <si>
    <t>Midazolam 1 mg / mL Injeksi</t>
  </si>
  <si>
    <t>Mikofenolat / Mycophenolate Mofetil 500 mg Kaplet Salut Selaput</t>
  </si>
  <si>
    <t>Mikofenolat 180 mg Tablet Salut Enterik</t>
  </si>
  <si>
    <t>Mikofenolat 360 mg Tablet Salut Enterik</t>
  </si>
  <si>
    <t>Mineral Mix Serbuk Oral</t>
  </si>
  <si>
    <t>Mometasone furoate 0,1 % Krim</t>
  </si>
  <si>
    <t>Morphine Hydrochloride 10 mg / mL Injeksi</t>
  </si>
  <si>
    <t>Morphine Hydrochloride 10 mg Tablet</t>
  </si>
  <si>
    <t>Morphine sulfate 10 mg Tablet Pelepasan Lambat</t>
  </si>
  <si>
    <t>Morphine Sulfate 15 mg Tablet Pelepasan Lambat</t>
  </si>
  <si>
    <t>Morphine Sulfate 30 mg Tablet Pelepasan Lambat</t>
  </si>
  <si>
    <t>Moxifloxacin 1,6 mg / mL Infus</t>
  </si>
  <si>
    <t>Moxifloxacin 400 mg Kaplet Salut Selaput</t>
  </si>
  <si>
    <t>Mycophenolate Sodium 180 mg Tablet Salut Enterik</t>
  </si>
  <si>
    <t>Mycophenolate Sodium 360 mg Tablet Salut Enterik</t>
  </si>
  <si>
    <t>N(2)-L-Alanyl-L-Glutamine 20% Infus</t>
  </si>
  <si>
    <t>Naloxone Hydrochloride 0,4 mg / mL Injeksi</t>
  </si>
  <si>
    <t>Natrium Diklofenak / Diclofenac Sodium 25 mg / mL Injeksi</t>
  </si>
  <si>
    <t>Neostigmine Metilsulfate 0,5 mg / mL Injeksi</t>
  </si>
  <si>
    <t>Nevirapine 200 mg Kaplet</t>
  </si>
  <si>
    <t>Nicardipine Hydrochloride 1 mg/ml Injeksi</t>
  </si>
  <si>
    <t>Nifedipine 30 mg Tablet Pelepasan Lambat</t>
  </si>
  <si>
    <t>Nilotinib Hydrochloride 150 mg Kapsul</t>
  </si>
  <si>
    <t>Nilotinib Hydrochloride 200 mg Kapsul</t>
  </si>
  <si>
    <t>Nimodipine 10 mg Infus</t>
  </si>
  <si>
    <t>Nimodipine 30 mg Tablet Salut Selaput</t>
  </si>
  <si>
    <t>Norepinephrine Bitartate 1 mg / mL Injeksi</t>
  </si>
  <si>
    <t>Norethisterone 5 mg Tablet</t>
  </si>
  <si>
    <t>Nutriflex Infus</t>
  </si>
  <si>
    <t>Nystatin 100.000 IU / mL Suspensi</t>
  </si>
  <si>
    <t>Nystatin 100.000 IU Tablet Vaginal</t>
  </si>
  <si>
    <t>Nystatin 500.000 IU Tablet Salut Gula</t>
  </si>
  <si>
    <t>Obat Anti Tuberculosis / Rifampicin 150 mg / Isoniazid 150 mg Tablet Salut Selaput</t>
  </si>
  <si>
    <t>Obat Anti Tuberculosis / Rifampicin 150 mg / Isoniazid 75 mg / Pyrazinamide 400 mg / Ethambutol 275 mg Kaplet Salut Selaput</t>
  </si>
  <si>
    <t>Obat Anti Tuberculosis / Rifampicin 75 mg / Isoniazid 50 mg / Pyrazinamide 150 mg Tablet Dispersibel</t>
  </si>
  <si>
    <t>Obat Anti Tuberculosis / Rifampicin 75 mg / Isoniazid 50 mg Tablet Dispersibel</t>
  </si>
  <si>
    <t>Octreotide 0,1  mg / mL Injeksi</t>
  </si>
  <si>
    <t>Octreotide 20 mg Serbuk Injeksi</t>
  </si>
  <si>
    <t>Octreotide 30 mg Serbuk Injeksi</t>
  </si>
  <si>
    <t>Ofloxacin 200 mg Tablet Salut Selaput</t>
  </si>
  <si>
    <t>Ofloxacin 3% Tetes Telinga</t>
  </si>
  <si>
    <t>Ofloxacin 400 mg Tablet Salut Selaput</t>
  </si>
  <si>
    <t>Olanzapine 10 mg Serbuk Injeksi</t>
  </si>
  <si>
    <t>Olanzapine 10 mg Tablet Salut Selaput</t>
  </si>
  <si>
    <t>Olanzapine 5 mg Tablet Salut Selaput</t>
  </si>
  <si>
    <t>Olimel Infus</t>
  </si>
  <si>
    <t>Olive Oil 16 g / Soybean Oil 4 g Infus</t>
  </si>
  <si>
    <t>Olodaterol 2,5 mcg / Tiotropium 2,5 mcg Cairan Inhalasi</t>
  </si>
  <si>
    <t>Olodaterol 2,5 mcg Cairan Inhalasi</t>
  </si>
  <si>
    <t>Olopatadine Hydrochloride 0,1 % Cairan Mata</t>
  </si>
  <si>
    <t>Omegaven Infus</t>
  </si>
  <si>
    <t>Omeprazole Sodium 20 mg Kapsul Pelepasan Lambat</t>
  </si>
  <si>
    <t>Omeprazole Sodium 40 mg Serbuk Injeksi</t>
  </si>
  <si>
    <t>Ondansetron 2 mg/ml Injeksi</t>
  </si>
  <si>
    <t>Ondansetron Hydrochloride 4 mg Kaplet Salut Selaput</t>
  </si>
  <si>
    <t>Ondansetron Hydrochloride 4 mg Tablet Salut Selaput</t>
  </si>
  <si>
    <t>Ondansetron Hydrochloride 8 mg Kaplet</t>
  </si>
  <si>
    <t>Ondansetron Hydrochloride 8 mg Kaplet Salut Selaput</t>
  </si>
  <si>
    <t>Ondansetron Hydrochloride 8 mg Tablet</t>
  </si>
  <si>
    <t>Ondansetron Hydrochloride 8 mg Tablet Salut Selaput</t>
  </si>
  <si>
    <t>OTSU - RL D5 Infus</t>
  </si>
  <si>
    <t>Oxaliplatin 100 mg Serbuk Injeksi</t>
  </si>
  <si>
    <t>Oxaliplatin 50 mg Serbuk Injeksi</t>
  </si>
  <si>
    <t>Oxcarbazepine 60 mg / mL Suspensi</t>
  </si>
  <si>
    <t>Oxycodone Hydrochloride 10 mg / mL Injeksi</t>
  </si>
  <si>
    <t>Oxycodone Hydrochloride 10 mg Kapsul</t>
  </si>
  <si>
    <t>Oxycodone Hydrochloride 10 mg Tablet Pelepasan Lambat</t>
  </si>
  <si>
    <t>Oxycodone Hydrochloride 15 mg Tablet Pelepasan Lambat</t>
  </si>
  <si>
    <t>Oxycodone Hydrochloride 20 mg Kapsul</t>
  </si>
  <si>
    <t>Oxycodone Hydrochloride 20 mg Tablet Pelepasan Lambat</t>
  </si>
  <si>
    <t>Oxycodone Hydrochloride 5 mg Kapsul</t>
  </si>
  <si>
    <t>Oxytetracycline 1 % Salep Mata</t>
  </si>
  <si>
    <t>Oxytocin 10 IU / mL Injeksi</t>
  </si>
  <si>
    <t>Paclitaxel 6 mg / mL Injeksi</t>
  </si>
  <si>
    <t>Paliperidone Palmitate 100 mg / mL Injeksi Pelepasan Lambat</t>
  </si>
  <si>
    <t>Paracetamol 10 mg / mL Infus</t>
  </si>
  <si>
    <t>Paracetamol 60 mg / 0,6 ml Drops</t>
  </si>
  <si>
    <t>Pazopanib 200 mg Tablet Salut Selaput</t>
  </si>
  <si>
    <t>Pazopanib 400 mg Tablet Salut Selaput</t>
  </si>
  <si>
    <t>Peginterferon Alfa-2A 135 ug / 0,5 mL Injeksi</t>
  </si>
  <si>
    <t>Peginterferon Alfa-2A 180 mcg / 0,5 ml Injeksi</t>
  </si>
  <si>
    <t>Pemetrexed 500 mg Serbuk Injeksi</t>
  </si>
  <si>
    <t>Pentasodium Diethylene Triamine Pentaacetate / Tin(II)-Chloride Dihydrate Serbuk Injeksi</t>
  </si>
  <si>
    <t>Perindopril Arginine 5 mg Tablet Salut Selaput</t>
  </si>
  <si>
    <t>Permethrin 5% Krim</t>
  </si>
  <si>
    <t>Pethidine Hydrochloride 50 mg / mL Cairan Injeksi</t>
  </si>
  <si>
    <t>Phenobarbital 30 mg Tablet</t>
  </si>
  <si>
    <t>Phenobarbital 50 mg / mL Injeksi</t>
  </si>
  <si>
    <t>Phenol Glycerol 10%</t>
  </si>
  <si>
    <t>Phenoxymethylpenicillin 250 mg Tablet</t>
  </si>
  <si>
    <t>Phenylephrine Hydrochloride 10 % Tetes Mata</t>
  </si>
  <si>
    <t>Phenytoin 30 mg Kapsul</t>
  </si>
  <si>
    <t>Phenytoin Sodium 50 mg / mL Injeksi</t>
  </si>
  <si>
    <t>Phytomenadione / Vitamin K1 10 mg / mL Injeksi</t>
  </si>
  <si>
    <t>Phytomenadione / Vitamin K1 10 mg Tablet Salut Gula</t>
  </si>
  <si>
    <t>Pioglitazone Hydrochloride 15 mg Tablet</t>
  </si>
  <si>
    <t>Pioglitazone Hydrochloride 30 mg Tablet</t>
  </si>
  <si>
    <t>POTACOL-R Infus</t>
  </si>
  <si>
    <t>Potassium Aspartate 300 mg Kaplet Salut Selaput</t>
  </si>
  <si>
    <t>Potassium Chloride 0,8 mg / Sodium Chloride 4,4 mg Tetes Mata</t>
  </si>
  <si>
    <t>Potassium Chloride 1.5 g / Sodium Chloride 0.9 g / Dextrose Monohydrate 22 g Infus</t>
  </si>
  <si>
    <t>Potassium Chloride 600 mg Tablet Salut Selaput Pelepasan Lambat</t>
  </si>
  <si>
    <t>Potassium Chloride 74,6% Injeksi</t>
  </si>
  <si>
    <t>Pramipexole 0,125 mg Tablet</t>
  </si>
  <si>
    <t>Pramipexole 0,375 mg Tablet Pelepasan Lambat</t>
  </si>
  <si>
    <t>Pramipexole 0,75 mg Tablet Pelepasan Lambat</t>
  </si>
  <si>
    <t>Pravastatin Sodium 20 mg Tablet</t>
  </si>
  <si>
    <t>Prednisolone 10 mg / mL Tetes Mata</t>
  </si>
  <si>
    <t>Prednisone 5 mg Tablet</t>
  </si>
  <si>
    <t>Pregabalin 75 mg Kapsul</t>
  </si>
  <si>
    <t>Primaquine Phosphate 15 mg Tablet</t>
  </si>
  <si>
    <t>Procaine Benzylpenicillin 3.000.000 IU Sebuk Injeksi</t>
  </si>
  <si>
    <t>Procaterol Hydrochloride Hydrate 100 ug / mL Cairan Inhalasi</t>
  </si>
  <si>
    <t>Propanolol 40 mg Tablet</t>
  </si>
  <si>
    <t>Propofol 10 mg / mL Injeksi</t>
  </si>
  <si>
    <t>Propranolol 10 mg Tablet</t>
  </si>
  <si>
    <t>Propylthiouracil 100 mg Tablet</t>
  </si>
  <si>
    <t>Pyrantel Pamoate 125 mg / 5 mL Suspensi</t>
  </si>
  <si>
    <t>Pyrantel Pamoate 125 mg Tablet</t>
  </si>
  <si>
    <t>Pyrazinamide 500 mg Kaplet</t>
  </si>
  <si>
    <t>Pyrazinamide 500 mg Kaplet Salut Selaput</t>
  </si>
  <si>
    <t>Pyrazinamide 500 mg Tablet</t>
  </si>
  <si>
    <t>Pyrimethamine 25 mg Tablet</t>
  </si>
  <si>
    <t>Quetiapine Fumarate 100 mg Tablet Salut Selaput</t>
  </si>
  <si>
    <t>Quetiapine Fumarate 200 mg Tablet Pelepasan Lambat</t>
  </si>
  <si>
    <t>Quetiapine Fumarate 300 mg Tablet Pelepasan Lambat</t>
  </si>
  <si>
    <t>Quetiapine Fumarate 400 mg Tablet Pelepasan Lambat</t>
  </si>
  <si>
    <t>Quinine Hydrochloride 250 mg / mL Injeksi</t>
  </si>
  <si>
    <t>Quinine Sulfate 200 mg Tablet Salut Selaput</t>
  </si>
  <si>
    <t>Ramipril 10 mg Tablet</t>
  </si>
  <si>
    <t>Ramipril 2,5 mg Tablet</t>
  </si>
  <si>
    <t>Ramipril 5 mg Tablet</t>
  </si>
  <si>
    <t>Ranibizumab 10 mg / mL Injeksi</t>
  </si>
  <si>
    <t>Ranitidine 150 mg Tablet Salut Selaput</t>
  </si>
  <si>
    <t>Ranitidine Hydrochloride 27,9 mg/2 ml Injeksi</t>
  </si>
  <si>
    <t>Remifentanil 1 mg Serbuk Injeksi</t>
  </si>
  <si>
    <t>Remifentanil 2 mg Serbuk Injeksi</t>
  </si>
  <si>
    <t>Remifentanil 5 mg Serbuk Injeksi</t>
  </si>
  <si>
    <t>Renosan Infus</t>
  </si>
  <si>
    <t>Retinol Palmitate 100.000 IU Kapsul Lunak</t>
  </si>
  <si>
    <t>Retinol Palmitate 200.000 IU Kapsul Lunak</t>
  </si>
  <si>
    <t>Rifampicin 450 mg Kaplet Salut Selaput</t>
  </si>
  <si>
    <t>Rifampicin 600 mg Kaplet Salut Selaput</t>
  </si>
  <si>
    <t>Rifapentine 150 mg Tablet Salut Selaput</t>
  </si>
  <si>
    <t>Rilpivirin 25 mg Tablet Salut Selaput</t>
  </si>
  <si>
    <t>Ringer Acetate Infus</t>
  </si>
  <si>
    <t>Ringer Lactate Infus</t>
  </si>
  <si>
    <t>Risedronate Sodium Hemipentahydrate 35 mg Tablet Salut Selaput</t>
  </si>
  <si>
    <t>Risperidone 1 mg / mL Sirup</t>
  </si>
  <si>
    <t>Risperidone 1 mg Tablet Salut Selaput</t>
  </si>
  <si>
    <t>Risperidone 2 mg Tablet Salut Selaput</t>
  </si>
  <si>
    <t>Risperidone 3 mg Tablet</t>
  </si>
  <si>
    <t>Rituximab 10 mg/mL Infus</t>
  </si>
  <si>
    <t>Rivaroxaban 10 mg Tablet Salut Selaput</t>
  </si>
  <si>
    <t>Rivaroxaban 15 mg Tablet Salut Selaput</t>
  </si>
  <si>
    <t>Rivaroxaban 20 mg Tablet Salut Selaput</t>
  </si>
  <si>
    <t>Ropinirole 2 mg Tablet Pelepasan Lambat</t>
  </si>
  <si>
    <t>Ropinirole 8 mg Tablet Pelepasan Lambat</t>
  </si>
  <si>
    <t>Ropinirole Hydrochloride 4 mg Tablet Pelepasan Lambat</t>
  </si>
  <si>
    <t>Ropivacaine Hydrochloride 7,5 mg / mL Injeksi</t>
  </si>
  <si>
    <t>Rosuvastatin Calcium 10 mg Tablet Salut Selaput</t>
  </si>
  <si>
    <t>Sacubitril 24,3 mg / Valsartan 25,7 mg Tablet Salut Selaput</t>
  </si>
  <si>
    <t>Sacubitril 48,6 mg / Valsartan 51,4 mg Tablet Salut Selaput</t>
  </si>
  <si>
    <t>Sacubitril 97,2 mg / Valsartan 102,8 mg Tablet Salut Selaput</t>
  </si>
  <si>
    <t>Salbutamol 100 mcg Cairan Inhalasi</t>
  </si>
  <si>
    <t>Salbutamol 2 mg / 5 mL Sirup</t>
  </si>
  <si>
    <t>Salbutamol 2 mg Tablet</t>
  </si>
  <si>
    <t>Salbutamol 2,5 mg / Ipratropium 0,5 mg / 2,5 mL Inhalasi</t>
  </si>
  <si>
    <t>Salbutamol 4 mg Tablet</t>
  </si>
  <si>
    <t>Salicylic Acid 2% / Sulfur Precipitated 4% Salep</t>
  </si>
  <si>
    <t>Salmeterol Xinafoate 50 mcg / Fluticasone Propionat 100 mcg Inhalasi</t>
  </si>
  <si>
    <t>Blister</t>
  </si>
  <si>
    <t>Salmeterol Xinafoate 50 mcg / Fluticasone Propionat 250 mcg Inhalasi</t>
  </si>
  <si>
    <t>Salmeterol Xinafoate 50 mcg / Fluticasone Propionat 500 mcg Serbuk Inhaler</t>
  </si>
  <si>
    <t>Secukinumab 150 mg Serbuk Injeksi</t>
  </si>
  <si>
    <t>Sefiksime 200 mg Tablet</t>
  </si>
  <si>
    <t>Sertraline Hydrochloride 50 mg Tablet Salut Selaput</t>
  </si>
  <si>
    <t>Sevelamer Carbonate 800 mg Tablet Salut Selaput</t>
  </si>
  <si>
    <t>Sevoflurane 250 mL Inhalasi</t>
  </si>
  <si>
    <t>Siklopentolat / Cyclopentolate Hydrochloride 1% Tetes Mata</t>
  </si>
  <si>
    <t>Sildenafil Citrate 10 mg / mL Sirup Kering</t>
  </si>
  <si>
    <t>Sildenafil Citrate 20 mg Tablet Salut Selaput</t>
  </si>
  <si>
    <t>Silodosin 4 mg Tablet Salut Selaput</t>
  </si>
  <si>
    <t>Silostazol / Cilostazol 100 mg Kapsul Pelepasan Lambat</t>
  </si>
  <si>
    <t>Silostazol / Cilostazol 100 mg Tablet</t>
  </si>
  <si>
    <t>Silver Sulfadiazine 1% Krim</t>
  </si>
  <si>
    <t>Simvastatin 10 mg Tablet Salut Selaput</t>
  </si>
  <si>
    <t>Simvastatin 20 mg Tablet</t>
  </si>
  <si>
    <t>Sitagliptin Phosphate 100 mg Tablet Salut Selaput</t>
  </si>
  <si>
    <t>SmofKabiven Peripheral 1206 mL Infus</t>
  </si>
  <si>
    <t>SmofKabiven Peripheral 1448 mL Infus</t>
  </si>
  <si>
    <t>Sodium Acetate 1,90 G / Calcium Chloride 0,10 G /Potassium Chloride 0,15 G / Sodium Chloride 3,00 G Infus</t>
  </si>
  <si>
    <t>Sodium Bicarbonate 8,4% Cairan Injeksi</t>
  </si>
  <si>
    <t>Sodium Chloride 0,9 % Infus</t>
  </si>
  <si>
    <t>Sodium Chloride 3 g / Potassium Chloride 0.15 g / Calcium Chloride Dihydrate 0.1 g / Sodium Lactate 1.55 g Infus</t>
  </si>
  <si>
    <t>Sodium Chloride 3 g / Sodium Lactate 1.56 g / Potassium Chloride 0.20 g / Calcium Chloride Dihydrate 0.135 g Infus</t>
  </si>
  <si>
    <t>Sodium Glycerophosphate 216 mg Infus</t>
  </si>
  <si>
    <t>Sodium Hyaluronate 1 mg / mL Tetes Mata</t>
  </si>
  <si>
    <t>Sodium Hyaluronate 10 mg / mL Injeksi</t>
  </si>
  <si>
    <t>Sodium Valproate 250 mg / 5 mL Sirup</t>
  </si>
  <si>
    <t>Sofosbuvir 400mg Tablet Salut Selaput</t>
  </si>
  <si>
    <t>Solifenacin Succinate 5 mg Tablet</t>
  </si>
  <si>
    <t>Soluvit N Serbuk Infus</t>
  </si>
  <si>
    <t>Somatostatin Acetate 3000 mcg / mL Serbuk Injeksi</t>
  </si>
  <si>
    <t>Soybean Oil 100 mg / Medium Chain Triglycerides MCT 100 mg Infus</t>
  </si>
  <si>
    <t>Soybean Oil 50 g / 250 mL Infus</t>
  </si>
  <si>
    <t>Soybean Oil 60 mg / Medium Chain Triglycerides 60 mg / Olive Oil 50 mg / Purified Fish Oil 30 mg  Infus</t>
  </si>
  <si>
    <t>Spironolactone 100 mg Tablet</t>
  </si>
  <si>
    <t>Spironolactone 25 mg Tablet</t>
  </si>
  <si>
    <t>Streptomycin Sulfate 1000 mg Serbuk Injeksi</t>
  </si>
  <si>
    <t>Sucralfate 500 mg / 5 mL Suspensi</t>
  </si>
  <si>
    <t>Sucralfate 500 mg Kaplet</t>
  </si>
  <si>
    <t>Sucralfate 500 mg Tablet</t>
  </si>
  <si>
    <t>Sufentanil 5 mcg/mL Larutan Injeksi</t>
  </si>
  <si>
    <t>Sugammadex 100 mg / mL Injeksi</t>
  </si>
  <si>
    <t>Tacrolimus 0,5 mg Kapsul</t>
  </si>
  <si>
    <t>Tacrolimus 0,5 mg Kapsul Pelepasan Lambat</t>
  </si>
  <si>
    <t>Tacrolimus 1 mg Kapsul Pelepasan Lambat</t>
  </si>
  <si>
    <t>Tamoxifen Citrate 10 mg Tablet Salut Selaput</t>
  </si>
  <si>
    <t>Tamsulosin Hydrochloride 0,2 mg Tablet Dispersible</t>
  </si>
  <si>
    <t>Tamsulosin Hydrochloride 0,4 mg Tablet Pelepasan Lambat</t>
  </si>
  <si>
    <t>Telmisartan 40 mg Tablet</t>
  </si>
  <si>
    <t>Telmisartan 80 mg Tablet</t>
  </si>
  <si>
    <t>Temozolomide 100 mg Kapsul</t>
  </si>
  <si>
    <t>Temozolomide 20 mg Kapsul</t>
  </si>
  <si>
    <t>Tenofovir Disoproxil 300 mg Kaplet Salut Selaput</t>
  </si>
  <si>
    <t>Tenofovir Disproxil 300 mg / Lamivudin 300 mg / Dolutegravir 50 mg Tablet Salut Selaput</t>
  </si>
  <si>
    <t>Terazosin 2 mg Tablet</t>
  </si>
  <si>
    <t>Terazosin Hydrochloride 1 mg Tablet</t>
  </si>
  <si>
    <t>Terbutaline Sulfate 1.5 mg / 5 mL Sirup</t>
  </si>
  <si>
    <t>Terbutaline Sulfate 2,5 mg / mL Inhalasi</t>
  </si>
  <si>
    <t>Terbutaline Sulfate 2,5 mg Tablet</t>
  </si>
  <si>
    <t>Testosterone 250 mg / mL Injeksi</t>
  </si>
  <si>
    <t>Theophylline 150 mg Tablet</t>
  </si>
  <si>
    <t>Theophylline 300 mg Kaplet Pelepasan Lambat</t>
  </si>
  <si>
    <t>Thiopental Sodium / Sodium Carbonate 1000 mg Injeksi</t>
  </si>
  <si>
    <t>Thiopental Sodium / Sodium Carbonate 500 mg Injeksi</t>
  </si>
  <si>
    <t>Tiamazole / Thiamazole 10 mg Tablet Salut Selaput</t>
  </si>
  <si>
    <t>Tiamazole / Thiamazole 5 mg Tablet Salut Selaput</t>
  </si>
  <si>
    <t>Ticagrelor 90 mg Tablet Salut Selaput</t>
  </si>
  <si>
    <t>Timolol Maleate 2,5 mg/mL Tetes Mata</t>
  </si>
  <si>
    <t>Timolol Maleate 5 mg / mL Tetes Mata</t>
  </si>
  <si>
    <t>Tiotropium 2,5 mcg Cairan Inhalasi</t>
  </si>
  <si>
    <t>Tiotropium Bromide 5 mcg Cairan Inhalasi</t>
  </si>
  <si>
    <t>Tobramycin 0,3 % Tetes Mata</t>
  </si>
  <si>
    <t>Tocilizumab 20 mg / mL Injeksi</t>
  </si>
  <si>
    <t>Topiramate 100 mg Tablet</t>
  </si>
  <si>
    <t>Topiramate 25 mg Tablet Salut Selaput</t>
  </si>
  <si>
    <t>Topiramate 50 mg Tablet</t>
  </si>
  <si>
    <t>Tramadol 50 mg / mL Injeksi</t>
  </si>
  <si>
    <t>Tranexamic Acid 100 mg / mL Injeksi</t>
  </si>
  <si>
    <t>Tranexamic Acid 50 mg / mL Injeksi</t>
  </si>
  <si>
    <t>Tranexamic Acid 500 mg Tablet Salut Selaput</t>
  </si>
  <si>
    <t>Trastuzumab 440 mg Serbuk Injeksi</t>
  </si>
  <si>
    <t>Triamcinolone Acetonide 10 mg / mL Injeksi</t>
  </si>
  <si>
    <t>Triamcinolone Acetonide 55 mcg/puff Semprot Hidung</t>
  </si>
  <si>
    <t>Trifluoperazine 5 mg Tablet Salut Selaput</t>
  </si>
  <si>
    <t>Trihexyphenidyl Hydrochloride 2 mg Tablet</t>
  </si>
  <si>
    <t>Tropicamide 0,5 % Tetes Mata</t>
  </si>
  <si>
    <t>Tropicamide 1 % Tetes Mata</t>
  </si>
  <si>
    <t>Turoctocog Alfa / Faktor VIII Konsentrat 250 IU Serbuk Injeksi</t>
  </si>
  <si>
    <t>Turoctocog Alfa / Faktor VIII Konsentrat 500 IU Serbuk Injeksi</t>
  </si>
  <si>
    <t>Ursodeoxycholic Acid 250 mg Kapsul</t>
  </si>
  <si>
    <t>Valganciclovir Hydrochloride 450 mg Tablet Salut Selaput</t>
  </si>
  <si>
    <t>Valsartan 160 mg Kaplet Salut Selaput</t>
  </si>
  <si>
    <t>Valsartan 160 mg Tablet Salut Selaput</t>
  </si>
  <si>
    <t>Vancomycin Hydrochloride 500 mg Serbuk Injeksi</t>
  </si>
  <si>
    <t>Verapamil 240 mg Kaplet Salut Selaput</t>
  </si>
  <si>
    <t>Vildagliptin 50 mg Tablet</t>
  </si>
  <si>
    <t>Vincristine Sulfate 1 mg / mL Injeksi</t>
  </si>
  <si>
    <t>Vinorelbine Tartrate 10 mg / mL Injeksi</t>
  </si>
  <si>
    <t>Voriconazole 200 mg Serbuk Injeksi Liofilisasi</t>
  </si>
  <si>
    <t>Voriconazole 200 mg Tablet Salut Selaput</t>
  </si>
  <si>
    <t>Warfarin 2 mg Tablet</t>
  </si>
  <si>
    <t>Water for Injection</t>
  </si>
  <si>
    <t>Water For Injection 20 mL</t>
  </si>
  <si>
    <t>Zidovudin 300 mg / Lamivudin 150 mg Kaplet</t>
  </si>
  <si>
    <t>Zidovudine 100 mg Kapsul</t>
  </si>
  <si>
    <t>Zinc Sulfate Monohydrate 10 mg/mL Tetes Oral</t>
  </si>
  <si>
    <t>Zinc Sulfate Monohydrate 20 mg / 5 ml Sirup</t>
  </si>
  <si>
    <t>Zinc Sulfate Monohydrate 20 mg Tablet Dispersible</t>
  </si>
  <si>
    <t>Zoledronic Acid 4 mg / 100 mL Infus</t>
  </si>
  <si>
    <t>Zoledronic Acid 5 mg Infus</t>
  </si>
  <si>
    <t>Zoledronic Acid Monohydrate 5 mg / 100 mL Infus</t>
  </si>
  <si>
    <t>Zonisamide 100 mg Tablet Salut Selaput</t>
  </si>
  <si>
    <t>Nama Dagang</t>
  </si>
  <si>
    <t>Unit Logistik Terkecil</t>
  </si>
  <si>
    <t>Bentuk Sediaan</t>
  </si>
  <si>
    <t>Golongan Obat</t>
  </si>
  <si>
    <t>Abacavir Sulfate 300 mg Tablet Salut Selaput (KIMIA FARMA Tbk.)</t>
  </si>
  <si>
    <t>ABACAVIR SULFATE</t>
  </si>
  <si>
    <t>Tablet Salut Selaput</t>
  </si>
  <si>
    <t>Obat Keras</t>
  </si>
  <si>
    <t>Acarbose 100 mg Tablet (ACRIOS)</t>
  </si>
  <si>
    <t>ACRIOS</t>
  </si>
  <si>
    <t>Acarbose 100 mg Tablet (BETA PHARMACON)</t>
  </si>
  <si>
    <t>Acarbose 100 mg Tablet (CAPRIBOSE 100)</t>
  </si>
  <si>
    <t>CAPRIBOSE</t>
  </si>
  <si>
    <t>Acarbose 100 mg Tablet (DEXA MEDICA)</t>
  </si>
  <si>
    <t>Acarbose 100 mg Tablet (DITRIUM 100)</t>
  </si>
  <si>
    <t>DITRIUM 100</t>
  </si>
  <si>
    <t>Acarbose 100 mg Tablet (ECLID)</t>
  </si>
  <si>
    <t>ECLID</t>
  </si>
  <si>
    <t>Acarbose 100 mg Tablet (GLUBOSE)</t>
  </si>
  <si>
    <t>GLUBOSE</t>
  </si>
  <si>
    <t>Acarbose 100 mg Tablet (GLUCOBAY 100)</t>
  </si>
  <si>
    <t>GLUCOBAY 100</t>
  </si>
  <si>
    <t>Acarbose 100 mg Tablet (PRATAPA NIRMALA)</t>
  </si>
  <si>
    <t>Acarbose 50 mg Tablet (ACRIOS)</t>
  </si>
  <si>
    <t>Acarbose 50 mg Tablet (BETA PHARMACON)</t>
  </si>
  <si>
    <t>Acarbose 50 mg Tablet (CAPRIBOSE)</t>
  </si>
  <si>
    <t>Acarbose 50 mg Tablet (DEXA MEDICA)</t>
  </si>
  <si>
    <t>Acarbose 50 mg Tablet (DITRIUM 50)</t>
  </si>
  <si>
    <t>DITRIUM 50</t>
  </si>
  <si>
    <t>Acarbose 50 mg Tablet (ECLID)</t>
  </si>
  <si>
    <t>Acarbose 50 mg Tablet (GLUBOSE)</t>
  </si>
  <si>
    <t>Acarbose 50 mg Tablet (GLUCOBAY 50)</t>
  </si>
  <si>
    <t>GLUCOBAY 50</t>
  </si>
  <si>
    <t>Acarbose 50 mg Tablet (PRATAPA NIRMALA)</t>
  </si>
  <si>
    <t>Acetazolamide 250 mg Tablet (GLAUSETA)</t>
  </si>
  <si>
    <t>GLAUSETA</t>
  </si>
  <si>
    <t>Acetylcysteine 100 mg / mL Cairan Inhalasi (DEXA MEDICA)</t>
  </si>
  <si>
    <t>N-ACETYLCYSTEINE</t>
  </si>
  <si>
    <t>Larutan Inhalasi</t>
  </si>
  <si>
    <t>Acetylcysteine 200 mg Granule (FLUIMUCIL)</t>
  </si>
  <si>
    <t>FLUIMUCIL</t>
  </si>
  <si>
    <t>Granula</t>
  </si>
  <si>
    <t>Acetylcysteine 200 mg Kapsul (INDOFARMA)</t>
  </si>
  <si>
    <t>ACETYLCYSTEINE</t>
  </si>
  <si>
    <t>Aciclovir 200 mg Tablet (KIMIA FARMA)</t>
  </si>
  <si>
    <t>ACICLOVIR</t>
  </si>
  <si>
    <t>Aciclovir 200 mg Tablet (YARINDO FARMATAMA)</t>
  </si>
  <si>
    <t>Acidum Methylen Disphosponicum 10 mg / Stannous Chloride Dihydrate 0.238 mg / Acidum Ascorbicum 2 mg Serbuk Injeksi (BONESCAN KaeF)</t>
  </si>
  <si>
    <t>BONESCAN KaeF</t>
  </si>
  <si>
    <t>Serbuk Injeksi</t>
  </si>
  <si>
    <t>Acyclovir 3% Salep Mata (LACYVIR)</t>
  </si>
  <si>
    <t>LACYVIR</t>
  </si>
  <si>
    <t>Salep Mata</t>
  </si>
  <si>
    <t>Air Untuk Injeksi / Aqua Pro Injection / Water For Injection 10 ml (BERNOFARM)</t>
  </si>
  <si>
    <t>WATER FOR INJECTION</t>
  </si>
  <si>
    <t>Larutan Injeksi</t>
  </si>
  <si>
    <t>Albendazole 200 mg / 5 mL Suspensi (INDOFARMA, 10 mL)</t>
  </si>
  <si>
    <t>ALBENDAZOLE</t>
  </si>
  <si>
    <t>Suspensi</t>
  </si>
  <si>
    <t>Albendazole 400 mg Kaplet Kunyah (HOLI PHARMA)</t>
  </si>
  <si>
    <t>Kaplet Kunyah</t>
  </si>
  <si>
    <t>Allopurinol 100 mg Tablet (HEXPHARM JAYA LABORATORIES)</t>
  </si>
  <si>
    <t>ALLOPURINOL</t>
  </si>
  <si>
    <t>Allopurinol 300 mg Tablet (HEXPHARM JAYA LABORATORIES)</t>
  </si>
  <si>
    <t>Alprazolam 0,5 mg Tablet (MERSIFARMA TIRMAKU MERCUSANA)</t>
  </si>
  <si>
    <t>ALPRAZOLAM 0.5</t>
  </si>
  <si>
    <t>Obat Psikotropika</t>
  </si>
  <si>
    <t>Alprazolam 1 mg Tablet (MERSIFARMA TIRMAKU MERCUSANA)</t>
  </si>
  <si>
    <t>ALPRAZOLAM</t>
  </si>
  <si>
    <t>Alteplase 50 mg Serbuk Injeksi (ACTILYSE)</t>
  </si>
  <si>
    <t>ACTILYSE</t>
  </si>
  <si>
    <t>Aluminium Hydroxide 200 mg / Magnesium Hydroxide 200 mg Tablet Kunyah (MERSIFARMA TIRMAKU MERCUSANA)</t>
  </si>
  <si>
    <t>ANTASIDA DOEN</t>
  </si>
  <si>
    <t>Tablet Kunyah</t>
  </si>
  <si>
    <t>Obat Bebas</t>
  </si>
  <si>
    <t>Amikacin 250 mg/ml Injeksi (DEXA MEDICA)</t>
  </si>
  <si>
    <t>AMIKACIN SULFATE</t>
  </si>
  <si>
    <t>Amino acid Solution with Electrolyte 250mL / Glucose 149 mL / Lipid Emulsion 94 mL Larutan Infus (SMOFKABIVEN)</t>
  </si>
  <si>
    <t>SMOFKABIVEN</t>
  </si>
  <si>
    <t>Infus</t>
  </si>
  <si>
    <t>AminoAcids 5.1% / Lipids 3.8%, Glucose 12.7% Infus (SMOFKABIVEN ELECTROLYTE FREE, 493 mL)</t>
  </si>
  <si>
    <t>SMOFKABIVEN ELECTROLYTE FREE</t>
  </si>
  <si>
    <t>Aminofusin PAED Infus (AMINOFUSIN PAED, 250 mL)</t>
  </si>
  <si>
    <t>AMINOFUSIN PAED</t>
  </si>
  <si>
    <t>Aminophylline 200 mg Tablet (MARIN LIZA FARMASI)</t>
  </si>
  <si>
    <t>AMINOPHYLLINE</t>
  </si>
  <si>
    <t>Aminophylline 24 mg / mL Injeksi (PHAPROS Tbk)</t>
  </si>
  <si>
    <t>Amiodarone 50 mg / mL Injeksi (DARYA-VARIA LABORATORIA TBK)</t>
  </si>
  <si>
    <t>AMIODARONE HCL</t>
  </si>
  <si>
    <t>Amiodarone 50 mg / mL Injeksi (ETHICA)</t>
  </si>
  <si>
    <t>AMIODARONE HYDROCHLORIDE</t>
  </si>
  <si>
    <t>Amitriptyline Hydrochloride 25 mg Tablet Salut Selaput (INDOFARMA)</t>
  </si>
  <si>
    <t>AMITRIPTYLINE HCL</t>
  </si>
  <si>
    <t>Amitriptyline Hydrochloride 25 mg Tablet Salut Selaput (YARINDO FARMATAMA)</t>
  </si>
  <si>
    <t>AMITRIPTYLINE HYDROCHLORIDE</t>
  </si>
  <si>
    <t>Amlodipine Besilate 10 mg Kaplet (SAMPHARINDO PERDANA)</t>
  </si>
  <si>
    <t>AMLODIPINE BESILATE</t>
  </si>
  <si>
    <t>Amlodipine Besilate 5 mg Tablet (KIMIA FARMA)</t>
  </si>
  <si>
    <t>Amlodipine Besilate 5 mg Tablet (MERSIFARMA TIRMAKU MERCUSANA)</t>
  </si>
  <si>
    <t>Amlodipine Besilate 5 mg Tablet (TEMPO SCAN PACIFIC Tbk)</t>
  </si>
  <si>
    <t>Amoxicillin 125 mg / 5 mL Sirup Kering (CAMOKSIL DS)</t>
  </si>
  <si>
    <t>CAMOKSIL DS</t>
  </si>
  <si>
    <t>Sirup Kering</t>
  </si>
  <si>
    <t>Amoxicillin 125 mg / 5 mL Sirup Kering (MERSIFARMA TIRMAKU MERCUSANA)</t>
  </si>
  <si>
    <t>AMOXICILLIN TRIHYDRATE</t>
  </si>
  <si>
    <t>Amoxicillin 125 mg / 5 mL Sirup Kering (SAMPHARINDO PERDANA)</t>
  </si>
  <si>
    <t>AMOXICILLIN</t>
  </si>
  <si>
    <t>Amoxicillin 250 mg Kaplet (PHARMA LABORATORIES)</t>
  </si>
  <si>
    <t>Amoxicillin 500 mg Kaplet (HEXPHARM JAYA LABORATORIES)</t>
  </si>
  <si>
    <t>Amoxicillin Trihydrate 100 mg / mL Sirup Kering (PHARMA LABORATORIES)</t>
  </si>
  <si>
    <t>Amoxicillin Trihydrate 100 mg/mL Tetes Oral (MEPROFARM)</t>
  </si>
  <si>
    <t>Tetes Oral (Oral Drops)</t>
  </si>
  <si>
    <t>Amoxicillin Trihydrate 250 mg / 5 mL Sirup Kering (IFARS)</t>
  </si>
  <si>
    <t>Amoxicillin Trihydrate 250 mg / 5 mL Sirup Kering (MERSIFARMA TIRMAKU MERCUSANA, 60 mL)</t>
  </si>
  <si>
    <t>Ampicillin 500 mg / Sulbactam 250 mg Serbuk Injeksi (BACTESYN)</t>
  </si>
  <si>
    <t>BACTESYN</t>
  </si>
  <si>
    <t>Ampicillin Sodium 1000 mg Serbuk Injeksi (BERNOFARM)</t>
  </si>
  <si>
    <t>AMPICILLIN SODIUM</t>
  </si>
  <si>
    <t>Ampicillin Sodium 1000 mg Serbuk Injeksi (PHAPROS Tbk)</t>
  </si>
  <si>
    <t>Ampicillin Sodium 250 mg Serbuk Injeksi (VICCILLIN)</t>
  </si>
  <si>
    <t>VICCILLIN</t>
  </si>
  <si>
    <t>Anastrozole 1 mg Tablet Salut Selaput (BRACER)</t>
  </si>
  <si>
    <t>BRACER</t>
  </si>
  <si>
    <t>Anhydrous Dextrose 40% Infus (OTSU - D40)</t>
  </si>
  <si>
    <t>OTSU - D40</t>
  </si>
  <si>
    <t>Aripiprazole 1 mg / mL Cairan Oral (ABILIFY, 150 mL)</t>
  </si>
  <si>
    <t>ABILIFY</t>
  </si>
  <si>
    <t>Aripiprazole 1 mg / mL Cairan Oral (ABILIFY, 60 mL)</t>
  </si>
  <si>
    <t>Aripiprazole 10 mg Tablet Cepat Larut (DEXA MEDICA)</t>
  </si>
  <si>
    <t>ARIPIPRAZOLE</t>
  </si>
  <si>
    <t>Tablet Cepat Larut</t>
  </si>
  <si>
    <t>Aripiprazole 15 mg Tablet (ARISKI)</t>
  </si>
  <si>
    <t>ARISKI</t>
  </si>
  <si>
    <t>Aripiprazole 15 mg Tablet Cepat Larut (DEXA MEDICA)</t>
  </si>
  <si>
    <t>Aripiprazole 5 mg Tablet (ARINIA - 5)</t>
  </si>
  <si>
    <t>ARINIA - 5</t>
  </si>
  <si>
    <t>Asam Asetilsalisilat / Acetylsalicylic Acid 100 mg Tablet Salut Enterik (PHAPROS Tbk)</t>
  </si>
  <si>
    <t>Tablet Salut Enterik</t>
  </si>
  <si>
    <t>Asam Asetilsalisilat 80 mg Tablet Salut Enterik (ASCARDIA)</t>
  </si>
  <si>
    <t>ASCARDIA</t>
  </si>
  <si>
    <t>Asam Asetilsalisilat 80 mg Tablet Salut Enterik (CARTYLO)</t>
  </si>
  <si>
    <t>CARTYLO</t>
  </si>
  <si>
    <t>Asam Asetilsalisilat 80 mg Tablet Salut Enterik (MINIASPI 80)</t>
  </si>
  <si>
    <t>MINIASPI 80</t>
  </si>
  <si>
    <t>Asam Asetilsalisilat 80 mg Tablet Salut Enterik (THROMBO ASPILETS)</t>
  </si>
  <si>
    <t>THROMBO ASPILETS</t>
  </si>
  <si>
    <t>Ascorbic Acid / Asam Askorbat / Vitamin C 250 mg Tablet (AFIFARMA)</t>
  </si>
  <si>
    <t>Ascorbic Acid / Asam Askorbat / Vitamin C 250 mg Tablet (IMFARMIND)</t>
  </si>
  <si>
    <t>VITAMIN C 250 MG</t>
  </si>
  <si>
    <t>Ascorbic Acid / Asam Askorbat / Vitamin C 50 mg Tablet (IMFARMIND FARMASI INDUSTRI)</t>
  </si>
  <si>
    <t>VITAMIN C 50 MG</t>
  </si>
  <si>
    <t>ASERING-5 Infus (ASERING-5)</t>
  </si>
  <si>
    <t>ASERING-5</t>
  </si>
  <si>
    <t>Asparaginase 10.000 IU Serbuk Injeksi (LEUNASE)</t>
  </si>
  <si>
    <t>LEUNASE</t>
  </si>
  <si>
    <t>Atorvastatin 20 mg Tablet (DEXA MEDICA - Indonesia - -)</t>
  </si>
  <si>
    <t>ATORVASTATIN CALCIUM TRIHYDRATE</t>
  </si>
  <si>
    <t>Tablet Pelepasan Lambat</t>
  </si>
  <si>
    <t>Atorvastatin Calcium Trihydrate 10 mg Tablet Salut Selaput (DEXA MEDICA)</t>
  </si>
  <si>
    <t>Atracurium Besilate 10 mg / mL Injeksi (ETHICA, 2,5 mL)</t>
  </si>
  <si>
    <t>ATRACURIUM BESILATE</t>
  </si>
  <si>
    <t>Atracurium Besilate 10 mg / mL Injeksi (ETHICA, 5 mL)</t>
  </si>
  <si>
    <t>Atropine Sulfate 0,25 mg / mL Injeksi (ETHICA)</t>
  </si>
  <si>
    <t>ATROPINE SULFATE</t>
  </si>
  <si>
    <t>Azathioprine 50 mg Tablet Salut Selaput (IMURAN)</t>
  </si>
  <si>
    <t>IMURAN</t>
  </si>
  <si>
    <t>Azithromycin 500 mg Kaplet Salut Selaput (HEXPHARM JAYA LABORATORIES)</t>
  </si>
  <si>
    <t>AZITHROMYCIN DIHYDRATE</t>
  </si>
  <si>
    <t>Kaplet Salut Selaput</t>
  </si>
  <si>
    <t>Azithromycin 500 mg Kaplet Salut Selaput (KIMIA FARMA)</t>
  </si>
  <si>
    <t>AZITHROMYCIN</t>
  </si>
  <si>
    <t>Azithromycin 500 mg Serbuk Injeksi (BERNOFARM)</t>
  </si>
  <si>
    <t>Azithromycin 500 mg Serbuk Injeksi (NATURA LABORATORIA PRIMA)</t>
  </si>
  <si>
    <t>Azithromycin Dihydrate 500 mg / Cefixime Trihydrate 200 mg Tablet Salut Selaput (KIMIA FARMA)</t>
  </si>
  <si>
    <t>KOMBIPAK AZITHROMYCIN - CEFIXIME</t>
  </si>
  <si>
    <t>Bacitracin 500 IU / Polymyxin B 10.000 IU Salep (INDOFARMA)</t>
  </si>
  <si>
    <t>BACITRACIN - POLYMYXIN B</t>
  </si>
  <si>
    <t>Salep</t>
  </si>
  <si>
    <t>Basiliximab 20 mg Serbuk Injeksi (SIMULECT)</t>
  </si>
  <si>
    <t>SIMULECT</t>
  </si>
  <si>
    <t>Bedaquiline Fumarate 100 mg Tablet (SIRTURO)</t>
  </si>
  <si>
    <t>SIRTURO</t>
  </si>
  <si>
    <t>Bendamustine Hydrochloride Monohydrate 5 mg / mL Serbuk Injeksi (BENTERO, 100 mg)</t>
  </si>
  <si>
    <t>BENTERO 100</t>
  </si>
  <si>
    <t>Bendamustine Hydrochloride Monohydrate 5 mg / mL Serbuk Injeksi (BENTERO, 25 mg)</t>
  </si>
  <si>
    <t>BENTERO 25</t>
  </si>
  <si>
    <t>Bendamustine Hydrochloride Monohydrate 5 mg / mL Serbuk Injeksi (DENBAMUS, 100 mg)</t>
  </si>
  <si>
    <t>DENBAMUS</t>
  </si>
  <si>
    <t>Bendamustine Hydrochloride Monohydrate 5 mg / mL Serbuk Injeksi (FONKOMUSTIN, 100 mg)</t>
  </si>
  <si>
    <t>FONKOMUSTIN</t>
  </si>
  <si>
    <t>Bendamustine Hydrochloride Monohydrate 5 mg / mL Serbuk Injeksi (FONKOMUSTIN, 25 mg)</t>
  </si>
  <si>
    <t>Benserazide 25 mg / Levodopa 100 mg Tablet (LEVOBEN)</t>
  </si>
  <si>
    <t>LEVOBEN</t>
  </si>
  <si>
    <t>Benserazide 25 mg / Levodopa 100 mg Tablet (LEVOPAR)</t>
  </si>
  <si>
    <t>LEVOPAR</t>
  </si>
  <si>
    <t>Benserazide 25 mg / Levodopa 100 mg Tablet Dispersible (MADOPAR)</t>
  </si>
  <si>
    <t>MADOPAR</t>
  </si>
  <si>
    <t>Tablet Dispersibel</t>
  </si>
  <si>
    <t>Benzathine Benzilpenicillin 1.200.000 IU Serbuk Injeksi (PHAPROS Tbk)</t>
  </si>
  <si>
    <t>BENZATHINE BENZILPENICILLIN</t>
  </si>
  <si>
    <t>Benzathine Benzilpenicillin 2.400.000 IU Serbuk Injeksi (PHAPROS Tbk)</t>
  </si>
  <si>
    <t>BENZATHINE BENZYLPENICILLIN</t>
  </si>
  <si>
    <t>Beraprost Sodium 20 mcg Tablet (EG10021712000020 Nama ObatDORNER)</t>
  </si>
  <si>
    <t>DORNER</t>
  </si>
  <si>
    <t>Betahistine Hydrochloride 24 mg Tablet (YARINDO FARMATAMA)</t>
  </si>
  <si>
    <t>BETAHISTINE HYDROCHLORIDE</t>
  </si>
  <si>
    <t>Betahistine Mesilate 6 mg Tablet (DEXA MEDICA)</t>
  </si>
  <si>
    <t>BETAHISTINE MESILATE</t>
  </si>
  <si>
    <t>Betamethasone 0,1% Krim (KIMIA FARMA Tbk.)</t>
  </si>
  <si>
    <t>BETAMETHASONE VALERATE</t>
  </si>
  <si>
    <t>Krim</t>
  </si>
  <si>
    <t>Betamethasone 0.05% Krim (TEMPO SCAN PACIFIC Tbk)</t>
  </si>
  <si>
    <t>BETAMETHASONE DIPROPIONATE</t>
  </si>
  <si>
    <t>Bfluid Infus (BFLUID, 1000 mL)</t>
  </si>
  <si>
    <t>BFLUID</t>
  </si>
  <si>
    <t>Bfluid Infus (BFLUID, 500 mL)</t>
  </si>
  <si>
    <t>Bicalutamide 50 mg Tablet Salut Selaput (BICASTRA)</t>
  </si>
  <si>
    <t>BICASTRA</t>
  </si>
  <si>
    <t>Bisacodyl 10 mg Suppositoria (DULCOLAX)</t>
  </si>
  <si>
    <t>DULCOLAX</t>
  </si>
  <si>
    <t>Supositoria</t>
  </si>
  <si>
    <t>Obat Bebas Terbatas</t>
  </si>
  <si>
    <t>Bisacodyl 10 mg Suppositoria (STOLAX)</t>
  </si>
  <si>
    <t>STOLAX</t>
  </si>
  <si>
    <t>Bisacodyl 5 mg Suppositoria (DULCOLAX)</t>
  </si>
  <si>
    <t>Bisacodyl 5 mg Tablet Salut Enterik (HARSEN)</t>
  </si>
  <si>
    <t>BISACODYL</t>
  </si>
  <si>
    <t>Bisoprolol Fumarate 1,25 mg Tablet Salut Selaput (CONCOR)</t>
  </si>
  <si>
    <t>CONCOR</t>
  </si>
  <si>
    <t>Bisoprolol Fumarate 10 mg Tablet Salut Selaput (Concor)</t>
  </si>
  <si>
    <t>Bisoprolol Fumarate 2.5 mg Tablet (DEXA MEDICA)</t>
  </si>
  <si>
    <t>Bisoprolol Fumarate 5 mg Tablet (B-BETA)</t>
  </si>
  <si>
    <t>B-BETA</t>
  </si>
  <si>
    <t>Bisoprolol Fumarate 5 mg Tablet (BETA PHARMACON - Indonesia - -)</t>
  </si>
  <si>
    <t>Bisoprolol Fumarate 5 mg Tablet (BETA-ONE)</t>
  </si>
  <si>
    <t>BETA-ONE</t>
  </si>
  <si>
    <t>Bisoprolol Fumarate 5 mg Tablet (BIOFIN)</t>
  </si>
  <si>
    <t>BIOFIN</t>
  </si>
  <si>
    <t>Bisoprolol Fumarate 5 mg Tablet (BIPRO)</t>
  </si>
  <si>
    <t>BIPRO</t>
  </si>
  <si>
    <t>Bisoprolol Fumarate 5 mg Tablet (BISCOR)</t>
  </si>
  <si>
    <t>BISCOR</t>
  </si>
  <si>
    <t>Bisoprolol Fumarate 5 mg Tablet (BISOVELL)</t>
  </si>
  <si>
    <t>BISOVELL</t>
  </si>
  <si>
    <t>Bisoprolol Fumarate 5 mg Tablet (CARBISOL)</t>
  </si>
  <si>
    <t>CARBISOL</t>
  </si>
  <si>
    <t>Bisoprolol Fumarate 5 mg Tablet (CONCOR)</t>
  </si>
  <si>
    <t>Bisoprolol Fumarate 5 mg Tablet (DEXA MEDICA - Indonesia - -)</t>
  </si>
  <si>
    <t>Bisoprolol Fumarate 5 mg Tablet (HAPSEN)</t>
  </si>
  <si>
    <t>HAPSEN</t>
  </si>
  <si>
    <t>Bisoprolol Fumarate 5 mg Tablet (HEXPHARM JAYA LABORATORIES - Indonesia - -)</t>
  </si>
  <si>
    <t>Bisoprolol Fumarate 5 mg Tablet (KIMIA FARMA Tbk. - Indonesia - -)</t>
  </si>
  <si>
    <t>Bisoprolol Fumarate 5 mg Tablet (KONBLOBET)</t>
  </si>
  <si>
    <t>KONBLOBET</t>
  </si>
  <si>
    <t>Bisoprolol Fumarate 5 mg Tablet (MAINTATE 5)</t>
  </si>
  <si>
    <t>MAINTATE 5</t>
  </si>
  <si>
    <t>Bisoprolol Fumarate 5 mg Tablet (MINITEN)</t>
  </si>
  <si>
    <t>MINITEN</t>
  </si>
  <si>
    <t>Bisoprolol Fumarate 5 mg Tablet (NOVELL PHARMACEUTICAL LAB. - Indonesia - -)</t>
  </si>
  <si>
    <t>Bisoprolol Fumarate 5 mg Tablet (OPIPROL 5)</t>
  </si>
  <si>
    <t>OPIPROL 5</t>
  </si>
  <si>
    <t>Bisoprolol Fumarate 5 mg Tablet (SELBIX)</t>
  </si>
  <si>
    <t>SELBIX</t>
  </si>
  <si>
    <t>Bisoprolol Fumarate 5 mg Tablet (TENCARD)</t>
  </si>
  <si>
    <t>Bleomycin 15 mg Serbuk Injeksi (BLEOCIN)</t>
  </si>
  <si>
    <t>BLEOCIN</t>
  </si>
  <si>
    <t>Bortezomib 3,5 mg Serbuk Injeksi Liofilisasi (BORMIB)</t>
  </si>
  <si>
    <t>BORMIB</t>
  </si>
  <si>
    <t>Serbuk Injeksi Liofilisasi</t>
  </si>
  <si>
    <t>Bortezomib 3,5 mg Serbuk Injeksi Liofilisasi (BORTERO)</t>
  </si>
  <si>
    <t>BORTERO</t>
  </si>
  <si>
    <t>Bortezomib 3,5 mg Serbuk Injeksi Liofilisasi (FONKOZOMIB)</t>
  </si>
  <si>
    <t>FONKOZOMIB</t>
  </si>
  <si>
    <t>Budesonid 0.25 mg/mL Spray (BUDESMA)</t>
  </si>
  <si>
    <t>BUDESMA</t>
  </si>
  <si>
    <t>Budesonid 0.25 mg/mL Spray (PRATAPA NIRMALA - Indonesia - -)</t>
  </si>
  <si>
    <t>Budesonid 0.25 mg/mL Spray (PULMICORT RESPULES)</t>
  </si>
  <si>
    <t>PULMICORT RESPULES</t>
  </si>
  <si>
    <t>Budesonid 0.25 mg/mL Spray (SONIDE 0,25)</t>
  </si>
  <si>
    <t>SONIDE 0,25</t>
  </si>
  <si>
    <t>Budesonide 0,25 mg / mL Cairan Inhalasi (PULMICORT RESPULES)</t>
  </si>
  <si>
    <t>Budesonide 0,25 mg / mL Suspensi Inhalasi (PRATAPA NIRMALA)</t>
  </si>
  <si>
    <t>BUDESONIDE</t>
  </si>
  <si>
    <t>Suspensi Inhalasi</t>
  </si>
  <si>
    <t>Budesonide 0.5 mg / mL Suspensi Inhalasi (PRATAPA NIRMALA)</t>
  </si>
  <si>
    <t>Budesonide 160 mcg / Formoterol Fumarate 4,5 mcg Suspensi Inhalasi (SYMBICORT)</t>
  </si>
  <si>
    <t>SYMBICORT</t>
  </si>
  <si>
    <t>Serbuk Inhaler</t>
  </si>
  <si>
    <t>Budesonide 80 mcg/ Formoterol Fumarate 4,5 mcg Serbuk Inhaler (SYMBICORT)</t>
  </si>
  <si>
    <t>Bupivacaine 0,5 % Injeksi (ETHICA INDUSTRI FARMASI)</t>
  </si>
  <si>
    <t>BUPIVACAINE HCL MONOHYDRATE</t>
  </si>
  <si>
    <t>Calcitriol 0,25 mcg Kapsul Lunak (PHAPROS Tbk)</t>
  </si>
  <si>
    <t>CALCITRIOL</t>
  </si>
  <si>
    <t>Kapsul Lunak</t>
  </si>
  <si>
    <t>Calcitriol 0,5 mcg Kapsul Lunak (PHAPROS Tbk)</t>
  </si>
  <si>
    <t>Calcium Chloride Hexahydrate 27.5 g / Dextrose Monohydrate 4.3 g / Potassium Chloride 0.16 g / Sodium Chloride 0.15 g (INFUSAN - R + D, 500 mL)</t>
  </si>
  <si>
    <t>INFUSAN - R + D</t>
  </si>
  <si>
    <t>Calcium Folinate 10 mg / mL Injeksi (FERRON PAR PHARMACEUTICALS)</t>
  </si>
  <si>
    <t>CALCIUM FOLINATE</t>
  </si>
  <si>
    <t>Calcium Folinate 10 mg / mL Injeksi (GLOBAL ONKOLAB FARMA)</t>
  </si>
  <si>
    <t>Calcium Gluconate 100 mg / mL Injeksi (DEXA MEDICA)</t>
  </si>
  <si>
    <t>CALCIUM GLUCONATE</t>
  </si>
  <si>
    <t>Calcium Lactate 500 mg Tablet/Kaplet (MERSIFARMA TIRMAKU MERCUSANA)</t>
  </si>
  <si>
    <t>Candesartan Cilexetil 16 mg Tablet (DEXA MEDICA)</t>
  </si>
  <si>
    <t>CANDESARTAN CILEXETIL</t>
  </si>
  <si>
    <t>Candesartan Cilexetil 8 mg Tablet (DEXA MEDICA)</t>
  </si>
  <si>
    <t>Capecitabine 500 mg Tablet Salut Selaput (BINECAP)</t>
  </si>
  <si>
    <t>BINECAP</t>
  </si>
  <si>
    <t>Capecitabine 500 mg Tablet Salut Selaput (FERCAB)</t>
  </si>
  <si>
    <t>FERCAB</t>
  </si>
  <si>
    <t>Capecitabine 500 mg Tablet Salut Selaput (TACERAL)</t>
  </si>
  <si>
    <t>TACERAL</t>
  </si>
  <si>
    <t>Capecitabine 500 mg Tablet Salut Selaput (XELODA)</t>
  </si>
  <si>
    <t>XELODA</t>
  </si>
  <si>
    <t>Captopril 12,5 mg Tablet (PHAPROS Tbk)</t>
  </si>
  <si>
    <t>CAPTOPRIL</t>
  </si>
  <si>
    <t>Captopril 25 mg Tablet (PHAPROS Tbk)</t>
  </si>
  <si>
    <t>Captopril 25 mg Tablet (RAMA EMERALD MULTI SUKSES)</t>
  </si>
  <si>
    <t>Carbamazepine 200 mg Tablet (MERSIFARMA TIRMAKU MERCUSANA)</t>
  </si>
  <si>
    <t>CARBAMAZEPINE</t>
  </si>
  <si>
    <t>Carbimazole 5 mg Tablet (NEO MERCAZOLE)</t>
  </si>
  <si>
    <t>NEO MERCAZOLE</t>
  </si>
  <si>
    <t>Carboplatin 10 mg / mL Injeksi (CKD OTTO Pharmaceuticals, 15 mL)</t>
  </si>
  <si>
    <t>CARBOPLATIN</t>
  </si>
  <si>
    <t>Carboplatin 10 mg / mL Injeksi (CKD OTTO Pharmaceuticals, 45 mL)</t>
  </si>
  <si>
    <t>Carboplatin 10 mg / mL Injeksi (DANKOS FARMA, 15 mL)</t>
  </si>
  <si>
    <t>Carboplatin 10 mg / mL Injeksi (DANKOS FARMA, 45 mL)</t>
  </si>
  <si>
    <t>Carboplatin 10 mg / mL Injeksi (FERRON PAR PHARMACEUTICALS, 15 mL)</t>
  </si>
  <si>
    <t>Carboplatin 10 mg / mL Injeksi (FERRON PAR PHARMACEUTICALS, 45 mL)</t>
  </si>
  <si>
    <t>Carboplatin 10 mg / mL Injeksi (FUPLATIN, 15 mL)</t>
  </si>
  <si>
    <t>FUPLATIN</t>
  </si>
  <si>
    <t>Carboplatin 10 mg / mL Injeksi (FUPLATIN, 45 mL)</t>
  </si>
  <si>
    <t>Carboplatin 10 mg / mL Injeksi (FUPLATIN)</t>
  </si>
  <si>
    <t>Carboplatin 10 mg / mL Injeksi (KEMOCARB, 15 mL)</t>
  </si>
  <si>
    <t>KEMOCARB</t>
  </si>
  <si>
    <t>Carboplatin 10 mg / mL Injeksi (KEMOCARB, 45 mL)</t>
  </si>
  <si>
    <t>Carboplatin 10 mg / mL Injeksi (SANBE FARMA, 15 mL)</t>
  </si>
  <si>
    <t>Carboplatin 10 mg / mL Injeksi (SANBE FARMA, 45 mL)</t>
  </si>
  <si>
    <t>Carboplatin 10 mg / mL Injeksi (SANBE FARMA)</t>
  </si>
  <si>
    <t>Carvedilol 25 mg Tablet (V-BLOC)</t>
  </si>
  <si>
    <t>V-BLOC</t>
  </si>
  <si>
    <t>Carvedilol 6,25 mg Tablet (DARYA-VARIA LABORATORIA TBK)</t>
  </si>
  <si>
    <t>CARVEDILOL</t>
  </si>
  <si>
    <t>Cefadroxil 125 mg / 5 mL Sirup Kering (HEXPHARM JAYA LABORATORIES)</t>
  </si>
  <si>
    <t>CEFADROXIL MONOHYDRATE</t>
  </si>
  <si>
    <t>Cefadroxil 125 mg / 5 mL Sirup Kering (KIMIA FARMA)</t>
  </si>
  <si>
    <t>Cefadroxil 125 mg / 5 mL Sirup Kering (PROMEDRAHARDJO FARMASI INDUSTRI)</t>
  </si>
  <si>
    <t>Cefadroxil 250 mg / 5 mL Sirup Kering (IFARS)</t>
  </si>
  <si>
    <t>CEFADROXIL</t>
  </si>
  <si>
    <t>Cefadroxil 250 mg / 5 mL Sirup Kering (NOVAPHARIN)</t>
  </si>
  <si>
    <t>Cefadroxil 250 mg Kapsul (PHARMA LABORATORIES)</t>
  </si>
  <si>
    <t>Cefadroxil 500 mg Kapsul (HEXPHARM JAYA LABORATORIES)</t>
  </si>
  <si>
    <t>Cefazolin 1.000 mg Serbuk Injeksi (DEXA MEDICA)</t>
  </si>
  <si>
    <t>CEFAZOLIN SODIUM</t>
  </si>
  <si>
    <t>Cefixime 100 mg / 5 ml Sirup Kering (DEXA MEDICA)</t>
  </si>
  <si>
    <t>CEFIXIME TRIHYDRATE</t>
  </si>
  <si>
    <t>Cefixime Trihydrate 100 mg Kapsul (HEXPHARM JAYA LABORATORIES)</t>
  </si>
  <si>
    <t>Cefixime Trihydrate 100 mg Kapsul (PHARMA LABORATORIES)</t>
  </si>
  <si>
    <t>Cefoperazone 1 G Serbuk Injeksi (DEXA MEDICA)</t>
  </si>
  <si>
    <t>CEFOPERAZONE SODIUM</t>
  </si>
  <si>
    <t>Cefotaxime Sodium 1 gram Serbuk Injeksi (DEXA MEDICA)</t>
  </si>
  <si>
    <t>CEFOTAXIME SODIUM</t>
  </si>
  <si>
    <t>Cefotaxime Sodium 1 gram Serbuk Injeksi (HEXPHARM JAYA LABORATORIES)</t>
  </si>
  <si>
    <t>Cefotaxime Sodium 500 mg Serbuk Injeksi (DEXA MEDICA)</t>
  </si>
  <si>
    <t>Ceftazidime 1 g Serbuk Injeksi (DEXA MEDICA)</t>
  </si>
  <si>
    <t>CEFTAZIDIME PENTAHYDRATE</t>
  </si>
  <si>
    <t>Ceftriaxone 1 g Serbuk Injeksi (BERNOFARM)</t>
  </si>
  <si>
    <t>CEFTRIAXONE SODIUM SESQUATERHYDRATE</t>
  </si>
  <si>
    <t>Ceftriaxone 1 g Serbuk Injeksi (DEXA MEDICA)</t>
  </si>
  <si>
    <t>CEFTRIAXONE SODIUM</t>
  </si>
  <si>
    <t>Ceftriaxone 1 g Serbuk Injeksi (HOLI PHARMA)</t>
  </si>
  <si>
    <t>Ceftriaxone 1 g Serbuk Injeksi (INCEPHIN)</t>
  </si>
  <si>
    <t>INCEPHIN</t>
  </si>
  <si>
    <t>Ceftriaxone 1 g Serbuk Injeksi (SANBE FARMA)</t>
  </si>
  <si>
    <t>Cefuroxime 750 mg Serbuk Injeksi (DEXA MEDICA)</t>
  </si>
  <si>
    <t>CEFUROXIME SODIUM</t>
  </si>
  <si>
    <t>Cefuroxime Axetil 500 mg Kaplet Salut Selaput (DEXA MEDICA)</t>
  </si>
  <si>
    <t>CEFUROXIME AXETIL</t>
  </si>
  <si>
    <t>Cetirizine Hydrochloride 10 mg Tablet Salut Selaput (SAMPHARINDO PERDANA)</t>
  </si>
  <si>
    <t>CETIRIZINE HYDROCHLORIDE</t>
  </si>
  <si>
    <t>Cetirizine Hydrochloride 5 mg / 5 mL Sirup (AFIFARMA)</t>
  </si>
  <si>
    <t>Sirup</t>
  </si>
  <si>
    <t>Cetirizine Hydrochloride 5 mg / 5 mL Sirup (SAMPHARINDO PERDANA)</t>
  </si>
  <si>
    <t>Chloramphenicol 1 % Salep Mata (KIMIA FARMA, Mojokerto)</t>
  </si>
  <si>
    <t>CHLORAMPHENICOL</t>
  </si>
  <si>
    <t>Chloramphenicol 125 mg/5 mL Suspensi (NOVAPHARIN)</t>
  </si>
  <si>
    <t>CHLORAMPHENICOL PALMITATE</t>
  </si>
  <si>
    <t>Chloramphenicol 2 % Salep Mata (BUFACETINE)</t>
  </si>
  <si>
    <t>BUFACETINE</t>
  </si>
  <si>
    <t>Chloramphenicol 500 mg Kapsul (CHLORAMEX)</t>
  </si>
  <si>
    <t>CHLORAMEX</t>
  </si>
  <si>
    <t>Chlorphenamine Maleate 4 mg Tablet (IMFARMIND FARMASI INDUSTRI)</t>
  </si>
  <si>
    <t>CHLORAMHPENAMINE MALEATE</t>
  </si>
  <si>
    <t>Chlorphenamine Maleate 4 mg Tablet (RAMA EMERALD MULTI SUKSES)</t>
  </si>
  <si>
    <t>CHLORPHENAMINE MALEATE</t>
  </si>
  <si>
    <t>Chlorpromazine 25 mg Tablet Salut Selaput (PHAPROS Tbk)</t>
  </si>
  <si>
    <t>CHLORPROMAZINE HCL</t>
  </si>
  <si>
    <t>Ciclosporin 100mg Kapsul Lunak (SANDIMMUN NEORAL)</t>
  </si>
  <si>
    <t>SANDIMMUN NEORAL</t>
  </si>
  <si>
    <t>Ciclosporin 25 mg Kapsul Lunak (SANDIMMUN NEORAL)</t>
  </si>
  <si>
    <t>Ciclosporin 50 mg Kapsul (SANDIMMUN NEORAL)</t>
  </si>
  <si>
    <t>Ciprofloxacin 0,2 % Injeksi (DEXA MEDICA)</t>
  </si>
  <si>
    <t>CIPROFLOXACIN</t>
  </si>
  <si>
    <t>Ciprofloxacin 500 mg Tablet Salut Selaput (HEXPHARM JAYA LABORATORIES)</t>
  </si>
  <si>
    <t>CIPROFLOXACIN HCL</t>
  </si>
  <si>
    <t>Cisplatin 1 mg / mL Cairan Injeksi (10 mL, CISPLASAN)</t>
  </si>
  <si>
    <t>CISPLASAN</t>
  </si>
  <si>
    <t>Cisplatin 1 mg / mL Cairan Injeksi (10 mL, CISPLATIN, FERRON PAR PHARMACEUTICALS)</t>
  </si>
  <si>
    <t>CISPLATIN</t>
  </si>
  <si>
    <t>Cisplatin 1 mg / mL Cairan Injeksi (10 mL, CISPLATIN, SANBE FARMA)</t>
  </si>
  <si>
    <t>Cisplatin 1 mg / mL Cairan Injeksi (10 mL, CISPLATIN)</t>
  </si>
  <si>
    <t>Cisplatin 1 mg / mL Cairan Injeksi (10 mL, CISTEEN)</t>
  </si>
  <si>
    <t>CISTEEN</t>
  </si>
  <si>
    <t>Cisplatin 1 mg / mL Cairan Injeksi (10 mL, FERRON PAR PHARMACEUTICALS)</t>
  </si>
  <si>
    <t>Cisplatin 1 mg / mL Cairan Injeksi (50 mL, CILATIN)</t>
  </si>
  <si>
    <t>CILATIN 50</t>
  </si>
  <si>
    <t>Cisplatin 1 mg / mL Cairan Injeksi (50 mL, CISPLASAN)</t>
  </si>
  <si>
    <t>Cisplatin 1 mg / mL Cairan Injeksi (50 mL, CISPLATIN, FERRON PAR PHARMACEUTICALS)</t>
  </si>
  <si>
    <t>Cisplatin 1 mg / mL Cairan Injeksi (50 mL, CISPLATIN, SANBE FARMA)</t>
  </si>
  <si>
    <t>Cisplatin 1 mg / mL Cairan Injeksi (50 mL, CISPLATIN)</t>
  </si>
  <si>
    <t>Cisplatin 1 mg / mL Cairan Injeksi (50 mL, CISTEEN)</t>
  </si>
  <si>
    <t>Cisplatin 1 mg / mL Cairan Injeksi (50 mL, FERRON PAR PHARMACEUTICALS)</t>
  </si>
  <si>
    <t>Clarithromycin 125 mg / 5 mL Sirup Kering (COMTRO)</t>
  </si>
  <si>
    <t>COMTRO</t>
  </si>
  <si>
    <t>Clarithromycin 250 mg / 5 mL Sirup Kering (ABBOTIC, 50 mL)</t>
  </si>
  <si>
    <t>ABBOTIC</t>
  </si>
  <si>
    <t>Clarithromycin 500 mg Kaplet Salut Selaput (ETERCON PHARMA)</t>
  </si>
  <si>
    <t>CLARITHROMYCIN</t>
  </si>
  <si>
    <t>Clindamycin Hydrochloride 300 mg Kapsul (MERSIFARMA TIRMAKU MERCUSANA)</t>
  </si>
  <si>
    <t>CLINDAMYCIN HCL</t>
  </si>
  <si>
    <t>Clobazam 10 mg Tablet (ANXIBLOC)</t>
  </si>
  <si>
    <t>ANXIBLOC</t>
  </si>
  <si>
    <t>Clobazam 10 mg Tablet (ASABIUM)</t>
  </si>
  <si>
    <t>ASABIUM</t>
  </si>
  <si>
    <t>Clobazam 10 mg Tablet (CLOFRITIS)</t>
  </si>
  <si>
    <t>CLOFRITIS</t>
  </si>
  <si>
    <t>Clobazam 10 mg Tablet (DEXA MEDICA)</t>
  </si>
  <si>
    <t>CLOBAZAM</t>
  </si>
  <si>
    <t>Clobazam 10 mg Tablet (ETERCON PHARMA)</t>
  </si>
  <si>
    <t>Clobazam 10 mg Tablet (FRISIUM)</t>
  </si>
  <si>
    <t>FRISIUM</t>
  </si>
  <si>
    <t>Clobazam 10 mg Tablet (MERSIFARMA TIRMAKU MERCUSANA)</t>
  </si>
  <si>
    <t>Clobazam 10 mg Tablet (PROCLOZAM)</t>
  </si>
  <si>
    <t>PROCLOZAM</t>
  </si>
  <si>
    <t>Clobetasol Propionate 0,05%  Salep (ETERCON PHARMA)</t>
  </si>
  <si>
    <t>CLOBETASOL PROPIONATE</t>
  </si>
  <si>
    <t>Clobetasol Propionate 0,05% Krim (BUFA ANEKA)</t>
  </si>
  <si>
    <t>Clonazepam 2 mg Tablet Salut Selaput (MERSIFARMA TIRMAKU MERCUSANA)</t>
  </si>
  <si>
    <t>CLONAZEPAM</t>
  </si>
  <si>
    <t>Clonidine Hydrochloride 0,15 mg Tablet (KIMIA FARMA Tbk.)</t>
  </si>
  <si>
    <t>CLONIDINE HYDROCHLORIDE</t>
  </si>
  <si>
    <t>Clonidine Hydrochloride 150 mcg/mL Cairan Injeksi (CATAPRES)</t>
  </si>
  <si>
    <t>CATAPRES</t>
  </si>
  <si>
    <t>Clonidine Hydrochloride 150 mcg/mL Cairan Injeksi (PYRIDAM FARMA TBK)</t>
  </si>
  <si>
    <t>Clopidogrel 300 mg Tablet Salut Selaput (PLAVIX)</t>
  </si>
  <si>
    <t>PLAVIX</t>
  </si>
  <si>
    <t>Clopidogrel 75 mg Tablet Salut Selaput (ACTAVIS INDONESIA)</t>
  </si>
  <si>
    <t>CLOPIDOGREL BISULFATE</t>
  </si>
  <si>
    <t>Clopidogrel 75 mg Tablet Salut Selaput (AGRELANO)</t>
  </si>
  <si>
    <t>AGRELANO</t>
  </si>
  <si>
    <t>Clopidogrel 75 mg Tablet Salut Selaput (ARTEPID)</t>
  </si>
  <si>
    <t>ARTEPID</t>
  </si>
  <si>
    <t>Clopidogrel 75 mg Tablet Salut Selaput (BERNOFARM)</t>
  </si>
  <si>
    <t>Clopidogrel 75 mg Tablet Salut Selaput (BETA PHARMACON)</t>
  </si>
  <si>
    <t>Clopidogrel 75 mg Tablet Salut Selaput (CLIDOREL 75)</t>
  </si>
  <si>
    <t>CLIDOREL 75</t>
  </si>
  <si>
    <t>Clopidogrel 75 mg Tablet Salut Selaput (CLOGIN)</t>
  </si>
  <si>
    <t>CLOGIN</t>
  </si>
  <si>
    <t>Clopidogrel 75 mg Tablet Salut Selaput (CLOTIX)</t>
  </si>
  <si>
    <t>CLOTIX</t>
  </si>
  <si>
    <t>Clopidogrel 75 mg Tablet Salut Selaput (COPIDREL)</t>
  </si>
  <si>
    <t>COPIDREL</t>
  </si>
  <si>
    <t>Clopidogrel 75 mg Tablet Salut Selaput (CPG)</t>
  </si>
  <si>
    <t>CPG</t>
  </si>
  <si>
    <t>Clopidogrel 75 mg Tablet Salut Selaput (ETERCON PHARMA)</t>
  </si>
  <si>
    <t>Clopidogrel 75 mg Tablet Salut Selaput (FEBOGREL)</t>
  </si>
  <si>
    <t>FEBOGREL</t>
  </si>
  <si>
    <t>Clopidogrel 75 mg Tablet Salut Selaput (IKAPHARMINDO PUTRAMAS)</t>
  </si>
  <si>
    <t>CLOPIDOGREL BISULFAT</t>
  </si>
  <si>
    <t>Clopidogrel 75 mg Tablet Salut Selaput (INDOFARMA)</t>
  </si>
  <si>
    <t>Clopidogrel 75 mg Tablet Salut Selaput (INTERBAT)</t>
  </si>
  <si>
    <t>Clopidogrel 75 mg Tablet Salut Selaput (KIMIA FARMA)</t>
  </si>
  <si>
    <t>Clopidogrel 75 mg Tablet Salut Selaput (LAPI LABORATORIES)</t>
  </si>
  <si>
    <t>Clopidogrel 75 mg Tablet Salut Selaput (LOPIGARD)</t>
  </si>
  <si>
    <t>LOPIGARD</t>
  </si>
  <si>
    <t>Clopidogrel 75 mg Tablet Salut Selaput (MAHAKAM BETA FARMA)</t>
  </si>
  <si>
    <t>Clopidogrel 75 mg Tablet Salut Selaput (MEDIGREL)</t>
  </si>
  <si>
    <t>MEDIGREL</t>
  </si>
  <si>
    <t>Clopidogrel 75 mg Tablet Salut Selaput (MEGA LIFE SCIENCES INDONESIA)</t>
  </si>
  <si>
    <t>Clopidogrel 75 mg Tablet Salut Selaput (NATURA LABORATORIA PRIMA)</t>
  </si>
  <si>
    <t>Clopidogrel 75 mg Tablet Salut Selaput (NOVIGREL)</t>
  </si>
  <si>
    <t>NOVIGREL</t>
  </si>
  <si>
    <t>Clopidogrel 75 mg Tablet Salut Selaput (NULAB PHARMACEUTICAL INDONESIA)</t>
  </si>
  <si>
    <t>Clopidogrel 75 mg Tablet Salut Selaput (PHAPROS)</t>
  </si>
  <si>
    <t>Clopidogrel 75 mg Tablet Salut Selaput (PIDOVIX)</t>
  </si>
  <si>
    <t>PIDOVIX</t>
  </si>
  <si>
    <t>Clopidogrel 75 mg Tablet Salut Selaput (PLACTA)</t>
  </si>
  <si>
    <t>PLACTA</t>
  </si>
  <si>
    <t>Clopidogrel 75 mg Tablet Salut Selaput (PLADOGREL)</t>
  </si>
  <si>
    <t>PLADOGREL</t>
  </si>
  <si>
    <t>Clopidogrel 75 mg Tablet Salut Selaput (PLATOGRIX)</t>
  </si>
  <si>
    <t>PLATOGRIX</t>
  </si>
  <si>
    <t>Clopidogrel 75 mg Tablet Salut Selaput (PLAVESCO)</t>
  </si>
  <si>
    <t>PLAVESCO</t>
  </si>
  <si>
    <t>Clopidogrel 75 mg Tablet Salut Selaput (PLAVIX)</t>
  </si>
  <si>
    <t>Clopidogrel 75 mg Tablet Salut Selaput (PROMEDRAHARDJO FARMASI INDUSTRI)</t>
  </si>
  <si>
    <t>Clopidogrel 75 mg Tablet Salut Selaput (RINCLO)</t>
  </si>
  <si>
    <t>RINCLO</t>
  </si>
  <si>
    <t>Clopidogrel 75 mg Tablet Salut Selaput (SIMCLOVIX)</t>
  </si>
  <si>
    <t>SIMCLOVIX</t>
  </si>
  <si>
    <t>Clopidogrel 75 mg Tablet Salut Selaput (TEMPO SCAN PACIFIC)</t>
  </si>
  <si>
    <t>Clopidogrel 75 mg Tablet Salut Selaput (THERODEL)</t>
  </si>
  <si>
    <t>THERODEL</t>
  </si>
  <si>
    <t>Clopidogrel 75 mg Tablet Salut Selaput (TROMBIKAF)</t>
  </si>
  <si>
    <t>TROMBIKAF</t>
  </si>
  <si>
    <t>Clopidogrel 75 mg Tablet Salut Selaput (VACLO)</t>
  </si>
  <si>
    <t>VACLO</t>
  </si>
  <si>
    <t>Clozapine 100 mg Tablet (DEXA MEDICA)</t>
  </si>
  <si>
    <t>CLOZAPINE</t>
  </si>
  <si>
    <t>Clozapine 25 mg Tablet (DEXA MEDICA)</t>
  </si>
  <si>
    <t>Codeine Phosphate Hemihydrate 10 mg Tablet (CODIKAF 10)</t>
  </si>
  <si>
    <t>CODIKAF 10</t>
  </si>
  <si>
    <t>Obat Narkotik</t>
  </si>
  <si>
    <t>Codeine Phosphate Hemihydrate 10 mg Tablet (KIMIA FARMA)</t>
  </si>
  <si>
    <t>CODEINE PHOSPHATE HEMIHYDRATE</t>
  </si>
  <si>
    <t>Codeine Phosphate Hemihydrate 15 mg Tablet (KIMIA FARMA)</t>
  </si>
  <si>
    <t>Codeine Phosphate Hemihydrate 20 mg Tablet (KIMIA FARMA)</t>
  </si>
  <si>
    <t>Colchicine 500 mcg Tablet (COMBIPHAR)</t>
  </si>
  <si>
    <t>COLCHICINE</t>
  </si>
  <si>
    <t>Cyanocobalamin 500 mcg / ml Cairan Injeksi (IPHA LABORATORIES)</t>
  </si>
  <si>
    <t>CYANOCOBALAMIN</t>
  </si>
  <si>
    <t>Cyclophosphamide 1000 mg Serbuk Injeksi (CYCLOVID)</t>
  </si>
  <si>
    <t>CYCLOVID</t>
  </si>
  <si>
    <t>Cyclophosphamide 1000 mg Serbuk Injeksi (DANKOS FARMA - Indonesia - -)</t>
  </si>
  <si>
    <t>CYCLOPHOSPHAMIDE</t>
  </si>
  <si>
    <t>Cyclophosphamide 1000 mg Serbuk Injeksi (ENDOXAN)</t>
  </si>
  <si>
    <t>ENDOXAN</t>
  </si>
  <si>
    <t>Cyclophosphamide 200 mg Serbuk Injeksi (ENDOXAN)</t>
  </si>
  <si>
    <t>Cyclophosphamide 200 mg Serbuk Injeksi (FERRON PAR PHARMACEUTICALS)</t>
  </si>
  <si>
    <t>CYCLOPHOSPHAMIDE MONOHYDRATE</t>
  </si>
  <si>
    <t>Cyclophosphamide Monohydrate 500 mg Serbuk Injeksi (CYCLOVID)</t>
  </si>
  <si>
    <t>Cyclophosphamide Monohydrate 500 mg Serbuk Injeksi (ENDOXAN)</t>
  </si>
  <si>
    <t>Cyclophosphamide Monohydrate 500 mg Serbuk Injeksi (FERRON PAR PHARMACEUTICALS)</t>
  </si>
  <si>
    <t>Cystine / L-Cystein 1 mg / Tetra (2-Methoxyisobutyl Isonitrile) Copper (1) Tetrafluoroborate 1 mg / SnCl2 2 H2O 0,1 mg / Sodium Citrate Dihydrate 2,6 mg Serbuk Injeksi (CARDIOSCAN KaeF)</t>
  </si>
  <si>
    <t>CARDIOSCAN KaeF</t>
  </si>
  <si>
    <t>Cytarabine 100 mg / mL Injeksi (KABITARIN, 10 mL)</t>
  </si>
  <si>
    <t>KABITARIN</t>
  </si>
  <si>
    <t>Dacarbazine 200 mg Serbuk Injeksi (DACARBAZINE MEDAC)</t>
  </si>
  <si>
    <t>DACARBAZINE MEDAC</t>
  </si>
  <si>
    <t>Daclatasvir Dihydrochloride 30 mg Tablet Salut Selaput (DASVIR)</t>
  </si>
  <si>
    <t>DASVIR 30</t>
  </si>
  <si>
    <t>Daclatasvir Dihydrochloride 60 mg Tablet Salut Selaput (DASVIR)</t>
  </si>
  <si>
    <t>DASVIR 60</t>
  </si>
  <si>
    <t>Daclatasvir Dihydrochloride 60 mg Tablet Salut Selaput (NATDAC)</t>
  </si>
  <si>
    <t>NATDAC 60</t>
  </si>
  <si>
    <t>Daunorubicin Hydrochloride 20 mg Serbuk Injeksi (DAUNOCIN-NPL)</t>
  </si>
  <si>
    <t>DAUNOCIN-NPL</t>
  </si>
  <si>
    <t>Deferasirox 180 mg Tablet Salut Selaput (EXJADE)</t>
  </si>
  <si>
    <t>EXJADE</t>
  </si>
  <si>
    <t>Deferasirox 250 mg Tablet Dispersible (DANKOS FARMA)</t>
  </si>
  <si>
    <t>DEFERASIROX</t>
  </si>
  <si>
    <t>Deferasirox 360 mg Tablet Salut Selaput (EXJADE)</t>
  </si>
  <si>
    <t>Deferasirox 500 mg Tablet Dispersible (DANKOS FARMA)</t>
  </si>
  <si>
    <t>Deferasirox 500 mg Tablet Dispersible (KALSIROX)</t>
  </si>
  <si>
    <t>KALSIROX</t>
  </si>
  <si>
    <t>Deferiprone 100 mg / mL Larutan (DEFIRON, 250 mL)</t>
  </si>
  <si>
    <t>Larutan</t>
  </si>
  <si>
    <t>Deferiprone 100 mg / mL Larutan (FERRIPROX, 250 mL)</t>
  </si>
  <si>
    <t>FERRIPROX</t>
  </si>
  <si>
    <t>Deferiprone 500 mg Tablet Salut Selaput (DEXA MEDICA)</t>
  </si>
  <si>
    <t>DEFERIPRONE</t>
  </si>
  <si>
    <t>Deferiprone 500 mg Tablet Salut Selaput (FERRIPROX)</t>
  </si>
  <si>
    <t>Deferiprone 500 mg Tablet Salut Selaput (NOVELL PHARMACEUTICAL LABORATORIES)</t>
  </si>
  <si>
    <t>Deferiprone 500 mg Tablet Salut Selaput (OFERLOD)</t>
  </si>
  <si>
    <t>OFERLOD</t>
  </si>
  <si>
    <t>Deferoxamine Mesilate 500 mg Serbuk Injeksi (DESFERAL)</t>
  </si>
  <si>
    <t>DESFERAL</t>
  </si>
  <si>
    <t>Delamanid 50 mg Tablet Salut Selaput (DELTYBA)</t>
  </si>
  <si>
    <t>DELTYBA</t>
  </si>
  <si>
    <t>Desflurane (DESPRANE)</t>
  </si>
  <si>
    <t>DESPRANE</t>
  </si>
  <si>
    <t>Desflurane (SUPRANE)</t>
  </si>
  <si>
    <t>SUPRANE</t>
  </si>
  <si>
    <t>Desmopressin 0,1 mg Tablet (MINIRIN)</t>
  </si>
  <si>
    <t>MINIRIN</t>
  </si>
  <si>
    <t>Desmopressin 0.2 mg Tablet (MINIRIN)</t>
  </si>
  <si>
    <t>Desogestrel 0,075 mg Tablet (DESIRETT)</t>
  </si>
  <si>
    <t>DESIRETT</t>
  </si>
  <si>
    <t>Desoximetasone 0,25 % Krim (COMBIPHAR, 10 g)</t>
  </si>
  <si>
    <t>DESOXIMETASONE</t>
  </si>
  <si>
    <t>Desoximetasone 0,25 % Krim (DEXA MEDICA, 15 g)</t>
  </si>
  <si>
    <t>DESOXIMETASONE 0,25%</t>
  </si>
  <si>
    <t>Desoximetasone 0,25% Salep (ETERCON PHARMA)</t>
  </si>
  <si>
    <t>DESOXIMETASON SALEP 0,25%</t>
  </si>
  <si>
    <t>Dexamethasone 0,5 mg Tablet (IMFARMIND FARMASI INDUSTRI)</t>
  </si>
  <si>
    <t>DEXAMETHASONE</t>
  </si>
  <si>
    <t>Dexamethasone 0,5 mg Tablet (MOLEX AYUS)</t>
  </si>
  <si>
    <t>Dexamethasone 5 mg / mL Injeksi (PHAPROS Tbk)</t>
  </si>
  <si>
    <t>DEXAMETHASONE SODIUM PHOSPHATE</t>
  </si>
  <si>
    <t>Dexmedetomidine 100 mcg / mL Injeksi (KABIMIDINE)</t>
  </si>
  <si>
    <t>KABIMIDINE</t>
  </si>
  <si>
    <t>Dextrose 5% Infus (B.BRAUN PHARMACEUTICAL INDONESIA, 100 mL)</t>
  </si>
  <si>
    <t>DEXTROSE MONOHYDRATE</t>
  </si>
  <si>
    <t>Dextrose 5% Infus (B.BRAUN PHARMACEUTICAL INDONESIA)</t>
  </si>
  <si>
    <t>Dextrose 5% Infus (EMJEBE PHARMA, 500 mL)</t>
  </si>
  <si>
    <t>Dextrose 5% Infus (MERSIFARMA TIRMAKU MERCUSANA)</t>
  </si>
  <si>
    <t>Dextrose 5% Infus (NATURA LABORATORIA PRIMA)</t>
  </si>
  <si>
    <t>Dextrose 5% Infus (OTSU - D5)</t>
  </si>
  <si>
    <t>OTSU - D5</t>
  </si>
  <si>
    <t>Dextrose 5% Infus (SATORIA ANEKA INDUSTRI, 500 mL)</t>
  </si>
  <si>
    <t>DEXTROSE ANHYDRATE</t>
  </si>
  <si>
    <t>Dextrose 5% Infus (WIDATRA BHAKTI, 500 mL)</t>
  </si>
  <si>
    <t>DEXTROSE</t>
  </si>
  <si>
    <t>Dextrose Anhydrate 10% Infus (OTSU - D10)</t>
  </si>
  <si>
    <t>OTSU - D10</t>
  </si>
  <si>
    <t>Dextrose Anhydrate 10% Infus (SATORIA ANEKA INDUSTRI)</t>
  </si>
  <si>
    <t>Dextrose Monohydrate 0.875 g / Sodium Chloride 0.75 g / Potassium Chloride 0.375 g / Sodium Lactate 1.12 g Infus (TRIDEX 27B, 500 mL)</t>
  </si>
  <si>
    <t>TRIDEX 27 B</t>
  </si>
  <si>
    <t>Dextrose Monohydrate 10% Infus (B.BRAUN PHARMACEUTICAL INDONESIA)</t>
  </si>
  <si>
    <t>Dextrose Monohydrate 10% Infus (MERSIFARMA TIRMAKU MERCUSANA)</t>
  </si>
  <si>
    <t>Dextrose Monohydrate 10% Infus (WIDATRA BHAKTI)</t>
  </si>
  <si>
    <t>Dextrose Monohydrate 12.5 g / Potassium Chloride 0.65 g / Sodium Lactate 1.55 g / Sodium Chloride 1 g Infus (WIDA HSD, 500 mL)</t>
  </si>
  <si>
    <t>WIDA HSD</t>
  </si>
  <si>
    <t>Dextrose Monohydrate 15.421 g / Sodium Chloride 1.17 g / Potassium Chloride 0.375 g /  Sodium Lactate 1.12 g Infus (TRIDEX 27 A, 500 mL)</t>
  </si>
  <si>
    <t>TRIDEX 27 A</t>
  </si>
  <si>
    <t>Dextrose Monohydrate 20,625 g / Potassium Chloride 0,3 g / Sodium Chloride 0.585 g / Sodium Lactate 0,560 g Infus (KA-EN 4B)</t>
  </si>
  <si>
    <t>KA-EN 4B</t>
  </si>
  <si>
    <t>Dextrose Monohydrate 20.398 g / Sodium Chloride 1.125 g Infus (TRIDEX PLAIN, 500 mL)</t>
  </si>
  <si>
    <t>TRIDEX PLAIN</t>
  </si>
  <si>
    <t>Dextrose Monohydrate 22 g / Sodium Chloride 0,585 g / Sodium Lactate 0,560 g Infus (KA-EN 4A)</t>
  </si>
  <si>
    <t>KA-EN 4A</t>
  </si>
  <si>
    <t>Dextrose Monohydrate 25,00 G / Sodium Chloride 1,125 G Infus (OTSU, 500 mL)</t>
  </si>
  <si>
    <t>OTSU - D5, 1/4 NS</t>
  </si>
  <si>
    <t>Dextrose Monohydrate 25,00 G / Sodium Chloride 2,25 G Infus (OTSU, 500 mL)</t>
  </si>
  <si>
    <t>OTSU - D5, 1/2 NS</t>
  </si>
  <si>
    <t>DIALISAN DP-4 1,5% Dialisis Peritonial (DIALISAN DP-4 1,5%)</t>
  </si>
  <si>
    <t>DIALISAN DP-4 1,5%</t>
  </si>
  <si>
    <t>Diazepam 10 mg / 2,5 mL Enema (ACTAVIS INDONESIA)</t>
  </si>
  <si>
    <t>DIAZEPAM</t>
  </si>
  <si>
    <t>Enema</t>
  </si>
  <si>
    <t>Diazepam 2 mg Tablet (STESOLID)</t>
  </si>
  <si>
    <t>STESOLID</t>
  </si>
  <si>
    <t>Diazepam 2 mg Tablet (VALISANBE)</t>
  </si>
  <si>
    <t>VALISANBE</t>
  </si>
  <si>
    <t>Diazepam 2 mg Tablet (YARINDO)</t>
  </si>
  <si>
    <t>Diazepam 5 mg / 2,5 mL Enema (ACTAVIS INDONESIA)</t>
  </si>
  <si>
    <t>Diazepam 5 mg / mL Injeksi (MEPROFARM)</t>
  </si>
  <si>
    <t>Diazepam 5 mg Tablet (MERSIFARMA TIRMAKU MERCUSANA)</t>
  </si>
  <si>
    <t>Diclofenac Sodium 25 mg Tablet Salut Enterik (KIMIA FARMA)</t>
  </si>
  <si>
    <t>DICLOFENAC SODIUM</t>
  </si>
  <si>
    <t>Diclofenac Sodium 25 mg Tablet Salut Enterik (PHAPROS Tbk)</t>
  </si>
  <si>
    <t>Diclofenac Sodium 50 mg Tablet Salut Enterik (DEXA MEDICA)</t>
  </si>
  <si>
    <t>Diclofenac Sodium 50 mg Tablet Salut Enterik (PHAPROS Tbk)</t>
  </si>
  <si>
    <t>Dienogest 2 mg Tablet (VISANNE &lt;INV&gt;)</t>
  </si>
  <si>
    <t>VISANNE &lt;INV&gt;</t>
  </si>
  <si>
    <t>Diethylcarbamazine Citrate 100 mg Tablet (HOLI PHARMA)</t>
  </si>
  <si>
    <t>DIETHYLCARBAMAZINE</t>
  </si>
  <si>
    <t>Diethylcarbamazine Citrate 100 mg Tablet (KIMIA FARMA Tbk)</t>
  </si>
  <si>
    <t>DIETHYLCARBAMAZINE CITRATE</t>
  </si>
  <si>
    <t>Digoxin 0,25 mg Tablet (YARINDO FARMATAMA)</t>
  </si>
  <si>
    <t>DIGOXIN</t>
  </si>
  <si>
    <t>Diltiazem Hydrochloride 100 mg Kapsul Pelepasan Lambat (HERBESSER CD 100)</t>
  </si>
  <si>
    <t>HERBESSER CD 100</t>
  </si>
  <si>
    <t>Kapsul Pelepasan Lambat</t>
  </si>
  <si>
    <t>Diltiazem Hydrochloride 200 mg Kapsul Pelepasan Lambat (HERBESSER CD 200)</t>
  </si>
  <si>
    <t>HERBESSER CD 200</t>
  </si>
  <si>
    <t>Diltiazem Hydrochloride 30 mg Tablet (DEXA MEDICA)</t>
  </si>
  <si>
    <t>DILTIAZEM HCl</t>
  </si>
  <si>
    <t>Diltiazem Hydrochloride 50 mg Serbuk Injeksi (HERBESSER)</t>
  </si>
  <si>
    <t>HERBESSER</t>
  </si>
  <si>
    <t>Dimenhydrinate 50 mg Tablet (KIMIA FARMA Tbk.)</t>
  </si>
  <si>
    <t>DIMENHYDRINATE</t>
  </si>
  <si>
    <t>Dinatrium / Disodium Edetate Anhydrate 16,5 mg / 5 mL Tetes Mata (EDTA)</t>
  </si>
  <si>
    <t>EDTA</t>
  </si>
  <si>
    <t>Tetes Mata</t>
  </si>
  <si>
    <t>Diphenhydramine Hydrochloride 10 mg / mL Injeksi (PHAPROS Tbk)</t>
  </si>
  <si>
    <t>DIPHENHYDRAMINE</t>
  </si>
  <si>
    <t>Disodium Phosphate Dodecahydrate 10,8 gr / Sodium Dihydrogen Phosphate Dihydrate 24,4 gr Cairan Oral (PHOSPHO-SODA)</t>
  </si>
  <si>
    <t>PHOSPHO-SODA</t>
  </si>
  <si>
    <t>Divalproat Sodium 500 mg Tablet (DEXA MEDICA)</t>
  </si>
  <si>
    <t>DIVALPROEX SODIUM</t>
  </si>
  <si>
    <t>Divalproat Sodium 500 mg Tablet (DIVALPROEX SODIUM)</t>
  </si>
  <si>
    <t>Divalproex Sodium 250 mg Tablet (NOVELL PHARMACEUTICAL LAB.)</t>
  </si>
  <si>
    <t>Dobutamine 50 mg / mL Injeksi (DEXA MEDICA)</t>
  </si>
  <si>
    <t>DOBUTAMINE HCL</t>
  </si>
  <si>
    <t>Docetaxel 10 mg / mL Injeksi (BREXEL, 2 mL)</t>
  </si>
  <si>
    <t>BREXEL</t>
  </si>
  <si>
    <t>Docetaxel 10 mg / mL Injeksi (BREXEL, 8 mL)</t>
  </si>
  <si>
    <t>Docetaxel 20 mg / mL Injeksi (CKD OTTO Pharmaceuticals, 1 mL)</t>
  </si>
  <si>
    <t>DOCETAXEL TRIHYDRATE</t>
  </si>
  <si>
    <t>Docetaxel 20 mg / mL Injeksi (CKD OTTO Pharmaceuticals, 4 mL)</t>
  </si>
  <si>
    <t>Docetaxel 20 mg / mL Injeksi (DAXOTEL, 1 mL)</t>
  </si>
  <si>
    <t>DAXOTEL</t>
  </si>
  <si>
    <t>Docetaxel 20 mg / mL Injeksi (DAXOTEL, 4 mL)</t>
  </si>
  <si>
    <t>Docetaxel 20 mg / mL Injeksi (DOXEL, 1 mL)</t>
  </si>
  <si>
    <t>DOXEL 20</t>
  </si>
  <si>
    <t>Docetaxel 20 mg / mL Injeksi (DOXEL, 4 mL)</t>
  </si>
  <si>
    <t>DOXEL 80</t>
  </si>
  <si>
    <t>Docetaxel 20 mg / mL Injeksi (DOXOMED, 0.5 mL)</t>
  </si>
  <si>
    <t>DOXOMED</t>
  </si>
  <si>
    <t>Docetaxel 20 mg / mL Injeksi (FERRON PAR PHARMACEUTICALS, 1 mL)</t>
  </si>
  <si>
    <t>Docetaxel 20 mg / mL Injeksi (FERRON PAR PHARMACEUTICALS, 4 mL)</t>
  </si>
  <si>
    <t>Docetaxel 20 mg / mL Injeksi (ONCOTAXEL, 1 mL)</t>
  </si>
  <si>
    <t>ONCOTAXEL</t>
  </si>
  <si>
    <t>Docetaxel 20 mg / mL Injeksi (ONCOTAXEL, 4 mL)</t>
  </si>
  <si>
    <t>Docetaxel 40 mg / mL Injeksi (DOCEHOPE, 0.5 mL)</t>
  </si>
  <si>
    <t>DOCEHOPE 20</t>
  </si>
  <si>
    <t>Docetaxel 40 mg / mL Injeksi (DOCEHOPE, 2 mL)</t>
  </si>
  <si>
    <t>Docetaxel 40 mg / mL Injeksi (DOXOMED)</t>
  </si>
  <si>
    <t>Docetaxel 40 mg / mL Injeksi (SANBE FARMA)</t>
  </si>
  <si>
    <t>DOCETAXEL</t>
  </si>
  <si>
    <t>Docetaxel 40 mg / mL Injeksi (TACEEDO, 0.5 mL)</t>
  </si>
  <si>
    <t>TACEEDO 20</t>
  </si>
  <si>
    <t>Docetaxel 40 mg / mL Injeksi (TACEEDO, 2 mL)</t>
  </si>
  <si>
    <t>TACEEDO 80</t>
  </si>
  <si>
    <t>Doksisilin 100 mg Tablet (DEXA MEDICA)</t>
  </si>
  <si>
    <t>DOXYCYCLINE HYCLATE</t>
  </si>
  <si>
    <t>Doksisilin 100 mg Tablet (DOXYCYCLINE HYCLATE)</t>
  </si>
  <si>
    <t>Doksisilin 100 mg Tablet (INDOFARMA - Indonesia - -)</t>
  </si>
  <si>
    <t>Doksisilin 100 mg Tablet (KIMIA FARMA Tbk. - Indonesia - -)</t>
  </si>
  <si>
    <t>Doksisilin 100 mg Tablet (KIMIA FARMA, Jakarta - Indonesia - -)</t>
  </si>
  <si>
    <t>Doksisilin 100 mg Tablet (PYRIDAM FARMA TBK - Indonesia - -)</t>
  </si>
  <si>
    <t>Doksisilin 100 mg Tablet (SANBE FARMA - Indonesia - -)</t>
  </si>
  <si>
    <t>Doksisilin 100 mg Tablet (YARINDO FARMATAMA - Indonesia - -)</t>
  </si>
  <si>
    <t>DOXYCYCLINE</t>
  </si>
  <si>
    <t>Dolutegravir 50 mg Tablet Salut Selaput (DINISVIR)</t>
  </si>
  <si>
    <t>DINISVIR 50</t>
  </si>
  <si>
    <t>Dolutegravir 50 mg Tablet Salut Selaput (MYLTEGA)</t>
  </si>
  <si>
    <t>MYLTEGA</t>
  </si>
  <si>
    <t>Domperidone 10 mg Kaplet / Tablet (HEXPHARM JAYA LABORATORIES)</t>
  </si>
  <si>
    <t>DOMPERIDONE</t>
  </si>
  <si>
    <t>Domperidone 10 mg Kaplet / Tablet (HUFADON)</t>
  </si>
  <si>
    <t>HUFADON</t>
  </si>
  <si>
    <t>Domperidone 10 mg Tablet Cepat Larut (VOMETA FT)</t>
  </si>
  <si>
    <t>VOMETA FT</t>
  </si>
  <si>
    <t>Domperidone 10 mg Tablet Salut Selaput (MOTILIUM)</t>
  </si>
  <si>
    <t>MOTILIUM</t>
  </si>
  <si>
    <t>Domperidone Maleat 5 mg / 5 mL Suspensi (AFI FARMA)</t>
  </si>
  <si>
    <t>Domperidone Maleat 5 mg / mL Drops (AFIFARMA, 10 mL)</t>
  </si>
  <si>
    <t>DOMPERIDONE.</t>
  </si>
  <si>
    <t>Domperidone Maleat 5 mg / mL Drops (BERNOFARM, 10 mL)</t>
  </si>
  <si>
    <t>Domperidone Maleat 5 mg / mL Drops (BERNOFARM, 12 mL)</t>
  </si>
  <si>
    <t>Domperidone Maleate 10 mg Tablet (SAMPHARINDO PERDANA)</t>
  </si>
  <si>
    <t>DOMPERIDONE MALEATE</t>
  </si>
  <si>
    <t>Domperidone Maleate 10 mg Tablet Salut Selaput (BERNOFARM)</t>
  </si>
  <si>
    <t>DOM</t>
  </si>
  <si>
    <t>Donepezil Hydrochloride 10 mg Tablet Dispersible (ARICEPT EVESS)</t>
  </si>
  <si>
    <t>ARICEPT EVESS</t>
  </si>
  <si>
    <t>Donepezil Hydrochloride 5 mg Tablet Salut Selaput (ETERCON PHARMA)</t>
  </si>
  <si>
    <t>DONEPEZIL HCL</t>
  </si>
  <si>
    <t>Dopamine 40 mg/ml Cairan Injeksi (DEXA MEDICA)</t>
  </si>
  <si>
    <t>DOPAMINE HYDROCHLORIDE</t>
  </si>
  <si>
    <t>Doxorubicin Hydrochloride 10 mg / 5 mL Cairan Injeksi (GLOBAL ONKOLAB FARMA, 25 mL)</t>
  </si>
  <si>
    <t>DOXORUBICIN HCL</t>
  </si>
  <si>
    <t>Doxorubicin Hydrochloride 10 mg / 5 mL Cairan Injeksi (GLOBAL ONKOLAB FARMA, 5 mL)</t>
  </si>
  <si>
    <t>Doxorubicin Hydrochloride 10 mg / 5 mL Cairan Injeksi (NAPRODOX, 25 mL)</t>
  </si>
  <si>
    <t>NAPRODOX 50</t>
  </si>
  <si>
    <t>Doxorubicin Hydrochloride 10 mg / 5 mL Cairan Injeksi (NAPRODOX, 5 mL)</t>
  </si>
  <si>
    <t>NAPRODOX 10</t>
  </si>
  <si>
    <t>Doxorubicin Hydrochloride 10 mg / 5 mL Cairan Injeksi (SANBE FARMA)</t>
  </si>
  <si>
    <t>Doxorubicin Hydrochloride 10 mg Serbuk Injeksi (CKD OTTO Pharmaceuticals, 25 mL)</t>
  </si>
  <si>
    <t>Doxorubicin Hydrochloride 10 mg Serbuk Injeksi (CKD OTTO Pharmaceuticals, 5 mL)</t>
  </si>
  <si>
    <t>Doxorubicin Hydrochloride 10 mg Serbuk Injeksi (NAPRODOX)</t>
  </si>
  <si>
    <t>Doxorubicin Hydrochloride 10 mg Serbuk Injeksi (SINDROXOCIN)</t>
  </si>
  <si>
    <t>SINDROXOCIN</t>
  </si>
  <si>
    <t>Dutasteride 0,5 mg Kapsul Lunak (AVODART)</t>
  </si>
  <si>
    <t>AVODART</t>
  </si>
  <si>
    <t>Dutasteride 0,5 mg Kapsul Lunak (NOVELL PHARMACEUTICAL LAB.)</t>
  </si>
  <si>
    <t>DUTASTERIDE</t>
  </si>
  <si>
    <t>Efavirenz 600 mg Tablet Salut Selaput (KIMIA FARMA)</t>
  </si>
  <si>
    <t>EFAVIRENZ</t>
  </si>
  <si>
    <t>Elbasvir 50 mg / Grazoprevir 100 mg Tablet Salut Selaput (ZEPATIER)</t>
  </si>
  <si>
    <t>ZEPATIER</t>
  </si>
  <si>
    <t>Electrolytes Larutan Infus (TUTOFUSIN OPS, 500 mL)</t>
  </si>
  <si>
    <t>TUTOFUSIN OPS</t>
  </si>
  <si>
    <t>Eltrombopag Olamine 25 mg Tablet Salut Selaput (REBOZET)</t>
  </si>
  <si>
    <t>REBOZET</t>
  </si>
  <si>
    <t>Eltrombopag Olamine 50 mg Tablet Salut Selaput (REBOZET)</t>
  </si>
  <si>
    <t>Enoxaparin Sodium 10.000 IU / mL Injeksi (LOVENOX, 0.2 mL)</t>
  </si>
  <si>
    <t>LOVENOX</t>
  </si>
  <si>
    <t>Enoxaparin Sodium 10.000 IU / mL Injeksi (LOVENOX, 0.4 mL)</t>
  </si>
  <si>
    <t>Enoxaparin Sodium 10.000 IU / mL Injeksi (LOVENOX, 0.6 mL)</t>
  </si>
  <si>
    <t>Entecavir 0,5 mg Tablet Salut Selaput (HEXPHARM JAYA LABORATORIES)</t>
  </si>
  <si>
    <t>ENTECAVIR MONOHYDRATE</t>
  </si>
  <si>
    <t>Entecavir 1 mg Tablet Salut Selaput (KIMIA FARMA Tbk.)</t>
  </si>
  <si>
    <t>Ephedrine 50 mg / mL Injeksi (ETHICA INDUSTRI FARMASI)</t>
  </si>
  <si>
    <t>EPHEDRINE HCL</t>
  </si>
  <si>
    <t>Epinephrine 1 mg / mL Injeksi (ETHICA)</t>
  </si>
  <si>
    <t>EPINEPHRINE</t>
  </si>
  <si>
    <t>Epirubicin Hydrochloride 2 mg / mL Serbuk Injeksi (CKD OTTO Pharmaceuticals, 5mL)</t>
  </si>
  <si>
    <t>EPIRUBICIN HCL</t>
  </si>
  <si>
    <t>Epirubicin Hydrochloride 2 mg / mL Serbuk Injeksi (DANKOS FARMA, 25 mL)</t>
  </si>
  <si>
    <t>Epirubicin Hydrochloride 2 mg / mL Serbuk Injeksi (DANKOS FARMA, 5mL)</t>
  </si>
  <si>
    <t>Epirubicin Hydrochloride 2 mg / mL Serbuk Injeksi (EPIROL, 25 mL)</t>
  </si>
  <si>
    <t>EPIROL</t>
  </si>
  <si>
    <t>Epirubicin Hydrochloride 2 mg / mL Serbuk Injeksi (EPIROL, 5mL)</t>
  </si>
  <si>
    <t>Epirubicin Hydrochloride 2 mg / mL Serbuk Injeksi (FERRON PAR PHARMACEUTICALS, 25 mL)</t>
  </si>
  <si>
    <t>EPIRUBICIN HYDROCHLORIDE</t>
  </si>
  <si>
    <t>Epirubicin Hydrochloride 2 mg / mL Serbuk Injeksi (FERRON PAR PHARMACEUTICALS, 5mL)</t>
  </si>
  <si>
    <t>Epirubicin Hydrochloride 2 mg / mL Serbuk Injeksi (SANBE FARMA, 25 mL)</t>
  </si>
  <si>
    <t>Epoetin Alfa 2000 IU Injeksi (EPODION)</t>
  </si>
  <si>
    <t>EPODION</t>
  </si>
  <si>
    <t>Epoetin Alfa 2000 IU Injeksi (EPREX)</t>
  </si>
  <si>
    <t>Epoetin Alfa 2000 IU Injeksi (RECORMON)</t>
  </si>
  <si>
    <t>Epoetin Alfa 2000 IU Injeksi (RENOGEN)</t>
  </si>
  <si>
    <t>RENOGEN</t>
  </si>
  <si>
    <t>Epoetin Alfa 3000 IU Injeksi (EPODION)</t>
  </si>
  <si>
    <t>Epoetin Alfa 3000 IU Injeksi (HEMAPO)</t>
  </si>
  <si>
    <t>HEMAPO</t>
  </si>
  <si>
    <t>Epoetin Alfa 3000 IU Injeksi (RENOGEN)</t>
  </si>
  <si>
    <t>Epoetin Alfa 4000 IU Injeksi (EPODION)</t>
  </si>
  <si>
    <t>Epoetin Alfa 4000 IU Injeksi (EPREX)</t>
  </si>
  <si>
    <t>EPREX 4000</t>
  </si>
  <si>
    <t>Epoetin Alfa 4000 IU Injeksi (ERYKINE)</t>
  </si>
  <si>
    <t>ERYKINE</t>
  </si>
  <si>
    <t>Epoetin Alfa 4000 IU Injeksi (RENOGEN)</t>
  </si>
  <si>
    <t>Epoetin Beta 2000 IU Injeksi (RECORMON, BOEHRINGER INGELHEIM INDONESIA)</t>
  </si>
  <si>
    <t>RECORMON 2000</t>
  </si>
  <si>
    <t>Eptacog Alfa (activated) 1 mg Serbuk Injeksi (NOVOSEVEN RT)</t>
  </si>
  <si>
    <t>NOVOSEVEN RT</t>
  </si>
  <si>
    <t>Eribulin Mesylate 0,44 mg / mL Injeksi (HALAVEN)</t>
  </si>
  <si>
    <t>HALAVEN</t>
  </si>
  <si>
    <t>Erlotinib 100 mg Tablet Salut Selaput (ERLONAT)</t>
  </si>
  <si>
    <t>ERLONAT</t>
  </si>
  <si>
    <t>Erlotinib 150 mg Tablet Salut Selaput (ERLONAT)</t>
  </si>
  <si>
    <t>Erythromycin 250 mg / 5 mL Sirup Kering (HOLI PHARMA)</t>
  </si>
  <si>
    <t>ERYTHROMYCIN ETHYL SUCCINATE</t>
  </si>
  <si>
    <t>Erythromycin 250 mg Kapsul (LUCAS DJAJA)</t>
  </si>
  <si>
    <t>ERYTHROMYCIN STEARATE</t>
  </si>
  <si>
    <t>Erythropoietin Alfa 10.000 IU / mL Injeksi (EPODION, 1 mL)</t>
  </si>
  <si>
    <t>Erythropoietin Alfa 2.000 IU / mL Injeksi (ERYKINE)</t>
  </si>
  <si>
    <t>Erythropoietin Alpha 4000 IU Injeksi (RENOGEN)</t>
  </si>
  <si>
    <t>Erythropoietin Beta 2.000 IU / mL Injeksi (RECORMON)</t>
  </si>
  <si>
    <t>RECORMON</t>
  </si>
  <si>
    <t>Esomeprazole 40 mg Serbuk Injeksi (DEXA MEDICA)</t>
  </si>
  <si>
    <t>ESOMEPRAZOLE SODIUM</t>
  </si>
  <si>
    <t>Etanercept 50 mg/ mL Injeksi (ENBREL)</t>
  </si>
  <si>
    <t>ENBREL</t>
  </si>
  <si>
    <t>Etoposide 20 mg Injeksi (ETOPUL)</t>
  </si>
  <si>
    <t>ETOPUL</t>
  </si>
  <si>
    <t>Eugenol 99% Cairan (KIMIA FARMA)</t>
  </si>
  <si>
    <t>Evafirenz 600 mg / Lamivudine 300 mg / Tenofovir 300 mg Tablet Salut Selaput (AMAROX PHARMA GLOBAL)</t>
  </si>
  <si>
    <t>EFAVIRENZ/ LAMIVUDINE/ TENOFOVIR DISOPROXIL FUMARATE</t>
  </si>
  <si>
    <t>Evafirenz 600 mg / Lamivudine 300 mg / Tenofovir 300 mg Tablet Salut Selaput (KIMIA FARMA Tbk.)</t>
  </si>
  <si>
    <t>Evafirenz 600 mg / Lamivudine 300 mg / Tenofovir 300 mg Tablet Salut Selaput (SAMPHARINDO RETROVIRAL INDONESIA)</t>
  </si>
  <si>
    <t>Evafirenz 600 mg / Lamivudine 300 mg / Tenofovir 300 mg Tablet Salut Selaput (TELAVIR)</t>
  </si>
  <si>
    <t>TELAVIR</t>
  </si>
  <si>
    <t>Evafirenz 600 mg / Lamivudine 300 mg / Tenofovir 300 mg Tablet Salut Selaput (TELURA)</t>
  </si>
  <si>
    <t>TELURA</t>
  </si>
  <si>
    <t>Evafirenz 600 mg / Lamivudine 300 mg / Tenofovir 300 mg Tablet Salut Selaput (TENOLAM-E)</t>
  </si>
  <si>
    <t>TENOLAM-E</t>
  </si>
  <si>
    <t>Everolimus 0,25 mg Tablet (CERTICAN)</t>
  </si>
  <si>
    <t>CERTICAN</t>
  </si>
  <si>
    <t>Everolimus 0,5 mg Tablet (CERTICAN)</t>
  </si>
  <si>
    <t>Exemestane 25 mg Tablet Salut Gula (AROMASIN)</t>
  </si>
  <si>
    <t>AROMASIN</t>
  </si>
  <si>
    <t>Tablet Salut Gula</t>
  </si>
  <si>
    <t>Fenitoin / Phenytoin 100 mg Kapsul (CURELEPZ)</t>
  </si>
  <si>
    <t>CURELEPZ</t>
  </si>
  <si>
    <t>Fenitoin / Phenytoin 100 mg Kapsul (DECATONA)</t>
  </si>
  <si>
    <t>DECATONA</t>
  </si>
  <si>
    <t>Fenitoin / Phenytoin 100 mg Kapsul (DILANTIN)</t>
  </si>
  <si>
    <t>DILANTIN</t>
  </si>
  <si>
    <t>Fenitoin / Phenytoin 100 mg Kapsul (ETERCON PHARMA - Indonesia - -)</t>
  </si>
  <si>
    <t>PHENYTOIN SODIUM</t>
  </si>
  <si>
    <t>Fenitoin / Phenytoin 100 mg Kapsul (IKAPHARMINDO PUTRAMAS - -)</t>
  </si>
  <si>
    <t>Fenitoin / Phenytoin 100 mg Kapsul (IKAPHEN)</t>
  </si>
  <si>
    <t>IKAPHEN</t>
  </si>
  <si>
    <t>Fenitoin / Phenytoin 100 mg Kapsul (KUTOIN)</t>
  </si>
  <si>
    <t>KUTOIN</t>
  </si>
  <si>
    <t>Fenofibrate 100 mg Kapsul (DEXA MEDICA)</t>
  </si>
  <si>
    <t>FENOFIBRATE</t>
  </si>
  <si>
    <t>Fenofibrate 300 mg Kapsul (DEXA MEDICA)</t>
  </si>
  <si>
    <t>Fenofibrate 300 mg Kapsul (FIBESCO)</t>
  </si>
  <si>
    <t>FIBESCO</t>
  </si>
  <si>
    <t>Fenofibrate 300 mg Kapsul (FIBRAMED 300)</t>
  </si>
  <si>
    <t>FIBRAMED 300</t>
  </si>
  <si>
    <t>Fenofibrate 300 mg Kapsul (HICHOLFEN 300)</t>
  </si>
  <si>
    <t>HICHOLFEN</t>
  </si>
  <si>
    <t>Fenofibrate 300 mg Kapsul (LIPANTHYL 300)</t>
  </si>
  <si>
    <t>LIPANTHYL 300</t>
  </si>
  <si>
    <t>Fenofibrate 300 mg Kapsul (PROMEDRAHARDJO FARMASI INDUSTRI)</t>
  </si>
  <si>
    <t>Fenofibrate 300 mg Kapsul (TROLIP 300)</t>
  </si>
  <si>
    <t>TROLIP</t>
  </si>
  <si>
    <t>Fenofibrate 300 mg Kapsul (YOSENOB 300)</t>
  </si>
  <si>
    <t>YOSENOB 300</t>
  </si>
  <si>
    <t>Fenoterol Hydrobromide 0,05 mg / Ipratropium Bromide 0,021 mg Aerosol (BERODUAL)</t>
  </si>
  <si>
    <t>BERODUAL</t>
  </si>
  <si>
    <t>Aerosol Metered Dose</t>
  </si>
  <si>
    <t>Fentanyl 25 mcg / h Trandermal Patch (DUROGESIC)</t>
  </si>
  <si>
    <t>DUROGESIC 25 mcg/h</t>
  </si>
  <si>
    <t>Patch</t>
  </si>
  <si>
    <t>Fentanyl 50 mcg / h Trandermal Patch (DUROGESIC)</t>
  </si>
  <si>
    <t>DUROGESIC 50 mcg/h</t>
  </si>
  <si>
    <t>Fentanyl Citrate 0,05 mg / mL Injeksi (MAHAKAM BETA FARMA, 10)</t>
  </si>
  <si>
    <t>FENTANYL CITRATE</t>
  </si>
  <si>
    <t>Fentanyl Citrate 0,05 mg / mL Injeksi (MAHAKAM BETA FARMA, 2)</t>
  </si>
  <si>
    <t>Ferrous Fumarate 180 mg / Folic Acid 0,4 mg Tablet Salut Gula (ORYZA FARMA)</t>
  </si>
  <si>
    <t>TABLET TAMBAH DARAH</t>
  </si>
  <si>
    <t>Ferrous Fumarate 60 mg / Folic Acid 0,4 mg Tablet Salut Gula (ERLANGGA EDI LABORATORIES (ERELA))</t>
  </si>
  <si>
    <t>Ferrous Fumarate 60 mg / Folic Acid 0,4 mg Tablet Salut Gula (INDOFARMA)</t>
  </si>
  <si>
    <t>Ferrous Fumarate 60 mg / Folic Acid 0,4 mg Tablet Salut Gula (KIMIA FARMA)</t>
  </si>
  <si>
    <t>TABLET TAMBAH DARAH NEO</t>
  </si>
  <si>
    <t>Ferrous Fumarate 60 mg / Folic Acid 0,4 mg Tablet Salut Gula (MERSIFARMA TIRMAKU MERCUSANA)</t>
  </si>
  <si>
    <t>Ferrous Fumarate 60 mg / Folic Acid 0,4 mg Tablet Salut Gula (PHAPROS Tbk)</t>
  </si>
  <si>
    <t>Filgastrim 300 ug / mL Cairan Injeksi (FILGIA)</t>
  </si>
  <si>
    <t>FILGIA</t>
  </si>
  <si>
    <t>Filgastrim 300 ug / mL Cairan Injeksi (LEUCOGEN)</t>
  </si>
  <si>
    <t>LEUCOGEN</t>
  </si>
  <si>
    <t>Filgastrim 300 ug / mL Cairan Injeksi (NEUKINE)</t>
  </si>
  <si>
    <t>NEUKINE</t>
  </si>
  <si>
    <t>Filgrastim 300 ug/ml Cairan Injeksi (LEUCOGEN)</t>
  </si>
  <si>
    <t>Filgrastim 300 ug/ml Cairan Injeksi (NEUKINE)</t>
  </si>
  <si>
    <t>Finasteride 5 mg Tablet Salut Selaput (COMBIPHAR)</t>
  </si>
  <si>
    <t>FINASTERIDE</t>
  </si>
  <si>
    <t>Fluconazole 150 mg Kapsul (KIMIA FARMA Tbk.)</t>
  </si>
  <si>
    <t>FLUCONAZOLE</t>
  </si>
  <si>
    <t>Fluconazole 2 mg / mL Injeksi (DEXA MEDICA)</t>
  </si>
  <si>
    <t>Fludarabine 10 mg Tablet Salut Selaput (FLUDARA)</t>
  </si>
  <si>
    <t>FLUDARA</t>
  </si>
  <si>
    <t>Fludarabine 50 mg Serbuk Injeksi (FLUDARA)</t>
  </si>
  <si>
    <t>Fluorouracil 50 mg / mL Injeksi (CURACIL)</t>
  </si>
  <si>
    <t>CURACIL</t>
  </si>
  <si>
    <t>Fluorouracil 50 mg / mL Injeksi (DANKOS FARMA)</t>
  </si>
  <si>
    <t>FLUOROURACIL</t>
  </si>
  <si>
    <t>Fluorouracil 50 mg / mL Injeksi (FERRON PAR PHARMACEUTICALS, 10 mL)</t>
  </si>
  <si>
    <t>Fluoxetine 20 mg Tablet (DEXA MEDICA - Indonesia - -)</t>
  </si>
  <si>
    <t>PROPYLTHIOURACIL</t>
  </si>
  <si>
    <t>Fluoxetine 20 mg Tablet (INDOFARMA - Indonesia - -)</t>
  </si>
  <si>
    <t>Fluoxetine Hydrochloride 10 mg Kapsul (KALXETIN)</t>
  </si>
  <si>
    <t>KALXETIN 10 MG</t>
  </si>
  <si>
    <t>Fluoxetine Hydrochloride 10 mg Kapsul (ZAC)</t>
  </si>
  <si>
    <t>ZAC 10</t>
  </si>
  <si>
    <t>Fluoxetine Hydrochloride 20 mg Kapsul (MERSIFARMA TIRMAKU MERCUSANA)</t>
  </si>
  <si>
    <t>FLUOXETINE HCL</t>
  </si>
  <si>
    <t>Flusinolon / Fluocinolone Acetonide 0,025 % Krim (SYNARCUS)</t>
  </si>
  <si>
    <t>SYNARCUS</t>
  </si>
  <si>
    <t>Fluticasone Furoate 27.5 mcg/spray Suspensi (AVAMYS)</t>
  </si>
  <si>
    <t>AVAMYS</t>
  </si>
  <si>
    <t>Fluticasone Propionate 0,5 mg/ 2 mL Cairan Inhalasi (FLIXOTIDE)</t>
  </si>
  <si>
    <t>FLIXOTIDE</t>
  </si>
  <si>
    <t>Fluticasone Propionate 50 ug Aerosol (FLIXOTIDE)</t>
  </si>
  <si>
    <t>Fondaparinux Sodium 2,5 mg / 0,5 mL Injeksi (ARIXTRA)</t>
  </si>
  <si>
    <t>ARIXTRA</t>
  </si>
  <si>
    <t>Fosfomisin / Fosfomycin Trometramol 3 gram Granule (MONURIL)</t>
  </si>
  <si>
    <t>MONURIL</t>
  </si>
  <si>
    <t>Fructose 100 g / Dextrose Monohydrate 55 g / Xylitol 50 g Infus (TRIOMIX 1600, 500 mL)</t>
  </si>
  <si>
    <t>TRIOMIX 1600</t>
  </si>
  <si>
    <t>Fructose 30 g / Dextrose Monohydrate 16.319 g / Xylitol 15 g Infus (ENERTON 500, 500 mL)</t>
  </si>
  <si>
    <t>ENERTON 500</t>
  </si>
  <si>
    <t>Fructose 60 mg / Dextrose Monohydrate 33 mg / xylitol 30 mg / Electrolyte / Vitamin Infus (TRIOFUSIN E 1000)</t>
  </si>
  <si>
    <t>TRIOFUSIN E 1000</t>
  </si>
  <si>
    <t>Fructose 60 mg / Dextrose Monohydrate 33 mg / xylitol 30 mg / Electrolyte / Vitamin Infus (TRIOMIX E1000)</t>
  </si>
  <si>
    <t>TRIOMIX E1000</t>
  </si>
  <si>
    <t>Furosemide 10 mg / mL Injeksi (DEXA MEDICA)</t>
  </si>
  <si>
    <t>FUROSEMIDE</t>
  </si>
  <si>
    <t>Furosemide 40 mg Tablet (KIMIA FARMA)</t>
  </si>
  <si>
    <t>Fusidic Acid 2% Krim (FUSYCOM)</t>
  </si>
  <si>
    <t>FUSYCOM</t>
  </si>
  <si>
    <t>Gabapentin 100 mg Kapsul (KIMIA FARMA Tbk)</t>
  </si>
  <si>
    <t>GABAPENTIN</t>
  </si>
  <si>
    <t>Gabapentin 100 mg Kapsul (MERSIFARMA TIRMAKU MERCUSANA)</t>
  </si>
  <si>
    <t>Gabapentin 300 mg Kapsul (DEXA MEDICA)</t>
  </si>
  <si>
    <t>Gadobutrol 1 mmol / mL Cairan Injeksi (GADOVIST, 5mL)</t>
  </si>
  <si>
    <t>GADOVIST</t>
  </si>
  <si>
    <t>Gadobutrol 1 mmol / mL Cairan Injeksi (GADOVIST, 7.5 mL)</t>
  </si>
  <si>
    <t>Gadoxetic Acid 0,25 mmol / mL Injeksi (PRIMOVIST)</t>
  </si>
  <si>
    <t>PRIMOVIST</t>
  </si>
  <si>
    <t>Gefitinib 250 mg Tablet Salut Selaput (GEFITERO)</t>
  </si>
  <si>
    <t>GEFITERO</t>
  </si>
  <si>
    <t>Gefitinib 250 mg Tablet Salut Selaput (IRETINIB)</t>
  </si>
  <si>
    <t>IRETINIB</t>
  </si>
  <si>
    <t>Gemcitabine 38 mg/mL Larutan Injeksi (KABIGETA, 26,3 mL)</t>
  </si>
  <si>
    <t>KABIGETA</t>
  </si>
  <si>
    <t>Gemcitabine 38 mg/mL Larutan Injeksi (KABIGETA, 5,26 mL)</t>
  </si>
  <si>
    <t>Gemcitabine Hydrochloride 1000 mg Serbuk Injeksi (ABINGEM)</t>
  </si>
  <si>
    <t>ABINGEM 1000</t>
  </si>
  <si>
    <t>Gemcitabine Hydrochloride 1000 mg Serbuk Injeksi (CKD OTTO PHARMACEUTICAL)</t>
  </si>
  <si>
    <t>GEMCITABINE</t>
  </si>
  <si>
    <t>Gemcitabine Hydrochloride 1000 mg Serbuk Injeksi (FONKOGEM)</t>
  </si>
  <si>
    <t>FONKOGEM</t>
  </si>
  <si>
    <t>Gemcitabine Hydrochloride 1000 mg Serbuk Injeksi (GEMCIKAL)</t>
  </si>
  <si>
    <t>GEMCIKAL</t>
  </si>
  <si>
    <t>Gemcitabine Hydrochloride 1000 mg Serbuk Injeksi (GEMHOPE)</t>
  </si>
  <si>
    <t>GEMHOPE</t>
  </si>
  <si>
    <t>Gemcitabine Hydrochloride 1000 mg Serbuk Injeksi (GEMTAVIS)</t>
  </si>
  <si>
    <t>GEMTAVIS</t>
  </si>
  <si>
    <t>Gemcitabine Hydrochloride 1000 mg Serbuk Injeksi (GEMTERO)</t>
  </si>
  <si>
    <t>GEMTERO 1 G</t>
  </si>
  <si>
    <t>Gemcitabine Hydrochloride 1000 mg Serbuk Injeksi (SANBE FARMA)</t>
  </si>
  <si>
    <t>GEMCITABINE HCL</t>
  </si>
  <si>
    <t>Gemcitabine Hydrochloride 200 mg Serbuk Injeksi Liofilisasi (ABINGEM)</t>
  </si>
  <si>
    <t>ABINGEM 200</t>
  </si>
  <si>
    <t>Gemcitabine Hydrochloride 200 mg Serbuk Injeksi Liofilisasi (CKD OTTO PHARMACEUTICAL)</t>
  </si>
  <si>
    <t>Gemcitabine Hydrochloride 200 mg Serbuk Injeksi Liofilisasi (FERRON PAR PHARMACEUTICALS)</t>
  </si>
  <si>
    <t>Gemcitabine Hydrochloride 200 mg Serbuk Injeksi Liofilisasi (FONKOGEM)</t>
  </si>
  <si>
    <t>Gemcitabine Hydrochloride 200 mg Serbuk Injeksi Liofilisasi (GEMCIKAL)</t>
  </si>
  <si>
    <t>Gemcitabine Hydrochloride 200 mg Serbuk Injeksi Liofilisasi (GEMHOPE)</t>
  </si>
  <si>
    <t>Gemcitabine Hydrochloride 200 mg Serbuk Injeksi Liofilisasi (GEMTAVIS)</t>
  </si>
  <si>
    <t>Gemcitabine Hydrochloride 200 mg Serbuk Injeksi Liofilisasi (GEMTERO)</t>
  </si>
  <si>
    <t>GEMTERO 200 MG</t>
  </si>
  <si>
    <t>Gemcitabine Hydrochloride 200 mg Serbuk Injeksi Liofilisasi (GEMZAR)</t>
  </si>
  <si>
    <t>Gemcitabine Hydrochloride 200 mg Serbuk Injeksi Liofilisasi (KABIGETA)</t>
  </si>
  <si>
    <t>Gemcitabine Hydrochloride 200 mg Serbuk Injeksi Liofilisasi (SANBE FARMA)</t>
  </si>
  <si>
    <t>Gemfibrozil 600 mg Kaplet Salut Selaput (INDOFARMA)</t>
  </si>
  <si>
    <t>GEMFIBROZIL</t>
  </si>
  <si>
    <t>Gentamicin Sulfate 0,3 % Salep Mata (ERELA)</t>
  </si>
  <si>
    <t>GENTAMICIN SULFATE</t>
  </si>
  <si>
    <t>Gentamicin Sulfate 0,3 % Tetes Mata (ERELA)</t>
  </si>
  <si>
    <t>Gentamicin Sulfate 1 % Tetes Mata (GENTA, 5 mL)</t>
  </si>
  <si>
    <t>GENTA</t>
  </si>
  <si>
    <t>Gentamicin Sulfate 40 mg / mL Injeksi (INDOFARMA)</t>
  </si>
  <si>
    <t>Glibenclamide 5 mg Tablet (KIMIA FARMA)</t>
  </si>
  <si>
    <t>GLIBENCLAMIDE</t>
  </si>
  <si>
    <t>Glibenclamide 5 mg Tablet (PHAPROS Tbk)</t>
  </si>
  <si>
    <t>Gliclazid 80 mg Tablet (BERNOFARM - Indonesia - -)</t>
  </si>
  <si>
    <t>GLICLAZIDE</t>
  </si>
  <si>
    <t>Gliclazid 80 mg Tablet (DEXA MEDICA - Indonesia - -)</t>
  </si>
  <si>
    <t>Gliclazid 80 mg Tablet (TEMPO SCAN PACIFIC Tbk - Indonesia - -)</t>
  </si>
  <si>
    <t>Gliclazide 60 mg Tablet Pelepasan Lambat (FONYLIN)</t>
  </si>
  <si>
    <t>FONYLIN MR</t>
  </si>
  <si>
    <t>Glikuidon 30 mg Tablet (DEXA MEDICA - Indonesia - -)</t>
  </si>
  <si>
    <t>GLIQUIDONE</t>
  </si>
  <si>
    <t>Glimepiride 1 mg Tablet (DEXA MEDICA - Indonesia - -)</t>
  </si>
  <si>
    <t>GLIMEPIRIDE</t>
  </si>
  <si>
    <t>Glimepiride 1 mg Tablet (ERNOFARM - Indonesia - -)</t>
  </si>
  <si>
    <t>Glimepiride 1 mg Tablet (GUARDIAN PHARMATAMA - Indonesia - -)</t>
  </si>
  <si>
    <t>Glimepiride 1 mg Tablet (HEXPHARM JAYA LABORATORIES)</t>
  </si>
  <si>
    <t>Glimepiride 1 mg Tablet (INFION - Indonesia - -)</t>
  </si>
  <si>
    <t>Glimepiride 1 mg Tablet (KIMIA FARMA Tbk. - Indonesia - -)</t>
  </si>
  <si>
    <t>Glimepiride 2 mg Tablet (DEXA MEDICA)</t>
  </si>
  <si>
    <t>Glimepiride 3 mg Tablet (API LABORATORIES - Indonesia - -)</t>
  </si>
  <si>
    <t>Glimepiride 3 mg Tablet (BERNOFARM - Indonesia - -)</t>
  </si>
  <si>
    <t>Glimepiride 3 mg Tablet (DEXA MEDICA - Indonesia - -)</t>
  </si>
  <si>
    <t>Glimepiride 3 mg Tablet (GUARDIAN PHARMATAMA - Indonesia - -)</t>
  </si>
  <si>
    <t>Glimepiride 3 mg Tablet (HEXPHARM JAYA LABORATORIES)</t>
  </si>
  <si>
    <t>Glimepiride 3 mg Tablet (INFION - Indonesia - -)</t>
  </si>
  <si>
    <t>Glimepiride 3 mg Tablet (KIMIA FARMA, Jakarta - Indonesia - -)</t>
  </si>
  <si>
    <t>Glimepiride 4 mg Tablet (DEXA MEDICA)</t>
  </si>
  <si>
    <t>Glimepiride 4 mg Tablet (KIMIA FARMA)</t>
  </si>
  <si>
    <t>Glipizide 10 mg Tablet  Pelepasan Lambat (GLUCOTROL XL)</t>
  </si>
  <si>
    <t>GLUCOTROL XL</t>
  </si>
  <si>
    <t>Glipizide 5 mg Tablet Pelepasan Lambat (GLUCOTROL XL)</t>
  </si>
  <si>
    <t>Glyceryl Trinitrate 2,5 mg Kapsul Pelepasan Lambat (NITROKAF RETARD)</t>
  </si>
  <si>
    <t>NITROKAF RETARD</t>
  </si>
  <si>
    <t>Glyceryl Trinitrate 5 mg Kapsul Pelepasan Lambat (NITROKAF RETARD)</t>
  </si>
  <si>
    <t>Glyceryl Trinitrate 500 mcg Tablet Sublingual (NITRAL)</t>
  </si>
  <si>
    <t>NITRAL</t>
  </si>
  <si>
    <t>Tablet Sublingual</t>
  </si>
  <si>
    <t>Glycopyrronium 50 mcg Serbuk Inhaler (SEEBRI BREEZHALER)</t>
  </si>
  <si>
    <t>SEEBRI BREEZHALER</t>
  </si>
  <si>
    <t>Goserelin Acetat 3,6 mg Serbuk Injeksi (ZOLADEX)</t>
  </si>
  <si>
    <t>ZOLADEX</t>
  </si>
  <si>
    <t>Goserelin Acetate 10,8 mg Serbuk Injeksi (ZOLADEX LA)</t>
  </si>
  <si>
    <t>ZOLADEX LA</t>
  </si>
  <si>
    <t>Griseofulvin 125 mg Tablet (KIMIA FARMA)</t>
  </si>
  <si>
    <t>GRISEOFULVIN</t>
  </si>
  <si>
    <t>Griseofulvin 250 mg Tablet (MYCOSTOP 250)</t>
  </si>
  <si>
    <t>MYCOSTOP 250</t>
  </si>
  <si>
    <t>Griseofulvin 250 mg Tablet (PHARMA LABORATORIES)</t>
  </si>
  <si>
    <t>Griseofulvin 500 mg Tablet (DARYA-VARIA LABORATORIA TBK)</t>
  </si>
  <si>
    <t>Griseofulvin 500 mg Tablet (PHARMA LABORATORIES)</t>
  </si>
  <si>
    <t>Haloperidol 0,5 mg Tablet (HOLI PHARMA)</t>
  </si>
  <si>
    <t>HALOPERIDOL</t>
  </si>
  <si>
    <t>Haloperidol 1,5 mg Tablet (HOLI PHARMA)</t>
  </si>
  <si>
    <t>Haloperidol 2 mg Tablet (LODOMER)</t>
  </si>
  <si>
    <t>LODOMER</t>
  </si>
  <si>
    <t>Haloperidol 2 mg/mL Drops (LODOMER)</t>
  </si>
  <si>
    <t>Haloperidol 5 mg / mL Injeksi (DEXA MEDICA)</t>
  </si>
  <si>
    <t>Haloperidol 5 mg / mL Injeksi (MERSIFARMA TIRMAKU MERCUSANA)</t>
  </si>
  <si>
    <t>Haloperidol 5 mg Tablet Salut Selaput (MERSIFARMA TIRMAKU MERCUSANA)</t>
  </si>
  <si>
    <t>Halotan / Halothane Inhalasi (FLUOTHANE)</t>
  </si>
  <si>
    <t>FLUOTHANE</t>
  </si>
  <si>
    <t>Human Albumin 20 g / 100 mL Infus (ALBAPURE, 100 mL)</t>
  </si>
  <si>
    <t>ALBAPURE 20</t>
  </si>
  <si>
    <t>Human Albumin 20 g / 100 mL Infus (HUMAN ALBUMIN 20% BIOTEST, 100 mL)</t>
  </si>
  <si>
    <t>HUMAN ALBUMIN 20% BIOTEST</t>
  </si>
  <si>
    <t>Human Albumin 20 g / 100 mL Infus (KEDRIALB, 50 mL)</t>
  </si>
  <si>
    <t>KEDRIALB</t>
  </si>
  <si>
    <t>Human Albumin 20 g / 100 mL Infus (OCTALBIN, 100 mL)</t>
  </si>
  <si>
    <t>OCTALBIN</t>
  </si>
  <si>
    <t>Human Albumin 20 g / 100 mL Infus (PLASBUMIN 20, 100 mL)</t>
  </si>
  <si>
    <t>PLASBUMIN 20</t>
  </si>
  <si>
    <t>Human Albumin 20 g / 100 mL Infus (PLASBUMIN 20, 50 mL)</t>
  </si>
  <si>
    <t>Human Albumin 25 g / 100 mL Infus (ALBUMINAR, 100 mL)</t>
  </si>
  <si>
    <t>ALBUMINAR 25</t>
  </si>
  <si>
    <t>Human Albumin 25 g / 100 mL Infus (ALBUNORM, 100 mL)</t>
  </si>
  <si>
    <t>ALBUNORM 25%</t>
  </si>
  <si>
    <t>Human Albumin 25 g / 100 mL Infus (KEDRIALB, 50 mL)</t>
  </si>
  <si>
    <t>Human Albumin 25 g / 100 mL Infus (PLASBUMIN 25, 100 mL)</t>
  </si>
  <si>
    <t>PLASBUMIN 25</t>
  </si>
  <si>
    <t>Human Albumin 25 g / 100 mL Infus (PLASBUMIN 25, 20 mL)</t>
  </si>
  <si>
    <t>Human Albumin 5 g / 100 mL Infus (PLASBUMIN-5, 250 mL)</t>
  </si>
  <si>
    <t>PLASBUMIN-5</t>
  </si>
  <si>
    <t>Human Coagulation Factor VIII 1.000 IU Serbuk Injeksi (HAEMOCTIN)</t>
  </si>
  <si>
    <t>HAEMOCTIN 1000</t>
  </si>
  <si>
    <t>Human Coagulation Factor VIII 1.000 IU Serbuk Injeksi (KOATE-DVI)</t>
  </si>
  <si>
    <t>KOATE-DVI</t>
  </si>
  <si>
    <t>Human Coagulation Factor VIII 1.000 IU Serbuk Injeksi (NOVOEIGHT)</t>
  </si>
  <si>
    <t>NOVOEIGHT</t>
  </si>
  <si>
    <t>Human Coagulation Factor VIII 1.000 IU Serbuk Injeksi (OCTANATE)</t>
  </si>
  <si>
    <t>OCTANATE 1000 IU</t>
  </si>
  <si>
    <t>Human Coagulation Factor VIII 250 IU Serbuk Injeksi (HAEMOCTIN)</t>
  </si>
  <si>
    <t>HAEMOCTIN</t>
  </si>
  <si>
    <t>Human Coagulation Factor VIII 250 IU Serbuk Injeksi (KOATE-DVI)</t>
  </si>
  <si>
    <t>Human Coagulation Factor VIII 250 IU Serbuk Injeksi (OCTANATE)</t>
  </si>
  <si>
    <t>OCTANATE 250 IU</t>
  </si>
  <si>
    <t>Human Coagulation Factor VIII 500 IU Serbuk Injeksi (HAEMOCTIN)</t>
  </si>
  <si>
    <t>Human Coagulation Factor VIII 500 IU Serbuk Injeksi (KOATE-DVI)</t>
  </si>
  <si>
    <t>Human Coagulation Factor VIII 500 IU Serbuk Injeksi (OCTANATE)</t>
  </si>
  <si>
    <t>OCTANATE 500 IU</t>
  </si>
  <si>
    <t>Human Hepatitis B Immunoglobulin 220 IU Injeksi (HYPERHEP B S/D)</t>
  </si>
  <si>
    <t>HYPERHEP B S/D</t>
  </si>
  <si>
    <t>Human Plasma Protein Fraction 5 g / 100 ml Infus (PLASMANATE)</t>
  </si>
  <si>
    <t>PLASMANATE</t>
  </si>
  <si>
    <t>Human Prothrombin Complex 500 IU Serbuk Injeksi (OCTAPLEX)</t>
  </si>
  <si>
    <t>OCTAPLEX</t>
  </si>
  <si>
    <t>Human Rabies Immunoglobulin 300 IU Injeksi (HYPERRAB, 1 mL)</t>
  </si>
  <si>
    <t>HYPERRAB S/D</t>
  </si>
  <si>
    <t>Hydrochlorothiazide 25 mg Tablet (KIMIA FARMA)</t>
  </si>
  <si>
    <t>HYDROCHLOROTHIAZIDE</t>
  </si>
  <si>
    <t>Hydrocortisone 20 mg Tablet (GENISONE)</t>
  </si>
  <si>
    <t>GENISONE</t>
  </si>
  <si>
    <t>Hydromal Infus (HYDROMAL, 500 mL)</t>
  </si>
  <si>
    <t>HYDROMAL</t>
  </si>
  <si>
    <t>Hydromorphone Hydrochloride 8 mg Tablet Pelepasan Lambat (JURNISTA)</t>
  </si>
  <si>
    <t>JURNISTA</t>
  </si>
  <si>
    <t>Hydroxy Urea 500 mg Kapsul (HYDROXYUREA MEDAC)</t>
  </si>
  <si>
    <t>HYDROXYUREA MEDAC</t>
  </si>
  <si>
    <t>Hydroxychloroquine Sulfate 200 mg Tablet Salut Selaput (IMEDCO DJAJA)</t>
  </si>
  <si>
    <t>HYDROXYCHLOROQUINE SULFATE</t>
  </si>
  <si>
    <t>Hydroxychloroquine Sulfate 200 mg Tablet Salut Selaput (KIMIA FARMA Tbk)</t>
  </si>
  <si>
    <t>Hyoscine 20 mg / mL Injeksi (ETHICA INDUSTRI FARMASI)</t>
  </si>
  <si>
    <t>HYOSCINE BUTYLBROMIDE</t>
  </si>
  <si>
    <t>Hyoscine Butylbromide 10 mg Tablet Salut Selaput (FASCOPAN)</t>
  </si>
  <si>
    <t>FASCOPAN</t>
  </si>
  <si>
    <t>Hyoscine Butylbromide 10 mg Tablet Salut Selaput (GENCOPAN)</t>
  </si>
  <si>
    <t>GENCOPAN</t>
  </si>
  <si>
    <t>Hyoscine Butylbromide 10 mg Tablet Salut Selaput (HYOREX)</t>
  </si>
  <si>
    <t>HYOREX</t>
  </si>
  <si>
    <t>Hyoscine Butylbromide 10 mg Tablet Salut Selaput (RAMA EMERALD MULTI SUKSES)</t>
  </si>
  <si>
    <t>Hyoscine Butylbromide 10 mg Tablet Salut Selaput (SCOBUTRIN)</t>
  </si>
  <si>
    <t>SCOBUTRIN</t>
  </si>
  <si>
    <t>Hyoscine Butylbromide 10 mg Tablet Salut Selaput (SPASHI)</t>
  </si>
  <si>
    <t>SPASHI</t>
  </si>
  <si>
    <t>Ibandronic 1 mg / mL Injeksi (NOVELL PHARMACEUTICAL LAB.)</t>
  </si>
  <si>
    <t>IBANDRONIC SODIUM MONOHYDRATE</t>
  </si>
  <si>
    <t>Ibuprofen 100 mg / 5 mL Suspensi (AFI FARMA, 60 mL)</t>
  </si>
  <si>
    <t>IBUPROFEN</t>
  </si>
  <si>
    <t>Ibuprofen 100 mg / 5 mL Suspensi (FARSIFEN, 60 mL)</t>
  </si>
  <si>
    <t>FARSIFEN</t>
  </si>
  <si>
    <t>Ibuprofen 100 mg / 5 mL Suspensi (NOVAXIFEN, 60 mL)</t>
  </si>
  <si>
    <t>NOVAXIFEN RASA STRAWBERRY</t>
  </si>
  <si>
    <t>Ibuprofen 100 mg / mL Injeksi (PRATAPA NIRMALA, 4 mL)</t>
  </si>
  <si>
    <t>Ibuprofen 200 mg / 5 mL Suspensi (FARSIFEN)</t>
  </si>
  <si>
    <t>FARSIFEN FORTE</t>
  </si>
  <si>
    <t>Ibuprofen 200 mg / 5 mL Suspensi (NOVAPHARIN)</t>
  </si>
  <si>
    <t>Ibuprofen 200 mg Tablet (NOVAPHARIN)</t>
  </si>
  <si>
    <t>IBUPROFEN 200 MG</t>
  </si>
  <si>
    <t>Ibuprofen 400 mg Tablet (HOLI PHARMA)</t>
  </si>
  <si>
    <t>Ibuprofen 400 mg Tablet (NOVAPHARIN)</t>
  </si>
  <si>
    <t>IBUPROFEN 400 MG</t>
  </si>
  <si>
    <t>Icodextrin 7,5 % Infus (EXTRANEAL, 2 L)</t>
  </si>
  <si>
    <t>EXTRANEAL</t>
  </si>
  <si>
    <t>Ifosfamide 1000 mg Serbuk Injeksi (HOLOXAN)</t>
  </si>
  <si>
    <t>HOLOXAN</t>
  </si>
  <si>
    <t>Ifosfamide 2000 mg Serbuk Injeksi (HOLOXAN)</t>
  </si>
  <si>
    <t>Ifosfamide 500 mg Serbuk Injeksi (HOLOXAN)</t>
  </si>
  <si>
    <t>Iloprost 10 ug / mL Larutan Inhalasi (VENTAVIS)</t>
  </si>
  <si>
    <t>VENTAVIS</t>
  </si>
  <si>
    <t>Imatinib Mesylate 100 mg Kapsul (TINIBAT)</t>
  </si>
  <si>
    <t>TINIBAT</t>
  </si>
  <si>
    <t>Imatinib Mesylate 100 mg Tablet Salut Selaput (GLIVEC)</t>
  </si>
  <si>
    <t>GLIVEC</t>
  </si>
  <si>
    <t>Imatinib Mesylate 100 mg Tablet Salut Selaput (IMASONIB)</t>
  </si>
  <si>
    <t>IMASONIB 100</t>
  </si>
  <si>
    <t>Imatinib Mesylate 100 mg Tablet Salut Selaput (IMATERO)</t>
  </si>
  <si>
    <t>IMATERO 100</t>
  </si>
  <si>
    <t>Imatinib Mesylate 100 mg Tablet Salut Selaput (IMNIB)</t>
  </si>
  <si>
    <t>IMNIB 100</t>
  </si>
  <si>
    <t>Imatinib Mesylate 100 mg Tablet Salut Selaput (ITIB)</t>
  </si>
  <si>
    <t>ITIB 100</t>
  </si>
  <si>
    <t>Imatinib Mesylate 100 mg Tablet Salut Selaput (LEUKIVEC)</t>
  </si>
  <si>
    <t>LEUKIVEC</t>
  </si>
  <si>
    <t>Imatinib Mesylate 400 mg Tablet Salut Selaput (GLIVEC)</t>
  </si>
  <si>
    <t>Imatinib Mesylate 400 mg Tablet Salut Selaput (IMATERO)</t>
  </si>
  <si>
    <t>IMATERO 400</t>
  </si>
  <si>
    <t>Imatinib Mesylate 400 mg Tablet Salut Selaput (IMNIB)</t>
  </si>
  <si>
    <t>IMNIB 400</t>
  </si>
  <si>
    <t>Imatinib Mesylate 400 mg Tablet Salut Selaput (ITIB)</t>
  </si>
  <si>
    <t>ITIB 400</t>
  </si>
  <si>
    <t>Imidafenacin 0,1 mg Tablet Salut Selaput (URITOS)</t>
  </si>
  <si>
    <t>URITOS</t>
  </si>
  <si>
    <t>Imidapril 10 mg Tablet (TANAPRESS)</t>
  </si>
  <si>
    <t>TANAPRESS 10</t>
  </si>
  <si>
    <t>Imidapril 5 mg Tablet (TANAPRESS)</t>
  </si>
  <si>
    <t>TANAPRESS 5</t>
  </si>
  <si>
    <t>Immunoglobulin Human Anti-Tetanus 250 IU / mL Injeksi (TETAGAM P)</t>
  </si>
  <si>
    <t>TETAGAM P</t>
  </si>
  <si>
    <t>Indacaterol 110 mg / Glycopyrronium 50 mg Serbuk Inhaler (ULTIBRO BREEZHALER)</t>
  </si>
  <si>
    <t>ULTIBRO BREEZHALER</t>
  </si>
  <si>
    <t>Indacaterol 150 mcg Kapsul (ONBREZ BREEZHALER)</t>
  </si>
  <si>
    <t>ONBREZ BREEZHALER</t>
  </si>
  <si>
    <t>Indacaterol Maleate 300 mcg Serbuk Inhaler (ONBREZ BREEZHALER)</t>
  </si>
  <si>
    <t>Insulin 70 U / Insulin Aspart 30 U Injeksi (RYZODEG)</t>
  </si>
  <si>
    <t>RYZODEG</t>
  </si>
  <si>
    <t>Insulin Detemir 100 IU / mL Injeksi (LEVEMIR FLEXPEN)</t>
  </si>
  <si>
    <t>LEVEMIR FLEXPEN</t>
  </si>
  <si>
    <t>Insulin Detemir 100 IU / mL Injeksi (LEVEMIR)</t>
  </si>
  <si>
    <t>Insulin Glargine 100 IU/ml Cairan Injeksi (LANTUS)</t>
  </si>
  <si>
    <t>LANTUS</t>
  </si>
  <si>
    <t>Insulin Glargine 300 IU/ml Cairan Injeksi (LANTUS)</t>
  </si>
  <si>
    <t>LANTUS XR</t>
  </si>
  <si>
    <t>Insulin Human (Intermediate Acting) 100 IU / mL Injeksi (INSULATARD HM, 10 mL)</t>
  </si>
  <si>
    <t>INSULATARD HM</t>
  </si>
  <si>
    <t>Insulin Human (Intermediate Acting) 100 IU / mL Injeksi (INSULATARD HM, 3 mL)</t>
  </si>
  <si>
    <t>Insulin Human (Short Acting) 100 IU / mL Injeksi (ACTRAPID HM, 10 mL)</t>
  </si>
  <si>
    <t>ACTRAPID HM</t>
  </si>
  <si>
    <t>Insulin Human (Short Acting) 100 IU / mL Injeksi (ACTRAPID HM, 3 mL)</t>
  </si>
  <si>
    <t>Insulin Human (Short Acting) 100 IU / mL Injeksi (HUMULIN R KWIKPEN)</t>
  </si>
  <si>
    <t>HUMULIN R KWIKPEN</t>
  </si>
  <si>
    <t>Insulin Human Analog (Rapid Acting) 100 IU / mL Injeksi (APIDRA, 10 mL)</t>
  </si>
  <si>
    <t>APIDRA</t>
  </si>
  <si>
    <t>Insulin Human Analog (Rapid Acting) 100 IU / mL Injeksi (APIDRA, 3 mL)</t>
  </si>
  <si>
    <t>Insulin Human Analog (Rapid Acting) 100 IU / mL Injeksi (FIASP, 3 mL)</t>
  </si>
  <si>
    <t>FIASP</t>
  </si>
  <si>
    <t>Insulin Human Analog (Rapid Acting) 100 IU / mL Injeksi (HUMALOG KWIKPEN, 3 mL)</t>
  </si>
  <si>
    <t>HUMALOG KWIKPEN</t>
  </si>
  <si>
    <t>Insulin Human Analog (Rapid Acting) 100 IU / mL Injeksi (NOVORAPID, 3 mL)</t>
  </si>
  <si>
    <t>NOVORAPID</t>
  </si>
  <si>
    <t>Insulin Human Mix 100 IU / mL Injeksi (MIXTARD 30 HM, 10 mL)</t>
  </si>
  <si>
    <t>MIXTARD 30 HM</t>
  </si>
  <si>
    <t>Insulin Human Mix 100 IU / mL Injeksi (MIXTARD 30 HM, 3 mL)</t>
  </si>
  <si>
    <t>Iohexol 300 mgI / mL Cairan Injeksi (BERNOFARM, 50 mL)</t>
  </si>
  <si>
    <t>IOHEXOL</t>
  </si>
  <si>
    <t>Iohexol 350 mgI / mL Cairan Injeksi (BERNOFARM, 50 mL)</t>
  </si>
  <si>
    <t>Iopromide 300 mg / mL Infus (ULTRAVIST, 100 mL)</t>
  </si>
  <si>
    <t>ULTRAVIST 300</t>
  </si>
  <si>
    <t>Iopromide 300 mg / mL Infus (ULTRAVIST, 50 mL)</t>
  </si>
  <si>
    <t>Iopromide 370 mg / mL Infus (ULTRAVIST, 100 mL)</t>
  </si>
  <si>
    <t>ULTRAVIST 370</t>
  </si>
  <si>
    <t>Iopromide 370 mg / mL Infus (ULTRAVIST, 50 mL)</t>
  </si>
  <si>
    <t>Ipratropium Bromide 0.025% Cairan Inhalasi (PRATAPA NIRMALA)</t>
  </si>
  <si>
    <t>IPRATROPIUM BROMIDE</t>
  </si>
  <si>
    <t>Irbesartan 150 mg Tablet (IKAPHARMINDO PUTRAMAS)</t>
  </si>
  <si>
    <t>IRBESARTAN</t>
  </si>
  <si>
    <t>Irbesartan 150 mg Tablet (IRETENSA)</t>
  </si>
  <si>
    <t>IRETENSA</t>
  </si>
  <si>
    <t>Irbesartan 150 mg Tablet (IRTAN)</t>
  </si>
  <si>
    <t>IRTAN</t>
  </si>
  <si>
    <t>Irbesartan 300 mg Tablet (IRBESAL)</t>
  </si>
  <si>
    <t>IRBESAL 300</t>
  </si>
  <si>
    <t>Irbesartan 300 mg Tablet (IRETENSA)</t>
  </si>
  <si>
    <t>Irbesartan 300 mg Tablet (IRTAN)</t>
  </si>
  <si>
    <t>IRTAN 300</t>
  </si>
  <si>
    <t>Irinotecan Hydrochloride 20 mg / mL Injeksi (ACTATECAN, 2 mL, ACTAVIS INDONESIA)</t>
  </si>
  <si>
    <t>ACTATECAN</t>
  </si>
  <si>
    <t>Irinotecan Hydrochloride 20 mg / mL Injeksi (ACTATECAN, 5 mL, ACTAVIS INDONESIA)</t>
  </si>
  <si>
    <t>Irinotecan Hydrochloride 20 mg / mL Injeksi (CAMPTO, 2 mL, PFIZER INDONESIA)</t>
  </si>
  <si>
    <t>CAMPTO</t>
  </si>
  <si>
    <t>Irinotecan Hydrochloride 20 mg / mL Injeksi (CAMPTO, 5 mL, PFIZER INDONESIA)</t>
  </si>
  <si>
    <t>Irinotecan Hydrochloride 20 mg / mL Injeksi (IRINOL, 2 mL, MEGA LIFESCIENCES INDONESIA)</t>
  </si>
  <si>
    <t>IRINOL</t>
  </si>
  <si>
    <t>Irinotecan Hydrochloride 20 mg / mL Injeksi (IRINOL, 5 mL, MEGA LIFESCIENCES INDONESIA)</t>
  </si>
  <si>
    <t>Irinotecan Hydrochloride 20 mg / mL Injeksi (IRINOL, FUTAMED PHARMACEUTICAL)</t>
  </si>
  <si>
    <t>Irinotecan Hydrochloride 20 mg / mL Injeksi (IRITERO, 2 mL)</t>
  </si>
  <si>
    <t>IRITERO</t>
  </si>
  <si>
    <t>Irinotecan Hydrochloride 20 mg / mL Injeksi (IRITERO, 5 mL)</t>
  </si>
  <si>
    <t>Irinotecan Hydrochloride 20 mg / mL Injeksi (KABITEC, 2 mL, FRESENIUS KABI COMBIPHAR)</t>
  </si>
  <si>
    <t>KABITEC</t>
  </si>
  <si>
    <t>Irinotecan Hydrochloride 20 mg / mL Injeksi (KABITEC, 5 mL, FRESENIUS KABI COMBIPHAR)</t>
  </si>
  <si>
    <t>Irinotecan Hydrochloride 20 mg / mL Injeksi (KABITEC, FRESENIUS KABI COMBIPHAR)</t>
  </si>
  <si>
    <t>Irinotecan Hydrochloride 20 mg / mL Injeksi (SANBE FARMA, 2 mL, SANBE FARMA)</t>
  </si>
  <si>
    <t>IRINOTECAN HYDROCHLORIDE</t>
  </si>
  <si>
    <t>Irinotecan Hydrochloride 20 mg / mL Injeksi (SANBE FARMA, 5 mL, SANBE FARMA)</t>
  </si>
  <si>
    <t>Iron Sucrose 20 mg / mL (BERNOFARM)</t>
  </si>
  <si>
    <t>IRON SUCROSE</t>
  </si>
  <si>
    <t>Iron Sucrose 20 mg / mL (FERION)</t>
  </si>
  <si>
    <t>FERION</t>
  </si>
  <si>
    <t>Iron Sucrose 20 mg / mL (NOVELL PHARMACEUTICAL LABORATORIES)</t>
  </si>
  <si>
    <t>Isoflurane 100 mL Inhalasi (MERSIFARMA TIRMAKU MERCUSANA)</t>
  </si>
  <si>
    <t>ISOFLURANE</t>
  </si>
  <si>
    <t>Isoflurane 250 mL Cairan Inhalasi (MERSIFARMA TIRMAKU MERCUSANA)</t>
  </si>
  <si>
    <t>Isoflurane 250 mL Cairan Inhalasi (YARINDO FARMATAMA)</t>
  </si>
  <si>
    <t>Isoniazid 100 mg Tablet (KIMIA FARMA Tbk.)</t>
  </si>
  <si>
    <t>ISONIAZID</t>
  </si>
  <si>
    <t>Isoniazid 300 mg Tablet (KIMIA FARMA)</t>
  </si>
  <si>
    <t>Isosorbide Dinitrate 1 mg / mL Injeksi (ETERCON PHARMA)</t>
  </si>
  <si>
    <t>ISOSORBIDE DINITRATE</t>
  </si>
  <si>
    <t>Isosorbide Dinitrate 10 mg Tablet Sublingual (FARSORBID)</t>
  </si>
  <si>
    <t>FARSORBID 10</t>
  </si>
  <si>
    <t>Isosorbide Dinitrate 10 mg Tablet Sublingual (ISONAT)</t>
  </si>
  <si>
    <t>ISONAT</t>
  </si>
  <si>
    <t>Isosorbide Dinitrate 10 mg Tablet Sublingual (NOVELL PHARMACEUTICAL LAB. - Indonesia - -)</t>
  </si>
  <si>
    <t>Isosorbide Dinitrate 5 mg Tablet (CEDOCARD)</t>
  </si>
  <si>
    <t>CEDOCARD 5</t>
  </si>
  <si>
    <t>Isosorbide Dinitrate 5 mg Tablet (FARSORBID)</t>
  </si>
  <si>
    <t>FARSORBID 5</t>
  </si>
  <si>
    <t>Isosorbide Dinitrate 5 mg Tablet (ISONAT)</t>
  </si>
  <si>
    <t>Ivabradin Hydrochloride 5 mg Tablet Salut Selaput (FARCOR)</t>
  </si>
  <si>
    <t>FARCOR 5</t>
  </si>
  <si>
    <t>KA-EN 3A Infus (KA-EN 3A)</t>
  </si>
  <si>
    <t>KA-EN 3A</t>
  </si>
  <si>
    <t>Ketamine Hydrochloride 50 mg / mL Injeksi (DEXA MEDICA)</t>
  </si>
  <si>
    <t>KETAMINE HYDROCHLORIDE</t>
  </si>
  <si>
    <t>Ketoconazole 2% Krim (DEXA MEDICA, 10 g)</t>
  </si>
  <si>
    <t>KETOCONAZOLE</t>
  </si>
  <si>
    <t>Ketoconazole 2% Krim (TEMPO SCAN PACIFIC Tbk)</t>
  </si>
  <si>
    <t>Ketoconazole 200 mg Tablet (HEXPHARM JAYA LABORATORIES)</t>
  </si>
  <si>
    <t>Ketokonazol / Ketoconazole 2% Scalp Solution (ZOLORAL SS)</t>
  </si>
  <si>
    <t>ZOLORAL - SS</t>
  </si>
  <si>
    <t>Suspensi / Cairan Obat Luar</t>
  </si>
  <si>
    <t>Ketoprofen 100 mg Supositoria (PROTOFEN)</t>
  </si>
  <si>
    <t>PROTOFEN</t>
  </si>
  <si>
    <t>Ketoprofen 50 mg / mL Injeksi (REMATOF)</t>
  </si>
  <si>
    <t>REMATOF</t>
  </si>
  <si>
    <t>Ketorolac Trometamol 30 mg / mL Injeksi (DEXA MEDICA)</t>
  </si>
  <si>
    <t>KETOROLAC TROMETAMOL</t>
  </si>
  <si>
    <t>Kidmin Infus (KIDMIN, 200 mL)</t>
  </si>
  <si>
    <t>KIDMIN</t>
  </si>
  <si>
    <t>Laktulosa / Lactulose 3,335 g / 5 mL (IKAPHARMINDO PUTRAMAS, 120 mL)</t>
  </si>
  <si>
    <t>LACTULOSE</t>
  </si>
  <si>
    <t>Laktulosa / Lactulose 3,335 g / 5 mL (IKAPHARMINDO PUTRAMAS, 60 mL)</t>
  </si>
  <si>
    <t>Lamivudine 100 mg Tablet (HEPLAV)</t>
  </si>
  <si>
    <t>HEPLAV</t>
  </si>
  <si>
    <t>Lamivudine 100 mg Tablet Salut Selaput (KIMIA FARMA)</t>
  </si>
  <si>
    <t>LAMIVUDINE</t>
  </si>
  <si>
    <t>Lamivudine 150 mg Tablet (KIMIA FARMA)</t>
  </si>
  <si>
    <t>Lamotrigine 100 mg Tablet (LAMICTAL)</t>
  </si>
  <si>
    <t>LAMICTAL</t>
  </si>
  <si>
    <t>Lamotrigine 25 mg Tablet Dispersibel (LAMICTAL)</t>
  </si>
  <si>
    <t>Lamotrigine 50 mg Tablet (LAMICTAL)</t>
  </si>
  <si>
    <t>Lansoprazole 30 mg / mL Serbuk Injeksi (PRATAPA NIRMALA)</t>
  </si>
  <si>
    <t>Lansoprazole 30 mg Kapsul Lepas Tunda (BERNOFARM)</t>
  </si>
  <si>
    <t>LANSOPRAZOLE</t>
  </si>
  <si>
    <t>Lansoprazole 30 mg Kapsul Lepas Tunda (LASGAN)</t>
  </si>
  <si>
    <t>LASGAN</t>
  </si>
  <si>
    <t>Lansoprazole 30 mg Kapsul Lepas Tunda (NOVELL PHARMACEUTICAL LABORATORIES)</t>
  </si>
  <si>
    <t>Lapatinib Tosilate 250 mg Tablet Salut Selaput (TYKERB)</t>
  </si>
  <si>
    <t>TYKERB</t>
  </si>
  <si>
    <t>Latanoprost 0,005% Tetes Mata (FERRON PAR PHARMACEUTICALS)</t>
  </si>
  <si>
    <t>LATANOPROST</t>
  </si>
  <si>
    <t>Leflunomide 20 mg Tablet Salut Selaput (ARAVA)</t>
  </si>
  <si>
    <t>ARAVA</t>
  </si>
  <si>
    <t>Letrozole 2,5 mg Tablet (LEBREST)</t>
  </si>
  <si>
    <t>LEBREST</t>
  </si>
  <si>
    <t>Leuprorelin Acetate 1,88 mg Serbuk Injeksi (TAPROS)</t>
  </si>
  <si>
    <t>TAPROS</t>
  </si>
  <si>
    <t>Leuprorelin Acetate 11,25 mg Serbuk Injeksi (TAPROS 3M DEPOT)</t>
  </si>
  <si>
    <t>TAPROS 3M DEPOT</t>
  </si>
  <si>
    <t>Leuprorelin Acetate 3,75 mg Serbuk Injeksi (ENDROLIN)</t>
  </si>
  <si>
    <t>ENDROLIN</t>
  </si>
  <si>
    <t>Leuprorelin Acetate 7,5 mg Serbuk Injeksi (ELIGARD)</t>
  </si>
  <si>
    <t>ELIGARD</t>
  </si>
  <si>
    <t>Leuproreline Acetate 22,5 mg Serbuk Injeksi (ELIGARD)</t>
  </si>
  <si>
    <t>Levetiracetam 250 mg Tablet Salut Selaput (ACTAVIS INDONESIA)</t>
  </si>
  <si>
    <t>LEVETIRACETAM</t>
  </si>
  <si>
    <t>Levetiracetam 500 mg Tablet Salut Selaput (ACTAVIS INDONESIA)</t>
  </si>
  <si>
    <t>Levofloxacin 5 mg/ml Infus (DEXA MEDICA, 100 mL)</t>
  </si>
  <si>
    <t>LEVOFLOXACIN HEMIHYDRATE</t>
  </si>
  <si>
    <t>Levofloxacin 5 mg/ml Infus (DEXA MEDICA, 150 mL)</t>
  </si>
  <si>
    <t>Levofloxacin 500 mg Tablet Salut Selaput (KIMIA FARMA)</t>
  </si>
  <si>
    <t>Levofloxacin Hemihydrate 0,5% Tetes Mata (LEVOCIN)</t>
  </si>
  <si>
    <t>LEVOCIN</t>
  </si>
  <si>
    <t>Levofloxacin Hemihydrate 250 mg Tablet Salut Selaput (KIMIA FARMA)</t>
  </si>
  <si>
    <t>Levofloxacin Hemihydrate 500 mg Kaplet Salut Selaput (HEXPHARM JAYA LABORATORIES)</t>
  </si>
  <si>
    <t>Levothyroxine Sodium 100 mcg Tablet (NOVELL PHARMACEUTICAL LABORATORIES)</t>
  </si>
  <si>
    <t>LEVOTHYROXINE SODIUM</t>
  </si>
  <si>
    <t>Levothyroxine Sodium 50 mcg Tablet (EUTHYROX)</t>
  </si>
  <si>
    <t>EUTHYROX</t>
  </si>
  <si>
    <t>Lidocaine Hydrochloride 2% Gel (XYLOCAINE)</t>
  </si>
  <si>
    <t>XYLOCAINE</t>
  </si>
  <si>
    <t>Gel</t>
  </si>
  <si>
    <t>Lithium Carbonate 200 mg Tablet (FRIMANIA 200)</t>
  </si>
  <si>
    <t>FRIMANIA 200</t>
  </si>
  <si>
    <t>Litium / Lithium Carbonate 400 mg Tablet (FRIMANIA 400)</t>
  </si>
  <si>
    <t>FRIMANIA 400</t>
  </si>
  <si>
    <t>Loperamide 2 mg Tablet/Kaplet (IFARS PHARMACEUTICAL LABORATORIES)</t>
  </si>
  <si>
    <t>LOPERAMIDE HCL</t>
  </si>
  <si>
    <t>Loperamide 2 mg Tablet/Kaplet (NOVAPHARIN)</t>
  </si>
  <si>
    <t>LOPARAMIDE HCl</t>
  </si>
  <si>
    <t>Loperamide 2 mg Tablet/Kaplet (PRIMODIAR)</t>
  </si>
  <si>
    <t>PRIMODIAR</t>
  </si>
  <si>
    <t>Loperamide 2 mg Tablet/Kaplet Salut Selaput (HOLI PHARMA)</t>
  </si>
  <si>
    <t>Lopinavir 100 mg / Ritonavir 25 mg Tablet Salut Selaput (RITOCOM)</t>
  </si>
  <si>
    <t>RITOCOM</t>
  </si>
  <si>
    <t>Lopinavir 200 mg / Ritonavir 50 mg Tablet Salut Selaput (LOPIVIA)</t>
  </si>
  <si>
    <t>LOPIVIA 200/50</t>
  </si>
  <si>
    <t>Loratadine 10 mg Tablet (INDOFARMA)</t>
  </si>
  <si>
    <t>LORATADINE</t>
  </si>
  <si>
    <t>Loratadine 10 mg Tablet (MEDIKON PRIMA LABORATORIES)</t>
  </si>
  <si>
    <t>Loratadine 10 mg Tablet (NOVAPHARIN)</t>
  </si>
  <si>
    <t>Loratadine 10 mg Tablet (PERTIWI AGUNG)</t>
  </si>
  <si>
    <t>Lorazepam 0,5 mg Tablet (MERSIFARMA TIRMAKU MERCUSANA)</t>
  </si>
  <si>
    <t>LORAZEPAM</t>
  </si>
  <si>
    <t>Lorazepam 1 mg Tablet (RENAQUIL)</t>
  </si>
  <si>
    <t>RENAQUIL</t>
  </si>
  <si>
    <t>Lorazepam 2 mg Tablet Salut Selaput (MERSIFARMA TIRMAKU MERCUSANA)</t>
  </si>
  <si>
    <t>Magnesium Sulfate 20% Injeksi (OTSU - MGSO4)</t>
  </si>
  <si>
    <t>OTSU - MGSO4 20</t>
  </si>
  <si>
    <t>Magnesium Sulfate 400 mg / mL Injeksi (OTSU - MgSO4 40, 25 mL)</t>
  </si>
  <si>
    <t>OTSU - MgSO4 40</t>
  </si>
  <si>
    <t>Maltose 10% Infus (INFUMAL)</t>
  </si>
  <si>
    <t>INFUMAL</t>
  </si>
  <si>
    <t>Maltose 10% Infus (MARTOS-10, 500 mL)</t>
  </si>
  <si>
    <t>MARTOS-10</t>
  </si>
  <si>
    <t>Mannitol 20% Infus (FINUSOLPRIMA FARMA INTERNASIONAL)</t>
  </si>
  <si>
    <t>MANNITOL</t>
  </si>
  <si>
    <t>Mannitol 20% Infus (MERSIFARMA TIRMAKU MERCUSANA, 250 mL)</t>
  </si>
  <si>
    <t>Mannitol 20% Infus (MERSIFARMA TIRMAKU MERCUSANA, 500 mL)</t>
  </si>
  <si>
    <t>Mannitol 20% Infus (OTSU - MANITOL 20, 250 mL)</t>
  </si>
  <si>
    <t>OTSU - MANITOL 20</t>
  </si>
  <si>
    <t>Maprotiline Hydrochloride 50 mg Tablet Salut Selaput (MERSIFARMA TIRMAKU MERCUSANA)</t>
  </si>
  <si>
    <t>MAPROTILINE HCL</t>
  </si>
  <si>
    <t>Maprotiline Hydrochloride 50 mg Tablet Salut Selaput (SANDEPRIL)</t>
  </si>
  <si>
    <t>SANDEPRIL</t>
  </si>
  <si>
    <t>Medroxyprogesterone Acetate 10 mg Tablet (PROTHYRA)</t>
  </si>
  <si>
    <t>PROTHYRA</t>
  </si>
  <si>
    <t>Medroxyprogesterone Acetate 100 mg Tablet (PROVERA)</t>
  </si>
  <si>
    <t>PROVERA</t>
  </si>
  <si>
    <t>Mefenamic Acid 500 mg Kaplet (HEXPHARM JAYA LABORATORIES)</t>
  </si>
  <si>
    <t>MEFENAMIC ACID</t>
  </si>
  <si>
    <t>Melphalan 2 mg Tablet Salut Selaput (ALKERAN)</t>
  </si>
  <si>
    <t>ALKERAN</t>
  </si>
  <si>
    <t>Meropenem 1 g Serbuk Injeksi (BERNOFARM)</t>
  </si>
  <si>
    <t>MEROPENEM TRIHYDRATE</t>
  </si>
  <si>
    <t>Meropenem 1 g Serbuk Injeksi (DEXA MEDICA)</t>
  </si>
  <si>
    <t>MEROPENEM</t>
  </si>
  <si>
    <t>Meropenem 1 g Serbuk Injeksi (NOVELL PHARMACEUTICAL LABORATORIES)</t>
  </si>
  <si>
    <t>Meropenem 500 mg Serbuk Injeksi (DEXA MEDICA)</t>
  </si>
  <si>
    <t>Mesna 100 mg / mL Injeksi (UROMITEXAN)</t>
  </si>
  <si>
    <t>UROMITEXAN 400 MG</t>
  </si>
  <si>
    <t>Metamizole 500 mg Injeksi (ANTRAIN)</t>
  </si>
  <si>
    <t>ANTRAIN</t>
  </si>
  <si>
    <t>Metamizole 500 mg Injeksi (MEPROFARM - Indonesia - -)</t>
  </si>
  <si>
    <t>METAMIZOLE  SODIUM  MONOHYDRATE</t>
  </si>
  <si>
    <t>Metamizole 500 mg Injeksi (METZOL)</t>
  </si>
  <si>
    <t>METZOL</t>
  </si>
  <si>
    <t>Metamizole 500 mg Injeksi (NORAGES)</t>
  </si>
  <si>
    <t>NORAGES</t>
  </si>
  <si>
    <t>Metamizole 500 mg Injeksi (PRAGESOL)</t>
  </si>
  <si>
    <t>PRAGESOL</t>
  </si>
  <si>
    <t>Metamizole 500 mg Injeksi (SANTAGESIK)</t>
  </si>
  <si>
    <t>SANTAGESIK</t>
  </si>
  <si>
    <t>Metformin Hidroklorida 500 mg Tablet (HEXPHARM JAYA LABORATORIES)</t>
  </si>
  <si>
    <t>METFORMIN HCL</t>
  </si>
  <si>
    <t>Metformin Hidroklorida 500 mg Tablet/Kaplet Pelepasan Lambat (GLUMIN XR)</t>
  </si>
  <si>
    <t>GLUMIN XR 500</t>
  </si>
  <si>
    <t>Kaplet Pelepasan Lambat</t>
  </si>
  <si>
    <t>Metformin Hydrochloride 500 mg Tablet/Kaplet Salut Selaput (DIAFAC)</t>
  </si>
  <si>
    <t>DIAFAC</t>
  </si>
  <si>
    <t>Metformin Hydrochloride 500 mg Tablet/Kaplet Salut Selaput (GLIFORMIN)</t>
  </si>
  <si>
    <t>GLIFORMIN 500</t>
  </si>
  <si>
    <t>Metformin Hydrochloride 500 mg Tablet/Kaplet Salut Selaput (GLIKOS)</t>
  </si>
  <si>
    <t>GLIKOS</t>
  </si>
  <si>
    <t>Metformin Hydrochloride 500 mg Tablet/Kaplet Salut Selaput (TEMPO SCAN PACIFIC Tbk)</t>
  </si>
  <si>
    <t>Metformin Hydrochloride 850 mg Kaplet Salut Selaput (TEMPO SCAN PACIFIC)</t>
  </si>
  <si>
    <t>Methadone Hydrochloride 50 mg/5 mL Sirup (KIMIA FARMA Tbk)</t>
  </si>
  <si>
    <t>METHADONE</t>
  </si>
  <si>
    <t>Methotrexate 2,5 mg Tablet (FERXATE)</t>
  </si>
  <si>
    <t>FERXATE</t>
  </si>
  <si>
    <t>Methotrexate 2,5 mg Tablet (RHEU - TREX)</t>
  </si>
  <si>
    <t>RHEU - TREX</t>
  </si>
  <si>
    <t>Methotrexate 25 mg / mL Injeksi (CKD OTTO Pharmaceuticals, 2 mL)</t>
  </si>
  <si>
    <t>METHOTREXATE</t>
  </si>
  <si>
    <t>Methotrexate 25 mg / mL Injeksi (DANKOS FARMA, 2 mL)</t>
  </si>
  <si>
    <t>Methotrexate 25 mg / mL Injeksi (GLOBAL ONKOLAB FARMA, 2 mL)</t>
  </si>
  <si>
    <t>Methotrexate 25 mg / mL Injeksi (KEMOTREXATE, 2 mL)</t>
  </si>
  <si>
    <t>KEMOTREXATE</t>
  </si>
  <si>
    <t>Methotrexate 25 mg / mL Injeksi (SANBE FARMA, 2 mL)</t>
  </si>
  <si>
    <t>Methotrexate 25 mg / mL Injeksi (SANOTREXAT, 2 mL)</t>
  </si>
  <si>
    <t>SANOTREXAT</t>
  </si>
  <si>
    <t>Methoxy Polyethylene Glycol-epoetin Beta 50 mcg / 0,3 mL Injeksi (MIRCERA)</t>
  </si>
  <si>
    <t>MIRCERA</t>
  </si>
  <si>
    <t>Methoxy Polyethylene Glycol-epoetin Beta 75 mcg / 0,3 mL Injeksi (MIRCERA)</t>
  </si>
  <si>
    <t>Methyldopa 250 mg Tablet Salut Selaput (DOPAMET)</t>
  </si>
  <si>
    <t>DOPAMET</t>
  </si>
  <si>
    <t>Methylergometrine 0,125 mg Tablet Salut Selaput (KIMIA FARMA)</t>
  </si>
  <si>
    <t>METHYLERGOMETRINE</t>
  </si>
  <si>
    <t>Methylergometrine Maleate 0,2 mg / mL Injeksi (FERRON PAR PHARMACEUTICALS)</t>
  </si>
  <si>
    <t>METHYLERGOMETRINE MALEATE</t>
  </si>
  <si>
    <t>Methylphenidate 18 mg Tablet Pelepasan Lambat (CONCERTA)</t>
  </si>
  <si>
    <t>CONCERTA</t>
  </si>
  <si>
    <t>Methylprednisolone 125 mg / vial Serbuk Injeksi (PHAPROS Tbk)</t>
  </si>
  <si>
    <t>METHYLPREDNISOLONE</t>
  </si>
  <si>
    <t>Methylprednisolone 16 mg Kaplet (NOVAPHARIN)</t>
  </si>
  <si>
    <t>Methylprednisolone 4 mg Tablet (HEXPHARM JAYA LABORATORIES)</t>
  </si>
  <si>
    <t>Methylprednisolone 8 mg Tablet (DEXA MEDICA)</t>
  </si>
  <si>
    <t>Methylprednisolone 8 mg Tablet (NOVAPHARIN)</t>
  </si>
  <si>
    <t>Methylprednisolone 8 mg Tablet (PROMEDRAHARDJO FARMASI INDUSTRI)</t>
  </si>
  <si>
    <t>Metilfenidat / Methylphenidate 10 mg Tablet (MERSIFARMA TIRMAKU MERCUSANA)</t>
  </si>
  <si>
    <t>METHYLPHENIDATE HCl</t>
  </si>
  <si>
    <t>Metilfenidat / Methylphenidate 36 mg Kaplet Pelepasan Lambat (CONCERTA)</t>
  </si>
  <si>
    <t>Metoclopramide Hydrochloride 10 mg Tablet (KIMIA FARMA Tbk.)</t>
  </si>
  <si>
    <t>METOCLOPRAMIDE HCL</t>
  </si>
  <si>
    <t>Metoclopramide Hydrochloride 5 mg / mL Injeksi (IPHA LABORATORIES)</t>
  </si>
  <si>
    <t>Metoclopramide Hydrochloride 5 mg Tablet (KIMIA FARMA Tbk.)</t>
  </si>
  <si>
    <t>Metronidazole 500 mg Infus (DARYA-VARIA LABORATORIA, 100 mL)</t>
  </si>
  <si>
    <t>METRONIDAZOLE</t>
  </si>
  <si>
    <t>Metronidazole 500 mg Infus (DARYA-VARIA LABORATORIA)</t>
  </si>
  <si>
    <t>Metronidazole 500 mg Ovula (VAGIZOL)</t>
  </si>
  <si>
    <t>VAGIZOL</t>
  </si>
  <si>
    <t>Metronidazole Benzoate 125 mg / 5 mL Suspensi (MEPROFARM)</t>
  </si>
  <si>
    <t>METRONIDAZOLE BENZOATE</t>
  </si>
  <si>
    <t>Micafungin Sodium 50 mg Serbuk Injeksi (MYCAMINE)</t>
  </si>
  <si>
    <t>MYCAMINE</t>
  </si>
  <si>
    <t>Miconazole 2 % Krim (DAKTARIN)</t>
  </si>
  <si>
    <t>DAKTARIN</t>
  </si>
  <si>
    <t>Miconazole 2 % Krim (FUNGARES)</t>
  </si>
  <si>
    <t>FUNGARES</t>
  </si>
  <si>
    <t>Miconazole 2 % Krim (FUNTAS)</t>
  </si>
  <si>
    <t>FUNTAS</t>
  </si>
  <si>
    <t>Miconazole 2 % Krim (KANESOL)</t>
  </si>
  <si>
    <t>KANESOL</t>
  </si>
  <si>
    <t>Miconazole Nitrate 2 % Serbuk (MYCORINE, 25 g)</t>
  </si>
  <si>
    <t>MYCORINE</t>
  </si>
  <si>
    <t>Serbuk Obat Luar / Serbuk Tabur</t>
  </si>
  <si>
    <t>Midazolam 1 mg / mL Injeksi (ETHICA INDUSTRI FARMASI)</t>
  </si>
  <si>
    <t>MIDAZOLAM HYDROCHLORIDE</t>
  </si>
  <si>
    <t>Mikofenolat / Mycophenolate Mofetil 500 mg Kaplet Salut Selaput (CELMUNOS)</t>
  </si>
  <si>
    <t>CELMUNOS</t>
  </si>
  <si>
    <t>Mikofenolat / Mycophenolate Mofetil 500 mg Kaplet Salut Selaput (KAMYFET)</t>
  </si>
  <si>
    <t>KAMYFET</t>
  </si>
  <si>
    <t>Mikofenolat 180 mg Tablet Salut Enterik (MYCOPHEN)</t>
  </si>
  <si>
    <t>Mikofenolat 180 mg Tablet Salut Enterik (MYFORTIC)</t>
  </si>
  <si>
    <t>MYFORTIC</t>
  </si>
  <si>
    <t>Mikofenolat 360 mg Tablet Salut Enterik (MYCOPHEN)</t>
  </si>
  <si>
    <t>MYCOPHEN 360</t>
  </si>
  <si>
    <t>Mikofenolat 360 mg Tablet Salut Enterik (MYFORTIC)</t>
  </si>
  <si>
    <t>Mineral Mix Serbuk Oral (INDOFARMA, 8 g)</t>
  </si>
  <si>
    <t>MINERAL MIX</t>
  </si>
  <si>
    <t>Serbuk Oral</t>
  </si>
  <si>
    <t>Mometasone furoate 0,1 % Krim (DEXA MEDICA)</t>
  </si>
  <si>
    <t>MOMETASONE FUROATE</t>
  </si>
  <si>
    <t>Mometasone furoate 0,1 % Krim (IKAPHARMINDO PUTRAMAS, 10 g)</t>
  </si>
  <si>
    <t>Mometasone furoate 0,1 % Krim (IKAPHARMINDO PUTRAMAS, 5 g)</t>
  </si>
  <si>
    <t>Morphine Hydrochloride 10 mg / mL Injeksi (MORFINA)</t>
  </si>
  <si>
    <t>MORFINA</t>
  </si>
  <si>
    <t>Morphine Hydrochloride 10 mg Tablet (KIMIA FARMA)</t>
  </si>
  <si>
    <t>MORPHINE HYDROCHLORIDE</t>
  </si>
  <si>
    <t>Morphine sulfate 10 mg Tablet Pelepasan Lambat (MST CONTINUS)</t>
  </si>
  <si>
    <t>MST CONTINUS</t>
  </si>
  <si>
    <t>Morphine Sulfate 15 mg Tablet Pelepasan Lambat (MST CONTINUS)</t>
  </si>
  <si>
    <t>Morphine Sulfate 30 mg Tablet Pelepasan Lambat (MST CONTINUS)</t>
  </si>
  <si>
    <t>Moxifloxacin 1,6 mg / mL Infus (DEXA MEDICA)</t>
  </si>
  <si>
    <t>MOXIFLOXACIN HCL</t>
  </si>
  <si>
    <t>Moxifloxacin 400 mg Kaplet Salut Selaput (DEXA MEDICA)</t>
  </si>
  <si>
    <t>MOXIFLOXACIN HCl</t>
  </si>
  <si>
    <t>N(2)-L-Alanyl-L-Glutamine 20% Infus (DIPEPTIVEN)</t>
  </si>
  <si>
    <t>DIPEPTIVEN</t>
  </si>
  <si>
    <t>N(2)-L-Alanyl-L-Glutamine 20% Infus (GLUTALAN, 100 mL)</t>
  </si>
  <si>
    <t>GLUTALAN</t>
  </si>
  <si>
    <t>N(2)-L-Alanyl-L-Glutamine 20% Infus (GLUTIVEN, 100 mL)</t>
  </si>
  <si>
    <t>GLUTIVEN</t>
  </si>
  <si>
    <t>Naloxone Hydrochloride 0,4 mg / mL Injeksi (ETHICA INDUSTRI FARMASI)</t>
  </si>
  <si>
    <t>NALOXONE HYDROCHLORIDE DIHYDRATE</t>
  </si>
  <si>
    <t>Naloxone Hydrochloride 0,4 mg / mL Injeksi (PRATAPA NIRMALA)</t>
  </si>
  <si>
    <t>NALOXONE HYDROCHLORIDE</t>
  </si>
  <si>
    <t>Natrium Diklofenak / Diclofenac Sodium 25 mg / mL Injeksi (VOLTAREN)</t>
  </si>
  <si>
    <t>VOLTAREN</t>
  </si>
  <si>
    <t>Neostigmine Metilsulfate 0,5 mg / mL Injeksi (ETHICA)</t>
  </si>
  <si>
    <t>NEOSTIGMINE METILSULFATE</t>
  </si>
  <si>
    <t>Neostigmine Metilsulfate 0,5 mg / mL Injeksi (Neostigmine - Hameln)</t>
  </si>
  <si>
    <t>NEOSTIGMINE - HAMELN</t>
  </si>
  <si>
    <t>Neostigmine Metilsulfate 0,5 mg / mL Injeksi (Prostigmin)</t>
  </si>
  <si>
    <t>PROSTIGMIN</t>
  </si>
  <si>
    <t>Neostigmine Metilsulfate 0,5 mg / mL Injeksi (Tyzox)</t>
  </si>
  <si>
    <t>TYZOX</t>
  </si>
  <si>
    <t>Nevirapine 200 mg Kaplet (KIMIA FARMA)</t>
  </si>
  <si>
    <t>NEVIRAPINE</t>
  </si>
  <si>
    <t>Nicardipine Hydrochloride 1 mg/ml Injeksi (DEXA MEDICA)</t>
  </si>
  <si>
    <t>NICARDIPINE HYDROCHLORIDE</t>
  </si>
  <si>
    <t>Nifedipine 30 mg Tablet Pelepasan Lambat (ADALAT OROS)</t>
  </si>
  <si>
    <t>ADALAT OROS</t>
  </si>
  <si>
    <t>Nilotinib Hydrochloride 150 mg Kapsul (TASIGNA)</t>
  </si>
  <si>
    <t>TASIGNA</t>
  </si>
  <si>
    <t>Nilotinib Hydrochloride 200 mg Kapsul (TASIGNA)</t>
  </si>
  <si>
    <t>Nimodipine 10 mg Infus (BERNOFARM)</t>
  </si>
  <si>
    <t>NIMODIPINE</t>
  </si>
  <si>
    <t>Nimodipine 30 mg Tablet Salut Selaput (NIMOTOP)</t>
  </si>
  <si>
    <t>NIMOTOP</t>
  </si>
  <si>
    <t>Norepinephrine Bitartate 1 mg / mL Injeksi (DEXA MEDICA)</t>
  </si>
  <si>
    <t>NOREPINEPHRINE BITARTRATE MONOHYDRATE</t>
  </si>
  <si>
    <t>Norethisterone 5 mg Tablet (LUTERON)</t>
  </si>
  <si>
    <t>LUTERON</t>
  </si>
  <si>
    <t>Nutriflex Infus (NUTRIFLEX LIPID SPECIAL, 1250 mL)</t>
  </si>
  <si>
    <t>NUTRIFLEX LIPID SPECIAL</t>
  </si>
  <si>
    <t>Nutriflex Infus (NUTRIFLEX LIPID SPECIAL, 625 mL)</t>
  </si>
  <si>
    <t>Nystatin 100.000 IU / mL Suspensi (BERNOFARM)</t>
  </si>
  <si>
    <t>NYSTATIN</t>
  </si>
  <si>
    <t>Nystatin 100.000 IU / mL Suspensi (IFARS PHARMACEUTICAL LABORATORIES)</t>
  </si>
  <si>
    <t>Nystatin 100.000 IU / mL Suspensi (LAPI LABORATORIES)</t>
  </si>
  <si>
    <t>Nystatin 100.000 IU Tablet Vaginal (PHAPROS Tbk)</t>
  </si>
  <si>
    <t>Tablet Vaginal</t>
  </si>
  <si>
    <t>Nystatin 500.000 IU Tablet Salut Gula (PHAPROS Tbk)</t>
  </si>
  <si>
    <t>Obat Anti Tuberculosis / Rifampicin 150 mg / Isoniazid 150 mg Tablet Salut Selaput (KIMIA FARMA)</t>
  </si>
  <si>
    <t>RIFAMPICIN 150 MG/ ISONIAZID 150 MG</t>
  </si>
  <si>
    <t>Obat Anti Tuberculosis / Rifampicin 150 mg / Isoniazid 75 mg / Pyrazinamide 400 mg / Ethambutol 275 mg Kaplet Salut Selaput (KIMIA FARMA)</t>
  </si>
  <si>
    <t>RIFAMPICIN 150 MG/ISONIAZID 75 MG/PYRAZINAMIDE 400 MG/ETHAMBUTOL 275 MG</t>
  </si>
  <si>
    <t>Obat Anti Tuberculosis / Rifampicin 150 mg / Isoniazid 75 mg / Pyrazinamide 400 mg / Ethambutol 275 mg Kaplet Salut Selaput (PHAPROS)</t>
  </si>
  <si>
    <t>Obat Anti Tuberculosis / Rifampicin 75 mg / Isoniazid 50 mg / Pyrazinamide 150 mg Tablet Dispersibel (INDOFARMA)</t>
  </si>
  <si>
    <t>RIFAMPICIN/ISONIAZID/PYRAZINAMID</t>
  </si>
  <si>
    <t>Obat Anti Tuberculosis / Rifampicin 75 mg / Isoniazid 50 mg / Pyrazinamide 150 mg Tablet Dispersibel (KIMIA FARMA)</t>
  </si>
  <si>
    <t>RIFAMPICIN/ISONIAZID/PIRAZINAMID</t>
  </si>
  <si>
    <t>Obat Anti Tuberculosis / Rifampicin 75 mg / Isoniazid 50 mg / Pyrazinamide 150 mg Tablet Dispersibel (PHAPROS Tbk)</t>
  </si>
  <si>
    <t>RIFAMPICIN 75 MG/ISONIAZID 50 MG/PYRAZINAMIDE 150 MG</t>
  </si>
  <si>
    <t>Obat Anti Tuberculosis / Rifampicin 75 mg / Isoniazid 50 mg Tablet Dispersibel (INDOFARMA)</t>
  </si>
  <si>
    <t>RIFAMPICIN/ISONIAZID</t>
  </si>
  <si>
    <t>Obat Anti Tuberculosis / Rifampicin 75 mg / Isoniazid 50 mg Tablet Dispersibel (KIMIA FARMA)</t>
  </si>
  <si>
    <t>RIFAMPICIN/ ISONIAZID</t>
  </si>
  <si>
    <t>Octreotide 0,1  mg / mL Injeksi (PRATAPA NIRMALA)</t>
  </si>
  <si>
    <t>OCTREOTIDE ACETATE</t>
  </si>
  <si>
    <t>Octreotide 20 mg Serbuk Injeksi (SANDOSTATIN LAR)</t>
  </si>
  <si>
    <t>SANDOSTATIN LAR</t>
  </si>
  <si>
    <t>Octreotide 30 mg Serbuk Injeksi (SANDOSTATIN LAR)</t>
  </si>
  <si>
    <t>Ofloxacin 200 mg Tablet Salut Selaput (INDOFARMA)</t>
  </si>
  <si>
    <t>OFLOXACIN</t>
  </si>
  <si>
    <t>Ofloxacin 3% Tetes Telinga (AKILEN)</t>
  </si>
  <si>
    <t>AKILEN</t>
  </si>
  <si>
    <t>Tetes Telinga</t>
  </si>
  <si>
    <t>Ofloxacin 3% Tetes Telinga (TARIVID)</t>
  </si>
  <si>
    <t>TARIVID</t>
  </si>
  <si>
    <t>Ofloxacin 400 mg Tablet Salut Selaput (DEXA MEDICA)</t>
  </si>
  <si>
    <t>Olanzapine 10 mg Serbuk Injeksi (ZYPREXA IM)</t>
  </si>
  <si>
    <t>ZYPREXA IM</t>
  </si>
  <si>
    <t>Olanzapine 10 mg Tablet Salut Selaput (DEXA MEDICA)</t>
  </si>
  <si>
    <t>OLANZAPINE</t>
  </si>
  <si>
    <t>Olanzapine 5 mg Tablet Salut Selaput (DEXA MEDICA)</t>
  </si>
  <si>
    <t>Olimel Infus (OLIMEL N9E, 1000 mL)</t>
  </si>
  <si>
    <t>OLIMEL N9E</t>
  </si>
  <si>
    <t>Olive Oil 16 g / Soybean Oil 4 g Infus (CLINOLEIC, 100 mL)</t>
  </si>
  <si>
    <t>CLINOLEIC 20 %</t>
  </si>
  <si>
    <t>Emulsi</t>
  </si>
  <si>
    <t>Olodaterol 2,5 mcg / Tiotropium 2,5 mcg Cairan Inhalasi (SPIOLTO RESPIMAT, RESPIMAT REUSABLE INHALER + DEVICE)</t>
  </si>
  <si>
    <t>SPIOLTO RESPIMAT</t>
  </si>
  <si>
    <t>Olodaterol 2,5 mcg / Tiotropium 2,5 mcg Cairan Inhalasi (SPIOLTO RESPIMAT, SINGLE REFILL PACK)</t>
  </si>
  <si>
    <t>Olodaterol 2,5 mcg Cairan Inhalasi (STRIVERDI RESPIMAT, RESPIMAT REUSABLE INHALER + DEVICE)</t>
  </si>
  <si>
    <t>STRIVERDI RESPIMAT</t>
  </si>
  <si>
    <t>Olodaterol 2,5 mcg Cairan Inhalasi (STRIVERDI RESPIMAT, SINGLE REFILL PACK)</t>
  </si>
  <si>
    <t>Olopatadine Hydrochloride 0,1 % Cairan Mata (FERRON PAR PHARMACEUTICALS)</t>
  </si>
  <si>
    <t>OLOPATADINE HCL</t>
  </si>
  <si>
    <t>Cairan Mata</t>
  </si>
  <si>
    <t>Omegaven Infus (OMEGAVEN)</t>
  </si>
  <si>
    <t>OMEGAVEN</t>
  </si>
  <si>
    <t>Omeprazole Sodium 20 mg Kapsul Pelepasan Lambat (HEXPHARM JAYA LABORATORIES)</t>
  </si>
  <si>
    <t>OMEPRAZOLE</t>
  </si>
  <si>
    <t>Omeprazole Sodium 20 mg Kapsul Pelepasan Lambat (KIMIA FARMA Tbk)</t>
  </si>
  <si>
    <t>Omeprazole Sodium 40 mg Serbuk Injeksi (DEXA MEDICA)</t>
  </si>
  <si>
    <t>OMEPRAZOLE SODIUM</t>
  </si>
  <si>
    <t>Omeprazole Sodium 40 mg Serbuk Injeksi (PHAPROS Tbk)</t>
  </si>
  <si>
    <t>Ondansetron 2 mg/ml Injeksi (DEXA MEDICA, 2 mL)</t>
  </si>
  <si>
    <t>ONDANSETRON HCL DIHYDRATE</t>
  </si>
  <si>
    <t>Ondansetron 2 mg/ml Injeksi (DEXA MEDICA, 4 mL)</t>
  </si>
  <si>
    <t>Ondansetron Hydrochloride 4 mg Kaplet Salut Selaput (KLIRAN)</t>
  </si>
  <si>
    <t>KLIRAN</t>
  </si>
  <si>
    <t>Ondansetron Hydrochloride 4 mg Kaplet Salut Selaput (ODANOSTIN)</t>
  </si>
  <si>
    <t>ODANOSTIN</t>
  </si>
  <si>
    <t>Ondansetron Hydrochloride 4 mg Tablet Salut Selaput (DEXA MEDICA)</t>
  </si>
  <si>
    <t>Ondansetron Hydrochloride 4 mg Tablet Salut Selaput (PROMEDRAHARDJO FARMASI INDUSTRI)</t>
  </si>
  <si>
    <t>ONDANSETRON HYDROCHLORIDE DIHYDRATE</t>
  </si>
  <si>
    <t>Ondansetron Hydrochloride 8 mg Tablet (GENCETRON)</t>
  </si>
  <si>
    <t>GENCETRON 8</t>
  </si>
  <si>
    <t>Ondansetron Hydrochloride 8 mg Tablet (MAHAKAM BETA FARMA)</t>
  </si>
  <si>
    <t>VOMETRON 8</t>
  </si>
  <si>
    <t>Ondansetron Hydrochloride 8 mg Tablet (MULIA FARMA SUCI)</t>
  </si>
  <si>
    <t>Ondansetron Hydrochloride 8 mg Tablet (VOMETRON)</t>
  </si>
  <si>
    <t>Ondansetron Hydrochloride 8 mg Tablet Salut Selaput (DEXA MEDICA)</t>
  </si>
  <si>
    <t>ONDANSETRON HCl DIHYDRATE</t>
  </si>
  <si>
    <t>Ondansetron Hydrochloride 8 mg Tablet Salut Selaput (PROMEDRAHARDJO FARMASI INDUSTRI)</t>
  </si>
  <si>
    <t>OTSU - RL D5 Infus (OTSU - RL D5)</t>
  </si>
  <si>
    <t>OTSU - RL D5</t>
  </si>
  <si>
    <t>Oxaliplatin 100 mg Serbuk Injeksi (BELLOXA, OTTO PHARMACEUTICAL INDUSTRIES)</t>
  </si>
  <si>
    <t>BELLOXA</t>
  </si>
  <si>
    <t>Oxaliplatin 100 mg Serbuk Injeksi (CKD OTTO Pharmaceuticals)</t>
  </si>
  <si>
    <t>OXALIPLATIN</t>
  </si>
  <si>
    <t>Oxaliplatin 100 mg Serbuk Injeksi (FERRON PAR PHARMACEUTICALS)</t>
  </si>
  <si>
    <t>Oxaliplatin 100 mg Serbuk Injeksi (OXALIPLATIN MEDAC)</t>
  </si>
  <si>
    <t>OXALIPLATIN MEDAC</t>
  </si>
  <si>
    <t>Oxaliplatin 100 mg Serbuk Injeksi (OXITAN)</t>
  </si>
  <si>
    <t>OXITAN</t>
  </si>
  <si>
    <t>Oxaliplatin 100 mg Serbuk Injeksi (PLAXAT)</t>
  </si>
  <si>
    <t>PLAXAT</t>
  </si>
  <si>
    <t>Oxaliplatin 100 mg Serbuk Injeksi (REXTA)</t>
  </si>
  <si>
    <t>REXTA</t>
  </si>
  <si>
    <t>Oxaliplatin 100 mg Serbuk Injeksi (SANBE FARMA)</t>
  </si>
  <si>
    <t>Oxaliplatin 100 mg Serbuk Injeksi (TEMPO SCAN PACIFIC Tbk)</t>
  </si>
  <si>
    <t>OXALIPLATIN HOSPIRA</t>
  </si>
  <si>
    <t>Oxaliplatin 50 mg Serbuk Injeksi (BELLOXA, OTTO PHARMACEUTICAL INDUSTRIES)</t>
  </si>
  <si>
    <t>Oxaliplatin 50 mg Serbuk Injeksi (CKD OTTO Pharmaceuticals)</t>
  </si>
  <si>
    <t>Oxaliplatin 50 mg Serbuk Injeksi (FERRON PAR PHARMACEUTICALS)</t>
  </si>
  <si>
    <t>Oxaliplatin 50 mg Serbuk Injeksi (OXALIPLATIN MEDAC)</t>
  </si>
  <si>
    <t>Oxaliplatin 50 mg Serbuk Injeksi (OXITAN)</t>
  </si>
  <si>
    <t>Oxaliplatin 50 mg Serbuk Injeksi (PLAXAT)</t>
  </si>
  <si>
    <t>Oxaliplatin 50 mg Serbuk Injeksi (REXTA)</t>
  </si>
  <si>
    <t>Oxaliplatin 50 mg Serbuk Injeksi (SANBE FARMA)</t>
  </si>
  <si>
    <t>Oxaliplatin 50 mg Serbuk Injeksi (TEMPO SCAN PACIFIC Tbk)</t>
  </si>
  <si>
    <t>Oxcarbazepine 60 mg / mL Suspensi (TRILEPTAL)</t>
  </si>
  <si>
    <t>TRILEPTAL</t>
  </si>
  <si>
    <t>Oxycodone Hydrochloride 10 mg / mL Injeksi (OXYNORM, 1 mL)</t>
  </si>
  <si>
    <t>OXYNORM</t>
  </si>
  <si>
    <t>Oxycodone Hydrochloride 10 mg / mL Injeksi (OXYNORM, 2 mL)</t>
  </si>
  <si>
    <t>Oxycodone Hydrochloride 10 mg Kapsul (OXYNORM)</t>
  </si>
  <si>
    <t>Oxycodone Hydrochloride 10 mg Tablet Pelepasan Lambat (OXYNEO)</t>
  </si>
  <si>
    <t>OXYNEO</t>
  </si>
  <si>
    <t>Oxycodone Hydrochloride 15 mg Tablet Pelepasan Lambat (OXYNEO)</t>
  </si>
  <si>
    <t>Oxycodone Hydrochloride 20 mg Kapsul (OXYNORM)</t>
  </si>
  <si>
    <t>Oxycodone Hydrochloride 20 mg Tablet Pelepasan Lambat (OXYNEO)</t>
  </si>
  <si>
    <t>Oxycodone Hydrochloride 5 mg Kapsul (OXYNORM)</t>
  </si>
  <si>
    <t>Oxytetracycline 1 % Salep Mata (KIMIA FARMA)</t>
  </si>
  <si>
    <t>OXYTETRACYCLINE</t>
  </si>
  <si>
    <t>Oxytocin 10 IU / mL Injeksi (ETHICA)</t>
  </si>
  <si>
    <t>OXYTOCIN</t>
  </si>
  <si>
    <t>Paclitaxel 6 mg / mL Injeksi (16,7 mL, CKD OTTO Pharmaceuticals)</t>
  </si>
  <si>
    <t>PACLITAXEL</t>
  </si>
  <si>
    <t>Paclitaxel 6 mg / mL Injeksi (16,7 mL, FONKOPAC)</t>
  </si>
  <si>
    <t>FONKOPAC</t>
  </si>
  <si>
    <t>Paclitaxel 6 mg / mL Injeksi (16,7 mL, INTAXEL)</t>
  </si>
  <si>
    <t>INTAXEL</t>
  </si>
  <si>
    <t>Paclitaxel 6 mg / mL Injeksi (16,7 mL, NAPRO-TAX)</t>
  </si>
  <si>
    <t>NAPRO-TAX</t>
  </si>
  <si>
    <t>Paclitaxel 6 mg / mL Injeksi (16,7 mL, PAXOMED)</t>
  </si>
  <si>
    <t>PAXOMED</t>
  </si>
  <si>
    <t>Paclitaxel 6 mg / mL Injeksi (16,7 mL, SINDAXEL)</t>
  </si>
  <si>
    <t>SINDAXEL</t>
  </si>
  <si>
    <t>Paclitaxel 6 mg / mL Injeksi (5 mL, ANZATAX)</t>
  </si>
  <si>
    <t>ANZATAX</t>
  </si>
  <si>
    <t>Paclitaxel 6 mg / mL Injeksi (5 mL, CKD OTTO Pharmaceuticals)</t>
  </si>
  <si>
    <t>Paclitaxel 6 mg / mL Injeksi (5 mL, FONKOPAC)</t>
  </si>
  <si>
    <t>Paclitaxel 6 mg / mL Injeksi (5 mL, INTAXEL)</t>
  </si>
  <si>
    <t>Paclitaxel 6 mg / mL Injeksi (5 mL, NAPRO-TAX)</t>
  </si>
  <si>
    <t>Paclitaxel 6 mg / mL Injeksi (5 mL, PACLIHOPE)</t>
  </si>
  <si>
    <t>PACLIHOPE 300</t>
  </si>
  <si>
    <t>Paclitaxel 6 mg / mL Injeksi (5 mL, PAXOMED)</t>
  </si>
  <si>
    <t>Paclitaxel 6 mg / mL Injeksi (5 mL, SINDAXEL)</t>
  </si>
  <si>
    <t>Paclitaxel 6 mg / mL Injeksi (50 mL, CKD OTTO Pharmaceuticals)</t>
  </si>
  <si>
    <t>Paclitaxel 6 mg / mL Injeksi (50 mL, DANKOS FARMA)</t>
  </si>
  <si>
    <t>Paclitaxel 6 mg / mL Injeksi (50 mL, FONKOPAC)</t>
  </si>
  <si>
    <t>Paclitaxel 6 mg / mL Injeksi (50 mL, PACLIHOPE)</t>
  </si>
  <si>
    <t>Paliperidone Palmitate 100 mg / mL Injeksi Pelepasan Lambat (INVEGA SUSTENNA, 0.5 mL)</t>
  </si>
  <si>
    <t>INVEGA SUSTENNA</t>
  </si>
  <si>
    <t>Paliperidone Palmitate 100 mg / mL Injeksi Pelepasan Lambat (INVEGA SUSTENNA, 0.75 mL)</t>
  </si>
  <si>
    <t>Paliperidone Palmitate 100 mg / mL Injeksi Pelepasan Lambat (INVEGA SUSTENNA, 1 mL)</t>
  </si>
  <si>
    <t>Paliperidone Palmitate 100 mg / mL Injeksi Pelepasan Lambat (INVEGA SUSTENNA, 1.5 mL)</t>
  </si>
  <si>
    <t>Paracetamol 10 mg / mL Infus (MERSIFARMA TIRMAKU MERCUSANA, 100 mL)</t>
  </si>
  <si>
    <t>PARACETAMOL</t>
  </si>
  <si>
    <t>Paracetamol 120 mg / 5 mL Sirup (AFI FARMA, STRAWBERRY)</t>
  </si>
  <si>
    <t>PARACETAMOL (RASA STRAWBERRY)</t>
  </si>
  <si>
    <t>Paracetamol 120 mg / 5 mL Sirup (MERSIFARMA TIRMAKU MERCUSANA)</t>
  </si>
  <si>
    <t>Paracetamol 60 mg / 0,6 ml Drops (AFI FARMA)</t>
  </si>
  <si>
    <t>Pazopanib 200 mg Tablet Salut Selaput (VOTRIENT)</t>
  </si>
  <si>
    <t>VOTRIENT</t>
  </si>
  <si>
    <t>Pazopanib 400 mg Tablet Salut Selaput (VOTRIENT)</t>
  </si>
  <si>
    <t>Peginterferon Alfa-2A 135 ug / 0,5 mL Injeksi (PEGASYS, 0.5 mL, BOEHRINGER INGELHEIM INDONESIA)</t>
  </si>
  <si>
    <t>PEGASYS</t>
  </si>
  <si>
    <t>Peginterferon Alfa-2A 135 ug / 0,5 mL Injeksi (PEGASYS, 0.5 mL, MENARINI INDRIA LABORATORIES)</t>
  </si>
  <si>
    <t>Peginterferon Alfa-2A 180 mcg / 0,5 ml Injeksi (PEGASYS, BOEHRINGER INGELHEIM INDONESIA)</t>
  </si>
  <si>
    <t>Peginterferon Alfa-2A 180 mcg / 0,5 ml Injeksi (PEGASYS, MENARINI INDRIA LABORATORIES)</t>
  </si>
  <si>
    <t>Pemetrexed 500 mg Serbuk Injeksi (CKD OTTO Pharmaceuticals)</t>
  </si>
  <si>
    <t>PEMETREXED DISODIUM HEMIPENTAHYDRATE</t>
  </si>
  <si>
    <t>Pemetrexed 500 mg Serbuk Injeksi (FONTREXED)</t>
  </si>
  <si>
    <t>FONTREXED</t>
  </si>
  <si>
    <t>Pemetrexed 500 mg Serbuk Injeksi (KABIPEM)</t>
  </si>
  <si>
    <t>KABIPEM</t>
  </si>
  <si>
    <t>Pemetrexed 500 mg Serbuk Injeksi (LUXEA)</t>
  </si>
  <si>
    <t>LUXEA</t>
  </si>
  <si>
    <t>Pemetrexed 500 mg Serbuk Injeksi (PEMEXEN)</t>
  </si>
  <si>
    <t>PEMEXEN 500</t>
  </si>
  <si>
    <t>Pemetrexed 500 mg Serbuk Injeksi (PEMTERO)</t>
  </si>
  <si>
    <t>PEMTERO 500</t>
  </si>
  <si>
    <t>Pemetrexed 500 mg Serbuk Injeksi (PRIMEXA)</t>
  </si>
  <si>
    <t>PRIMEXA 500</t>
  </si>
  <si>
    <t>Pentasodium Diethylene Triamine Pentaacetate / Tin(II)-Chloride Dihydrate Serbuk Injeksi (RENALSCAN KaeF)</t>
  </si>
  <si>
    <t>RENALSCAN KaeF</t>
  </si>
  <si>
    <t>Perindopril Arginine 5 mg Tablet Salut Selaput (BIOPREXUM)</t>
  </si>
  <si>
    <t>BIOPREXUM</t>
  </si>
  <si>
    <t>Permethrin 5% Krim (COMBIPHAR)</t>
  </si>
  <si>
    <t>PERMETHRIN</t>
  </si>
  <si>
    <t>Permethrin 5% Krim (ETERCON PHARMA, 15 g)</t>
  </si>
  <si>
    <t>PERMETHRINE</t>
  </si>
  <si>
    <t>Permethrin 5% Krim (GALENIUM PHARMASIA LABORATORIES, 10 g)</t>
  </si>
  <si>
    <t>Pethidine Hydrochloride 50 mg / mL Cairan Injeksi (KIMIA FARMA)</t>
  </si>
  <si>
    <t>PETHIDINA</t>
  </si>
  <si>
    <t>Pethidine Hydrochloride 50 mg / mL Cairan Injeksi (PETHIDINA)</t>
  </si>
  <si>
    <t>Phenobarbital 30 mg Tablet (KIMIA FARMA)</t>
  </si>
  <si>
    <t>PHENOBARBITAL</t>
  </si>
  <si>
    <t>Phenobarbital 50 mg / mL Injeksi (PHAPROS Tbk)</t>
  </si>
  <si>
    <t>Phenol Glycerol 10% (LUCAS DJAJA)</t>
  </si>
  <si>
    <t>PHENOL GLYCEROL</t>
  </si>
  <si>
    <t>Phenoxymethylpenicillin 250 mg Tablet (PHAPROS Tbk)</t>
  </si>
  <si>
    <t>PHENOXYMETHYL PENICILLIN</t>
  </si>
  <si>
    <t>Phenylephrine Hydrochloride 10 % Tetes Mata (CENDO EFRISEL, 5mL)</t>
  </si>
  <si>
    <t>CENDO EFRISEL 10%</t>
  </si>
  <si>
    <t>Phenytoin 30 mg Kapsul (DECATONA)</t>
  </si>
  <si>
    <t>Phenytoin Sodium 50 mg / mL Injeksi (DEXA MEDICA)</t>
  </si>
  <si>
    <t>Phenytoin Sodium 50 mg / mL Injeksi (PHAPROS Tbk)</t>
  </si>
  <si>
    <t>Phytomenadione / Vitamin K1 10 mg / mL Injeksi (PHAPROS Tbk)</t>
  </si>
  <si>
    <t>PHYTOMENADIONE</t>
  </si>
  <si>
    <t>Phytomenadione / Vitamin K1 10 mg Tablet Salut Gula (MARIN LIZA FARMASI)</t>
  </si>
  <si>
    <t>Phytomenadione / Vitamin K1 10 mg Tablet Salut Gula (PHAPROS Tbk)</t>
  </si>
  <si>
    <t>Potassium Aspartate 300 mg Kaplet Salut Selaput (TEMPO SCAN PACIFIC Tbk)</t>
  </si>
  <si>
    <t>POTASSIUM L-ASPARTATE</t>
  </si>
  <si>
    <t>Potassium Chloride 0,8 mg / Sodium Chloride 4,4 mg Tetes Mata (CENDO LYTEERS, 15 mL)</t>
  </si>
  <si>
    <t>CENDO LYTEERS</t>
  </si>
  <si>
    <t>Potassium Chloride 1.5 g / Sodium Chloride 0.9 g / Dextrose Monohydrate 22 g Infus (WIDA KDN-2)</t>
  </si>
  <si>
    <t>WIDA KDN-2</t>
  </si>
  <si>
    <t>Potassium Chloride 600 mg Tablet Salut Selaput Pelepasan Lambat (KSR)</t>
  </si>
  <si>
    <t>KSR</t>
  </si>
  <si>
    <t>Potassium Chloride 74,6% Injeksi (OTSU - KCL 7,46)</t>
  </si>
  <si>
    <t>OTSU - KCL 7,46</t>
  </si>
  <si>
    <t>Potassium Chloride 74,6% Injeksi (SATORIA ANEKA INDUSTRI)</t>
  </si>
  <si>
    <t>POTASSIUM CHLORIDE</t>
  </si>
  <si>
    <t>Pramipexole 0,125 mg Tablet (DEXA MEDICA)</t>
  </si>
  <si>
    <t>PRAMIPEXOLE DIHYDROCHLORIDE MONOHYDRATE</t>
  </si>
  <si>
    <t>Pramipexole 0,375 mg Tablet Pelepasan Lambat (PRAMIFROL ER)</t>
  </si>
  <si>
    <t>PRAMIFROL</t>
  </si>
  <si>
    <t>Pramipexole 0,375 mg Tablet Pelepasan Lambat (SIFROL ER)</t>
  </si>
  <si>
    <t>SIFROL ER</t>
  </si>
  <si>
    <t>Pramipexole 0,75 mg Tablet Pelepasan Lambat (PRAMIFROL ER)</t>
  </si>
  <si>
    <t>PRAMIFROL ER</t>
  </si>
  <si>
    <t>Pramipexole 0,75 mg Tablet Pelepasan Lambat (SIFROL ER)</t>
  </si>
  <si>
    <t>Pravastatin Sodium 20 mg Tablet (NOVELL PHARMACEUTICAL LABORATORIES)</t>
  </si>
  <si>
    <t>PRAVASTATIN SODIUM</t>
  </si>
  <si>
    <t>Prednisolone 10 mg / mL Tetes Mata (P-PRED, BOTOL)</t>
  </si>
  <si>
    <t>P-PRED</t>
  </si>
  <si>
    <t>Prednisolone 10 mg / mL Tetes Mata (P-PRED, CATCH COVER)</t>
  </si>
  <si>
    <t>Prednisone 5 mg Tablet (HOLI PHARMA)</t>
  </si>
  <si>
    <t>PREDNISONE</t>
  </si>
  <si>
    <t>Prednisone 5 mg Tablet (IMFARMIND FARMASI INDUSTRI)</t>
  </si>
  <si>
    <t>Pregabalin 75 mg Kapsul (AMAROX PHARMA GLOBAL)</t>
  </si>
  <si>
    <t>PREGABALIN</t>
  </si>
  <si>
    <t>Pregabalin 75 mg Kapsul (KIMIA FARMA Tbk.)</t>
  </si>
  <si>
    <t>Pregabalin 75 mg Kapsul (PHAPROS Tbk)</t>
  </si>
  <si>
    <t>Primaquine Phosphate 15 mg Tablet (PHAPROS Tbk)</t>
  </si>
  <si>
    <t>PRIMAQUINE PHOSPHATE</t>
  </si>
  <si>
    <t>Procaine Benzylpenicillin 3.000.000 IU Sebuk Injeksi (PHAPROS Tbk)</t>
  </si>
  <si>
    <t>PROCAINE BENZYLPENICILLIN</t>
  </si>
  <si>
    <t>Procaterol Hydrochloride Hydrate 100 ug / mL Cairan Inhalasi (MEPTIN, 0.3 mL)</t>
  </si>
  <si>
    <t>MEPTIN</t>
  </si>
  <si>
    <t>Procaterol Hydrochloride Hydrate 100 ug / mL Cairan Inhalasi (MEPTIN, 0.5 mL)</t>
  </si>
  <si>
    <t>Propanolol 40 mg Tablet (HOLI PHARMA)</t>
  </si>
  <si>
    <t>PROPRANOLOL</t>
  </si>
  <si>
    <t>Propofol 10 mg / mL Injeksi (ETERCON PHARMA)</t>
  </si>
  <si>
    <t>PROPOFOL</t>
  </si>
  <si>
    <t>Propranolol 10 mg Tablet (DEXA MEDICA - Indonesia - -)</t>
  </si>
  <si>
    <t>PROPRANOLOL HCl</t>
  </si>
  <si>
    <t>Propranolol 10 mg Tablet (HOLI PHARMA - Indonesia - -)</t>
  </si>
  <si>
    <t>Propylthiouracil 100 mg Tablet (DEXA MEDICA - Indonesia - -)</t>
  </si>
  <si>
    <t>Propylthiouracil 100 mg Tablet (NDOFARMA - Indonesia - -)</t>
  </si>
  <si>
    <t>Pyrantel Pamoate 125 mg / 5 mL Suspensi (HOLI PHARMA)</t>
  </si>
  <si>
    <t>PYRANTEL PAMOATE</t>
  </si>
  <si>
    <t>Pyrantel Pamoate 125 mg Tablet (HOLI PHARMA)</t>
  </si>
  <si>
    <t>Pyrazinamide 500 mg Kaplet (HOLI PHARMA)</t>
  </si>
  <si>
    <t>PYRAZINAMIDE</t>
  </si>
  <si>
    <t>Pyrazinamide 500 mg Kaplet Salut Selaput (SIRAMID)</t>
  </si>
  <si>
    <t>SIRAMID</t>
  </si>
  <si>
    <t>Pyrazinamide 500 mg Tablet (DEXA MEDICA)</t>
  </si>
  <si>
    <t>Pyrazinamide 500 mg Tablet (KIMIA FARMA)</t>
  </si>
  <si>
    <t>Pyrazinamide 500 mg Tablet (SANBE FARMA)</t>
  </si>
  <si>
    <t>Pyrimethamine 25 mg Tablet (PRIMET)</t>
  </si>
  <si>
    <t>PRIMET</t>
  </si>
  <si>
    <t>Quetiapine Fumarate 100 mg Tablet Salut Selaput (AMAROX PHARMA GLOBAL)</t>
  </si>
  <si>
    <t>QUETIAPINE FUMARATE</t>
  </si>
  <si>
    <t>Quetiapine Fumarate 200 mg Tablet Pelepasan Lambat (AMAROX PHARMA GLOBAL)</t>
  </si>
  <si>
    <t>Quetiapine Fumarate 300 mg Tablet Pelepasan Lambat (SOROQUIN XR)</t>
  </si>
  <si>
    <t>SOROQUIN XR</t>
  </si>
  <si>
    <t>Quetiapine Fumarate 400 mg Tablet Pelepasan Lambat (SEROQUEL XR)</t>
  </si>
  <si>
    <t>SEROQUEL XR</t>
  </si>
  <si>
    <t>Quetiapine Fumarate 400 mg Tablet Pelepasan Lambat (SOROQUIN XR)</t>
  </si>
  <si>
    <t>Quinine Hydrochloride 250 mg / mL Injeksi (KIMIA FARMA)</t>
  </si>
  <si>
    <t>QUININE DIHYDROCHLORIDE</t>
  </si>
  <si>
    <t>Quinine Sulfate 200 mg Tablet Salut Selaput (KIMIA FARMA, Bandung)</t>
  </si>
  <si>
    <t>QUININE SULFATE</t>
  </si>
  <si>
    <t>Ramipril 10 mg Tablet (NOVELL PHARMACEUTICAL LABORATORIES)</t>
  </si>
  <si>
    <t>RAMIPRIL</t>
  </si>
  <si>
    <t>Ramipril 2,5 mg Tablet (DEXA MEDICA)</t>
  </si>
  <si>
    <t>Ramipril 2,5 mg Tablet (HYPERIL)</t>
  </si>
  <si>
    <t>HYPERIL</t>
  </si>
  <si>
    <t>Ramipril 5 mg Tablet (DEXA MEDICA)</t>
  </si>
  <si>
    <t>Ranibizumab 10 mg / mL Injeksi (PATIZRA)</t>
  </si>
  <si>
    <t>PATIZRA</t>
  </si>
  <si>
    <t>Ranitidine 150 mg Tablet Salut Selaput (DEXA MEDICA)</t>
  </si>
  <si>
    <t>RANITIDINE HCL</t>
  </si>
  <si>
    <t>Ranitidine 150 mg Tablet Salut Selaput (HEXPHARM JAYA LABORATORIES)</t>
  </si>
  <si>
    <t>RANITIDINE HCl</t>
  </si>
  <si>
    <t>Ranitidine Hydrochloride 27,9 mg/2 ml Injeksi (PHAPROS)</t>
  </si>
  <si>
    <t>Remifentanil 1 mg Serbuk Injeksi (REMIKAF)</t>
  </si>
  <si>
    <t>REMIKAF</t>
  </si>
  <si>
    <t>Remifentanil 2 mg Serbuk Injeksi (REMIKAF)</t>
  </si>
  <si>
    <t>Remifentanil 5 mg Serbuk Injeksi (REMIKAF)</t>
  </si>
  <si>
    <t>Renosan Infus (RENOSAN, 500 mL)</t>
  </si>
  <si>
    <t>RENOSAN</t>
  </si>
  <si>
    <t>Retinol Palmitate 100.000 IU Kapsul Lunak (KIMIA FARMA)</t>
  </si>
  <si>
    <t>VITAMIN A PALMITATE</t>
  </si>
  <si>
    <t>Retinol Palmitate 200.000 IU Kapsul Lunak (KIMIA FARMA, Mojokerto)</t>
  </si>
  <si>
    <t>VITAMIN A</t>
  </si>
  <si>
    <t>Rifampicin 450 mg Kaplet Salut Selaput (KIMIA FARMA)</t>
  </si>
  <si>
    <t>RIFAMPICIN</t>
  </si>
  <si>
    <t>Rifampicin 600 mg Kaplet Salut Selaput (KIMIA FARMA)</t>
  </si>
  <si>
    <t>Rifapentine 150 mg Tablet Salut Selaput (PRIFTIN)</t>
  </si>
  <si>
    <t>PRIFTIN</t>
  </si>
  <si>
    <t>Rilpivirin 25 mg Tablet Salut Selaput (EDURANT)</t>
  </si>
  <si>
    <t>EDURANT</t>
  </si>
  <si>
    <t>Ringer Acetate Infus (ACETAR-MJB)</t>
  </si>
  <si>
    <t>CETASERING</t>
  </si>
  <si>
    <t>Ringer Acetate Infus (INFUSAN RING - AS)</t>
  </si>
  <si>
    <t>INFUSAN RING - AS</t>
  </si>
  <si>
    <t>Ringer Acetate Infus (SATORIA ANEKA INDUSTRI)</t>
  </si>
  <si>
    <t>RINGER ASETAT</t>
  </si>
  <si>
    <t>Ringer Lactate Infus (INOCHI RINGER LACTATE)</t>
  </si>
  <si>
    <t>INOCHI RINGER LACTATE</t>
  </si>
  <si>
    <t>Ringer Lactate Infus (KIMIA FARMA Tbk, 500 mL)</t>
  </si>
  <si>
    <t>RINGER LACTATE</t>
  </si>
  <si>
    <t>Ringer Lactate Infus (NATURA LABORATORIA PRIMA, 500 mL)</t>
  </si>
  <si>
    <t>Ringer Lactate Infus (OTSU - RL, 500 mL)</t>
  </si>
  <si>
    <t>OTSU - RL</t>
  </si>
  <si>
    <t>Ringer Lactate Infus (WIDA RL)</t>
  </si>
  <si>
    <t>WIDA RL</t>
  </si>
  <si>
    <t>Risedronate Sodium Hemipentahydrate 35 mg Tablet Salut Selaput (RISTONAT)</t>
  </si>
  <si>
    <t>RISTONAT</t>
  </si>
  <si>
    <t>Risperidone 1 mg / mL Sirup (BERNOFARM)</t>
  </si>
  <si>
    <t>RISPERIDONE</t>
  </si>
  <si>
    <t>Risperidone 1 mg Tablet Salut Selaput (DEXA MEDICA)</t>
  </si>
  <si>
    <t>Risperidone 2 mg Tablet Salut Selaput (DEXA MEDICA)</t>
  </si>
  <si>
    <t>Risperidone 2 mg Tablet Salut Selaput (MERSIFARMA TIRMAKU MERCUSANA)</t>
  </si>
  <si>
    <t>RISPERIDONE 2</t>
  </si>
  <si>
    <t>Risperidone 3 mg Tablet (DEXA MEDICA)</t>
  </si>
  <si>
    <t>Rituximab 10 mg/mL Infus (MABTHERA, 10 mL)</t>
  </si>
  <si>
    <t>MABTHERA</t>
  </si>
  <si>
    <t>Rituximab 10 mg/mL Infus (MABTHERA, 50 mL)</t>
  </si>
  <si>
    <t>Rituximab 10 mg/mL Infus (REDDITUX, 10 mL)</t>
  </si>
  <si>
    <t>REDDITUX</t>
  </si>
  <si>
    <t>Rituximab 10 mg/mL Infus (REDDITUX, 50 mL)</t>
  </si>
  <si>
    <t>Rituximab 10 mg/mL Infus (RITUXIKAL, 10 mL)</t>
  </si>
  <si>
    <t>RITUXIKAL</t>
  </si>
  <si>
    <t>Rituximab 10 mg/mL Infus (RITUXIKAL, 50 mL)</t>
  </si>
  <si>
    <t>Rituximab 10 mg/mL Infus (TRUXIMA, 10 mL)</t>
  </si>
  <si>
    <t>TRUXIMA</t>
  </si>
  <si>
    <t>Rituximab 10 mg/mL Infus (TRUXIMA, 50 mL)</t>
  </si>
  <si>
    <t>Rivaroxaban 10 mg Tablet Salut Selaput (XARELTO)</t>
  </si>
  <si>
    <t>XARELTO</t>
  </si>
  <si>
    <t>Rivaroxaban 15 mg Tablet Salut Selaput (XARELTO)</t>
  </si>
  <si>
    <t>Rivaroxaban 20 mg Tablet Salut Selaput (NOSTROK 20)</t>
  </si>
  <si>
    <t>NOSTROK 20</t>
  </si>
  <si>
    <t>Rivaroxaban 20 mg Tablet Salut Selaput (PRATAPA NIRMALA)</t>
  </si>
  <si>
    <t>RIVAROXABAN</t>
  </si>
  <si>
    <t>Rivaroxaban 20 mg Tablet Salut Selaput (RIVAROX)</t>
  </si>
  <si>
    <t>RIVAROX</t>
  </si>
  <si>
    <t>Rivaroxaban 20 mg Tablet Salut Selaput (XARELTO)</t>
  </si>
  <si>
    <t>Ropinirole 2 mg Tablet Pelepasan Lambat (REQUIP PD 24 HOUR)</t>
  </si>
  <si>
    <t>REQUIP PD 24 HOUR</t>
  </si>
  <si>
    <t>Ropinirole 8 mg Tablet Pelepasan Lambat (REQUIP PD 24 HOUR)</t>
  </si>
  <si>
    <t>Ropinirole Hydrochloride 4 mg Tablet Pelepasan Lambat (REQUIP PD 24 HOUR)</t>
  </si>
  <si>
    <t>Ropivacaine Hydrochloride 7,5 mg / mL Injeksi (NAROPIN)</t>
  </si>
  <si>
    <t>NAROPIN</t>
  </si>
  <si>
    <t>Rosuvastatin Calcium 10 mg Tablet Salut Selaput (AMAROX PHARMA GLOBAL)</t>
  </si>
  <si>
    <t>ROSUVASTATIN CALCIUM</t>
  </si>
  <si>
    <t>Rosuvastatin Calcium 10 mg Tablet Salut Selaput (NOVELL PHARMACEUTICAL LABORATORIES)</t>
  </si>
  <si>
    <t>Sacubitril 24,3 mg / Valsartan 25,7 mg Tablet Salut Selaput (UPERIO)</t>
  </si>
  <si>
    <t>UPERIO</t>
  </si>
  <si>
    <t>Sacubitril 48,6 mg / Valsartan 51,4 mg Tablet Salut Selaput (UPERIO)</t>
  </si>
  <si>
    <t>Sacubitril 97,2 mg / Valsartan 102,8 mg Tablet Salut Selaput (UPERIO)</t>
  </si>
  <si>
    <t>Salbutamol 100 mcg Cairan Inhalasi (SUPRASMA)</t>
  </si>
  <si>
    <t>SUPRASMA</t>
  </si>
  <si>
    <t>Salbutamol 2 mg / 5 mL Sirup (IMFARMIND FARMASI INDUSTRI)</t>
  </si>
  <si>
    <t>SALBUTAMOL SULFATE</t>
  </si>
  <si>
    <t>Salbutamol 2 mg Tablet (IMFARMIND FARMASI INDUSTRI)</t>
  </si>
  <si>
    <t>Salbutamol 2 mg Tablet (KIMIA FARMA)</t>
  </si>
  <si>
    <t>Salbutamol 2,5 mg / Ipratropium 0,5 mg / 2,5 mL Inhalasi (MEPROFARM - Indonesia - -)</t>
  </si>
  <si>
    <t>MEPROVENT</t>
  </si>
  <si>
    <t>Salbutamol 4 mg Tablet (IMFARMIND FARMASI INDUSTRI)</t>
  </si>
  <si>
    <t>Salicylic Acid 2% / Sulfur Precipitated 4% Salep (AFIFARMA, 15 g)</t>
  </si>
  <si>
    <t>SALEP 2-4</t>
  </si>
  <si>
    <t>Salicylic Acid 2% / Sulfur Precipitated 4% Salep (AFIFARMA, 30 g)</t>
  </si>
  <si>
    <t>Salicylic Acid 2% / Sulfur Precipitated 4% Salep (HOLI PHARMA, 30 g)</t>
  </si>
  <si>
    <t>Salicylic Acid 2% / Sulfur Precipitated 4% Salep (TEMPO SCAN PACIFIC Tbk, 30 g)</t>
  </si>
  <si>
    <t>Salmeterol Xinafoate 50 mcg / Fluticasone Propionat 100 mcg Inhalasi (SERETIDE DISKUS 100)</t>
  </si>
  <si>
    <t>SERETIDE DISKUS 100</t>
  </si>
  <si>
    <t>Salmeterol Xinafoate 50 mcg / Fluticasone Propionat 250 mcg Inhalasi (SERETIDE DISKUS 250)</t>
  </si>
  <si>
    <t>SERETIDE DISKUS 250</t>
  </si>
  <si>
    <t>Salmeterol Xinafoate 50 mcg / Fluticasone Propionat 500 mcg Serbuk Inhaler (SERETIDE DISKUS 500)</t>
  </si>
  <si>
    <t>SERETIDE DISKUS 500</t>
  </si>
  <si>
    <t>Secukinumab 150 mg Serbuk Injeksi (FRAIZERON)</t>
  </si>
  <si>
    <t>FRAIZERON</t>
  </si>
  <si>
    <t>Sefiksime 200 mg Tablet (DEXA MEDICA - Indonesia - -)</t>
  </si>
  <si>
    <t>CEFIXIME</t>
  </si>
  <si>
    <t>Sertraline Hydrochloride 50 mg Tablet Salut Selaput (MEPROFARM)</t>
  </si>
  <si>
    <t>SERTRALINE HYDROCHLORIDE</t>
  </si>
  <si>
    <t>Sertraline Hydrochloride 50 mg Tablet Salut Selaput (PRATAPA NIRMALA)</t>
  </si>
  <si>
    <t>SERTRALINE HCL</t>
  </si>
  <si>
    <t>Sevelamer Carbonate 800 mg Tablet Salut Selaput (RENAFOS)</t>
  </si>
  <si>
    <t>RENAFOS</t>
  </si>
  <si>
    <t>Sevelamer Carbonate 800 mg Tablet Salut Selaput (RENVELA)</t>
  </si>
  <si>
    <t>RENVELA</t>
  </si>
  <si>
    <t>Sevoflurane 250 mL Inhalasi (MERSIFARMA TIRMAKU MERCUSANA)</t>
  </si>
  <si>
    <t>SEVOFLURANE</t>
  </si>
  <si>
    <t>Sevoflurane 250 mL Inhalasi (NOREVELL)</t>
  </si>
  <si>
    <t>NOREVELL</t>
  </si>
  <si>
    <t>Sevoflurane 250 mL Inhalasi (NOVELL PHARMACEUTICAL LABORATORIES)</t>
  </si>
  <si>
    <t>Sevoflurane 250 mL Inhalasi (PRATAPA NIRMALA)</t>
  </si>
  <si>
    <t>Sevoflurane 250 mL Inhalasi (SEGANEST)</t>
  </si>
  <si>
    <t>SEGANEST</t>
  </si>
  <si>
    <t>Sevoflurane 250 mL Inhalasi (SOFAR)</t>
  </si>
  <si>
    <t>SOFAR</t>
  </si>
  <si>
    <t>Sevoflurane 250 mL Inhalasi (SOJOURN)</t>
  </si>
  <si>
    <t>SOJOURN</t>
  </si>
  <si>
    <t>Sevoflurane 250 mL Inhalasi (YARINDO FARMATAMA)</t>
  </si>
  <si>
    <t>Siklopentolat / Cyclopentolate Hydrochloride 1% Tetes Mata (CYCLON 1 %, 15 mL)</t>
  </si>
  <si>
    <t>CYCLON 1%</t>
  </si>
  <si>
    <t>Siklopentolat / Cyclopentolate Hydrochloride 1% Tetes Mata (CYCLON 1 %, 5 mL)</t>
  </si>
  <si>
    <t>Sildenafil Citrate 10 mg / mL Sirup Kering (REVATIO)</t>
  </si>
  <si>
    <t>REVATIO</t>
  </si>
  <si>
    <t>Sildenafil Citrate 20 mg Tablet Salut Selaput (REVATIO)</t>
  </si>
  <si>
    <t>Silodosin 4 mg Tablet Salut Selaput (URIEF)</t>
  </si>
  <si>
    <t>URIEF</t>
  </si>
  <si>
    <t>Silostazol / Cilostazol 100 mg Kapsul Pelepasan Lambat (CITAZ)</t>
  </si>
  <si>
    <t>CITAZ 100</t>
  </si>
  <si>
    <t>Silostazol / Cilostazol 100 mg Kapsul Pelepasan Lambat (PLETAAL SR)</t>
  </si>
  <si>
    <t>PLETAAL SR</t>
  </si>
  <si>
    <t>Silostazol / Cilostazol 100 mg Tablet (BERNOFARM)</t>
  </si>
  <si>
    <t>CILOSTAZOL</t>
  </si>
  <si>
    <t>Silver Sulfadiazine 1% Krim (DARYA-VARIA LABORATORIA TBK)</t>
  </si>
  <si>
    <t>SULFADIAZINE SILVER</t>
  </si>
  <si>
    <t>Simvastatin 10 mg Tablet Salut Selaput (HEXPHARM JAYA LABORATORIES)</t>
  </si>
  <si>
    <t>SIMVASTATIN</t>
  </si>
  <si>
    <t>Simvastatin 20 mg Tablet (KIMIA FARMA Tbk)</t>
  </si>
  <si>
    <t>Sitagliptin Phosphate 100 mg Tablet Salut Selaput (JANUVIA)</t>
  </si>
  <si>
    <t>JANUVIA</t>
  </si>
  <si>
    <t>SmofKabiven Peripheral 1206 mL Infus (SMOFKABIVEN PERIPHERAL, 1206 mL)</t>
  </si>
  <si>
    <t>SMOFKABIVEN PERIPHERAL</t>
  </si>
  <si>
    <t>SmofKabiven Peripheral 1448 mL Infus (SMOFKABIVEN PERIPHERAL, 1448 mL)</t>
  </si>
  <si>
    <t>Sodium Acetate 1,90 G / Calcium Chloride 0,10 G /Potassium Chloride 0,15 G / Sodium Chloride 3,00 G Infus (ASERING)</t>
  </si>
  <si>
    <t>ASERING</t>
  </si>
  <si>
    <t>Sodium Acetate 1,90 G / Calcium Chloride 0,10 G /Potassium Chloride 0,15 G / Sodium Chloride 3,00 G Infus (CETASERING)</t>
  </si>
  <si>
    <t>Sodium Bicarbonate 8,4% Cairan Injeksi (MEYLON 84-BP)</t>
  </si>
  <si>
    <t>MEYLON 84-BP</t>
  </si>
  <si>
    <t>Sodium Bicarbonate 8,4% Cairan Injeksi (NOVONATE 8.4%)</t>
  </si>
  <si>
    <t>NOVONATE 8.4%</t>
  </si>
  <si>
    <t>Sodium Chloride 0,9 % Infus (B.BRAUN PHARMACEUTICAL INDONESIA, 100 mL)</t>
  </si>
  <si>
    <t>SODIUM CHLORIDE</t>
  </si>
  <si>
    <t>Sodium Chloride 0,9 % Infus (B.BRAUN PHARMACEUTICAL INDONESIA, 500 mL)</t>
  </si>
  <si>
    <t>Sodium Chloride 0,9 % Infus (EMJEBE PHARMA)</t>
  </si>
  <si>
    <t>SODIUM CHLORIDE 0,9%</t>
  </si>
  <si>
    <t>Sodium Chloride 0,9 % Infus (INFUSAN - NS, 500 mL)</t>
  </si>
  <si>
    <t>INFUSAN - NS</t>
  </si>
  <si>
    <t>Sodium Chloride 0,9 % Infus (KIMIA FARMA Tbk., 500 mL)</t>
  </si>
  <si>
    <t>Sodium Chloride 0,9 % Infus (MERSIFARMA TIRMAKU MERCUSANA, 100 mL)</t>
  </si>
  <si>
    <t>Sodium Chloride 0,9 % Infus (MERSIFARMA TIRMAKU MERCUSANA, 500 mL)</t>
  </si>
  <si>
    <t>Sodium Chloride 0,9 % Infus (NATURA LABORATORIA PRIMA)</t>
  </si>
  <si>
    <t>Sodium Chloride 0,9 % Infus (OTSU - NS, 10 mL)</t>
  </si>
  <si>
    <t>OTSU - NS</t>
  </si>
  <si>
    <t>Sodium Chloride 0,9 % Infus (OTSU - NS, 100 mL)</t>
  </si>
  <si>
    <t>Sodium Chloride 0,9 % Infus (OTSU - NS, 500 mL)</t>
  </si>
  <si>
    <t>Sodium Chloride 0,9 % Infus (SATORIA ANEKA INDUSTRI, 100 mL)</t>
  </si>
  <si>
    <t>Sodium Chloride 0,9 % Infus (SATORIA ANEKA INDUSTRI, 500 mL)</t>
  </si>
  <si>
    <t>Sodium Chloride 0,9 % Infus (WIDATRA BHAKTI, 500 mL)</t>
  </si>
  <si>
    <t>NATRIUM KLORIDA</t>
  </si>
  <si>
    <t>Sodium Chloride 0,9 % Infus (WIDATRA BHAKTI)</t>
  </si>
  <si>
    <t>Sodium Chloride 3 g / Potassium Chloride 0.15 g / Calcium Chloride Dihydrate 0.1 g / Sodium Lactate 1.55 g Infus (INFUSAN - RL, DOUBLE PORT DENGAN OVERWRAP, 500 mL)</t>
  </si>
  <si>
    <t>INFUSAN - RL</t>
  </si>
  <si>
    <t>Sodium Chloride 3 g / Potassium Chloride 0.15 g / Calcium Chloride Dihydrate 0.1 g / Sodium Lactate 1.55 g Infus (INFUSAN - RL, SINGLE PORT TANPA OVERWRAP, 500 mL)</t>
  </si>
  <si>
    <t>Sodium Chloride 3 g / Sodium Lactate 1.56 g / Potassium Chloride 0.20 g / Calcium Chloride Dihydrate 0.135 g Infus (ECOSOL RL, 500 mL)</t>
  </si>
  <si>
    <t>ECOSOL RL</t>
  </si>
  <si>
    <t>Sodium Glycerophosphate 216 mg Infus (GLYCOPHOS)</t>
  </si>
  <si>
    <t>GLYCOPHOS</t>
  </si>
  <si>
    <t>Sodium Hyaluronate 1 mg / mL Tetes Mata (CENDO HYALUB)</t>
  </si>
  <si>
    <t>CENDO HYALUB</t>
  </si>
  <si>
    <t>Sodium Hyaluronate 1 mg / mL Tetes Mata (FERRON PAR PHARMACEUTICALS)</t>
  </si>
  <si>
    <t>SODIUM HYALURONATE</t>
  </si>
  <si>
    <t>Sodium Hyaluronate 1 mg / mL Tetes Mata (HYALOPH, 5 mL)</t>
  </si>
  <si>
    <t>HYALOPH</t>
  </si>
  <si>
    <t>Sodium Hyaluronate 10 mg / mL Injeksi (UMARONE)</t>
  </si>
  <si>
    <t>UMARONE</t>
  </si>
  <si>
    <t>Sodium Valproate 250 mg / 5 mL Sirup (DEXA MEDICA)</t>
  </si>
  <si>
    <t>VALPROIC ACID</t>
  </si>
  <si>
    <t>Sofosbuvir 400mg Tablet Salut Selaput (MYHEP)</t>
  </si>
  <si>
    <t>MYHEP</t>
  </si>
  <si>
    <t>Solifenacin Succinate 5 mg Tablet (VESICARE)</t>
  </si>
  <si>
    <t>VESICARE</t>
  </si>
  <si>
    <t>Soluvit N Serbuk Infus (SOLUVIT N)</t>
  </si>
  <si>
    <t>SOLUVIT N</t>
  </si>
  <si>
    <t>Serbuk Infus</t>
  </si>
  <si>
    <t>Somatostatin Acetate 3000 mcg / mL Serbuk Injeksi (SOMATOSTATIN LYOMARK)</t>
  </si>
  <si>
    <t>SOMATOSTATIN LYOMARK</t>
  </si>
  <si>
    <t>Soybean Oil 100 mg / Medium Chain Triglycerides MCT 100 mg Infus (100 mL, LIPOFUNDIN MCT/LCT 20%)</t>
  </si>
  <si>
    <t>LIPOFUNDIN MCT/LCT 20%</t>
  </si>
  <si>
    <t>Soybean Oil 100 mg / Medium Chain Triglycerides MCT 100 mg Infus (100 mL, LIPOMED)</t>
  </si>
  <si>
    <t>LIPOMED 20% MCT/LCT</t>
  </si>
  <si>
    <t>Soybean Oil 100 mg / Medium Chain Triglycerides MCT 100 mg Infus (250 mL, LIPOMED)</t>
  </si>
  <si>
    <t>Soybean Oil 50 g / 250 mL Infus (OTSULIP)</t>
  </si>
  <si>
    <t>OTSULIP 20%</t>
  </si>
  <si>
    <t>Soybean Oil 60 mg / Medium Chain Triglycerides 60 mg / Olive Oil 50 mg / Purified Fish Oil 30 mg  Infus (SMOFLIPID, 100 mL)</t>
  </si>
  <si>
    <t>SMOFLIPID 20 %</t>
  </si>
  <si>
    <t>Soybean Oil 60 mg / Medium Chain Triglycerides 60 mg / Olive Oil 50 mg / Purified Fish Oil 30 mg  Infus (SMOFLIPID, 50 mL)</t>
  </si>
  <si>
    <t>Spironolactone 100 mg Tablet (DEXA MEDICA)</t>
  </si>
  <si>
    <t>SPIRONOLACTONE</t>
  </si>
  <si>
    <t>Spironolactone 25 mg Tablet (DEXA MEDICA)</t>
  </si>
  <si>
    <t>Streptomycin Sulfate 1000 mg Serbuk Injeksi (KIMIA FARMA)</t>
  </si>
  <si>
    <t>STREPTOMYCIN SULFATE</t>
  </si>
  <si>
    <t>Streptomycin Sulfate 1000 mg Serbuk Injeksi (PHAPROS Tbk)</t>
  </si>
  <si>
    <t>STREPTOMYCIN SULPHATE</t>
  </si>
  <si>
    <t>Sucralfate 500 mg / 5 mL Suspensi (100 mL, COMBIPHAR)</t>
  </si>
  <si>
    <t>SUCRALFATE</t>
  </si>
  <si>
    <t>Sucralfate 500 mg / 5 mL Suspensi (100 mL, DEXA MEDICA)</t>
  </si>
  <si>
    <t>Sucralfate 500 mg / 5 mL Suspensi (100 mL, NECIBLOK)</t>
  </si>
  <si>
    <t>NECIBLOK</t>
  </si>
  <si>
    <t>Sucralfate 500 mg / 5 mL Suspensi (100 mL, NUCRAL)</t>
  </si>
  <si>
    <t>NUCRAL</t>
  </si>
  <si>
    <t>Sucralfate 500 mg / 5 mL Suspensi (100 mL, PROMEDRAHARDJO FARMASI INDUSTRI)</t>
  </si>
  <si>
    <t>Sucralfate 500 mg / 5 mL Suspensi (100 mL, ULSAFATE)</t>
  </si>
  <si>
    <t>ULSAFATE</t>
  </si>
  <si>
    <t>Sucralfate 500 mg / 5 mL Suspensi (100 mL, ULSICRAL)</t>
  </si>
  <si>
    <t>ULSICRAL</t>
  </si>
  <si>
    <t>Sucralfate 500 mg / 5 mL Suspensi (120 mL, MUSIN)</t>
  </si>
  <si>
    <t>MUSIN</t>
  </si>
  <si>
    <t>Sucralfate 500 mg / 5 mL Suspensi (200 mL, COMBIPHAR)</t>
  </si>
  <si>
    <t>Sucralfate 500 mg / 5 mL Suspensi (200 mL, NUCRAL)</t>
  </si>
  <si>
    <t>Sucralfate 500 mg / 5 mL Suspensi (200 mL, ULSAFATE)</t>
  </si>
  <si>
    <t>Sucralfate 500 mg / 5 mL Suspensi (200 mL, ULSICRAL)</t>
  </si>
  <si>
    <t>Sucralfate 500 mg Tablet (DEXA MEDICA)</t>
  </si>
  <si>
    <t>Sufentanil 5 mcg/mL Larutan Injeksi (SUFENTA)</t>
  </si>
  <si>
    <t>SUFENTA</t>
  </si>
  <si>
    <t>Sugammadex 100 mg / mL Injeksi (BRIDION)</t>
  </si>
  <si>
    <t>BRIDION</t>
  </si>
  <si>
    <t>Tacrolimus 0,5 mg Kapsul (PROGRAF XL)</t>
  </si>
  <si>
    <t>PROGRAF XL</t>
  </si>
  <si>
    <t>Tacrolimus 0,5 mg Kapsul (PROGRAF)</t>
  </si>
  <si>
    <t>PROGRAF</t>
  </si>
  <si>
    <t>Tacrolimus 0,5 mg Kapsul Pelepasan Lambat (PROGRAF XL)</t>
  </si>
  <si>
    <t>Tacrolimus 1 mg Kapsul Pelepasan Lambat (PROGRAF)</t>
  </si>
  <si>
    <t>Tamoxifen Citrate 10 mg Tablet Salut Selaput (TAMOFEN)</t>
  </si>
  <si>
    <t>TAMOFEN</t>
  </si>
  <si>
    <t>Tamsulosin Hydrochloride 0,2 mg Tablet Dispersible (HARNAL D)</t>
  </si>
  <si>
    <t>HARNAL D</t>
  </si>
  <si>
    <t>Tamsulosin Hydrochloride 0,4 mg Tablet Pelepasan Lambat (NOVELL PHARMACEUTICAL LAB.)</t>
  </si>
  <si>
    <t>TAMSULOSIN HYDROCHLORIDE</t>
  </si>
  <si>
    <t>Telmisartan 40 mg Tablet (DEXA MEDICA)</t>
  </si>
  <si>
    <t>TELMISARTAN</t>
  </si>
  <si>
    <t>Telmisartan 80 mg Tablet (DEXA MEDICA)</t>
  </si>
  <si>
    <t>Temozolomide 100 mg Kapsul (TEMOTERO 100)</t>
  </si>
  <si>
    <t>TEMOTERO 100</t>
  </si>
  <si>
    <t>Temozolomide 20 mg Kapsul (TEROZA)</t>
  </si>
  <si>
    <t>TEROZA</t>
  </si>
  <si>
    <t>Tenofovir Disoproxil 300 mg / Emtricitabine 200 mg Tablet Salut Selaput (EMTRIVIR)</t>
  </si>
  <si>
    <t>EMTRIVIR</t>
  </si>
  <si>
    <t>Tenofovir Disoproxil 300 mg / Emtricitabine 200 mg Tablet Salut Selaput (FORSTAVIR-EM)</t>
  </si>
  <si>
    <t>FORSTAVIR-EM</t>
  </si>
  <si>
    <t>Tenofovir Disoproxil 300 mg / Emtricitabine 200 mg Tablet Salut Selaput (RICOVIR-EM)</t>
  </si>
  <si>
    <t>RICOVIR-EM</t>
  </si>
  <si>
    <t>Tenofovir Disoproxil 300 mg Tablet Salut Selaput (KIMIA FARMA)</t>
  </si>
  <si>
    <t>TENOFOVIR DISOPROXIL FUMARATE</t>
  </si>
  <si>
    <t>Tenofovir Disproxil 300 mg / Lamivudin 300 mg / Dolutegravir 50 mg Tablet Salut Selaput (ACRIPTEGA)</t>
  </si>
  <si>
    <t>ACRIPTEGA</t>
  </si>
  <si>
    <t>Tenofovir Disproxil 300 mg / Lamivudin 300 mg / Dolutegravir 50 mg Tablet Salut Selaput (TELADO)</t>
  </si>
  <si>
    <t>TELADO</t>
  </si>
  <si>
    <t>Terazosin 2 mg Tablet (HYTRIN)</t>
  </si>
  <si>
    <t>HYTRIN</t>
  </si>
  <si>
    <t>Terazosin Hydrochloride 1 mg Tablet (DEXA MEDICA)</t>
  </si>
  <si>
    <t>TERAZOSIN HCL</t>
  </si>
  <si>
    <t>Terbutaline Sulfate 1.5 mg / 5 mL Sirup (TABAS, 100 mL)</t>
  </si>
  <si>
    <t>TABAS</t>
  </si>
  <si>
    <t>Terbutaline Sulfate 2,5 mg / mL Inhalasi (BRICASMA RESPULES)</t>
  </si>
  <si>
    <t>BRICASMA RESPULES</t>
  </si>
  <si>
    <t>Terbutaline Sulfate 2,5 mg Tablet (MOLASMA)</t>
  </si>
  <si>
    <t>MOLASMA</t>
  </si>
  <si>
    <t>Terbutaline Sulfate 2,5 mg Tablet (NEOSMA)</t>
  </si>
  <si>
    <t>NEOSMA</t>
  </si>
  <si>
    <t>Testosterone 250 mg / mL Injeksi (NEBIDO)</t>
  </si>
  <si>
    <t>NEBIDO</t>
  </si>
  <si>
    <t>Testosterone 250 mg / mL Injeksi (SUSTANON 250)</t>
  </si>
  <si>
    <t>SUSTANON 250</t>
  </si>
  <si>
    <t>Theophylline 150 mg Tablet (BRONSOLVAN)</t>
  </si>
  <si>
    <t>BRONSOLVAN</t>
  </si>
  <si>
    <t>Theophylline 300 mg Kaplet Pelepasan Lambat (RETAPHYL SR)</t>
  </si>
  <si>
    <t>RETAPHYL SR</t>
  </si>
  <si>
    <t>Thiopental Sodium / Sodium Carbonate 1000 mg Injeksi (BERNOFARM)</t>
  </si>
  <si>
    <t>THIOPENTAL SODIUM</t>
  </si>
  <si>
    <t>Thiopental Sodium / Sodium Carbonate 500 mg Injeksi (BERNOFARM)</t>
  </si>
  <si>
    <t>Tiamazole / Thiamazole 10 mg Tablet Salut Selaput (NOVELL PHARMACEUTICAL LABORATORIES)</t>
  </si>
  <si>
    <t>THIAMAZOLE</t>
  </si>
  <si>
    <t>Tiamazole / Thiamazole 5 mg Tablet Salut Selaput (NOVELL PHARMACEUTICAL LAB.)</t>
  </si>
  <si>
    <t>Ticagrelor 90 mg Tablet Salut Selaput (BRILINTA)</t>
  </si>
  <si>
    <t>BRILINTA</t>
  </si>
  <si>
    <t>Timolol Maleate 2,5 mg/mL Tetes Mata (ISOTIC ADRETOR 0,25%)</t>
  </si>
  <si>
    <t>ISOTIC ADRETOR 0,25%</t>
  </si>
  <si>
    <t>Timolol Maleate 5 mg / mL Tetes Mata (ISOTIC ADRETOR)</t>
  </si>
  <si>
    <t>ISOTIC ADRETOR 0,5 %</t>
  </si>
  <si>
    <t>Tiotropium 2,5 mcg Cairan Inhalasi (SPIRIVA RESPIMAT)</t>
  </si>
  <si>
    <t>SPIRIVA RESPIMAT</t>
  </si>
  <si>
    <t>Tiotropium Bromide 5 mcg Cairan Inhalasi (SPIRIVA RESPIMAT)</t>
  </si>
  <si>
    <t>Tobramycin 0,3 % Tetes Mata (BRALIFEX)</t>
  </si>
  <si>
    <t>BRALIFEX</t>
  </si>
  <si>
    <t>Tobramycin 0,3 % Tetes Mata (TOBRO, 0,6 mL)</t>
  </si>
  <si>
    <t>TOBRO</t>
  </si>
  <si>
    <t>Tocilizumab 20 mg / mL Injeksi (400 mg/20 mL, MENARINI)</t>
  </si>
  <si>
    <t>ACTEMRA</t>
  </si>
  <si>
    <t>Tocilizumab 20 mg / mL Injeksi (80 mg/ 4 mL, ACTEMRA)</t>
  </si>
  <si>
    <t>Tocilizumab 20 mg / mL Injeksi (80 mg/ 4 mL, MENARINI)</t>
  </si>
  <si>
    <t>Topiramate 100 mg Tablet (TOPAMAX)</t>
  </si>
  <si>
    <t>TOPAMAX</t>
  </si>
  <si>
    <t>Topiramate 25 mg Tablet Salut Selaput (MIGRATOP)</t>
  </si>
  <si>
    <t>MIGRATOP</t>
  </si>
  <si>
    <t>Topiramate 50 mg Tablet (TOPAMAX)</t>
  </si>
  <si>
    <t>Tramadol 50 mg / mL Injeksi (BERNOFARM)</t>
  </si>
  <si>
    <t>TRAMADOL HCL</t>
  </si>
  <si>
    <t>Tramadol 50 mg / mL Injeksi (MERSIFARMA TIRMAKU MERCUSANA)</t>
  </si>
  <si>
    <t>Tranexamic Acid 100 mg / mL Injeksi (DEXA MEDICA)</t>
  </si>
  <si>
    <t>TRANEXAMIC ACID</t>
  </si>
  <si>
    <t>Tranexamic Acid 100 mg / mL Injeksi (HEXPHARM JAYA LABORATORIES)</t>
  </si>
  <si>
    <t>ASAM TRANEKSAMAT</t>
  </si>
  <si>
    <t>Tranexamic Acid 50 mg / mL Injeksi (DEXA MEDICA)</t>
  </si>
  <si>
    <t>Tranexamic Acid 500 mg Tablet Salut Selaput (BERNOFARM)</t>
  </si>
  <si>
    <t>Trastuzumab 440 mg Serbuk Injeksi (HERCEPTIN)</t>
  </si>
  <si>
    <t>HERCEPTIN</t>
  </si>
  <si>
    <t>Trastuzumab 440 mg Serbuk Injeksi (HERTRAZ)</t>
  </si>
  <si>
    <t>HERTRAZ</t>
  </si>
  <si>
    <t>Trastuzumab 440 mg Serbuk Injeksi (HERZEMAB)</t>
  </si>
  <si>
    <t>HERZEMAB</t>
  </si>
  <si>
    <t>Trastuzumab 440 mg Serbuk Injeksi (VIVITRA)</t>
  </si>
  <si>
    <t>VIVITRA</t>
  </si>
  <si>
    <t>Triamcinolone Acetonide 10 mg / mL Injeksi (FLAMICORT)</t>
  </si>
  <si>
    <t>FLAMICORT</t>
  </si>
  <si>
    <t>Triamcinolone Acetonide 10 mg / mL Injeksi (NOVELL PHARMACEUTICAL LABORATORIES)</t>
  </si>
  <si>
    <t>TRIAMCINOLONE ACETONIDE</t>
  </si>
  <si>
    <t>Triamcinolone Acetonide 10 mg / mL Injeksi (TRILAC)</t>
  </si>
  <si>
    <t>TRILAC</t>
  </si>
  <si>
    <t>Triamcinolone Acetonide 55 mcg/puff Semprot Hidung (NASACORT AQ)</t>
  </si>
  <si>
    <t>NASACORT AQ</t>
  </si>
  <si>
    <t>Semprot Hidung</t>
  </si>
  <si>
    <t>Trifluoperazine 5 mg Tablet Salut Selaput (MERSIFARMA TIRMAKU MERCUSANA)</t>
  </si>
  <si>
    <t>TRIFLUOPERAZINE HYDROCHLORIDE</t>
  </si>
  <si>
    <t>Trihexyphenidyl Hydrochloride 2 mg Tablet (MERSIFARMA TIRMAKU MERCUSANA)</t>
  </si>
  <si>
    <t>TRIHEXYPHENIDYL HCL</t>
  </si>
  <si>
    <t>Tropicamide 0,5 % Tetes Mata (MIDRIC)</t>
  </si>
  <si>
    <t>MIDRIC 0,5%</t>
  </si>
  <si>
    <t>Tropicamide 1 % Tetes Mata (CENDO MYDRIATIL, 0,6 mL)</t>
  </si>
  <si>
    <t>CENDO MYDRIATIL 1%</t>
  </si>
  <si>
    <t>Tropicamide 1 % Tetes Mata (CENDO MYDRIATIL, 5 mL)</t>
  </si>
  <si>
    <t>Tropicamide 1 % Tetes Mata (MIDRIC, 5 mL)</t>
  </si>
  <si>
    <t>MIDRIC 1%</t>
  </si>
  <si>
    <t>Turoctocog Alfa / Faktor VIII Konsentrat 250 IU Serbuk Injeksi (NOVOEIGHT)</t>
  </si>
  <si>
    <t>Turoctocog Alfa / Faktor VIII Konsentrat 500 IU Serbuk Injeksi (NOVOEIGHT)</t>
  </si>
  <si>
    <t>Ursodeoxycholic Acid 250 mg Kapsul (DEXA MEDICA)</t>
  </si>
  <si>
    <t>URSODEOXYCHOLIC ACID</t>
  </si>
  <si>
    <t>Ursodeoxycholic Acid 250 mg Kapsul (MEPROFARM)</t>
  </si>
  <si>
    <t>Valganciclovir Hydrochloride 450 mg Tablet Salut Selaput (VALCYTE)</t>
  </si>
  <si>
    <t>VALCYTE</t>
  </si>
  <si>
    <t>Valsartan 160 mg Kaplet Salut Selaput (DEXA MEDICA)</t>
  </si>
  <si>
    <t>VALSARTAN</t>
  </si>
  <si>
    <t>Valsartan 160 mg Kaplet Salut Selaput (PYRIDAM FARMA TBK)</t>
  </si>
  <si>
    <t>Valsartan 160 mg Tablet Salut Selaput (DIOVAN)</t>
  </si>
  <si>
    <t>DIOVAN</t>
  </si>
  <si>
    <t>Valsartan 160 mg Tablet Salut Selaput (HEXPHARM JAYA LABORATORIES)</t>
  </si>
  <si>
    <t>Valsartan 160 mg Tablet Salut Selaput (KIMIA FARMA Tbk)</t>
  </si>
  <si>
    <t>Valsartan 160 mg Tablet Salut Selaput (NULAB PHARMACEUTICAL INDONESIA)</t>
  </si>
  <si>
    <t>Valsartan 160 mg Tablet Salut Selaput (VALTENSI)</t>
  </si>
  <si>
    <t>VALTENSI</t>
  </si>
  <si>
    <t>Vancomycin Hydrochloride 500 mg Serbuk Injeksi (HEXPHARM JAYA LABORATORIES)</t>
  </si>
  <si>
    <t>VANCOMYCIN HCL</t>
  </si>
  <si>
    <t>Vancomycin Hydrochloride 500 mg Serbuk Injeksi (NOVELL PHARMACEUTICAL LABORATORIES)</t>
  </si>
  <si>
    <t>VANCOMYCIN HYDROCHLORIDE</t>
  </si>
  <si>
    <t>Vancomycin Hydrochloride 500 mg Serbuk Injeksi (PRATAPA NIRMALA)</t>
  </si>
  <si>
    <t>Vancomycin Hydrochloride 500 mg Serbuk Injeksi (VANCOPI)</t>
  </si>
  <si>
    <t>VANCOPI</t>
  </si>
  <si>
    <t>Vancomycin Hydrochloride 500 mg Serbuk Injeksi (VANCOSAN)</t>
  </si>
  <si>
    <t>VANCOSAN</t>
  </si>
  <si>
    <t>Verapamil 240 mg Kaplet Salut Selaput (ISOPTIN SR)</t>
  </si>
  <si>
    <t>ISOPTIN SR</t>
  </si>
  <si>
    <t>Vildagliptin 50 mg Tablet (GALVUS)</t>
  </si>
  <si>
    <t>GALVUS</t>
  </si>
  <si>
    <t>Vincristine Sulfate 1 mg / mL Injeksi (GLOBAL ONKOLAB FARMA, 1 mL)</t>
  </si>
  <si>
    <t>VINCRISTINE SULFATE</t>
  </si>
  <si>
    <t>Vincristine Sulfate 1 mg / mL Injeksi (GLOBAL ONKOLAB FARMA, 2 mL)</t>
  </si>
  <si>
    <t>Vinorelbine Tartrate 10 mg / mL Injeksi (FERRON PAR PHARMACEUTICALS, 1 mL)</t>
  </si>
  <si>
    <t>VINORELBINE TARTRATE</t>
  </si>
  <si>
    <t>Vinorelbine Tartrate 10 mg / mL Injeksi (NAVELBINE, 1 mL)</t>
  </si>
  <si>
    <t>NAVELBINE</t>
  </si>
  <si>
    <t>Vinorelbine Tartrate 10 mg / mL Injeksi (VINORKAL, 1 mL)</t>
  </si>
  <si>
    <t>VINORKAL</t>
  </si>
  <si>
    <t>Vinorelbine Tartrate 10 mg / mL Injeksi (VINORKAL, 5 mL)</t>
  </si>
  <si>
    <t>Vinorelbine Tartrate 10 mg / mL Injeksi (VINSOH, 1 mL)</t>
  </si>
  <si>
    <t>VINSOH</t>
  </si>
  <si>
    <t>Vinorelbine Tartrate 10 mg / mL Injeksi (VINSOH, 5 mL)</t>
  </si>
  <si>
    <t>Voriconazole 200 mg Serbuk Injeksi Liofilisasi (VORICA)</t>
  </si>
  <si>
    <t>VORICA</t>
  </si>
  <si>
    <t>Voriconazole 200 mg Tablet Salut Selaput (VFEND)</t>
  </si>
  <si>
    <t>VFEND</t>
  </si>
  <si>
    <t>Warfarin 2 mg Tablet (NOVELL PHARMACEUTICAL LABORATORIES)</t>
  </si>
  <si>
    <t>WARFARIN SODIUM CLATHRATE</t>
  </si>
  <si>
    <t>Warfarin 2 mg Tablet (PRATAPA NIRMALA)</t>
  </si>
  <si>
    <t>Water for Injection (B.BRAUN PHARMACEUTICAL INDONESIA)</t>
  </si>
  <si>
    <t>Water for Injection (SATORIA ANEKA INDUSTRI, 250 mL)</t>
  </si>
  <si>
    <t>WATER  FOR INJECTION</t>
  </si>
  <si>
    <t>Water For Injection 20 mL (IPHA LABORATORIES)</t>
  </si>
  <si>
    <t>Zidovudin 300 mg / Lamivudin 150 mg Kaplet (KIMIA FARMA)</t>
  </si>
  <si>
    <t>LAMIVUDINE - ZIDOVUDINE</t>
  </si>
  <si>
    <t>Zidovudine 100 mg Kapsul (KIMIA FARMA)</t>
  </si>
  <si>
    <t>ZIDOVUDINE</t>
  </si>
  <si>
    <t>Zinc Sulfate Monohydrate 10 mg/mL Tetes Oral (COMBIPHAR, 15 mL)</t>
  </si>
  <si>
    <t>ZINC SULFATE MONOHYDRATE</t>
  </si>
  <si>
    <t>Zinc Sulfate Monohydrate 10 mg/mL Tetes Oral (MEPROFARM, 15 mL)</t>
  </si>
  <si>
    <t>Zinc Sulfate Monohydrate 20 mg / 5 ml Sirup (AFIFARMA)</t>
  </si>
  <si>
    <t>Zinc Sulfate Monohydrate 20 mg / 5 ml Sirup (TEMPO SCAN PACIFIC Tbk)</t>
  </si>
  <si>
    <t>Zinc Sulfate Monohydrate 20 mg Tablet Dispersible (HOLI PHARMA)</t>
  </si>
  <si>
    <t>Zinc Sulfate Monohydrate 20 mg Tablet Dispersible (KIMIA FARMA)</t>
  </si>
  <si>
    <t>ZINC SULFATE HEPTAHYDRATE</t>
  </si>
  <si>
    <t>Zinc Sulfate Monohydrate 20 mg Tablet Dispersible (PHAPROS Tbk)</t>
  </si>
  <si>
    <t>Zoledronic Acid 4 mg / 100 mL Infus (NOVELL PHARMACEUTICAL LABORATORIES)</t>
  </si>
  <si>
    <t>ZOLEDRONIC ACID MONOHYDRATE</t>
  </si>
  <si>
    <t>Zoledronic Acid 4 mg / 100 mL Infus (SANDRONIC)</t>
  </si>
  <si>
    <t>SANDRONIC</t>
  </si>
  <si>
    <t>Zoledronic Acid 4 mg / 100 mL Infus (ZOMETA)</t>
  </si>
  <si>
    <t>ZOMETA</t>
  </si>
  <si>
    <t>Zoledronic Acid 5 mg Infus (ACLASTA)</t>
  </si>
  <si>
    <t>ACLASTA</t>
  </si>
  <si>
    <t>Zoledronic Acid Monohydrate 5 mg / 100 mL Infus (ACLASTA, 100 mL)</t>
  </si>
  <si>
    <t>Zonisamide 100 mg Tablet Salut Selaput (ZONEGRAN)</t>
  </si>
  <si>
    <t>ZONEGRAN</t>
  </si>
  <si>
    <t xml:space="preserve">insert into mkatalog_kfa93 (kode, uraian, kode_92, uraian_92, nama_dagang, satuan_kecil, sediaan, golongan, url, userid_updt, sysdate_updt) values 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</si>
</sst>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rgb="FF000000"/>
      <name val="Sans-serif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2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3" borderId="0" xfId="0" applyFont="1" applyFill="1"/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/>
    <xf numFmtId="0" fontId="6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/>
    <xf numFmtId="0" fontId="7" fillId="10" borderId="1" xfId="0" applyFont="1" applyFill="1" applyBorder="1" applyAlignment="1">
      <alignment horizontal="left"/>
    </xf>
    <xf numFmtId="0" fontId="8" fillId="10" borderId="1" xfId="0" applyFont="1" applyFill="1" applyBorder="1" applyAlignment="1"/>
    <xf numFmtId="0" fontId="9" fillId="10" borderId="1" xfId="0" applyFont="1" applyFill="1" applyBorder="1" applyAlignment="1"/>
    <xf numFmtId="0" fontId="2" fillId="0" borderId="0" xfId="0" applyFont="1" applyAlignment="1">
      <alignment horizontal="center"/>
    </xf>
    <xf numFmtId="0" fontId="2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outlinePr summaryBelow="0" summaryRight="0"/>
  </sheetPr>
  <dimension ref="A1:Z258"/>
  <sheetViews>
    <sheetView workbookViewId="0">
      <pane xSplit="2" ySplit="6" topLeftCell="K7" activePane="bottomRight" state="frozen"/>
      <selection pane="topRight"/>
      <selection pane="bottomLeft"/>
      <selection pane="bottomRight" activeCell="L7" sqref="L7"/>
    </sheetView>
  </sheetViews>
  <sheetFormatPr defaultColWidth="12.6328125" defaultRowHeight="15.75" customHeight="1"/>
  <cols>
    <col min="2" max="2" width="50.54296875" customWidth="1"/>
    <col min="3" max="3" width="18.6328125" customWidth="1"/>
    <col min="4" max="4" width="51" customWidth="1"/>
    <col min="5" max="5" width="60.54296875" customWidth="1"/>
    <col min="6" max="6" width="29.08984375" customWidth="1"/>
    <col min="7" max="7" width="54.7265625" customWidth="1"/>
    <col min="8" max="8" width="46.6328125" customWidth="1"/>
    <col min="9" max="9" width="35.26953125" customWidth="1"/>
    <col min="10" max="10" width="53.90625" customWidth="1"/>
    <col min="11" max="11" width="30.36328125" customWidth="1"/>
    <col min="12" max="12" width="32.26953125" customWidth="1"/>
    <col min="13" max="13" width="20.54296875" customWidth="1"/>
    <col min="14" max="14" width="22.1796875" customWidth="1"/>
    <col min="15" max="15" width="12.1796875" customWidth="1"/>
    <col min="16" max="16" width="12.36328125" customWidth="1"/>
  </cols>
  <sheetData>
    <row r="1" spans="1:26" ht="15.75" customHeight="1">
      <c r="A1" s="8"/>
      <c r="B1" s="2" t="s">
        <v>0</v>
      </c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</row>
    <row r="2" spans="1:26" ht="15.75" customHeight="1">
      <c r="A2" s="11"/>
      <c r="B2" s="2" t="s">
        <v>1</v>
      </c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</row>
    <row r="3" spans="1:26" ht="15.75" customHeight="1">
      <c r="A3" s="12"/>
      <c r="B3" s="12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</row>
    <row r="4" spans="1:26" ht="15.75" customHeight="1">
      <c r="A4" s="13" t="s">
        <v>2</v>
      </c>
      <c r="B4" s="13" t="s">
        <v>2</v>
      </c>
      <c r="C4" s="13" t="s">
        <v>3</v>
      </c>
      <c r="D4" s="14" t="s">
        <v>3</v>
      </c>
      <c r="E4" s="13" t="s">
        <v>3</v>
      </c>
      <c r="F4" s="13" t="s">
        <v>2</v>
      </c>
      <c r="G4" s="13" t="s">
        <v>4</v>
      </c>
      <c r="H4" s="13" t="s">
        <v>4</v>
      </c>
      <c r="I4" s="13" t="s">
        <v>2</v>
      </c>
      <c r="J4" s="13" t="s">
        <v>2</v>
      </c>
      <c r="K4" s="13" t="s">
        <v>2</v>
      </c>
      <c r="L4" s="13" t="s">
        <v>2</v>
      </c>
      <c r="M4" s="13" t="s">
        <v>2</v>
      </c>
      <c r="N4" s="13" t="s">
        <v>2</v>
      </c>
      <c r="O4" s="13" t="s">
        <v>2</v>
      </c>
      <c r="P4" s="13" t="s">
        <v>2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9"/>
      <c r="B5" s="9"/>
      <c r="C5" s="9"/>
      <c r="D5" s="9"/>
      <c r="E5" s="9"/>
      <c r="F5" s="10"/>
      <c r="G5" s="15"/>
      <c r="H5" s="15"/>
      <c r="I5" s="24"/>
      <c r="J5" s="24"/>
      <c r="K5" s="25"/>
      <c r="L5" s="25"/>
      <c r="M5" s="25"/>
      <c r="N5" s="25"/>
      <c r="O5" s="25"/>
      <c r="P5" s="25"/>
    </row>
    <row r="6" spans="1:26" ht="15.75" customHeight="1">
      <c r="A6" s="16" t="s">
        <v>5</v>
      </c>
      <c r="B6" s="16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6" t="s">
        <v>11</v>
      </c>
      <c r="H6" s="1" t="s">
        <v>12</v>
      </c>
      <c r="I6" s="26" t="s">
        <v>13</v>
      </c>
      <c r="J6" s="1" t="s">
        <v>14</v>
      </c>
      <c r="K6" s="1" t="s">
        <v>15</v>
      </c>
      <c r="L6" s="27" t="s">
        <v>16</v>
      </c>
      <c r="M6" s="27" t="s">
        <v>17</v>
      </c>
      <c r="N6" s="27" t="s">
        <v>18</v>
      </c>
      <c r="O6" s="27" t="s">
        <v>19</v>
      </c>
      <c r="P6" s="28" t="s">
        <v>20</v>
      </c>
    </row>
    <row r="7" spans="1:26" ht="15.75" customHeight="1">
      <c r="A7" s="18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9" t="s">
        <v>26</v>
      </c>
      <c r="G7" s="20">
        <v>93000407</v>
      </c>
      <c r="H7" s="21" t="str">
        <f>IFERROR(VLOOKUP($G7,'93. POA (Update 06 Sep)'!$A$1:$D$1380,2,0),"")</f>
        <v>Asam Asetilsalisilat 80 mg Tablet Salut Enterik (ASCARDIA)</v>
      </c>
      <c r="I7" s="20">
        <f>VLOOKUP($G7,'93. POA (Update 06 Sep)'!$A$1:$D$1380,3,0)</f>
        <v>92000293</v>
      </c>
      <c r="J7" s="21" t="s">
        <v>27</v>
      </c>
      <c r="K7" s="20">
        <f>VLOOKUP(L7,'91. BZA (Update 06 Sep)'!$B$1:$C$580,2,0)</f>
        <v>91000299</v>
      </c>
      <c r="L7" s="29" t="s">
        <v>28</v>
      </c>
      <c r="M7" s="29">
        <v>80</v>
      </c>
      <c r="N7" s="29" t="s">
        <v>29</v>
      </c>
      <c r="O7" s="29">
        <v>1</v>
      </c>
      <c r="P7" s="29" t="s">
        <v>25</v>
      </c>
    </row>
    <row r="8" spans="1:26" ht="15.75" customHeight="1">
      <c r="A8" s="18" t="s">
        <v>21</v>
      </c>
      <c r="B8" s="22" t="s">
        <v>30</v>
      </c>
      <c r="C8" s="18" t="s">
        <v>23</v>
      </c>
      <c r="D8" s="18" t="s">
        <v>25</v>
      </c>
      <c r="E8" s="18" t="s">
        <v>25</v>
      </c>
      <c r="F8" s="19" t="s">
        <v>31</v>
      </c>
      <c r="G8" s="20">
        <v>93001345</v>
      </c>
      <c r="H8" s="21" t="str">
        <f>IFERROR(VLOOKUP($G8,'93. POA (Update 06 Sep)'!$A$1:$D$1380,2,0),"")</f>
        <v>Bisoprolol Fumarate 1,25 mg Tablet Salut Selaput (CONCOR)</v>
      </c>
      <c r="I8" s="20">
        <v>92000780</v>
      </c>
      <c r="J8" s="21" t="s">
        <v>32</v>
      </c>
      <c r="K8" s="20">
        <f>VLOOKUP(L8,'91. BZA (Update 06 Sep)'!$B$1:$C$580,2,0)</f>
        <v>91000362</v>
      </c>
      <c r="L8" s="29" t="s">
        <v>33</v>
      </c>
      <c r="M8" s="29">
        <v>1.25</v>
      </c>
      <c r="N8" s="29" t="s">
        <v>29</v>
      </c>
      <c r="O8" s="29">
        <v>1</v>
      </c>
      <c r="P8" s="29" t="s">
        <v>25</v>
      </c>
    </row>
    <row r="9" spans="1:26" ht="15.75" customHeight="1">
      <c r="A9" s="22" t="s">
        <v>21</v>
      </c>
      <c r="B9" s="18" t="s">
        <v>34</v>
      </c>
      <c r="C9" s="18" t="s">
        <v>23</v>
      </c>
      <c r="D9" s="18" t="s">
        <v>24</v>
      </c>
      <c r="E9" s="18" t="s">
        <v>25</v>
      </c>
      <c r="F9" s="19" t="s">
        <v>35</v>
      </c>
      <c r="G9" s="23">
        <v>92000451</v>
      </c>
      <c r="H9" s="21" t="s">
        <v>36</v>
      </c>
      <c r="I9" s="20">
        <v>92000451</v>
      </c>
      <c r="J9" s="21" t="s">
        <v>36</v>
      </c>
      <c r="K9" s="20">
        <v>91000424</v>
      </c>
      <c r="L9" s="29" t="s">
        <v>37</v>
      </c>
      <c r="M9" s="29">
        <v>24</v>
      </c>
      <c r="N9" s="29" t="s">
        <v>29</v>
      </c>
      <c r="O9" s="29">
        <v>1</v>
      </c>
      <c r="P9" s="29" t="s">
        <v>25</v>
      </c>
    </row>
    <row r="10" spans="1:26" ht="15.75" customHeight="1">
      <c r="A10" s="18" t="s">
        <v>21</v>
      </c>
      <c r="B10" s="18" t="s">
        <v>38</v>
      </c>
      <c r="C10" s="18" t="s">
        <v>23</v>
      </c>
      <c r="D10" s="18" t="s">
        <v>24</v>
      </c>
      <c r="E10" s="18" t="s">
        <v>25</v>
      </c>
      <c r="F10" s="19" t="s">
        <v>39</v>
      </c>
      <c r="G10" s="20"/>
      <c r="H10" s="21" t="str">
        <f>IFERROR(VLOOKUP($G10,'93. POA (Update 06 Sep)'!$A$1:$D$1380,2,0),"")</f>
        <v/>
      </c>
      <c r="I10" s="20">
        <v>92000372</v>
      </c>
      <c r="J10" s="21" t="s">
        <v>40</v>
      </c>
      <c r="K10" s="20">
        <f>VLOOKUP(L10,'91. BZA (Update 06 Sep)'!$B$1:$C$580,2,0)</f>
        <v>91000314</v>
      </c>
      <c r="L10" s="29" t="s">
        <v>41</v>
      </c>
      <c r="M10" s="29">
        <v>100</v>
      </c>
      <c r="N10" s="29" t="s">
        <v>29</v>
      </c>
      <c r="O10" s="29">
        <v>1</v>
      </c>
      <c r="P10" s="29" t="s">
        <v>25</v>
      </c>
    </row>
    <row r="11" spans="1:26" ht="15.75" customHeight="1">
      <c r="A11" s="18" t="s">
        <v>21</v>
      </c>
      <c r="B11" s="18" t="s">
        <v>42</v>
      </c>
      <c r="C11" s="18" t="s">
        <v>25</v>
      </c>
      <c r="D11" s="18" t="s">
        <v>24</v>
      </c>
      <c r="E11" s="18" t="s">
        <v>25</v>
      </c>
      <c r="F11" s="19" t="s">
        <v>43</v>
      </c>
      <c r="G11" s="20"/>
      <c r="H11" s="21" t="str">
        <f>IFERROR(VLOOKUP($G11,'93. POA (Update 06 Sep)'!$A$1:$D$1380,2,0),"")</f>
        <v/>
      </c>
      <c r="I11" s="20">
        <v>92000342</v>
      </c>
      <c r="J11" s="21" t="s">
        <v>44</v>
      </c>
      <c r="K11" s="20">
        <f>VLOOKUP(L11,'91. BZA (Update 06 Sep)'!$B$1:$C$580,2,0)</f>
        <v>91000175</v>
      </c>
      <c r="L11" s="29" t="s">
        <v>43</v>
      </c>
      <c r="M11" s="29">
        <v>300</v>
      </c>
      <c r="N11" s="29" t="s">
        <v>29</v>
      </c>
      <c r="O11" s="29">
        <v>1</v>
      </c>
      <c r="P11" s="29" t="s">
        <v>25</v>
      </c>
    </row>
    <row r="12" spans="1:26" ht="15.75" customHeight="1">
      <c r="A12" s="18" t="s">
        <v>21</v>
      </c>
      <c r="B12" s="18" t="s">
        <v>45</v>
      </c>
      <c r="C12" s="18" t="s">
        <v>25</v>
      </c>
      <c r="D12" s="18" t="s">
        <v>24</v>
      </c>
      <c r="E12" s="18" t="s">
        <v>25</v>
      </c>
      <c r="F12" s="19" t="s">
        <v>46</v>
      </c>
      <c r="G12" s="20"/>
      <c r="H12" s="21" t="str">
        <f>IFERROR(VLOOKUP($G12,'93. POA (Update 06 Sep)'!$A$1:$D$1380,2,0),"")</f>
        <v/>
      </c>
      <c r="I12" s="20">
        <v>92000161</v>
      </c>
      <c r="J12" s="21" t="s">
        <v>47</v>
      </c>
      <c r="K12" s="20">
        <f>VLOOKUP(L12,'91. BZA (Update 06 Sep)'!$B$1:$C$580,2,0)</f>
        <v>91000175</v>
      </c>
      <c r="L12" s="29" t="s">
        <v>43</v>
      </c>
      <c r="M12" s="29">
        <v>300</v>
      </c>
      <c r="N12" s="29" t="s">
        <v>29</v>
      </c>
      <c r="O12" s="29">
        <v>1</v>
      </c>
      <c r="P12" s="29" t="s">
        <v>25</v>
      </c>
    </row>
    <row r="13" spans="1:26" ht="15.75" customHeight="1">
      <c r="A13" s="18" t="s">
        <v>21</v>
      </c>
      <c r="B13" s="18" t="s">
        <v>45</v>
      </c>
      <c r="C13" s="18" t="s">
        <v>25</v>
      </c>
      <c r="D13" s="18" t="s">
        <v>24</v>
      </c>
      <c r="E13" s="18" t="s">
        <v>25</v>
      </c>
      <c r="F13" s="19" t="s">
        <v>46</v>
      </c>
      <c r="G13" s="20"/>
      <c r="H13" s="21" t="str">
        <f>IFERROR(VLOOKUP($G13,'93. POA (Update 06 Sep)'!$A$1:$D$1380,2,0),"")</f>
        <v/>
      </c>
      <c r="I13" s="20">
        <v>92000161</v>
      </c>
      <c r="J13" s="21" t="s">
        <v>47</v>
      </c>
      <c r="K13" s="20">
        <f>VLOOKUP(L13,'91. BZA (Update 06 Sep)'!$B$1:$C$580,2,0)</f>
        <v>91000176</v>
      </c>
      <c r="L13" s="30" t="s">
        <v>48</v>
      </c>
      <c r="M13" s="29">
        <v>200</v>
      </c>
      <c r="N13" s="29" t="s">
        <v>29</v>
      </c>
      <c r="O13" s="29">
        <v>1</v>
      </c>
      <c r="P13" s="29" t="s">
        <v>25</v>
      </c>
    </row>
    <row r="14" spans="1:26" ht="15.75" customHeight="1">
      <c r="A14" s="18" t="s">
        <v>21</v>
      </c>
      <c r="B14" s="18" t="s">
        <v>49</v>
      </c>
      <c r="C14" s="18" t="s">
        <v>50</v>
      </c>
      <c r="D14" s="18" t="s">
        <v>51</v>
      </c>
      <c r="E14" s="18" t="s">
        <v>51</v>
      </c>
      <c r="F14" s="19" t="s">
        <v>52</v>
      </c>
      <c r="G14" s="23" t="s">
        <v>53</v>
      </c>
      <c r="H14" s="21" t="str">
        <f>IFERROR(VLOOKUP($G14,'93. POA (Update 06 Sep)'!$A$1:$D$1380,2,0),"")</f>
        <v/>
      </c>
      <c r="I14" s="23" t="s">
        <v>54</v>
      </c>
      <c r="J14" s="21" t="s">
        <v>55</v>
      </c>
      <c r="K14" s="20">
        <f>VLOOKUP(L14,'91. BZA (Update 06 Sep)'!$B$1:$C$580,2,0)</f>
        <v>91000101</v>
      </c>
      <c r="L14" s="29" t="s">
        <v>56</v>
      </c>
      <c r="M14" s="29">
        <v>10</v>
      </c>
      <c r="N14" s="31" t="s">
        <v>29</v>
      </c>
      <c r="O14" s="29">
        <v>1</v>
      </c>
      <c r="P14" s="32" t="s">
        <v>57</v>
      </c>
    </row>
    <row r="15" spans="1:26" ht="15.75" customHeight="1">
      <c r="A15" s="18" t="s">
        <v>21</v>
      </c>
      <c r="B15" s="18" t="s">
        <v>58</v>
      </c>
      <c r="C15" s="18" t="s">
        <v>23</v>
      </c>
      <c r="D15" s="18" t="s">
        <v>24</v>
      </c>
      <c r="E15" s="18" t="s">
        <v>25</v>
      </c>
      <c r="F15" s="19" t="s">
        <v>52</v>
      </c>
      <c r="G15" s="23" t="s">
        <v>53</v>
      </c>
      <c r="H15" s="21" t="str">
        <f>IFERROR(VLOOKUP($G15,'93. POA (Update 06 Sep)'!$A$1:$D$1380,2,0),"")</f>
        <v/>
      </c>
      <c r="I15" s="23" t="s">
        <v>53</v>
      </c>
      <c r="J15" s="21" t="s">
        <v>55</v>
      </c>
      <c r="K15" s="20">
        <f>VLOOKUP(L15,'91. BZA (Update 06 Sep)'!$B$1:$C$580,2,0)</f>
        <v>91000101</v>
      </c>
      <c r="L15" s="29" t="s">
        <v>56</v>
      </c>
      <c r="M15" s="29">
        <v>500</v>
      </c>
      <c r="N15" s="29" t="s">
        <v>29</v>
      </c>
      <c r="O15" s="29">
        <v>1</v>
      </c>
      <c r="P15" s="29" t="s">
        <v>25</v>
      </c>
    </row>
    <row r="16" spans="1:26" ht="15.75" customHeight="1">
      <c r="A16" s="18" t="s">
        <v>21</v>
      </c>
      <c r="B16" s="18" t="s">
        <v>59</v>
      </c>
      <c r="C16" s="18" t="s">
        <v>23</v>
      </c>
      <c r="D16" s="18" t="s">
        <v>24</v>
      </c>
      <c r="E16" s="18" t="s">
        <v>25</v>
      </c>
      <c r="F16" s="19" t="s">
        <v>60</v>
      </c>
      <c r="G16" s="23" t="s">
        <v>53</v>
      </c>
      <c r="H16" s="21" t="str">
        <f>IFERROR(VLOOKUP($G16,'93. POA (Update 06 Sep)'!$A$1:$D$1380,2,0),"")</f>
        <v/>
      </c>
      <c r="I16" s="23" t="s">
        <v>54</v>
      </c>
      <c r="J16" s="21" t="s">
        <v>55</v>
      </c>
      <c r="K16" s="20">
        <f>VLOOKUP(L16,'91. BZA (Update 06 Sep)'!$B$1:$C$580,2,0)</f>
        <v>91000279</v>
      </c>
      <c r="L16" s="29" t="s">
        <v>61</v>
      </c>
      <c r="M16" s="29">
        <v>250</v>
      </c>
      <c r="N16" s="29" t="s">
        <v>29</v>
      </c>
      <c r="O16" s="29">
        <v>1</v>
      </c>
      <c r="P16" s="29" t="s">
        <v>25</v>
      </c>
    </row>
    <row r="17" spans="1:16" ht="15.75" customHeight="1">
      <c r="A17" s="18" t="s">
        <v>21</v>
      </c>
      <c r="B17" s="18" t="s">
        <v>62</v>
      </c>
      <c r="C17" s="18" t="s">
        <v>23</v>
      </c>
      <c r="D17" s="18" t="s">
        <v>24</v>
      </c>
      <c r="E17" s="18" t="s">
        <v>25</v>
      </c>
      <c r="F17" s="19" t="s">
        <v>60</v>
      </c>
      <c r="G17" s="20"/>
      <c r="H17" s="21" t="str">
        <f>IFERROR(VLOOKUP($G17,'93. POA (Update 06 Sep)'!$A$1:$D$1380,2,0),"")</f>
        <v/>
      </c>
      <c r="I17" s="20">
        <v>92000511</v>
      </c>
      <c r="J17" s="21" t="s">
        <v>62</v>
      </c>
      <c r="K17" s="20">
        <f>VLOOKUP(L17,'91. BZA (Update 06 Sep)'!$B$1:$C$580,2,0)</f>
        <v>91000101</v>
      </c>
      <c r="L17" s="29" t="s">
        <v>56</v>
      </c>
      <c r="M17" s="29">
        <v>120</v>
      </c>
      <c r="N17" s="29" t="s">
        <v>29</v>
      </c>
      <c r="O17" s="29">
        <v>5</v>
      </c>
      <c r="P17" s="29" t="s">
        <v>57</v>
      </c>
    </row>
    <row r="18" spans="1:16" ht="15.75" customHeight="1">
      <c r="I18" s="33"/>
    </row>
    <row r="19" spans="1:16" ht="15.75" customHeight="1">
      <c r="I19" s="33"/>
    </row>
    <row r="20" spans="1:16" ht="15.75" customHeight="1">
      <c r="I20" s="33"/>
    </row>
    <row r="21" spans="1:16" ht="15.75" customHeight="1">
      <c r="I21" s="33"/>
    </row>
    <row r="22" spans="1:16" ht="15.75" customHeight="1">
      <c r="I22" s="33"/>
    </row>
    <row r="23" spans="1:16" ht="15.75" customHeight="1">
      <c r="I23" s="33"/>
    </row>
    <row r="24" spans="1:16" ht="15.75" customHeight="1">
      <c r="I24" s="33"/>
    </row>
    <row r="25" spans="1:16" ht="15.75" customHeight="1">
      <c r="I25" s="33"/>
    </row>
    <row r="26" spans="1:16" ht="15.75" customHeight="1">
      <c r="I26" s="33"/>
    </row>
    <row r="27" spans="1:16" ht="15.75" customHeight="1">
      <c r="I27" s="33"/>
    </row>
    <row r="28" spans="1:16" ht="15.75" customHeight="1">
      <c r="I28" s="33"/>
    </row>
    <row r="29" spans="1:16" ht="15.75" customHeight="1">
      <c r="I29" s="33"/>
    </row>
    <row r="30" spans="1:16" ht="15.75" customHeight="1">
      <c r="I30" s="33"/>
    </row>
    <row r="31" spans="1:16" ht="15.75" customHeight="1">
      <c r="I31" s="33"/>
    </row>
    <row r="32" spans="1:16" ht="15.75" customHeight="1">
      <c r="I32" s="33"/>
    </row>
    <row r="33" spans="9:9" ht="15.75" customHeight="1">
      <c r="I33" s="33"/>
    </row>
    <row r="34" spans="9:9" ht="15.75" customHeight="1">
      <c r="I34" s="33"/>
    </row>
    <row r="35" spans="9:9" ht="15.75" customHeight="1">
      <c r="I35" s="33"/>
    </row>
    <row r="36" spans="9:9" ht="15.75" customHeight="1">
      <c r="I36" s="33"/>
    </row>
    <row r="37" spans="9:9" ht="15.75" customHeight="1">
      <c r="I37" s="33"/>
    </row>
    <row r="38" spans="9:9" ht="15.75" customHeight="1">
      <c r="I38" s="33"/>
    </row>
    <row r="39" spans="9:9" ht="15.75" customHeight="1">
      <c r="I39" s="33"/>
    </row>
    <row r="40" spans="9:9" ht="15.75" customHeight="1">
      <c r="I40" s="33"/>
    </row>
    <row r="41" spans="9:9" ht="15.75" customHeight="1">
      <c r="I41" s="33"/>
    </row>
    <row r="42" spans="9:9" ht="15.75" customHeight="1">
      <c r="I42" s="33"/>
    </row>
    <row r="43" spans="9:9" ht="15.75" customHeight="1">
      <c r="I43" s="33"/>
    </row>
    <row r="44" spans="9:9" ht="15.75" customHeight="1">
      <c r="I44" s="33"/>
    </row>
    <row r="45" spans="9:9" ht="15.75" customHeight="1">
      <c r="I45" s="33"/>
    </row>
    <row r="46" spans="9:9" ht="15.75" customHeight="1">
      <c r="I46" s="33"/>
    </row>
    <row r="47" spans="9:9" ht="15.75" customHeight="1">
      <c r="I47" s="33"/>
    </row>
    <row r="48" spans="9:9" ht="15.75" customHeight="1">
      <c r="I48" s="33"/>
    </row>
    <row r="49" spans="9:9" ht="15.75" customHeight="1">
      <c r="I49" s="33"/>
    </row>
    <row r="50" spans="9:9" ht="15.75" customHeight="1">
      <c r="I50" s="33"/>
    </row>
    <row r="51" spans="9:9" ht="15.75" customHeight="1">
      <c r="I51" s="33"/>
    </row>
    <row r="52" spans="9:9" ht="15.75" customHeight="1">
      <c r="I52" s="33"/>
    </row>
    <row r="53" spans="9:9" ht="15.75" customHeight="1">
      <c r="I53" s="33"/>
    </row>
    <row r="54" spans="9:9" ht="15.75" customHeight="1">
      <c r="I54" s="33"/>
    </row>
    <row r="55" spans="9:9" ht="15.75" customHeight="1">
      <c r="I55" s="33"/>
    </row>
    <row r="56" spans="9:9" ht="15.75" customHeight="1">
      <c r="I56" s="33"/>
    </row>
    <row r="57" spans="9:9" ht="15.75" customHeight="1">
      <c r="I57" s="33"/>
    </row>
    <row r="58" spans="9:9" ht="15.75" customHeight="1">
      <c r="I58" s="33"/>
    </row>
    <row r="59" spans="9:9" ht="15.75" customHeight="1">
      <c r="I59" s="33"/>
    </row>
    <row r="60" spans="9:9" ht="15.75" customHeight="1">
      <c r="I60" s="33"/>
    </row>
    <row r="61" spans="9:9" ht="15.75" customHeight="1">
      <c r="I61" s="33"/>
    </row>
    <row r="62" spans="9:9" ht="15.75" customHeight="1">
      <c r="I62" s="33"/>
    </row>
    <row r="63" spans="9:9" ht="15.75" customHeight="1">
      <c r="I63" s="33"/>
    </row>
    <row r="64" spans="9:9" ht="15.75" customHeight="1">
      <c r="I64" s="33"/>
    </row>
    <row r="65" spans="9:9" ht="15.75" customHeight="1">
      <c r="I65" s="33"/>
    </row>
    <row r="66" spans="9:9" ht="15.75" customHeight="1">
      <c r="I66" s="33"/>
    </row>
    <row r="67" spans="9:9" ht="15.75" customHeight="1">
      <c r="I67" s="33"/>
    </row>
    <row r="68" spans="9:9" ht="15.75" customHeight="1">
      <c r="I68" s="33"/>
    </row>
    <row r="69" spans="9:9" ht="15.75" customHeight="1">
      <c r="I69" s="33"/>
    </row>
    <row r="70" spans="9:9" ht="15.75" customHeight="1">
      <c r="I70" s="33"/>
    </row>
    <row r="71" spans="9:9" ht="15.75" customHeight="1">
      <c r="I71" s="33"/>
    </row>
    <row r="72" spans="9:9" ht="15.75" customHeight="1">
      <c r="I72" s="33"/>
    </row>
    <row r="73" spans="9:9" ht="15.75" customHeight="1">
      <c r="I73" s="33"/>
    </row>
    <row r="74" spans="9:9" ht="15.75" customHeight="1">
      <c r="I74" s="33"/>
    </row>
    <row r="75" spans="9:9" ht="15.75" customHeight="1">
      <c r="I75" s="33"/>
    </row>
    <row r="76" spans="9:9" ht="15.75" customHeight="1">
      <c r="I76" s="33"/>
    </row>
    <row r="77" spans="9:9" ht="15.75" customHeight="1">
      <c r="I77" s="33"/>
    </row>
    <row r="78" spans="9:9" ht="15.75" customHeight="1">
      <c r="I78" s="33"/>
    </row>
    <row r="79" spans="9:9" ht="15.75" customHeight="1">
      <c r="I79" s="33"/>
    </row>
    <row r="80" spans="9:9" ht="15.75" customHeight="1">
      <c r="I80" s="33"/>
    </row>
    <row r="81" spans="9:9" ht="15.75" customHeight="1">
      <c r="I81" s="33"/>
    </row>
    <row r="82" spans="9:9" ht="15.75" customHeight="1">
      <c r="I82" s="33"/>
    </row>
    <row r="83" spans="9:9" ht="15.75" customHeight="1">
      <c r="I83" s="33"/>
    </row>
    <row r="84" spans="9:9" ht="15.75" customHeight="1">
      <c r="I84" s="33"/>
    </row>
    <row r="85" spans="9:9" ht="15.75" customHeight="1">
      <c r="I85" s="33"/>
    </row>
    <row r="86" spans="9:9" ht="15.75" customHeight="1">
      <c r="I86" s="33"/>
    </row>
    <row r="87" spans="9:9" ht="15.75" customHeight="1">
      <c r="I87" s="33"/>
    </row>
    <row r="88" spans="9:9" ht="15.75" customHeight="1">
      <c r="I88" s="33"/>
    </row>
    <row r="89" spans="9:9" ht="15.75" customHeight="1">
      <c r="I89" s="33"/>
    </row>
    <row r="90" spans="9:9" ht="15.75" customHeight="1">
      <c r="I90" s="33"/>
    </row>
    <row r="91" spans="9:9" ht="15.75" customHeight="1">
      <c r="I91" s="33"/>
    </row>
    <row r="92" spans="9:9" ht="15.75" customHeight="1">
      <c r="I92" s="33"/>
    </row>
    <row r="93" spans="9:9" ht="15.75" customHeight="1">
      <c r="I93" s="33"/>
    </row>
    <row r="94" spans="9:9" ht="15.75" customHeight="1">
      <c r="I94" s="33"/>
    </row>
    <row r="95" spans="9:9" ht="15.75" customHeight="1">
      <c r="I95" s="33"/>
    </row>
    <row r="96" spans="9:9" ht="15.75" customHeight="1">
      <c r="I96" s="33"/>
    </row>
    <row r="97" spans="9:9" ht="15.75" customHeight="1">
      <c r="I97" s="33"/>
    </row>
    <row r="98" spans="9:9" ht="15.75" customHeight="1">
      <c r="I98" s="33"/>
    </row>
    <row r="99" spans="9:9" ht="15.75" customHeight="1">
      <c r="I99" s="33"/>
    </row>
    <row r="100" spans="9:9" ht="15.75" customHeight="1">
      <c r="I100" s="33"/>
    </row>
    <row r="101" spans="9:9" ht="15.75" customHeight="1">
      <c r="I101" s="33"/>
    </row>
    <row r="102" spans="9:9" ht="15.75" customHeight="1">
      <c r="I102" s="33"/>
    </row>
    <row r="103" spans="9:9" ht="15.75" customHeight="1">
      <c r="I103" s="33"/>
    </row>
    <row r="104" spans="9:9" ht="15.75" customHeight="1">
      <c r="I104" s="33"/>
    </row>
    <row r="105" spans="9:9" ht="15.75" customHeight="1">
      <c r="I105" s="33"/>
    </row>
    <row r="106" spans="9:9" ht="15.75" customHeight="1">
      <c r="I106" s="33"/>
    </row>
    <row r="107" spans="9:9" ht="15.75" customHeight="1">
      <c r="I107" s="33"/>
    </row>
    <row r="108" spans="9:9" ht="15.75" customHeight="1">
      <c r="I108" s="33"/>
    </row>
    <row r="109" spans="9:9" ht="15.75" customHeight="1">
      <c r="I109" s="33"/>
    </row>
    <row r="110" spans="9:9" ht="15.75" customHeight="1">
      <c r="I110" s="33"/>
    </row>
    <row r="111" spans="9:9" ht="15.75" customHeight="1">
      <c r="I111" s="33"/>
    </row>
    <row r="112" spans="9:9" ht="15.75" customHeight="1">
      <c r="I112" s="33"/>
    </row>
    <row r="113" spans="9:9" ht="15.75" customHeight="1">
      <c r="I113" s="33"/>
    </row>
    <row r="114" spans="9:9" ht="15.75" customHeight="1">
      <c r="I114" s="33"/>
    </row>
    <row r="115" spans="9:9" ht="15.75" customHeight="1">
      <c r="I115" s="33"/>
    </row>
    <row r="116" spans="9:9" ht="15.75" customHeight="1">
      <c r="I116" s="33"/>
    </row>
    <row r="117" spans="9:9" ht="15.75" customHeight="1">
      <c r="I117" s="33"/>
    </row>
    <row r="118" spans="9:9" ht="15.75" customHeight="1">
      <c r="I118" s="33"/>
    </row>
    <row r="119" spans="9:9" ht="15.75" customHeight="1">
      <c r="I119" s="33"/>
    </row>
    <row r="120" spans="9:9" ht="15.75" customHeight="1">
      <c r="I120" s="33"/>
    </row>
    <row r="121" spans="9:9" ht="15.75" customHeight="1">
      <c r="I121" s="33"/>
    </row>
    <row r="122" spans="9:9" ht="15.75" customHeight="1">
      <c r="I122" s="33"/>
    </row>
    <row r="123" spans="9:9" ht="15.75" customHeight="1">
      <c r="I123" s="33"/>
    </row>
    <row r="124" spans="9:9" ht="15.75" customHeight="1">
      <c r="I124" s="33"/>
    </row>
    <row r="125" spans="9:9" ht="15.75" customHeight="1">
      <c r="I125" s="33"/>
    </row>
    <row r="126" spans="9:9" ht="15.75" customHeight="1">
      <c r="I126" s="33"/>
    </row>
    <row r="127" spans="9:9" ht="15.75" customHeight="1">
      <c r="I127" s="33"/>
    </row>
    <row r="128" spans="9:9" ht="15.75" customHeight="1">
      <c r="I128" s="33"/>
    </row>
    <row r="129" spans="9:9" ht="15.75" customHeight="1">
      <c r="I129" s="33"/>
    </row>
    <row r="130" spans="9:9" ht="15.75" customHeight="1">
      <c r="I130" s="33"/>
    </row>
    <row r="131" spans="9:9" ht="15.75" customHeight="1">
      <c r="I131" s="33"/>
    </row>
    <row r="132" spans="9:9" ht="15.75" customHeight="1">
      <c r="I132" s="33"/>
    </row>
    <row r="133" spans="9:9" ht="15.75" customHeight="1">
      <c r="I133" s="33"/>
    </row>
    <row r="134" spans="9:9" ht="15.75" customHeight="1">
      <c r="I134" s="33"/>
    </row>
    <row r="135" spans="9:9" ht="15.75" customHeight="1">
      <c r="I135" s="33"/>
    </row>
    <row r="136" spans="9:9" ht="15.75" customHeight="1">
      <c r="I136" s="33"/>
    </row>
    <row r="137" spans="9:9" ht="15.75" customHeight="1">
      <c r="I137" s="33"/>
    </row>
    <row r="138" spans="9:9" ht="15.75" customHeight="1">
      <c r="I138" s="33"/>
    </row>
    <row r="139" spans="9:9" ht="15.75" customHeight="1">
      <c r="I139" s="33"/>
    </row>
    <row r="140" spans="9:9" ht="15.75" customHeight="1">
      <c r="I140" s="33"/>
    </row>
    <row r="141" spans="9:9" ht="15.75" customHeight="1">
      <c r="I141" s="33"/>
    </row>
    <row r="142" spans="9:9" ht="15.75" customHeight="1">
      <c r="I142" s="33"/>
    </row>
    <row r="143" spans="9:9" ht="15.75" customHeight="1">
      <c r="I143" s="33"/>
    </row>
    <row r="144" spans="9:9" ht="15.75" customHeight="1">
      <c r="I144" s="33"/>
    </row>
    <row r="145" spans="9:9" ht="15.75" customHeight="1">
      <c r="I145" s="33"/>
    </row>
    <row r="146" spans="9:9" ht="15.75" customHeight="1">
      <c r="I146" s="33"/>
    </row>
    <row r="147" spans="9:9" ht="15.75" customHeight="1">
      <c r="I147" s="33"/>
    </row>
    <row r="148" spans="9:9" ht="15.75" customHeight="1">
      <c r="I148" s="33"/>
    </row>
    <row r="149" spans="9:9" ht="15.75" customHeight="1">
      <c r="I149" s="33"/>
    </row>
    <row r="150" spans="9:9" ht="15.75" customHeight="1">
      <c r="I150" s="33"/>
    </row>
    <row r="151" spans="9:9" ht="15.75" customHeight="1">
      <c r="I151" s="33"/>
    </row>
    <row r="152" spans="9:9" ht="15.75" customHeight="1">
      <c r="I152" s="33"/>
    </row>
    <row r="153" spans="9:9" ht="15.75" customHeight="1">
      <c r="I153" s="33"/>
    </row>
    <row r="154" spans="9:9" ht="15.75" customHeight="1">
      <c r="I154" s="33"/>
    </row>
    <row r="155" spans="9:9" ht="15.75" customHeight="1">
      <c r="I155" s="33"/>
    </row>
    <row r="156" spans="9:9" ht="15.75" customHeight="1">
      <c r="I156" s="33"/>
    </row>
    <row r="157" spans="9:9" ht="15.75" customHeight="1">
      <c r="I157" s="33"/>
    </row>
    <row r="158" spans="9:9" ht="15.75" customHeight="1">
      <c r="I158" s="33"/>
    </row>
    <row r="159" spans="9:9" ht="15.75" customHeight="1">
      <c r="I159" s="33"/>
    </row>
    <row r="160" spans="9:9" ht="15.75" customHeight="1">
      <c r="I160" s="33"/>
    </row>
    <row r="161" spans="9:9" ht="15.75" customHeight="1">
      <c r="I161" s="33"/>
    </row>
    <row r="162" spans="9:9" ht="15.75" customHeight="1">
      <c r="I162" s="33"/>
    </row>
    <row r="163" spans="9:9" ht="15.75" customHeight="1">
      <c r="I163" s="33"/>
    </row>
    <row r="164" spans="9:9" ht="15.75" customHeight="1">
      <c r="I164" s="33"/>
    </row>
    <row r="165" spans="9:9" ht="15.75" customHeight="1">
      <c r="I165" s="33"/>
    </row>
    <row r="166" spans="9:9" ht="15.75" customHeight="1">
      <c r="I166" s="33"/>
    </row>
    <row r="167" spans="9:9" ht="15.75" customHeight="1">
      <c r="I167" s="33"/>
    </row>
    <row r="168" spans="9:9" ht="15.75" customHeight="1">
      <c r="I168" s="33"/>
    </row>
    <row r="169" spans="9:9" ht="15.75" customHeight="1">
      <c r="I169" s="33"/>
    </row>
    <row r="170" spans="9:9" ht="15.75" customHeight="1">
      <c r="I170" s="33"/>
    </row>
    <row r="171" spans="9:9" ht="15.75" customHeight="1">
      <c r="I171" s="33"/>
    </row>
    <row r="172" spans="9:9" ht="15.75" customHeight="1">
      <c r="I172" s="33"/>
    </row>
    <row r="173" spans="9:9" ht="15.75" customHeight="1">
      <c r="I173" s="33"/>
    </row>
    <row r="174" spans="9:9" ht="15.75" customHeight="1">
      <c r="I174" s="33"/>
    </row>
    <row r="175" spans="9:9" ht="15.75" customHeight="1">
      <c r="I175" s="33"/>
    </row>
    <row r="176" spans="9:9" ht="15.75" customHeight="1">
      <c r="I176" s="33"/>
    </row>
    <row r="177" spans="9:9" ht="15.75" customHeight="1">
      <c r="I177" s="33"/>
    </row>
    <row r="178" spans="9:9" ht="15.75" customHeight="1">
      <c r="I178" s="33"/>
    </row>
    <row r="179" spans="9:9" ht="15.75" customHeight="1">
      <c r="I179" s="33"/>
    </row>
    <row r="180" spans="9:9" ht="15.75" customHeight="1">
      <c r="I180" s="33"/>
    </row>
    <row r="181" spans="9:9" ht="15.75" customHeight="1">
      <c r="I181" s="33"/>
    </row>
    <row r="182" spans="9:9" ht="15.75" customHeight="1">
      <c r="I182" s="33"/>
    </row>
    <row r="183" spans="9:9" ht="15.75" customHeight="1">
      <c r="I183" s="33"/>
    </row>
    <row r="184" spans="9:9" ht="15.75" customHeight="1">
      <c r="I184" s="33"/>
    </row>
    <row r="185" spans="9:9" ht="15.75" customHeight="1">
      <c r="I185" s="33"/>
    </row>
    <row r="186" spans="9:9" ht="15.75" customHeight="1">
      <c r="I186" s="33"/>
    </row>
    <row r="187" spans="9:9" ht="15.75" customHeight="1">
      <c r="I187" s="33"/>
    </row>
    <row r="188" spans="9:9" ht="15.75" customHeight="1">
      <c r="I188" s="33"/>
    </row>
    <row r="189" spans="9:9" ht="15.75" customHeight="1">
      <c r="I189" s="33"/>
    </row>
    <row r="190" spans="9:9" ht="15.75" customHeight="1">
      <c r="I190" s="33"/>
    </row>
    <row r="191" spans="9:9" ht="15.75" customHeight="1">
      <c r="I191" s="33"/>
    </row>
    <row r="192" spans="9:9" ht="15.75" customHeight="1">
      <c r="I192" s="33"/>
    </row>
    <row r="193" spans="9:9" ht="15.75" customHeight="1">
      <c r="I193" s="33"/>
    </row>
    <row r="194" spans="9:9" ht="15.75" customHeight="1">
      <c r="I194" s="33"/>
    </row>
    <row r="195" spans="9:9" ht="15.75" customHeight="1">
      <c r="I195" s="33"/>
    </row>
    <row r="196" spans="9:9" ht="15.75" customHeight="1">
      <c r="I196" s="33"/>
    </row>
    <row r="197" spans="9:9" ht="15.75" customHeight="1">
      <c r="I197" s="33"/>
    </row>
    <row r="198" spans="9:9" ht="15.75" customHeight="1">
      <c r="I198" s="33"/>
    </row>
    <row r="199" spans="9:9" ht="15.75" customHeight="1">
      <c r="I199" s="33"/>
    </row>
    <row r="200" spans="9:9" ht="15.75" customHeight="1">
      <c r="I200" s="33"/>
    </row>
    <row r="201" spans="9:9" ht="15.75" customHeight="1">
      <c r="I201" s="33"/>
    </row>
    <row r="202" spans="9:9" ht="15.75" customHeight="1">
      <c r="I202" s="33"/>
    </row>
    <row r="203" spans="9:9" ht="15.75" customHeight="1">
      <c r="I203" s="33"/>
    </row>
    <row r="204" spans="9:9" ht="15.75" customHeight="1">
      <c r="I204" s="33"/>
    </row>
    <row r="205" spans="9:9" ht="15.75" customHeight="1">
      <c r="I205" s="33"/>
    </row>
    <row r="206" spans="9:9" ht="15.75" customHeight="1">
      <c r="I206" s="33"/>
    </row>
    <row r="207" spans="9:9" ht="15.75" customHeight="1">
      <c r="I207" s="33"/>
    </row>
    <row r="208" spans="9:9" ht="15.75" customHeight="1">
      <c r="I208" s="33"/>
    </row>
    <row r="209" spans="9:9" ht="15.75" customHeight="1">
      <c r="I209" s="33"/>
    </row>
    <row r="210" spans="9:9" ht="15.75" customHeight="1">
      <c r="I210" s="33"/>
    </row>
    <row r="211" spans="9:9" ht="15.75" customHeight="1">
      <c r="I211" s="33"/>
    </row>
    <row r="212" spans="9:9" ht="15.75" customHeight="1">
      <c r="I212" s="33"/>
    </row>
    <row r="213" spans="9:9" ht="15.75" customHeight="1">
      <c r="I213" s="33"/>
    </row>
    <row r="214" spans="9:9" ht="15.75" customHeight="1">
      <c r="I214" s="33"/>
    </row>
    <row r="215" spans="9:9" ht="15.75" customHeight="1">
      <c r="I215" s="33"/>
    </row>
    <row r="216" spans="9:9" ht="15.75" customHeight="1">
      <c r="I216" s="33"/>
    </row>
    <row r="217" spans="9:9" ht="15.75" customHeight="1">
      <c r="I217" s="33"/>
    </row>
    <row r="218" spans="9:9" ht="15.75" customHeight="1">
      <c r="I218" s="33"/>
    </row>
    <row r="219" spans="9:9" ht="15.75" customHeight="1">
      <c r="I219" s="33"/>
    </row>
    <row r="220" spans="9:9" ht="15.75" customHeight="1">
      <c r="I220" s="33"/>
    </row>
    <row r="221" spans="9:9" ht="15.75" customHeight="1">
      <c r="I221" s="33"/>
    </row>
    <row r="222" spans="9:9" ht="15.75" customHeight="1">
      <c r="I222" s="33"/>
    </row>
    <row r="223" spans="9:9" ht="15.75" customHeight="1">
      <c r="I223" s="33"/>
    </row>
    <row r="224" spans="9:9" ht="15.75" customHeight="1">
      <c r="I224" s="33"/>
    </row>
    <row r="225" spans="9:9" ht="15.75" customHeight="1">
      <c r="I225" s="33"/>
    </row>
    <row r="226" spans="9:9" ht="15.75" customHeight="1">
      <c r="I226" s="33"/>
    </row>
    <row r="227" spans="9:9" ht="15.75" customHeight="1">
      <c r="I227" s="33"/>
    </row>
    <row r="228" spans="9:9" ht="15.75" customHeight="1">
      <c r="I228" s="33"/>
    </row>
    <row r="229" spans="9:9" ht="15.75" customHeight="1">
      <c r="I229" s="33"/>
    </row>
    <row r="230" spans="9:9" ht="15.75" customHeight="1">
      <c r="I230" s="33"/>
    </row>
    <row r="231" spans="9:9" ht="15.75" customHeight="1">
      <c r="I231" s="33"/>
    </row>
    <row r="232" spans="9:9" ht="15.75" customHeight="1">
      <c r="I232" s="33"/>
    </row>
    <row r="233" spans="9:9" ht="15.75" customHeight="1">
      <c r="I233" s="33"/>
    </row>
    <row r="234" spans="9:9" ht="15.75" customHeight="1">
      <c r="I234" s="33"/>
    </row>
    <row r="235" spans="9:9" ht="15.75" customHeight="1">
      <c r="I235" s="33"/>
    </row>
    <row r="236" spans="9:9" ht="15.75" customHeight="1">
      <c r="I236" s="33"/>
    </row>
    <row r="237" spans="9:9" ht="15.75" customHeight="1">
      <c r="I237" s="33"/>
    </row>
    <row r="238" spans="9:9" ht="15.75" customHeight="1">
      <c r="I238" s="33"/>
    </row>
    <row r="239" spans="9:9" ht="15.75" customHeight="1">
      <c r="I239" s="33"/>
    </row>
    <row r="240" spans="9:9" ht="15.75" customHeight="1">
      <c r="I240" s="33"/>
    </row>
    <row r="241" spans="9:9" ht="15.75" customHeight="1">
      <c r="I241" s="33"/>
    </row>
    <row r="242" spans="9:9" ht="15.75" customHeight="1">
      <c r="I242" s="33"/>
    </row>
    <row r="243" spans="9:9" ht="15.75" customHeight="1">
      <c r="I243" s="33"/>
    </row>
    <row r="244" spans="9:9" ht="15.75" customHeight="1">
      <c r="I244" s="33"/>
    </row>
    <row r="245" spans="9:9" ht="15.75" customHeight="1">
      <c r="I245" s="33"/>
    </row>
    <row r="246" spans="9:9" ht="15.75" customHeight="1">
      <c r="I246" s="33"/>
    </row>
    <row r="247" spans="9:9" ht="15.75" customHeight="1">
      <c r="I247" s="33"/>
    </row>
    <row r="248" spans="9:9" ht="15.75" customHeight="1">
      <c r="I248" s="33"/>
    </row>
    <row r="249" spans="9:9" ht="15.75" customHeight="1">
      <c r="I249" s="33"/>
    </row>
    <row r="250" spans="9:9" ht="15.75" customHeight="1">
      <c r="I250" s="33"/>
    </row>
    <row r="251" spans="9:9" ht="15.75" customHeight="1">
      <c r="I251" s="33"/>
    </row>
    <row r="252" spans="9:9" ht="15.75" customHeight="1">
      <c r="I252" s="33"/>
    </row>
    <row r="253" spans="9:9" ht="15.75" customHeight="1">
      <c r="I253" s="33"/>
    </row>
    <row r="254" spans="9:9" ht="15.75" customHeight="1">
      <c r="I254" s="33"/>
    </row>
    <row r="255" spans="9:9" ht="15.75" customHeight="1">
      <c r="I255" s="33"/>
    </row>
    <row r="256" spans="9:9" ht="15.75" customHeight="1">
      <c r="I256" s="33"/>
    </row>
    <row r="257" spans="9:9" ht="15.75" customHeight="1">
      <c r="I257" s="33"/>
    </row>
    <row r="258" spans="9:9" ht="15.75" customHeight="1">
      <c r="I258" s="3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0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ColWidth="12.6328125" defaultRowHeight="15.75" customHeight="1"/>
  <cols>
    <col min="1" max="1" width="19.6328125" customWidth="1"/>
    <col min="2" max="2" width="29.90625" customWidth="1"/>
    <col min="3" max="4" width="19.36328125" customWidth="1"/>
    <col min="5" max="5" width="37.453125" customWidth="1"/>
  </cols>
  <sheetData>
    <row r="1" spans="1:5" ht="15.75" customHeight="1">
      <c r="A1" s="1" t="s">
        <v>15</v>
      </c>
      <c r="B1" s="1" t="s">
        <v>16</v>
      </c>
      <c r="C1" s="1"/>
      <c r="D1" s="1" t="s">
        <v>63</v>
      </c>
      <c r="E1" s="1" t="s">
        <v>64</v>
      </c>
    </row>
    <row r="2" spans="1:5" ht="15.75" customHeight="1">
      <c r="A2" s="2">
        <v>91000472</v>
      </c>
      <c r="B2" s="2" t="s">
        <v>65</v>
      </c>
      <c r="C2" s="2">
        <f t="array" ref="C2:C1000">IF(A2:A1000&lt;&gt;"",(A2:A1000))</f>
        <v>91000472</v>
      </c>
      <c r="D2" s="2" t="s">
        <v>29</v>
      </c>
      <c r="E2" s="6" t="str">
        <f t="shared" ref="E2:E580" si="0">_xlfn.TEXTJOIN("/",,"https://dto.kemkes.go.id/kfacode",A2)</f>
        <v>https://dto.kemkes.go.id/kfacode/91000472</v>
      </c>
    </row>
    <row r="3" spans="1:5" ht="15.75" customHeight="1">
      <c r="A3" s="2">
        <v>91000553</v>
      </c>
      <c r="B3" s="2" t="s">
        <v>66</v>
      </c>
      <c r="C3" s="2">
        <v>91000553</v>
      </c>
      <c r="D3" s="2" t="s">
        <v>29</v>
      </c>
      <c r="E3" s="6" t="str">
        <f t="shared" si="0"/>
        <v>https://dto.kemkes.go.id/kfacode/91000553</v>
      </c>
    </row>
    <row r="4" spans="1:5" ht="15.75" customHeight="1">
      <c r="A4" s="2">
        <v>91000557</v>
      </c>
      <c r="B4" s="2" t="s">
        <v>67</v>
      </c>
      <c r="C4" s="2">
        <v>91000557</v>
      </c>
      <c r="D4" s="2" t="s">
        <v>29</v>
      </c>
      <c r="E4" s="6" t="str">
        <f t="shared" si="0"/>
        <v>https://dto.kemkes.go.id/kfacode/91000557</v>
      </c>
    </row>
    <row r="5" spans="1:5" ht="15.75" customHeight="1">
      <c r="A5" s="2">
        <v>91000476</v>
      </c>
      <c r="B5" s="2" t="s">
        <v>68</v>
      </c>
      <c r="C5" s="2">
        <v>91000476</v>
      </c>
      <c r="D5" s="2" t="s">
        <v>29</v>
      </c>
      <c r="E5" s="6" t="str">
        <f t="shared" si="0"/>
        <v>https://dto.kemkes.go.id/kfacode/91000476</v>
      </c>
    </row>
    <row r="6" spans="1:5" ht="15.75" customHeight="1">
      <c r="A6" s="2">
        <v>91000538</v>
      </c>
      <c r="B6" s="2" t="s">
        <v>69</v>
      </c>
      <c r="C6" s="2">
        <v>91000538</v>
      </c>
      <c r="D6" s="2" t="s">
        <v>29</v>
      </c>
      <c r="E6" s="6" t="str">
        <f t="shared" si="0"/>
        <v>https://dto.kemkes.go.id/kfacode/91000538</v>
      </c>
    </row>
    <row r="7" spans="1:5" ht="15.75" customHeight="1">
      <c r="A7" s="2">
        <v>91000651</v>
      </c>
      <c r="B7" s="2" t="s">
        <v>70</v>
      </c>
      <c r="C7" s="2">
        <v>91000651</v>
      </c>
      <c r="D7" s="2" t="s">
        <v>29</v>
      </c>
      <c r="E7" s="6" t="str">
        <f t="shared" si="0"/>
        <v>https://dto.kemkes.go.id/kfacode/91000651</v>
      </c>
    </row>
    <row r="8" spans="1:5" ht="15.75" customHeight="1">
      <c r="A8" s="2">
        <v>91000314</v>
      </c>
      <c r="B8" s="2" t="s">
        <v>41</v>
      </c>
      <c r="C8" s="2">
        <v>91000314</v>
      </c>
      <c r="D8" s="2" t="s">
        <v>29</v>
      </c>
      <c r="E8" s="6" t="str">
        <f t="shared" si="0"/>
        <v>https://dto.kemkes.go.id/kfacode/91000314</v>
      </c>
    </row>
    <row r="9" spans="1:5" ht="15.75" customHeight="1">
      <c r="A9" s="2">
        <v>91000279</v>
      </c>
      <c r="B9" s="2" t="s">
        <v>61</v>
      </c>
      <c r="C9" s="2">
        <v>91000279</v>
      </c>
      <c r="D9" s="2" t="s">
        <v>29</v>
      </c>
      <c r="E9" s="6" t="str">
        <f t="shared" si="0"/>
        <v>https://dto.kemkes.go.id/kfacode/91000279</v>
      </c>
    </row>
    <row r="10" spans="1:5" ht="15.75" customHeight="1">
      <c r="A10" s="2">
        <v>91000447</v>
      </c>
      <c r="B10" s="2" t="s">
        <v>71</v>
      </c>
      <c r="C10" s="2">
        <v>91000447</v>
      </c>
      <c r="D10" s="2" t="s">
        <v>29</v>
      </c>
      <c r="E10" s="6" t="str">
        <f t="shared" si="0"/>
        <v>https://dto.kemkes.go.id/kfacode/91000447</v>
      </c>
    </row>
    <row r="11" spans="1:5" ht="15.75" customHeight="1">
      <c r="A11" s="2">
        <v>91000433</v>
      </c>
      <c r="B11" s="2" t="s">
        <v>72</v>
      </c>
      <c r="C11" s="2">
        <v>91000433</v>
      </c>
      <c r="D11" s="2" t="s">
        <v>29</v>
      </c>
      <c r="E11" s="6" t="str">
        <f t="shared" si="0"/>
        <v>https://dto.kemkes.go.id/kfacode/91000433</v>
      </c>
    </row>
    <row r="12" spans="1:5" ht="15.75" customHeight="1">
      <c r="A12" s="2">
        <v>91000548</v>
      </c>
      <c r="B12" s="2" t="s">
        <v>73</v>
      </c>
      <c r="C12" s="2">
        <v>91000548</v>
      </c>
      <c r="D12" s="2" t="s">
        <v>29</v>
      </c>
      <c r="E12" s="6" t="str">
        <f t="shared" si="0"/>
        <v>https://dto.kemkes.go.id/kfacode/91000548</v>
      </c>
    </row>
    <row r="13" spans="1:5" ht="15.75" customHeight="1">
      <c r="A13" s="2">
        <v>91000386</v>
      </c>
      <c r="B13" s="2" t="s">
        <v>74</v>
      </c>
      <c r="C13" s="2">
        <v>91000386</v>
      </c>
      <c r="D13" s="2" t="s">
        <v>29</v>
      </c>
      <c r="E13" s="6" t="str">
        <f t="shared" si="0"/>
        <v>https://dto.kemkes.go.id/kfacode/91000386</v>
      </c>
    </row>
    <row r="14" spans="1:5" ht="15.75" customHeight="1">
      <c r="A14" s="2">
        <v>91000278</v>
      </c>
      <c r="B14" s="2" t="s">
        <v>75</v>
      </c>
      <c r="C14" s="2">
        <v>91000278</v>
      </c>
      <c r="D14" s="2" t="s">
        <v>29</v>
      </c>
      <c r="E14" s="6" t="str">
        <f t="shared" si="0"/>
        <v>https://dto.kemkes.go.id/kfacode/91000278</v>
      </c>
    </row>
    <row r="15" spans="1:5" ht="15.75" customHeight="1">
      <c r="A15" s="2">
        <v>91000146</v>
      </c>
      <c r="B15" s="2" t="s">
        <v>76</v>
      </c>
      <c r="C15" s="2">
        <v>91000146</v>
      </c>
      <c r="D15" s="2" t="s">
        <v>29</v>
      </c>
      <c r="E15" s="6" t="str">
        <f t="shared" si="0"/>
        <v>https://dto.kemkes.go.id/kfacode/91000146</v>
      </c>
    </row>
    <row r="16" spans="1:5" ht="15.75" customHeight="1">
      <c r="A16" s="2">
        <v>91000141</v>
      </c>
      <c r="B16" s="2" t="s">
        <v>77</v>
      </c>
      <c r="C16" s="2">
        <v>91000141</v>
      </c>
      <c r="D16" s="2" t="s">
        <v>29</v>
      </c>
      <c r="E16" s="6" t="str">
        <f t="shared" si="0"/>
        <v>https://dto.kemkes.go.id/kfacode/91000141</v>
      </c>
    </row>
    <row r="17" spans="1:5" ht="15.75" customHeight="1">
      <c r="A17" s="2">
        <v>91000140</v>
      </c>
      <c r="B17" s="2" t="s">
        <v>78</v>
      </c>
      <c r="C17" s="2">
        <v>91000140</v>
      </c>
      <c r="D17" s="2" t="s">
        <v>29</v>
      </c>
      <c r="E17" s="6" t="str">
        <f t="shared" si="0"/>
        <v>https://dto.kemkes.go.id/kfacode/91000140</v>
      </c>
    </row>
    <row r="18" spans="1:5" ht="15.75" customHeight="1">
      <c r="A18" s="2">
        <v>91000326</v>
      </c>
      <c r="B18" s="2" t="s">
        <v>79</v>
      </c>
      <c r="C18" s="2">
        <v>91000326</v>
      </c>
      <c r="D18" s="2" t="s">
        <v>29</v>
      </c>
      <c r="E18" s="6" t="str">
        <f t="shared" si="0"/>
        <v>https://dto.kemkes.go.id/kfacode/91000326</v>
      </c>
    </row>
    <row r="19" spans="1:5" ht="15.75" customHeight="1">
      <c r="A19" s="2">
        <v>91000130</v>
      </c>
      <c r="B19" s="2" t="s">
        <v>80</v>
      </c>
      <c r="C19" s="2">
        <v>91000130</v>
      </c>
      <c r="D19" s="2" t="s">
        <v>29</v>
      </c>
      <c r="E19" s="6" t="str">
        <f t="shared" si="0"/>
        <v>https://dto.kemkes.go.id/kfacode/91000130</v>
      </c>
    </row>
    <row r="20" spans="1:5" ht="15.75" customHeight="1">
      <c r="A20" s="2">
        <v>91000711</v>
      </c>
      <c r="B20" s="2" t="s">
        <v>81</v>
      </c>
      <c r="C20" s="2">
        <v>91000711</v>
      </c>
      <c r="D20" s="2" t="s">
        <v>29</v>
      </c>
      <c r="E20" s="6" t="str">
        <f t="shared" si="0"/>
        <v>https://dto.kemkes.go.id/kfacode/91000711</v>
      </c>
    </row>
    <row r="21" spans="1:5" ht="15.75" customHeight="1">
      <c r="A21" s="2">
        <v>91000414</v>
      </c>
      <c r="B21" s="2" t="s">
        <v>82</v>
      </c>
      <c r="C21" s="2">
        <v>91000414</v>
      </c>
      <c r="D21" s="2" t="s">
        <v>29</v>
      </c>
      <c r="E21" s="6" t="str">
        <f t="shared" si="0"/>
        <v>https://dto.kemkes.go.id/kfacode/91000414</v>
      </c>
    </row>
    <row r="22" spans="1:5" ht="15.75" customHeight="1">
      <c r="A22" s="2">
        <v>91000582</v>
      </c>
      <c r="B22" s="2" t="s">
        <v>83</v>
      </c>
      <c r="C22" s="2">
        <v>91000582</v>
      </c>
      <c r="D22" s="2" t="s">
        <v>29</v>
      </c>
      <c r="E22" s="6" t="str">
        <f t="shared" si="0"/>
        <v>https://dto.kemkes.go.id/kfacode/91000582</v>
      </c>
    </row>
    <row r="23" spans="1:5" ht="15.75" customHeight="1">
      <c r="A23" s="2">
        <v>91000607</v>
      </c>
      <c r="B23" s="2" t="s">
        <v>84</v>
      </c>
      <c r="C23" s="2">
        <v>91000607</v>
      </c>
      <c r="D23" s="2" t="s">
        <v>29</v>
      </c>
      <c r="E23" s="6" t="str">
        <f t="shared" si="0"/>
        <v>https://dto.kemkes.go.id/kfacode/91000607</v>
      </c>
    </row>
    <row r="24" spans="1:5" ht="15.75" customHeight="1">
      <c r="A24" s="2">
        <v>91000297</v>
      </c>
      <c r="B24" s="2" t="s">
        <v>85</v>
      </c>
      <c r="C24" s="2">
        <v>91000297</v>
      </c>
      <c r="D24" s="2" t="s">
        <v>29</v>
      </c>
      <c r="E24" s="6" t="str">
        <f t="shared" si="0"/>
        <v>https://dto.kemkes.go.id/kfacode/91000297</v>
      </c>
    </row>
    <row r="25" spans="1:5" ht="15.75" customHeight="1">
      <c r="A25" s="2">
        <v>91000404</v>
      </c>
      <c r="B25" s="2" t="s">
        <v>86</v>
      </c>
      <c r="C25" s="2">
        <v>91000404</v>
      </c>
      <c r="D25" s="2" t="s">
        <v>29</v>
      </c>
      <c r="E25" s="6" t="str">
        <f t="shared" si="0"/>
        <v>https://dto.kemkes.go.id/kfacode/91000404</v>
      </c>
    </row>
    <row r="26" spans="1:5" ht="15.75" customHeight="1">
      <c r="A26" s="2">
        <v>91000442</v>
      </c>
      <c r="B26" s="2" t="s">
        <v>87</v>
      </c>
      <c r="C26" s="2">
        <v>91000442</v>
      </c>
      <c r="D26" s="2" t="s">
        <v>29</v>
      </c>
      <c r="E26" s="6" t="str">
        <f t="shared" si="0"/>
        <v>https://dto.kemkes.go.id/kfacode/91000442</v>
      </c>
    </row>
    <row r="27" spans="1:5" ht="15.75" customHeight="1">
      <c r="A27" s="2">
        <v>91000588</v>
      </c>
      <c r="B27" s="2" t="s">
        <v>88</v>
      </c>
      <c r="C27" s="2">
        <v>91000588</v>
      </c>
      <c r="D27" s="2" t="s">
        <v>29</v>
      </c>
      <c r="E27" s="6" t="str">
        <f t="shared" si="0"/>
        <v>https://dto.kemkes.go.id/kfacode/91000588</v>
      </c>
    </row>
    <row r="28" spans="1:5" ht="15.75" customHeight="1">
      <c r="A28" s="2">
        <v>91000232</v>
      </c>
      <c r="B28" s="2" t="s">
        <v>89</v>
      </c>
      <c r="C28" s="2">
        <v>91000232</v>
      </c>
      <c r="D28" s="2" t="s">
        <v>29</v>
      </c>
      <c r="E28" s="6" t="str">
        <f t="shared" si="0"/>
        <v>https://dto.kemkes.go.id/kfacode/91000232</v>
      </c>
    </row>
    <row r="29" spans="1:5" ht="15.75" customHeight="1">
      <c r="A29" s="2">
        <v>91000397</v>
      </c>
      <c r="B29" s="2" t="s">
        <v>90</v>
      </c>
      <c r="C29" s="2">
        <v>91000397</v>
      </c>
      <c r="D29" s="2" t="s">
        <v>29</v>
      </c>
      <c r="E29" s="6" t="str">
        <f t="shared" si="0"/>
        <v>https://dto.kemkes.go.id/kfacode/91000397</v>
      </c>
    </row>
    <row r="30" spans="1:5" ht="15.75" customHeight="1">
      <c r="A30" s="2">
        <v>91000237</v>
      </c>
      <c r="B30" s="2" t="s">
        <v>91</v>
      </c>
      <c r="C30" s="2">
        <v>91000237</v>
      </c>
      <c r="D30" s="2" t="s">
        <v>29</v>
      </c>
      <c r="E30" s="6" t="str">
        <f t="shared" si="0"/>
        <v>https://dto.kemkes.go.id/kfacode/91000237</v>
      </c>
    </row>
    <row r="31" spans="1:5" ht="15.75" customHeight="1">
      <c r="A31" s="2">
        <v>91000524</v>
      </c>
      <c r="B31" s="2" t="s">
        <v>92</v>
      </c>
      <c r="C31" s="2">
        <v>91000524</v>
      </c>
      <c r="D31" s="2" t="s">
        <v>29</v>
      </c>
      <c r="E31" s="6" t="str">
        <f t="shared" si="0"/>
        <v>https://dto.kemkes.go.id/kfacode/91000524</v>
      </c>
    </row>
    <row r="32" spans="1:5" ht="15.75" customHeight="1">
      <c r="A32" s="2">
        <v>91000380</v>
      </c>
      <c r="B32" s="2" t="s">
        <v>93</v>
      </c>
      <c r="C32" s="2">
        <v>91000380</v>
      </c>
      <c r="D32" s="2" t="s">
        <v>29</v>
      </c>
      <c r="E32" s="6" t="str">
        <f t="shared" si="0"/>
        <v>https://dto.kemkes.go.id/kfacode/91000380</v>
      </c>
    </row>
    <row r="33" spans="1:5" ht="15.75" customHeight="1">
      <c r="A33" s="2">
        <v>91000112</v>
      </c>
      <c r="B33" s="2" t="s">
        <v>94</v>
      </c>
      <c r="C33" s="2">
        <v>91000112</v>
      </c>
      <c r="D33" s="2" t="s">
        <v>29</v>
      </c>
      <c r="E33" s="6" t="str">
        <f t="shared" si="0"/>
        <v>https://dto.kemkes.go.id/kfacode/91000112</v>
      </c>
    </row>
    <row r="34" spans="1:5" ht="15.75" customHeight="1">
      <c r="A34" s="2">
        <v>91000653</v>
      </c>
      <c r="B34" s="2" t="s">
        <v>95</v>
      </c>
      <c r="C34" s="2">
        <v>91000653</v>
      </c>
      <c r="D34" s="2" t="s">
        <v>29</v>
      </c>
      <c r="E34" s="6" t="str">
        <f t="shared" si="0"/>
        <v>https://dto.kemkes.go.id/kfacode/91000653</v>
      </c>
    </row>
    <row r="35" spans="1:5" ht="15.75" customHeight="1">
      <c r="A35" s="2">
        <v>91000387</v>
      </c>
      <c r="B35" s="2" t="s">
        <v>96</v>
      </c>
      <c r="C35" s="2">
        <v>91000387</v>
      </c>
      <c r="D35" s="2" t="s">
        <v>29</v>
      </c>
      <c r="E35" s="6" t="str">
        <f t="shared" si="0"/>
        <v>https://dto.kemkes.go.id/kfacode/91000387</v>
      </c>
    </row>
    <row r="36" spans="1:5" ht="15.75" customHeight="1">
      <c r="A36" s="2">
        <v>91000243</v>
      </c>
      <c r="B36" s="2" t="s">
        <v>97</v>
      </c>
      <c r="C36" s="2">
        <v>91000243</v>
      </c>
      <c r="D36" s="2" t="s">
        <v>29</v>
      </c>
      <c r="E36" s="6" t="str">
        <f t="shared" si="0"/>
        <v>https://dto.kemkes.go.id/kfacode/91000243</v>
      </c>
    </row>
    <row r="37" spans="1:5" ht="15.75" customHeight="1">
      <c r="A37" s="2">
        <v>91000133</v>
      </c>
      <c r="B37" s="2" t="s">
        <v>98</v>
      </c>
      <c r="C37" s="2">
        <v>91000133</v>
      </c>
      <c r="D37" s="2" t="s">
        <v>29</v>
      </c>
      <c r="E37" s="6" t="str">
        <f t="shared" si="0"/>
        <v>https://dto.kemkes.go.id/kfacode/91000133</v>
      </c>
    </row>
    <row r="38" spans="1:5" ht="15.75" customHeight="1">
      <c r="A38" s="2">
        <v>91000208</v>
      </c>
      <c r="B38" s="2" t="s">
        <v>99</v>
      </c>
      <c r="C38" s="2">
        <v>91000208</v>
      </c>
      <c r="D38" s="2" t="s">
        <v>29</v>
      </c>
      <c r="E38" s="6" t="str">
        <f t="shared" si="0"/>
        <v>https://dto.kemkes.go.id/kfacode/91000208</v>
      </c>
    </row>
    <row r="39" spans="1:5" ht="15.75" customHeight="1">
      <c r="A39" s="2">
        <v>91000544</v>
      </c>
      <c r="B39" s="2" t="s">
        <v>100</v>
      </c>
      <c r="C39" s="2">
        <v>91000544</v>
      </c>
      <c r="D39" s="2" t="s">
        <v>29</v>
      </c>
      <c r="E39" s="6" t="str">
        <f t="shared" si="0"/>
        <v>https://dto.kemkes.go.id/kfacode/91000544</v>
      </c>
    </row>
    <row r="40" spans="1:5" ht="15.75" customHeight="1">
      <c r="A40" s="2">
        <v>91000388</v>
      </c>
      <c r="B40" s="2" t="s">
        <v>101</v>
      </c>
      <c r="C40" s="2">
        <v>91000388</v>
      </c>
      <c r="D40" s="2" t="s">
        <v>29</v>
      </c>
      <c r="E40" s="6" t="str">
        <f t="shared" si="0"/>
        <v>https://dto.kemkes.go.id/kfacode/91000388</v>
      </c>
    </row>
    <row r="41" spans="1:5" ht="15.75" customHeight="1">
      <c r="A41" s="2">
        <v>91000299</v>
      </c>
      <c r="B41" s="2" t="s">
        <v>28</v>
      </c>
      <c r="C41" s="2">
        <v>91000299</v>
      </c>
      <c r="D41" s="2" t="s">
        <v>29</v>
      </c>
      <c r="E41" s="6" t="str">
        <f t="shared" si="0"/>
        <v>https://dto.kemkes.go.id/kfacode/91000299</v>
      </c>
    </row>
    <row r="42" spans="1:5" ht="15.75" customHeight="1">
      <c r="A42" s="2">
        <v>91000356</v>
      </c>
      <c r="B42" s="2" t="s">
        <v>102</v>
      </c>
      <c r="C42" s="2">
        <v>91000356</v>
      </c>
      <c r="D42" s="2" t="s">
        <v>29</v>
      </c>
      <c r="E42" s="6" t="str">
        <f t="shared" si="0"/>
        <v>https://dto.kemkes.go.id/kfacode/91000356</v>
      </c>
    </row>
    <row r="43" spans="1:5" ht="15.75" customHeight="1">
      <c r="A43" s="2">
        <v>91000590</v>
      </c>
      <c r="B43" s="2" t="s">
        <v>103</v>
      </c>
      <c r="C43" s="2">
        <v>91000590</v>
      </c>
      <c r="D43" s="2" t="s">
        <v>29</v>
      </c>
      <c r="E43" s="6" t="str">
        <f t="shared" si="0"/>
        <v>https://dto.kemkes.go.id/kfacode/91000590</v>
      </c>
    </row>
    <row r="44" spans="1:5" ht="15.75" customHeight="1">
      <c r="A44" s="2">
        <v>91000122</v>
      </c>
      <c r="B44" s="2" t="s">
        <v>104</v>
      </c>
      <c r="C44" s="2">
        <v>91000122</v>
      </c>
      <c r="D44" s="2" t="s">
        <v>29</v>
      </c>
      <c r="E44" s="6" t="str">
        <f t="shared" si="0"/>
        <v>https://dto.kemkes.go.id/kfacode/91000122</v>
      </c>
    </row>
    <row r="45" spans="1:5" ht="15.75" customHeight="1">
      <c r="A45" s="2">
        <v>91000110</v>
      </c>
      <c r="B45" s="2" t="s">
        <v>105</v>
      </c>
      <c r="C45" s="2">
        <v>91000110</v>
      </c>
      <c r="D45" s="2" t="s">
        <v>29</v>
      </c>
      <c r="E45" s="6" t="str">
        <f t="shared" si="0"/>
        <v>https://dto.kemkes.go.id/kfacode/91000110</v>
      </c>
    </row>
    <row r="46" spans="1:5" ht="15.75" customHeight="1">
      <c r="A46" s="2">
        <v>91000502</v>
      </c>
      <c r="B46" s="2" t="s">
        <v>106</v>
      </c>
      <c r="C46" s="2">
        <v>91000502</v>
      </c>
      <c r="D46" s="2" t="s">
        <v>29</v>
      </c>
      <c r="E46" s="6" t="str">
        <f t="shared" si="0"/>
        <v>https://dto.kemkes.go.id/kfacode/91000502</v>
      </c>
    </row>
    <row r="47" spans="1:5" ht="15.75" customHeight="1">
      <c r="A47" s="2">
        <v>91000235</v>
      </c>
      <c r="B47" s="2" t="s">
        <v>107</v>
      </c>
      <c r="C47" s="2">
        <v>91000235</v>
      </c>
      <c r="D47" s="2" t="s">
        <v>29</v>
      </c>
      <c r="E47" s="6" t="str">
        <f t="shared" si="0"/>
        <v>https://dto.kemkes.go.id/kfacode/91000235</v>
      </c>
    </row>
    <row r="48" spans="1:5" ht="15.75" customHeight="1">
      <c r="A48" s="2">
        <v>91000290</v>
      </c>
      <c r="B48" s="2" t="s">
        <v>108</v>
      </c>
      <c r="C48" s="2">
        <v>91000290</v>
      </c>
      <c r="D48" s="2" t="s">
        <v>29</v>
      </c>
      <c r="E48" s="6" t="str">
        <f t="shared" si="0"/>
        <v>https://dto.kemkes.go.id/kfacode/91000290</v>
      </c>
    </row>
    <row r="49" spans="1:5" ht="15.75" customHeight="1">
      <c r="A49" s="2">
        <v>91000506</v>
      </c>
      <c r="B49" s="2" t="s">
        <v>109</v>
      </c>
      <c r="C49" s="2">
        <v>91000506</v>
      </c>
      <c r="D49" s="2" t="s">
        <v>29</v>
      </c>
      <c r="E49" s="6" t="str">
        <f t="shared" si="0"/>
        <v>https://dto.kemkes.go.id/kfacode/91000506</v>
      </c>
    </row>
    <row r="50" spans="1:5" ht="15.75" customHeight="1">
      <c r="A50" s="2">
        <v>91000680</v>
      </c>
      <c r="B50" s="2" t="s">
        <v>110</v>
      </c>
      <c r="C50" s="2">
        <v>91000680</v>
      </c>
      <c r="D50" s="2" t="s">
        <v>29</v>
      </c>
      <c r="E50" s="6" t="str">
        <f t="shared" si="0"/>
        <v>https://dto.kemkes.go.id/kfacode/91000680</v>
      </c>
    </row>
    <row r="51" spans="1:5" ht="15.75" customHeight="1">
      <c r="A51" s="2">
        <v>91000287</v>
      </c>
      <c r="B51" s="2" t="s">
        <v>111</v>
      </c>
      <c r="C51" s="2">
        <v>91000287</v>
      </c>
      <c r="D51" s="2" t="s">
        <v>29</v>
      </c>
      <c r="E51" s="6" t="str">
        <f t="shared" si="0"/>
        <v>https://dto.kemkes.go.id/kfacode/91000287</v>
      </c>
    </row>
    <row r="52" spans="1:5" ht="15.75" customHeight="1">
      <c r="A52" s="2">
        <v>91000212</v>
      </c>
      <c r="B52" s="2" t="s">
        <v>112</v>
      </c>
      <c r="C52" s="2">
        <v>91000212</v>
      </c>
      <c r="D52" s="2" t="s">
        <v>29</v>
      </c>
      <c r="E52" s="6" t="str">
        <f t="shared" si="0"/>
        <v>https://dto.kemkes.go.id/kfacode/91000212</v>
      </c>
    </row>
    <row r="53" spans="1:5" ht="15.75" customHeight="1">
      <c r="A53" s="2">
        <v>91000225</v>
      </c>
      <c r="B53" s="2" t="s">
        <v>113</v>
      </c>
      <c r="C53" s="2">
        <v>91000225</v>
      </c>
      <c r="D53" s="2" t="s">
        <v>29</v>
      </c>
      <c r="E53" s="6" t="str">
        <f t="shared" si="0"/>
        <v>https://dto.kemkes.go.id/kfacode/91000225</v>
      </c>
    </row>
    <row r="54" spans="1:5" ht="15.75" customHeight="1">
      <c r="A54" s="2">
        <v>91000274</v>
      </c>
      <c r="B54" s="2" t="s">
        <v>114</v>
      </c>
      <c r="C54" s="2">
        <v>91000274</v>
      </c>
      <c r="D54" s="2" t="s">
        <v>29</v>
      </c>
      <c r="E54" s="6" t="str">
        <f t="shared" si="0"/>
        <v>https://dto.kemkes.go.id/kfacode/91000274</v>
      </c>
    </row>
    <row r="55" spans="1:5" ht="15.75" customHeight="1">
      <c r="A55" s="2">
        <v>91000609</v>
      </c>
      <c r="B55" s="2" t="s">
        <v>115</v>
      </c>
      <c r="C55" s="2">
        <v>91000609</v>
      </c>
      <c r="D55" s="2" t="s">
        <v>29</v>
      </c>
      <c r="E55" s="6" t="str">
        <f t="shared" si="0"/>
        <v>https://dto.kemkes.go.id/kfacode/91000609</v>
      </c>
    </row>
    <row r="56" spans="1:5" ht="15.75" customHeight="1">
      <c r="A56" s="2">
        <v>91000424</v>
      </c>
      <c r="B56" s="2" t="s">
        <v>37</v>
      </c>
      <c r="C56" s="2">
        <v>91000424</v>
      </c>
      <c r="D56" s="2" t="s">
        <v>29</v>
      </c>
      <c r="E56" s="6" t="str">
        <f t="shared" si="0"/>
        <v>https://dto.kemkes.go.id/kfacode/91000424</v>
      </c>
    </row>
    <row r="57" spans="1:5" ht="15.75" customHeight="1">
      <c r="A57" s="2">
        <v>91000497</v>
      </c>
      <c r="B57" s="2" t="s">
        <v>116</v>
      </c>
      <c r="C57" s="2">
        <v>91000497</v>
      </c>
      <c r="D57" s="2" t="s">
        <v>29</v>
      </c>
      <c r="E57" s="6" t="str">
        <f t="shared" si="0"/>
        <v>https://dto.kemkes.go.id/kfacode/91000497</v>
      </c>
    </row>
    <row r="58" spans="1:5" ht="15.75" customHeight="1">
      <c r="A58" s="2">
        <v>91000594</v>
      </c>
      <c r="B58" s="2" t="s">
        <v>117</v>
      </c>
      <c r="C58" s="2">
        <v>91000594</v>
      </c>
      <c r="D58" s="2" t="s">
        <v>29</v>
      </c>
      <c r="E58" s="6" t="str">
        <f t="shared" si="0"/>
        <v>https://dto.kemkes.go.id/kfacode/91000594</v>
      </c>
    </row>
    <row r="59" spans="1:5" ht="15.75" customHeight="1">
      <c r="A59" s="2">
        <v>91000686</v>
      </c>
      <c r="B59" s="2" t="s">
        <v>118</v>
      </c>
      <c r="C59" s="2">
        <v>91000686</v>
      </c>
      <c r="D59" s="2" t="s">
        <v>29</v>
      </c>
      <c r="E59" s="6" t="str">
        <f t="shared" si="0"/>
        <v>https://dto.kemkes.go.id/kfacode/91000686</v>
      </c>
    </row>
    <row r="60" spans="1:5" ht="15.75" customHeight="1">
      <c r="A60" s="2">
        <v>91000373</v>
      </c>
      <c r="B60" s="2" t="s">
        <v>119</v>
      </c>
      <c r="C60" s="2">
        <v>91000373</v>
      </c>
      <c r="D60" s="2" t="s">
        <v>29</v>
      </c>
      <c r="E60" s="6" t="str">
        <f t="shared" si="0"/>
        <v>https://dto.kemkes.go.id/kfacode/91000373</v>
      </c>
    </row>
    <row r="61" spans="1:5" ht="15.75" customHeight="1">
      <c r="A61" s="2">
        <v>91000614</v>
      </c>
      <c r="B61" s="2" t="s">
        <v>120</v>
      </c>
      <c r="C61" s="2">
        <v>91000614</v>
      </c>
      <c r="D61" s="2" t="s">
        <v>29</v>
      </c>
      <c r="E61" s="6" t="str">
        <f t="shared" si="0"/>
        <v>https://dto.kemkes.go.id/kfacode/91000614</v>
      </c>
    </row>
    <row r="62" spans="1:5" ht="15.75" customHeight="1">
      <c r="A62" s="2">
        <v>91000362</v>
      </c>
      <c r="B62" s="2" t="s">
        <v>33</v>
      </c>
      <c r="C62" s="2">
        <v>91000362</v>
      </c>
      <c r="D62" s="2" t="s">
        <v>29</v>
      </c>
      <c r="E62" s="6" t="str">
        <f t="shared" si="0"/>
        <v>https://dto.kemkes.go.id/kfacode/91000362</v>
      </c>
    </row>
    <row r="63" spans="1:5" ht="15.75" customHeight="1">
      <c r="A63" s="2">
        <v>91000275</v>
      </c>
      <c r="B63" s="2" t="s">
        <v>121</v>
      </c>
      <c r="C63" s="2">
        <v>91000275</v>
      </c>
      <c r="D63" s="2" t="s">
        <v>29</v>
      </c>
      <c r="E63" s="6" t="str">
        <f t="shared" si="0"/>
        <v>https://dto.kemkes.go.id/kfacode/91000275</v>
      </c>
    </row>
    <row r="64" spans="1:5" ht="15.75" customHeight="1">
      <c r="A64" s="2">
        <v>91000554</v>
      </c>
      <c r="B64" s="2" t="s">
        <v>122</v>
      </c>
      <c r="C64" s="2">
        <v>91000554</v>
      </c>
      <c r="D64" s="2" t="s">
        <v>29</v>
      </c>
      <c r="E64" s="6" t="str">
        <f t="shared" si="0"/>
        <v>https://dto.kemkes.go.id/kfacode/91000554</v>
      </c>
    </row>
    <row r="65" spans="1:5" ht="15.75" customHeight="1">
      <c r="A65" s="2">
        <v>91000550</v>
      </c>
      <c r="B65" s="2" t="s">
        <v>123</v>
      </c>
      <c r="C65" s="2">
        <v>91000550</v>
      </c>
      <c r="D65" s="2" t="s">
        <v>29</v>
      </c>
      <c r="E65" s="6" t="str">
        <f t="shared" si="0"/>
        <v>https://dto.kemkes.go.id/kfacode/91000550</v>
      </c>
    </row>
    <row r="66" spans="1:5" ht="15.75" customHeight="1">
      <c r="A66" s="2">
        <v>91000551</v>
      </c>
      <c r="B66" s="2" t="s">
        <v>124</v>
      </c>
      <c r="C66" s="2">
        <v>91000551</v>
      </c>
      <c r="D66" s="2" t="s">
        <v>29</v>
      </c>
      <c r="E66" s="6" t="str">
        <f t="shared" si="0"/>
        <v>https://dto.kemkes.go.id/kfacode/91000551</v>
      </c>
    </row>
    <row r="67" spans="1:5" ht="15.75" customHeight="1">
      <c r="A67" s="2">
        <v>91000552</v>
      </c>
      <c r="B67" s="2" t="s">
        <v>125</v>
      </c>
      <c r="C67" s="2">
        <v>91000552</v>
      </c>
      <c r="D67" s="2" t="s">
        <v>29</v>
      </c>
      <c r="E67" s="6" t="str">
        <f t="shared" si="0"/>
        <v>https://dto.kemkes.go.id/kfacode/91000552</v>
      </c>
    </row>
    <row r="68" spans="1:5" ht="15.75" customHeight="1">
      <c r="A68" s="2">
        <v>91000681</v>
      </c>
      <c r="B68" s="2" t="s">
        <v>126</v>
      </c>
      <c r="C68" s="2">
        <v>91000681</v>
      </c>
      <c r="D68" s="2" t="s">
        <v>29</v>
      </c>
      <c r="E68" s="6" t="str">
        <f t="shared" si="0"/>
        <v>https://dto.kemkes.go.id/kfacode/91000681</v>
      </c>
    </row>
    <row r="69" spans="1:5" ht="15.75" customHeight="1">
      <c r="A69" s="2">
        <v>91000128</v>
      </c>
      <c r="B69" s="2" t="s">
        <v>127</v>
      </c>
      <c r="C69" s="2">
        <v>91000128</v>
      </c>
      <c r="D69" s="2" t="s">
        <v>29</v>
      </c>
      <c r="E69" s="6" t="str">
        <f t="shared" si="0"/>
        <v>https://dto.kemkes.go.id/kfacode/91000128</v>
      </c>
    </row>
    <row r="70" spans="1:5" ht="15.75" customHeight="1">
      <c r="A70" s="2">
        <v>91000648</v>
      </c>
      <c r="B70" s="2" t="s">
        <v>128</v>
      </c>
      <c r="C70" s="2">
        <v>91000648</v>
      </c>
      <c r="D70" s="2" t="s">
        <v>29</v>
      </c>
      <c r="E70" s="6" t="str">
        <f t="shared" si="0"/>
        <v>https://dto.kemkes.go.id/kfacode/91000648</v>
      </c>
    </row>
    <row r="71" spans="1:5" ht="15.75" customHeight="1">
      <c r="A71" s="2">
        <v>91000578</v>
      </c>
      <c r="B71" s="2" t="s">
        <v>129</v>
      </c>
      <c r="C71" s="2">
        <v>91000578</v>
      </c>
      <c r="D71" s="2" t="s">
        <v>29</v>
      </c>
      <c r="E71" s="6" t="str">
        <f t="shared" si="0"/>
        <v>https://dto.kemkes.go.id/kfacode/91000578</v>
      </c>
    </row>
    <row r="72" spans="1:5" ht="15.75" customHeight="1">
      <c r="A72" s="2">
        <v>91000487</v>
      </c>
      <c r="B72" s="2" t="s">
        <v>130</v>
      </c>
      <c r="C72" s="2">
        <v>91000487</v>
      </c>
      <c r="D72" s="2" t="s">
        <v>29</v>
      </c>
      <c r="E72" s="6" t="str">
        <f t="shared" si="0"/>
        <v>https://dto.kemkes.go.id/kfacode/91000487</v>
      </c>
    </row>
    <row r="73" spans="1:5" ht="15.75" customHeight="1">
      <c r="A73" s="2">
        <v>91000245</v>
      </c>
      <c r="B73" s="2" t="s">
        <v>131</v>
      </c>
      <c r="C73" s="2">
        <v>91000245</v>
      </c>
      <c r="D73" s="2" t="s">
        <v>29</v>
      </c>
      <c r="E73" s="6" t="str">
        <f t="shared" si="0"/>
        <v>https://dto.kemkes.go.id/kfacode/91000245</v>
      </c>
    </row>
    <row r="74" spans="1:5" ht="15.75" customHeight="1">
      <c r="A74" s="2">
        <v>91000361</v>
      </c>
      <c r="B74" s="2" t="s">
        <v>132</v>
      </c>
      <c r="C74" s="2">
        <v>91000361</v>
      </c>
      <c r="D74" s="2" t="s">
        <v>29</v>
      </c>
      <c r="E74" s="6" t="str">
        <f t="shared" si="0"/>
        <v>https://dto.kemkes.go.id/kfacode/91000361</v>
      </c>
    </row>
    <row r="75" spans="1:5" ht="15.75" customHeight="1">
      <c r="A75" s="2">
        <v>91000613</v>
      </c>
      <c r="B75" s="2" t="s">
        <v>133</v>
      </c>
      <c r="C75" s="2">
        <v>91000613</v>
      </c>
      <c r="D75" s="2" t="s">
        <v>29</v>
      </c>
      <c r="E75" s="6" t="str">
        <f t="shared" si="0"/>
        <v>https://dto.kemkes.go.id/kfacode/91000613</v>
      </c>
    </row>
    <row r="76" spans="1:5" ht="15.75" customHeight="1">
      <c r="A76" s="2">
        <v>91000441</v>
      </c>
      <c r="B76" s="2" t="s">
        <v>134</v>
      </c>
      <c r="C76" s="2">
        <v>91000441</v>
      </c>
      <c r="D76" s="2" t="s">
        <v>29</v>
      </c>
      <c r="E76" s="6" t="str">
        <f t="shared" si="0"/>
        <v>https://dto.kemkes.go.id/kfacode/91000441</v>
      </c>
    </row>
    <row r="77" spans="1:5" ht="15.75" customHeight="1">
      <c r="A77" s="2">
        <v>91000438</v>
      </c>
      <c r="B77" s="2" t="s">
        <v>135</v>
      </c>
      <c r="C77" s="2">
        <v>91000438</v>
      </c>
      <c r="D77" s="2" t="s">
        <v>29</v>
      </c>
      <c r="E77" s="6" t="str">
        <f t="shared" si="0"/>
        <v>https://dto.kemkes.go.id/kfacode/91000438</v>
      </c>
    </row>
    <row r="78" spans="1:5" ht="15.75" customHeight="1">
      <c r="A78" s="2">
        <v>91000568</v>
      </c>
      <c r="B78" s="2" t="s">
        <v>136</v>
      </c>
      <c r="C78" s="2">
        <v>91000568</v>
      </c>
      <c r="D78" s="2" t="s">
        <v>29</v>
      </c>
      <c r="E78" s="6" t="str">
        <f t="shared" si="0"/>
        <v>https://dto.kemkes.go.id/kfacode/91000568</v>
      </c>
    </row>
    <row r="79" spans="1:5" ht="15.75" customHeight="1">
      <c r="A79" s="2">
        <v>91000417</v>
      </c>
      <c r="B79" s="2" t="s">
        <v>137</v>
      </c>
      <c r="C79" s="2">
        <v>91000417</v>
      </c>
      <c r="D79" s="2" t="s">
        <v>29</v>
      </c>
      <c r="E79" s="6" t="str">
        <f t="shared" si="0"/>
        <v>https://dto.kemkes.go.id/kfacode/91000417</v>
      </c>
    </row>
    <row r="80" spans="1:5" ht="15.75" customHeight="1">
      <c r="A80" s="2">
        <v>91000131</v>
      </c>
      <c r="B80" s="2" t="s">
        <v>138</v>
      </c>
      <c r="C80" s="2">
        <v>91000131</v>
      </c>
      <c r="D80" s="2" t="s">
        <v>29</v>
      </c>
      <c r="E80" s="6" t="str">
        <f t="shared" si="0"/>
        <v>https://dto.kemkes.go.id/kfacode/91000131</v>
      </c>
    </row>
    <row r="81" spans="1:5" ht="15.75" customHeight="1">
      <c r="A81" s="2">
        <v>91000635</v>
      </c>
      <c r="B81" s="2" t="s">
        <v>139</v>
      </c>
      <c r="C81" s="2">
        <v>91000635</v>
      </c>
      <c r="D81" s="2" t="s">
        <v>29</v>
      </c>
      <c r="E81" s="6" t="str">
        <f t="shared" si="0"/>
        <v>https://dto.kemkes.go.id/kfacode/91000635</v>
      </c>
    </row>
    <row r="82" spans="1:5" ht="15.75" customHeight="1">
      <c r="A82" s="2">
        <v>91000300</v>
      </c>
      <c r="B82" s="2" t="s">
        <v>140</v>
      </c>
      <c r="C82" s="2">
        <v>91000300</v>
      </c>
      <c r="D82" s="2" t="s">
        <v>29</v>
      </c>
      <c r="E82" s="6" t="str">
        <f t="shared" si="0"/>
        <v>https://dto.kemkes.go.id/kfacode/91000300</v>
      </c>
    </row>
    <row r="83" spans="1:5" ht="15.75" customHeight="1">
      <c r="A83" s="2">
        <v>91000340</v>
      </c>
      <c r="B83" s="2" t="s">
        <v>141</v>
      </c>
      <c r="C83" s="2">
        <v>91000340</v>
      </c>
      <c r="D83" s="2" t="s">
        <v>29</v>
      </c>
      <c r="E83" s="6" t="str">
        <f t="shared" si="0"/>
        <v>https://dto.kemkes.go.id/kfacode/91000340</v>
      </c>
    </row>
    <row r="84" spans="1:5" ht="15.75" customHeight="1">
      <c r="A84" s="2">
        <v>91000354</v>
      </c>
      <c r="B84" s="2" t="s">
        <v>142</v>
      </c>
      <c r="C84" s="2">
        <v>91000354</v>
      </c>
      <c r="D84" s="2" t="s">
        <v>29</v>
      </c>
      <c r="E84" s="6" t="str">
        <f t="shared" si="0"/>
        <v>https://dto.kemkes.go.id/kfacode/91000354</v>
      </c>
    </row>
    <row r="85" spans="1:5" ht="15.75" customHeight="1">
      <c r="A85" s="2">
        <v>91000625</v>
      </c>
      <c r="B85" s="2" t="s">
        <v>143</v>
      </c>
      <c r="C85" s="2">
        <v>91000625</v>
      </c>
      <c r="D85" s="2" t="s">
        <v>29</v>
      </c>
      <c r="E85" s="6" t="str">
        <f t="shared" si="0"/>
        <v>https://dto.kemkes.go.id/kfacode/91000625</v>
      </c>
    </row>
    <row r="86" spans="1:5" ht="15.75" customHeight="1">
      <c r="A86" s="2">
        <v>91000183</v>
      </c>
      <c r="B86" s="2" t="s">
        <v>144</v>
      </c>
      <c r="C86" s="2">
        <v>91000183</v>
      </c>
      <c r="D86" s="2" t="s">
        <v>29</v>
      </c>
      <c r="E86" s="6" t="str">
        <f t="shared" si="0"/>
        <v>https://dto.kemkes.go.id/kfacode/91000183</v>
      </c>
    </row>
    <row r="87" spans="1:5" ht="15.75" customHeight="1">
      <c r="A87" s="2">
        <v>91000273</v>
      </c>
      <c r="B87" s="2" t="s">
        <v>145</v>
      </c>
      <c r="C87" s="2">
        <v>91000273</v>
      </c>
      <c r="D87" s="2" t="s">
        <v>29</v>
      </c>
      <c r="E87" s="6" t="str">
        <f t="shared" si="0"/>
        <v>https://dto.kemkes.go.id/kfacode/91000273</v>
      </c>
    </row>
    <row r="88" spans="1:5" ht="15.75" customHeight="1">
      <c r="A88" s="2">
        <v>91000195</v>
      </c>
      <c r="B88" s="2" t="s">
        <v>146</v>
      </c>
      <c r="C88" s="2">
        <v>91000195</v>
      </c>
      <c r="D88" s="2" t="s">
        <v>29</v>
      </c>
      <c r="E88" s="6" t="str">
        <f t="shared" si="0"/>
        <v>https://dto.kemkes.go.id/kfacode/91000195</v>
      </c>
    </row>
    <row r="89" spans="1:5" ht="15.75" customHeight="1">
      <c r="A89" s="2">
        <v>91000589</v>
      </c>
      <c r="B89" s="2" t="s">
        <v>147</v>
      </c>
      <c r="C89" s="2">
        <v>91000589</v>
      </c>
      <c r="D89" s="2" t="s">
        <v>29</v>
      </c>
      <c r="E89" s="6" t="str">
        <f t="shared" si="0"/>
        <v>https://dto.kemkes.go.id/kfacode/91000589</v>
      </c>
    </row>
    <row r="90" spans="1:5" ht="15.75" customHeight="1">
      <c r="A90" s="2">
        <v>91000247</v>
      </c>
      <c r="B90" s="2" t="s">
        <v>148</v>
      </c>
      <c r="C90" s="2">
        <v>91000247</v>
      </c>
      <c r="D90" s="2" t="s">
        <v>29</v>
      </c>
      <c r="E90" s="6" t="str">
        <f t="shared" si="0"/>
        <v>https://dto.kemkes.go.id/kfacode/91000247</v>
      </c>
    </row>
    <row r="91" spans="1:5" ht="15.75" customHeight="1">
      <c r="A91" s="2">
        <v>91000628</v>
      </c>
      <c r="B91" s="2" t="s">
        <v>149</v>
      </c>
      <c r="C91" s="2">
        <v>91000628</v>
      </c>
      <c r="D91" s="2" t="s">
        <v>29</v>
      </c>
      <c r="E91" s="6" t="str">
        <f t="shared" si="0"/>
        <v>https://dto.kemkes.go.id/kfacode/91000628</v>
      </c>
    </row>
    <row r="92" spans="1:5" ht="15.75" customHeight="1">
      <c r="A92" s="2">
        <v>91000623</v>
      </c>
      <c r="B92" s="2" t="s">
        <v>150</v>
      </c>
      <c r="C92" s="2">
        <v>91000623</v>
      </c>
      <c r="D92" s="2" t="s">
        <v>29</v>
      </c>
      <c r="E92" s="6" t="str">
        <f t="shared" si="0"/>
        <v>https://dto.kemkes.go.id/kfacode/91000623</v>
      </c>
    </row>
    <row r="93" spans="1:5" ht="15.75" customHeight="1">
      <c r="A93" s="2">
        <v>91000357</v>
      </c>
      <c r="B93" s="2" t="s">
        <v>151</v>
      </c>
      <c r="C93" s="2">
        <v>91000357</v>
      </c>
      <c r="D93" s="2" t="s">
        <v>29</v>
      </c>
      <c r="E93" s="6" t="str">
        <f t="shared" si="0"/>
        <v>https://dto.kemkes.go.id/kfacode/91000357</v>
      </c>
    </row>
    <row r="94" spans="1:5" ht="15.75" customHeight="1">
      <c r="A94" s="2">
        <v>91000385</v>
      </c>
      <c r="B94" s="2" t="s">
        <v>152</v>
      </c>
      <c r="C94" s="2">
        <v>91000385</v>
      </c>
      <c r="D94" s="2" t="s">
        <v>29</v>
      </c>
      <c r="E94" s="6" t="str">
        <f t="shared" si="0"/>
        <v>https://dto.kemkes.go.id/kfacode/91000385</v>
      </c>
    </row>
    <row r="95" spans="1:5" ht="15.75" customHeight="1">
      <c r="A95" s="2">
        <v>91000138</v>
      </c>
      <c r="B95" s="2" t="s">
        <v>153</v>
      </c>
      <c r="C95" s="2">
        <v>91000138</v>
      </c>
      <c r="D95" s="2" t="s">
        <v>29</v>
      </c>
      <c r="E95" s="6" t="str">
        <f t="shared" si="0"/>
        <v>https://dto.kemkes.go.id/kfacode/91000138</v>
      </c>
    </row>
    <row r="96" spans="1:5" ht="15.75" customHeight="1">
      <c r="A96" s="2">
        <v>91000149</v>
      </c>
      <c r="B96" s="2" t="s">
        <v>154</v>
      </c>
      <c r="C96" s="2">
        <v>91000149</v>
      </c>
      <c r="D96" s="2" t="s">
        <v>29</v>
      </c>
      <c r="E96" s="6" t="str">
        <f t="shared" si="0"/>
        <v>https://dto.kemkes.go.id/kfacode/91000149</v>
      </c>
    </row>
    <row r="97" spans="1:5" ht="15.75" customHeight="1">
      <c r="A97" s="2">
        <v>91000127</v>
      </c>
      <c r="B97" s="2" t="s">
        <v>155</v>
      </c>
      <c r="C97" s="2">
        <v>91000127</v>
      </c>
      <c r="D97" s="2" t="s">
        <v>29</v>
      </c>
      <c r="E97" s="6" t="str">
        <f t="shared" si="0"/>
        <v>https://dto.kemkes.go.id/kfacode/91000127</v>
      </c>
    </row>
    <row r="98" spans="1:5" ht="15.75" customHeight="1">
      <c r="A98" s="2">
        <v>91000154</v>
      </c>
      <c r="B98" s="2" t="s">
        <v>156</v>
      </c>
      <c r="C98" s="2">
        <v>91000154</v>
      </c>
      <c r="D98" s="2" t="s">
        <v>29</v>
      </c>
      <c r="E98" s="6" t="str">
        <f t="shared" si="0"/>
        <v>https://dto.kemkes.go.id/kfacode/91000154</v>
      </c>
    </row>
    <row r="99" spans="1:5" ht="15.75" customHeight="1">
      <c r="A99" s="2">
        <v>91000650</v>
      </c>
      <c r="B99" s="2" t="s">
        <v>157</v>
      </c>
      <c r="C99" s="2">
        <v>91000650</v>
      </c>
      <c r="D99" s="2" t="s">
        <v>29</v>
      </c>
      <c r="E99" s="6" t="str">
        <f t="shared" si="0"/>
        <v>https://dto.kemkes.go.id/kfacode/91000650</v>
      </c>
    </row>
    <row r="100" spans="1:5" ht="15.75" customHeight="1">
      <c r="A100" s="2">
        <v>91000523</v>
      </c>
      <c r="B100" s="2" t="s">
        <v>158</v>
      </c>
      <c r="C100" s="2">
        <v>91000523</v>
      </c>
      <c r="D100" s="2" t="s">
        <v>29</v>
      </c>
      <c r="E100" s="6" t="str">
        <f t="shared" si="0"/>
        <v>https://dto.kemkes.go.id/kfacode/91000523</v>
      </c>
    </row>
    <row r="101" spans="1:5" ht="15.75" customHeight="1">
      <c r="A101" s="2">
        <v>91000570</v>
      </c>
      <c r="B101" s="2" t="s">
        <v>159</v>
      </c>
      <c r="C101" s="2">
        <v>91000570</v>
      </c>
      <c r="D101" s="2" t="s">
        <v>29</v>
      </c>
      <c r="E101" s="6" t="str">
        <f t="shared" si="0"/>
        <v>https://dto.kemkes.go.id/kfacode/91000570</v>
      </c>
    </row>
    <row r="102" spans="1:5" ht="15.75" customHeight="1">
      <c r="A102" s="2">
        <v>91000169</v>
      </c>
      <c r="B102" s="2" t="s">
        <v>160</v>
      </c>
      <c r="C102" s="2">
        <v>91000169</v>
      </c>
      <c r="D102" s="2" t="s">
        <v>29</v>
      </c>
      <c r="E102" s="6" t="str">
        <f t="shared" si="0"/>
        <v>https://dto.kemkes.go.id/kfacode/91000169</v>
      </c>
    </row>
    <row r="103" spans="1:5" ht="15.75" customHeight="1">
      <c r="A103" s="2">
        <v>91000213</v>
      </c>
      <c r="B103" s="2" t="s">
        <v>161</v>
      </c>
      <c r="C103" s="2">
        <v>91000213</v>
      </c>
      <c r="D103" s="2" t="s">
        <v>29</v>
      </c>
      <c r="E103" s="6" t="str">
        <f t="shared" si="0"/>
        <v>https://dto.kemkes.go.id/kfacode/91000213</v>
      </c>
    </row>
    <row r="104" spans="1:5" ht="15.75" customHeight="1">
      <c r="A104" s="2">
        <v>91000526</v>
      </c>
      <c r="B104" s="2" t="s">
        <v>162</v>
      </c>
      <c r="C104" s="2">
        <v>91000526</v>
      </c>
      <c r="D104" s="2" t="s">
        <v>29</v>
      </c>
      <c r="E104" s="6" t="str">
        <f t="shared" si="0"/>
        <v>https://dto.kemkes.go.id/kfacode/91000526</v>
      </c>
    </row>
    <row r="105" spans="1:5" ht="15.75" customHeight="1">
      <c r="A105" s="2">
        <v>91000164</v>
      </c>
      <c r="B105" s="2" t="s">
        <v>163</v>
      </c>
      <c r="C105" s="2">
        <v>91000164</v>
      </c>
      <c r="D105" s="2" t="s">
        <v>29</v>
      </c>
      <c r="E105" s="6" t="str">
        <f t="shared" si="0"/>
        <v>https://dto.kemkes.go.id/kfacode/91000164</v>
      </c>
    </row>
    <row r="106" spans="1:5" ht="15.75" customHeight="1">
      <c r="A106" s="2">
        <v>91000156</v>
      </c>
      <c r="B106" s="2" t="s">
        <v>164</v>
      </c>
      <c r="C106" s="2">
        <v>91000156</v>
      </c>
      <c r="D106" s="2" t="s">
        <v>29</v>
      </c>
      <c r="E106" s="6" t="str">
        <f t="shared" si="0"/>
        <v>https://dto.kemkes.go.id/kfacode/91000156</v>
      </c>
    </row>
    <row r="107" spans="1:5" ht="15.75" customHeight="1">
      <c r="A107" s="2">
        <v>91000521</v>
      </c>
      <c r="B107" s="2" t="s">
        <v>165</v>
      </c>
      <c r="C107" s="2">
        <v>91000521</v>
      </c>
      <c r="D107" s="2" t="s">
        <v>29</v>
      </c>
      <c r="E107" s="6" t="str">
        <f t="shared" si="0"/>
        <v>https://dto.kemkes.go.id/kfacode/91000521</v>
      </c>
    </row>
    <row r="108" spans="1:5" ht="15.75" customHeight="1">
      <c r="A108" s="2">
        <v>91000598</v>
      </c>
      <c r="B108" s="2" t="s">
        <v>166</v>
      </c>
      <c r="C108" s="2">
        <v>91000598</v>
      </c>
      <c r="D108" s="2" t="s">
        <v>29</v>
      </c>
      <c r="E108" s="6" t="str">
        <f t="shared" si="0"/>
        <v>https://dto.kemkes.go.id/kfacode/91000598</v>
      </c>
    </row>
    <row r="109" spans="1:5" ht="15.75" customHeight="1">
      <c r="A109" s="2">
        <v>91000301</v>
      </c>
      <c r="B109" s="2" t="s">
        <v>167</v>
      </c>
      <c r="C109" s="2">
        <v>91000301</v>
      </c>
      <c r="D109" s="2" t="s">
        <v>29</v>
      </c>
      <c r="E109" s="6" t="str">
        <f t="shared" si="0"/>
        <v>https://dto.kemkes.go.id/kfacode/91000301</v>
      </c>
    </row>
    <row r="110" spans="1:5" ht="15.75" customHeight="1">
      <c r="A110" s="2">
        <v>91000517</v>
      </c>
      <c r="B110" s="2" t="s">
        <v>168</v>
      </c>
      <c r="C110" s="2">
        <v>91000517</v>
      </c>
      <c r="D110" s="2" t="s">
        <v>29</v>
      </c>
      <c r="E110" s="6" t="str">
        <f t="shared" si="0"/>
        <v>https://dto.kemkes.go.id/kfacode/91000517</v>
      </c>
    </row>
    <row r="111" spans="1:5" ht="15.75" customHeight="1">
      <c r="A111" s="2">
        <v>91000638</v>
      </c>
      <c r="B111" s="2" t="s">
        <v>169</v>
      </c>
      <c r="C111" s="2">
        <v>91000638</v>
      </c>
      <c r="D111" s="2" t="s">
        <v>29</v>
      </c>
      <c r="E111" s="6" t="str">
        <f t="shared" si="0"/>
        <v>https://dto.kemkes.go.id/kfacode/91000638</v>
      </c>
    </row>
    <row r="112" spans="1:5" ht="15.75" customHeight="1">
      <c r="A112" s="2">
        <v>91000596</v>
      </c>
      <c r="B112" s="2" t="s">
        <v>170</v>
      </c>
      <c r="C112" s="2">
        <v>91000596</v>
      </c>
      <c r="D112" s="2" t="s">
        <v>29</v>
      </c>
      <c r="E112" s="6" t="str">
        <f t="shared" si="0"/>
        <v>https://dto.kemkes.go.id/kfacode/91000596</v>
      </c>
    </row>
    <row r="113" spans="1:5" ht="15.75" customHeight="1">
      <c r="A113" s="2">
        <v>91000403</v>
      </c>
      <c r="B113" s="2" t="s">
        <v>171</v>
      </c>
      <c r="C113" s="2">
        <v>91000403</v>
      </c>
      <c r="D113" s="2" t="s">
        <v>29</v>
      </c>
      <c r="E113" s="6" t="str">
        <f t="shared" si="0"/>
        <v>https://dto.kemkes.go.id/kfacode/91000403</v>
      </c>
    </row>
    <row r="114" spans="1:5" ht="15.75" customHeight="1">
      <c r="A114" s="2">
        <v>91000412</v>
      </c>
      <c r="B114" s="2" t="s">
        <v>172</v>
      </c>
      <c r="C114" s="2">
        <v>91000412</v>
      </c>
      <c r="D114" s="2" t="s">
        <v>29</v>
      </c>
      <c r="E114" s="6" t="str">
        <f t="shared" si="0"/>
        <v>https://dto.kemkes.go.id/kfacode/91000412</v>
      </c>
    </row>
    <row r="115" spans="1:5" ht="15.75" customHeight="1">
      <c r="A115" s="2">
        <v>91000320</v>
      </c>
      <c r="B115" s="2" t="s">
        <v>173</v>
      </c>
      <c r="C115" s="2">
        <v>91000320</v>
      </c>
      <c r="D115" s="2" t="s">
        <v>29</v>
      </c>
      <c r="E115" s="6" t="str">
        <f t="shared" si="0"/>
        <v>https://dto.kemkes.go.id/kfacode/91000320</v>
      </c>
    </row>
    <row r="116" spans="1:5" ht="15.75" customHeight="1">
      <c r="A116" s="2">
        <v>91000221</v>
      </c>
      <c r="B116" s="2" t="s">
        <v>174</v>
      </c>
      <c r="C116" s="2">
        <v>91000221</v>
      </c>
      <c r="D116" s="2" t="s">
        <v>29</v>
      </c>
      <c r="E116" s="6" t="str">
        <f t="shared" si="0"/>
        <v>https://dto.kemkes.go.id/kfacode/91000221</v>
      </c>
    </row>
    <row r="117" spans="1:5" ht="15.75" customHeight="1">
      <c r="A117" s="2">
        <v>91000616</v>
      </c>
      <c r="B117" s="2" t="s">
        <v>175</v>
      </c>
      <c r="C117" s="2">
        <v>91000616</v>
      </c>
      <c r="D117" s="2" t="s">
        <v>29</v>
      </c>
      <c r="E117" s="6" t="str">
        <f t="shared" si="0"/>
        <v>https://dto.kemkes.go.id/kfacode/91000616</v>
      </c>
    </row>
    <row r="118" spans="1:5" ht="15.75" customHeight="1">
      <c r="A118" s="2">
        <v>91000345</v>
      </c>
      <c r="B118" s="2" t="s">
        <v>176</v>
      </c>
      <c r="C118" s="2">
        <v>91000345</v>
      </c>
      <c r="D118" s="2" t="s">
        <v>29</v>
      </c>
      <c r="E118" s="6" t="str">
        <f t="shared" si="0"/>
        <v>https://dto.kemkes.go.id/kfacode/91000345</v>
      </c>
    </row>
    <row r="119" spans="1:5" ht="15.75" customHeight="1">
      <c r="A119" s="2">
        <v>91000405</v>
      </c>
      <c r="B119" s="2" t="s">
        <v>177</v>
      </c>
      <c r="C119" s="2">
        <v>91000405</v>
      </c>
      <c r="D119" s="2" t="s">
        <v>29</v>
      </c>
      <c r="E119" s="6" t="str">
        <f t="shared" si="0"/>
        <v>https://dto.kemkes.go.id/kfacode/91000405</v>
      </c>
    </row>
    <row r="120" spans="1:5" ht="15.75" customHeight="1">
      <c r="A120" s="2">
        <v>91000389</v>
      </c>
      <c r="B120" s="2" t="s">
        <v>178</v>
      </c>
      <c r="C120" s="2">
        <v>91000389</v>
      </c>
      <c r="D120" s="2" t="s">
        <v>29</v>
      </c>
      <c r="E120" s="6" t="str">
        <f t="shared" si="0"/>
        <v>https://dto.kemkes.go.id/kfacode/91000389</v>
      </c>
    </row>
    <row r="121" spans="1:5" ht="15.75" customHeight="1">
      <c r="A121" s="2">
        <v>91000567</v>
      </c>
      <c r="B121" s="2" t="s">
        <v>179</v>
      </c>
      <c r="C121" s="2">
        <v>91000567</v>
      </c>
      <c r="D121" s="2" t="s">
        <v>29</v>
      </c>
      <c r="E121" s="6" t="str">
        <f t="shared" si="0"/>
        <v>https://dto.kemkes.go.id/kfacode/91000567</v>
      </c>
    </row>
    <row r="122" spans="1:5" ht="15.75" customHeight="1">
      <c r="A122" s="2">
        <v>91000703</v>
      </c>
      <c r="B122" s="2" t="s">
        <v>180</v>
      </c>
      <c r="C122" s="2">
        <v>91000703</v>
      </c>
      <c r="D122" s="2" t="s">
        <v>29</v>
      </c>
      <c r="E122" s="6" t="str">
        <f t="shared" si="0"/>
        <v>https://dto.kemkes.go.id/kfacode/91000703</v>
      </c>
    </row>
    <row r="123" spans="1:5" ht="15.75" customHeight="1">
      <c r="A123" s="2">
        <v>91000231</v>
      </c>
      <c r="B123" s="2" t="s">
        <v>181</v>
      </c>
      <c r="C123" s="2">
        <v>91000231</v>
      </c>
      <c r="D123" s="2" t="s">
        <v>29</v>
      </c>
      <c r="E123" s="6" t="str">
        <f t="shared" si="0"/>
        <v>https://dto.kemkes.go.id/kfacode/91000231</v>
      </c>
    </row>
    <row r="124" spans="1:5" ht="15.75" customHeight="1">
      <c r="A124" s="2">
        <v>91000248</v>
      </c>
      <c r="B124" s="2" t="s">
        <v>182</v>
      </c>
      <c r="C124" s="2">
        <v>91000248</v>
      </c>
      <c r="D124" s="2" t="s">
        <v>29</v>
      </c>
      <c r="E124" s="6" t="str">
        <f t="shared" si="0"/>
        <v>https://dto.kemkes.go.id/kfacode/91000248</v>
      </c>
    </row>
    <row r="125" spans="1:5" ht="15.75" customHeight="1">
      <c r="A125" s="2">
        <v>91000410</v>
      </c>
      <c r="B125" s="2" t="s">
        <v>183</v>
      </c>
      <c r="C125" s="2">
        <v>91000410</v>
      </c>
      <c r="D125" s="2" t="s">
        <v>29</v>
      </c>
      <c r="E125" s="6" t="str">
        <f t="shared" si="0"/>
        <v>https://dto.kemkes.go.id/kfacode/91000410</v>
      </c>
    </row>
    <row r="126" spans="1:5" ht="15.75" customHeight="1">
      <c r="A126" s="2">
        <v>91000313</v>
      </c>
      <c r="B126" s="2" t="s">
        <v>184</v>
      </c>
      <c r="C126" s="2">
        <v>91000313</v>
      </c>
      <c r="D126" s="2" t="s">
        <v>29</v>
      </c>
      <c r="E126" s="6" t="str">
        <f t="shared" si="0"/>
        <v>https://dto.kemkes.go.id/kfacode/91000313</v>
      </c>
    </row>
    <row r="127" spans="1:5" ht="15.75" customHeight="1">
      <c r="A127" s="2">
        <v>91000204</v>
      </c>
      <c r="B127" s="2" t="s">
        <v>185</v>
      </c>
      <c r="C127" s="2">
        <v>91000204</v>
      </c>
      <c r="D127" s="2" t="s">
        <v>29</v>
      </c>
      <c r="E127" s="6" t="str">
        <f t="shared" si="0"/>
        <v>https://dto.kemkes.go.id/kfacode/91000204</v>
      </c>
    </row>
    <row r="128" spans="1:5" ht="15.75" customHeight="1">
      <c r="A128" s="2">
        <v>91000174</v>
      </c>
      <c r="B128" s="2" t="s">
        <v>186</v>
      </c>
      <c r="C128" s="2">
        <v>91000174</v>
      </c>
      <c r="D128" s="2" t="s">
        <v>29</v>
      </c>
      <c r="E128" s="6" t="str">
        <f t="shared" si="0"/>
        <v>https://dto.kemkes.go.id/kfacode/91000174</v>
      </c>
    </row>
    <row r="129" spans="1:5" ht="15.75" customHeight="1">
      <c r="A129" s="2">
        <v>91000600</v>
      </c>
      <c r="B129" s="2" t="s">
        <v>187</v>
      </c>
      <c r="C129" s="2">
        <v>91000600</v>
      </c>
      <c r="D129" s="2" t="s">
        <v>29</v>
      </c>
      <c r="E129" s="6" t="str">
        <f t="shared" si="0"/>
        <v>https://dto.kemkes.go.id/kfacode/91000600</v>
      </c>
    </row>
    <row r="130" spans="1:5" ht="15.75" customHeight="1">
      <c r="A130" s="2">
        <v>91000192</v>
      </c>
      <c r="B130" s="2" t="s">
        <v>188</v>
      </c>
      <c r="C130" s="2">
        <v>91000192</v>
      </c>
      <c r="D130" s="2" t="s">
        <v>29</v>
      </c>
      <c r="E130" s="6" t="str">
        <f t="shared" si="0"/>
        <v>https://dto.kemkes.go.id/kfacode/91000192</v>
      </c>
    </row>
    <row r="131" spans="1:5" ht="15.75" customHeight="1">
      <c r="A131" s="2">
        <v>91000339</v>
      </c>
      <c r="B131" s="2" t="s">
        <v>189</v>
      </c>
      <c r="C131" s="2">
        <v>91000339</v>
      </c>
      <c r="D131" s="2" t="s">
        <v>29</v>
      </c>
      <c r="E131" s="6" t="str">
        <f t="shared" si="0"/>
        <v>https://dto.kemkes.go.id/kfacode/91000339</v>
      </c>
    </row>
    <row r="132" spans="1:5" ht="15.75" customHeight="1">
      <c r="A132" s="2">
        <v>91000512</v>
      </c>
      <c r="B132" s="2" t="s">
        <v>190</v>
      </c>
      <c r="C132" s="2">
        <v>91000512</v>
      </c>
      <c r="D132" s="2" t="s">
        <v>29</v>
      </c>
      <c r="E132" s="6" t="str">
        <f t="shared" si="0"/>
        <v>https://dto.kemkes.go.id/kfacode/91000512</v>
      </c>
    </row>
    <row r="133" spans="1:5" ht="15.75" customHeight="1">
      <c r="A133" s="2">
        <v>91000222</v>
      </c>
      <c r="B133" s="2" t="s">
        <v>191</v>
      </c>
      <c r="C133" s="2">
        <v>91000222</v>
      </c>
      <c r="D133" s="2" t="s">
        <v>29</v>
      </c>
      <c r="E133" s="6" t="str">
        <f t="shared" si="0"/>
        <v>https://dto.kemkes.go.id/kfacode/91000222</v>
      </c>
    </row>
    <row r="134" spans="1:5" ht="15.75" customHeight="1">
      <c r="A134" s="2">
        <v>91000292</v>
      </c>
      <c r="B134" s="2" t="s">
        <v>192</v>
      </c>
      <c r="C134" s="2">
        <v>91000292</v>
      </c>
      <c r="D134" s="2" t="s">
        <v>29</v>
      </c>
      <c r="E134" s="6" t="str">
        <f t="shared" si="0"/>
        <v>https://dto.kemkes.go.id/kfacode/91000292</v>
      </c>
    </row>
    <row r="135" spans="1:5" ht="15.75" customHeight="1">
      <c r="A135" s="2">
        <v>91000419</v>
      </c>
      <c r="B135" s="2" t="s">
        <v>193</v>
      </c>
      <c r="C135" s="2">
        <v>91000419</v>
      </c>
      <c r="D135" s="2" t="s">
        <v>29</v>
      </c>
      <c r="E135" s="6" t="str">
        <f t="shared" si="0"/>
        <v>https://dto.kemkes.go.id/kfacode/91000419</v>
      </c>
    </row>
    <row r="136" spans="1:5" ht="15.75" customHeight="1">
      <c r="A136" s="2">
        <v>91000639</v>
      </c>
      <c r="B136" s="2" t="s">
        <v>194</v>
      </c>
      <c r="C136" s="2">
        <v>91000639</v>
      </c>
      <c r="D136" s="2" t="s">
        <v>29</v>
      </c>
      <c r="E136" s="6" t="str">
        <f t="shared" si="0"/>
        <v>https://dto.kemkes.go.id/kfacode/91000639</v>
      </c>
    </row>
    <row r="137" spans="1:5" ht="15.75" customHeight="1">
      <c r="A137" s="2">
        <v>91000109</v>
      </c>
      <c r="B137" s="2" t="s">
        <v>195</v>
      </c>
      <c r="C137" s="2">
        <v>91000109</v>
      </c>
      <c r="D137" s="2" t="s">
        <v>29</v>
      </c>
      <c r="E137" s="6" t="str">
        <f t="shared" si="0"/>
        <v>https://dto.kemkes.go.id/kfacode/91000109</v>
      </c>
    </row>
    <row r="138" spans="1:5" ht="15.75" customHeight="1">
      <c r="A138" s="2">
        <v>91000135</v>
      </c>
      <c r="B138" s="2" t="s">
        <v>196</v>
      </c>
      <c r="C138" s="2">
        <v>91000135</v>
      </c>
      <c r="D138" s="2" t="s">
        <v>29</v>
      </c>
      <c r="E138" s="6" t="str">
        <f t="shared" si="0"/>
        <v>https://dto.kemkes.go.id/kfacode/91000135</v>
      </c>
    </row>
    <row r="139" spans="1:5" ht="15.75" customHeight="1">
      <c r="A139" s="2">
        <v>91000464</v>
      </c>
      <c r="B139" s="2" t="s">
        <v>197</v>
      </c>
      <c r="C139" s="2">
        <v>91000464</v>
      </c>
      <c r="D139" s="2" t="s">
        <v>29</v>
      </c>
      <c r="E139" s="6" t="str">
        <f t="shared" si="0"/>
        <v>https://dto.kemkes.go.id/kfacode/91000464</v>
      </c>
    </row>
    <row r="140" spans="1:5" ht="15.75" customHeight="1">
      <c r="A140" s="2">
        <v>91000347</v>
      </c>
      <c r="B140" s="2" t="s">
        <v>198</v>
      </c>
      <c r="C140" s="2">
        <v>91000347</v>
      </c>
      <c r="D140" s="2" t="s">
        <v>29</v>
      </c>
      <c r="E140" s="6" t="str">
        <f t="shared" si="0"/>
        <v>https://dto.kemkes.go.id/kfacode/91000347</v>
      </c>
    </row>
    <row r="141" spans="1:5" ht="15.75" customHeight="1">
      <c r="A141" s="2">
        <v>91000358</v>
      </c>
      <c r="B141" s="2" t="s">
        <v>199</v>
      </c>
      <c r="C141" s="2">
        <v>91000358</v>
      </c>
      <c r="D141" s="2" t="s">
        <v>29</v>
      </c>
      <c r="E141" s="6" t="str">
        <f t="shared" si="0"/>
        <v>https://dto.kemkes.go.id/kfacode/91000358</v>
      </c>
    </row>
    <row r="142" spans="1:5" ht="15.75" customHeight="1">
      <c r="A142" s="2">
        <v>91000167</v>
      </c>
      <c r="B142" s="2" t="s">
        <v>200</v>
      </c>
      <c r="C142" s="2">
        <v>91000167</v>
      </c>
      <c r="D142" s="2" t="s">
        <v>29</v>
      </c>
      <c r="E142" s="6" t="str">
        <f t="shared" si="0"/>
        <v>https://dto.kemkes.go.id/kfacode/91000167</v>
      </c>
    </row>
    <row r="143" spans="1:5" ht="15.75" customHeight="1">
      <c r="A143" s="2">
        <v>91000574</v>
      </c>
      <c r="B143" s="2" t="s">
        <v>201</v>
      </c>
      <c r="C143" s="2">
        <v>91000574</v>
      </c>
      <c r="D143" s="2" t="s">
        <v>29</v>
      </c>
      <c r="E143" s="6" t="str">
        <f t="shared" si="0"/>
        <v>https://dto.kemkes.go.id/kfacode/91000574</v>
      </c>
    </row>
    <row r="144" spans="1:5" ht="15.75" customHeight="1">
      <c r="A144" s="2">
        <v>91000262</v>
      </c>
      <c r="B144" s="2" t="s">
        <v>202</v>
      </c>
      <c r="C144" s="2">
        <v>91000262</v>
      </c>
      <c r="D144" s="2" t="s">
        <v>29</v>
      </c>
      <c r="E144" s="6" t="str">
        <f t="shared" si="0"/>
        <v>https://dto.kemkes.go.id/kfacode/91000262</v>
      </c>
    </row>
    <row r="145" spans="1:5" ht="15.75" customHeight="1">
      <c r="A145" s="2">
        <v>91000263</v>
      </c>
      <c r="B145" s="2" t="s">
        <v>203</v>
      </c>
      <c r="C145" s="2">
        <v>91000263</v>
      </c>
      <c r="D145" s="2" t="s">
        <v>29</v>
      </c>
      <c r="E145" s="6" t="str">
        <f t="shared" si="0"/>
        <v>https://dto.kemkes.go.id/kfacode/91000263</v>
      </c>
    </row>
    <row r="146" spans="1:5" ht="15.75" customHeight="1">
      <c r="A146" s="2">
        <v>91000518</v>
      </c>
      <c r="B146" s="2" t="s">
        <v>204</v>
      </c>
      <c r="C146" s="2">
        <v>91000518</v>
      </c>
      <c r="D146" s="2" t="s">
        <v>29</v>
      </c>
      <c r="E146" s="6" t="str">
        <f t="shared" si="0"/>
        <v>https://dto.kemkes.go.id/kfacode/91000518</v>
      </c>
    </row>
    <row r="147" spans="1:5" ht="15.75" customHeight="1">
      <c r="A147" s="2">
        <v>91000469</v>
      </c>
      <c r="B147" s="2" t="s">
        <v>205</v>
      </c>
      <c r="C147" s="2">
        <v>91000469</v>
      </c>
      <c r="D147" s="2" t="s">
        <v>29</v>
      </c>
      <c r="E147" s="6" t="str">
        <f t="shared" si="0"/>
        <v>https://dto.kemkes.go.id/kfacode/91000469</v>
      </c>
    </row>
    <row r="148" spans="1:5" ht="15.75" customHeight="1">
      <c r="A148" s="2">
        <v>91000282</v>
      </c>
      <c r="B148" s="2" t="s">
        <v>206</v>
      </c>
      <c r="C148" s="2">
        <v>91000282</v>
      </c>
      <c r="D148" s="2" t="s">
        <v>29</v>
      </c>
      <c r="E148" s="6" t="str">
        <f t="shared" si="0"/>
        <v>https://dto.kemkes.go.id/kfacode/91000282</v>
      </c>
    </row>
    <row r="149" spans="1:5" ht="15.75" customHeight="1">
      <c r="A149" s="2">
        <v>91000296</v>
      </c>
      <c r="B149" s="2" t="s">
        <v>207</v>
      </c>
      <c r="C149" s="2">
        <v>91000296</v>
      </c>
      <c r="D149" s="2" t="s">
        <v>29</v>
      </c>
      <c r="E149" s="6" t="str">
        <f t="shared" si="0"/>
        <v>https://dto.kemkes.go.id/kfacode/91000296</v>
      </c>
    </row>
    <row r="150" spans="1:5" ht="15.75" customHeight="1">
      <c r="A150" s="2">
        <v>91000295</v>
      </c>
      <c r="B150" s="2" t="s">
        <v>208</v>
      </c>
      <c r="C150" s="2">
        <v>91000295</v>
      </c>
      <c r="D150" s="2" t="s">
        <v>29</v>
      </c>
      <c r="E150" s="6" t="str">
        <f t="shared" si="0"/>
        <v>https://dto.kemkes.go.id/kfacode/91000295</v>
      </c>
    </row>
    <row r="151" spans="1:5" ht="15.75" customHeight="1">
      <c r="A151" s="2">
        <v>91000580</v>
      </c>
      <c r="B151" s="2" t="s">
        <v>209</v>
      </c>
      <c r="C151" s="2">
        <v>91000580</v>
      </c>
      <c r="D151" s="2" t="s">
        <v>29</v>
      </c>
      <c r="E151" s="6" t="str">
        <f t="shared" si="0"/>
        <v>https://dto.kemkes.go.id/kfacode/91000580</v>
      </c>
    </row>
    <row r="152" spans="1:5" ht="15.75" customHeight="1">
      <c r="A152" s="2">
        <v>91000579</v>
      </c>
      <c r="B152" s="2" t="s">
        <v>210</v>
      </c>
      <c r="C152" s="2">
        <v>91000579</v>
      </c>
      <c r="D152" s="2" t="s">
        <v>29</v>
      </c>
      <c r="E152" s="6" t="str">
        <f t="shared" si="0"/>
        <v>https://dto.kemkes.go.id/kfacode/91000579</v>
      </c>
    </row>
    <row r="153" spans="1:5" ht="15.75" customHeight="1">
      <c r="A153" s="2">
        <v>91000115</v>
      </c>
      <c r="B153" s="2" t="s">
        <v>211</v>
      </c>
      <c r="C153" s="2">
        <v>91000115</v>
      </c>
      <c r="D153" s="2" t="s">
        <v>29</v>
      </c>
      <c r="E153" s="6" t="str">
        <f t="shared" si="0"/>
        <v>https://dto.kemkes.go.id/kfacode/91000115</v>
      </c>
    </row>
    <row r="154" spans="1:5" ht="15.75" customHeight="1">
      <c r="A154" s="2">
        <v>91000710</v>
      </c>
      <c r="B154" s="2" t="s">
        <v>212</v>
      </c>
      <c r="C154" s="2">
        <v>91000710</v>
      </c>
      <c r="D154" s="2" t="s">
        <v>29</v>
      </c>
      <c r="E154" s="6" t="str">
        <f t="shared" si="0"/>
        <v>https://dto.kemkes.go.id/kfacode/91000710</v>
      </c>
    </row>
    <row r="155" spans="1:5" ht="15.75" customHeight="1">
      <c r="A155" s="2">
        <v>91000645</v>
      </c>
      <c r="B155" s="2" t="s">
        <v>213</v>
      </c>
      <c r="C155" s="2">
        <v>91000645</v>
      </c>
      <c r="D155" s="2" t="s">
        <v>29</v>
      </c>
      <c r="E155" s="6" t="str">
        <f t="shared" si="0"/>
        <v>https://dto.kemkes.go.id/kfacode/91000645</v>
      </c>
    </row>
    <row r="156" spans="1:5" ht="15.75" customHeight="1">
      <c r="A156" s="2">
        <v>91000139</v>
      </c>
      <c r="B156" s="2" t="s">
        <v>214</v>
      </c>
      <c r="C156" s="2">
        <v>91000139</v>
      </c>
      <c r="D156" s="2" t="s">
        <v>29</v>
      </c>
      <c r="E156" s="6" t="str">
        <f t="shared" si="0"/>
        <v>https://dto.kemkes.go.id/kfacode/91000139</v>
      </c>
    </row>
    <row r="157" spans="1:5" ht="15.75" customHeight="1">
      <c r="A157" s="2">
        <v>91000126</v>
      </c>
      <c r="B157" s="2" t="s">
        <v>215</v>
      </c>
      <c r="C157" s="2">
        <v>91000126</v>
      </c>
      <c r="D157" s="2" t="s">
        <v>29</v>
      </c>
      <c r="E157" s="6" t="str">
        <f t="shared" si="0"/>
        <v>https://dto.kemkes.go.id/kfacode/91000126</v>
      </c>
    </row>
    <row r="158" spans="1:5" ht="15.75" customHeight="1">
      <c r="A158" s="2">
        <v>91000432</v>
      </c>
      <c r="B158" s="2" t="s">
        <v>216</v>
      </c>
      <c r="C158" s="2">
        <v>91000432</v>
      </c>
      <c r="D158" s="2" t="s">
        <v>29</v>
      </c>
      <c r="E158" s="6" t="str">
        <f t="shared" si="0"/>
        <v>https://dto.kemkes.go.id/kfacode/91000432</v>
      </c>
    </row>
    <row r="159" spans="1:5" ht="15.75" customHeight="1">
      <c r="A159" s="2">
        <v>91000644</v>
      </c>
      <c r="B159" s="2" t="s">
        <v>217</v>
      </c>
      <c r="C159" s="2">
        <v>91000644</v>
      </c>
      <c r="D159" s="2" t="s">
        <v>29</v>
      </c>
      <c r="E159" s="6" t="str">
        <f t="shared" si="0"/>
        <v>https://dto.kemkes.go.id/kfacode/91000644</v>
      </c>
    </row>
    <row r="160" spans="1:5" ht="15.75" customHeight="1">
      <c r="A160" s="2">
        <v>91000151</v>
      </c>
      <c r="B160" s="2" t="s">
        <v>218</v>
      </c>
      <c r="C160" s="2">
        <v>91000151</v>
      </c>
      <c r="D160" s="2" t="s">
        <v>29</v>
      </c>
      <c r="E160" s="6" t="str">
        <f t="shared" si="0"/>
        <v>https://dto.kemkes.go.id/kfacode/91000151</v>
      </c>
    </row>
    <row r="161" spans="1:5" ht="15.75" customHeight="1">
      <c r="A161" s="2">
        <v>91000535</v>
      </c>
      <c r="B161" s="2" t="s">
        <v>219</v>
      </c>
      <c r="C161" s="2">
        <v>91000535</v>
      </c>
      <c r="D161" s="2" t="s">
        <v>29</v>
      </c>
      <c r="E161" s="6" t="str">
        <f t="shared" si="0"/>
        <v>https://dto.kemkes.go.id/kfacode/91000535</v>
      </c>
    </row>
    <row r="162" spans="1:5" ht="15.75" customHeight="1">
      <c r="A162" s="2">
        <v>91000147</v>
      </c>
      <c r="B162" s="2" t="s">
        <v>220</v>
      </c>
      <c r="C162" s="2">
        <v>91000147</v>
      </c>
      <c r="D162" s="2" t="s">
        <v>29</v>
      </c>
      <c r="E162" s="6" t="str">
        <f t="shared" si="0"/>
        <v>https://dto.kemkes.go.id/kfacode/91000147</v>
      </c>
    </row>
    <row r="163" spans="1:5" ht="15.75" customHeight="1">
      <c r="A163" s="2">
        <v>91000522</v>
      </c>
      <c r="B163" s="2" t="s">
        <v>221</v>
      </c>
      <c r="C163" s="2">
        <v>91000522</v>
      </c>
      <c r="D163" s="2" t="s">
        <v>29</v>
      </c>
      <c r="E163" s="6" t="str">
        <f t="shared" si="0"/>
        <v>https://dto.kemkes.go.id/kfacode/91000522</v>
      </c>
    </row>
    <row r="164" spans="1:5" ht="15.75" customHeight="1">
      <c r="A164" s="2">
        <v>91000712</v>
      </c>
      <c r="B164" s="2" t="s">
        <v>222</v>
      </c>
      <c r="C164" s="2">
        <v>91000712</v>
      </c>
      <c r="D164" s="2" t="s">
        <v>29</v>
      </c>
      <c r="E164" s="6" t="str">
        <f t="shared" si="0"/>
        <v>https://dto.kemkes.go.id/kfacode/91000712</v>
      </c>
    </row>
    <row r="165" spans="1:5" ht="15.75" customHeight="1">
      <c r="A165" s="2">
        <v>91000709</v>
      </c>
      <c r="B165" s="2" t="s">
        <v>223</v>
      </c>
      <c r="C165" s="2">
        <v>91000709</v>
      </c>
      <c r="D165" s="2" t="s">
        <v>29</v>
      </c>
      <c r="E165" s="6" t="str">
        <f t="shared" si="0"/>
        <v>https://dto.kemkes.go.id/kfacode/91000709</v>
      </c>
    </row>
    <row r="166" spans="1:5" ht="15.75" customHeight="1">
      <c r="A166" s="2">
        <v>91000276</v>
      </c>
      <c r="B166" s="2" t="s">
        <v>224</v>
      </c>
      <c r="C166" s="2">
        <v>91000276</v>
      </c>
      <c r="D166" s="2" t="s">
        <v>29</v>
      </c>
      <c r="E166" s="6" t="str">
        <f t="shared" si="0"/>
        <v>https://dto.kemkes.go.id/kfacode/91000276</v>
      </c>
    </row>
    <row r="167" spans="1:5" ht="15.75" customHeight="1">
      <c r="A167" s="2">
        <v>91000425</v>
      </c>
      <c r="B167" s="2" t="s">
        <v>225</v>
      </c>
      <c r="C167" s="2">
        <v>91000425</v>
      </c>
      <c r="D167" s="2" t="s">
        <v>29</v>
      </c>
      <c r="E167" s="6" t="str">
        <f t="shared" si="0"/>
        <v>https://dto.kemkes.go.id/kfacode/91000425</v>
      </c>
    </row>
    <row r="168" spans="1:5" ht="15.75" customHeight="1">
      <c r="A168" s="2">
        <v>91000176</v>
      </c>
      <c r="B168" s="2" t="s">
        <v>48</v>
      </c>
      <c r="C168" s="2">
        <v>91000176</v>
      </c>
      <c r="D168" s="2" t="s">
        <v>29</v>
      </c>
      <c r="E168" s="6" t="str">
        <f t="shared" si="0"/>
        <v>https://dto.kemkes.go.id/kfacode/91000176</v>
      </c>
    </row>
    <row r="169" spans="1:5" ht="15.75" customHeight="1">
      <c r="A169" s="2">
        <v>91000514</v>
      </c>
      <c r="B169" s="2" t="s">
        <v>226</v>
      </c>
      <c r="C169" s="2">
        <v>91000514</v>
      </c>
      <c r="D169" s="2" t="s">
        <v>29</v>
      </c>
      <c r="E169" s="6" t="str">
        <f t="shared" si="0"/>
        <v>https://dto.kemkes.go.id/kfacode/91000514</v>
      </c>
    </row>
    <row r="170" spans="1:5" ht="15.75" customHeight="1">
      <c r="A170" s="2">
        <v>91000520</v>
      </c>
      <c r="B170" s="2" t="s">
        <v>227</v>
      </c>
      <c r="C170" s="2">
        <v>91000520</v>
      </c>
      <c r="D170" s="2" t="s">
        <v>29</v>
      </c>
      <c r="E170" s="6" t="str">
        <f t="shared" si="0"/>
        <v>https://dto.kemkes.go.id/kfacode/91000520</v>
      </c>
    </row>
    <row r="171" spans="1:5" ht="15.75" customHeight="1">
      <c r="A171" s="2">
        <v>91000577</v>
      </c>
      <c r="B171" s="2" t="s">
        <v>228</v>
      </c>
      <c r="C171" s="2">
        <v>91000577</v>
      </c>
      <c r="D171" s="2" t="s">
        <v>29</v>
      </c>
      <c r="E171" s="6" t="str">
        <f t="shared" si="0"/>
        <v>https://dto.kemkes.go.id/kfacode/91000577</v>
      </c>
    </row>
    <row r="172" spans="1:5" ht="15.75" customHeight="1">
      <c r="A172" s="2">
        <v>91000575</v>
      </c>
      <c r="B172" s="2" t="s">
        <v>229</v>
      </c>
      <c r="C172" s="2">
        <v>91000575</v>
      </c>
      <c r="D172" s="2" t="s">
        <v>29</v>
      </c>
      <c r="E172" s="6" t="str">
        <f t="shared" si="0"/>
        <v>https://dto.kemkes.go.id/kfacode/91000575</v>
      </c>
    </row>
    <row r="173" spans="1:5" ht="15.75" customHeight="1">
      <c r="A173" s="2">
        <v>91000186</v>
      </c>
      <c r="B173" s="2" t="s">
        <v>230</v>
      </c>
      <c r="C173" s="2">
        <v>91000186</v>
      </c>
      <c r="D173" s="2" t="s">
        <v>29</v>
      </c>
      <c r="E173" s="6" t="str">
        <f t="shared" si="0"/>
        <v>https://dto.kemkes.go.id/kfacode/91000186</v>
      </c>
    </row>
    <row r="174" spans="1:5" ht="15.75" customHeight="1">
      <c r="A174" s="2">
        <v>91000173</v>
      </c>
      <c r="B174" s="2" t="s">
        <v>231</v>
      </c>
      <c r="C174" s="2">
        <v>91000173</v>
      </c>
      <c r="D174" s="2" t="s">
        <v>29</v>
      </c>
      <c r="E174" s="6" t="str">
        <f t="shared" si="0"/>
        <v>https://dto.kemkes.go.id/kfacode/91000173</v>
      </c>
    </row>
    <row r="175" spans="1:5" ht="15.75" customHeight="1">
      <c r="A175" s="2">
        <v>91000363</v>
      </c>
      <c r="B175" s="2" t="s">
        <v>232</v>
      </c>
      <c r="C175" s="2">
        <v>91000363</v>
      </c>
      <c r="D175" s="2" t="s">
        <v>29</v>
      </c>
      <c r="E175" s="6" t="str">
        <f t="shared" si="0"/>
        <v>https://dto.kemkes.go.id/kfacode/91000363</v>
      </c>
    </row>
    <row r="176" spans="1:5" ht="15.75" customHeight="1">
      <c r="A176" s="2">
        <v>91000701</v>
      </c>
      <c r="B176" s="2" t="s">
        <v>233</v>
      </c>
      <c r="C176" s="2">
        <v>91000701</v>
      </c>
      <c r="D176" s="2" t="s">
        <v>29</v>
      </c>
      <c r="E176" s="6" t="str">
        <f t="shared" si="0"/>
        <v>https://dto.kemkes.go.id/kfacode/91000701</v>
      </c>
    </row>
    <row r="177" spans="1:5" ht="15.75" customHeight="1">
      <c r="A177" s="2">
        <v>91000492</v>
      </c>
      <c r="B177" s="2" t="s">
        <v>234</v>
      </c>
      <c r="C177" s="2">
        <v>91000492</v>
      </c>
      <c r="D177" s="2" t="s">
        <v>29</v>
      </c>
      <c r="E177" s="6" t="str">
        <f t="shared" si="0"/>
        <v>https://dto.kemkes.go.id/kfacode/91000492</v>
      </c>
    </row>
    <row r="178" spans="1:5" ht="15.75" customHeight="1">
      <c r="A178" s="2">
        <v>91000647</v>
      </c>
      <c r="B178" s="2" t="s">
        <v>235</v>
      </c>
      <c r="C178" s="2">
        <v>91000647</v>
      </c>
      <c r="D178" s="2" t="s">
        <v>29</v>
      </c>
      <c r="E178" s="6" t="str">
        <f t="shared" si="0"/>
        <v>https://dto.kemkes.go.id/kfacode/91000647</v>
      </c>
    </row>
    <row r="179" spans="1:5" ht="15.75" customHeight="1">
      <c r="A179" s="2">
        <v>91000344</v>
      </c>
      <c r="B179" s="2" t="s">
        <v>236</v>
      </c>
      <c r="C179" s="2">
        <v>91000344</v>
      </c>
      <c r="D179" s="2" t="s">
        <v>29</v>
      </c>
      <c r="E179" s="6" t="str">
        <f t="shared" si="0"/>
        <v>https://dto.kemkes.go.id/kfacode/91000344</v>
      </c>
    </row>
    <row r="180" spans="1:5" ht="15.75" customHeight="1">
      <c r="A180" s="2">
        <v>91000658</v>
      </c>
      <c r="B180" s="2" t="s">
        <v>237</v>
      </c>
      <c r="C180" s="2">
        <v>91000658</v>
      </c>
      <c r="D180" s="2" t="s">
        <v>29</v>
      </c>
      <c r="E180" s="6" t="str">
        <f t="shared" si="0"/>
        <v>https://dto.kemkes.go.id/kfacode/91000658</v>
      </c>
    </row>
    <row r="181" spans="1:5" ht="15.75" customHeight="1">
      <c r="A181" s="2">
        <v>91000288</v>
      </c>
      <c r="B181" s="2" t="s">
        <v>238</v>
      </c>
      <c r="C181" s="2">
        <v>91000288</v>
      </c>
      <c r="D181" s="2" t="s">
        <v>29</v>
      </c>
      <c r="E181" s="6" t="str">
        <f t="shared" si="0"/>
        <v>https://dto.kemkes.go.id/kfacode/91000288</v>
      </c>
    </row>
    <row r="182" spans="1:5" ht="15.75" customHeight="1">
      <c r="A182" s="2">
        <v>91000148</v>
      </c>
      <c r="B182" s="2" t="s">
        <v>239</v>
      </c>
      <c r="C182" s="2">
        <v>91000148</v>
      </c>
      <c r="D182" s="2" t="s">
        <v>29</v>
      </c>
      <c r="E182" s="6" t="str">
        <f t="shared" si="0"/>
        <v>https://dto.kemkes.go.id/kfacode/91000148</v>
      </c>
    </row>
    <row r="183" spans="1:5" ht="15.75" customHeight="1">
      <c r="A183" s="2">
        <v>91000605</v>
      </c>
      <c r="B183" s="2" t="s">
        <v>240</v>
      </c>
      <c r="C183" s="2">
        <v>91000605</v>
      </c>
      <c r="D183" s="2" t="s">
        <v>29</v>
      </c>
      <c r="E183" s="6" t="str">
        <f t="shared" si="0"/>
        <v>https://dto.kemkes.go.id/kfacode/91000605</v>
      </c>
    </row>
    <row r="184" spans="1:5" ht="15.75" customHeight="1">
      <c r="A184" s="2">
        <v>91000501</v>
      </c>
      <c r="B184" s="2" t="s">
        <v>241</v>
      </c>
      <c r="C184" s="2">
        <v>91000501</v>
      </c>
      <c r="D184" s="2" t="s">
        <v>29</v>
      </c>
      <c r="E184" s="6" t="str">
        <f t="shared" si="0"/>
        <v>https://dto.kemkes.go.id/kfacode/91000501</v>
      </c>
    </row>
    <row r="185" spans="1:5" ht="15.75" customHeight="1">
      <c r="A185" s="2">
        <v>91000592</v>
      </c>
      <c r="B185" s="2" t="s">
        <v>242</v>
      </c>
      <c r="C185" s="2">
        <v>91000592</v>
      </c>
      <c r="D185" s="2" t="s">
        <v>29</v>
      </c>
      <c r="E185" s="6" t="str">
        <f t="shared" si="0"/>
        <v>https://dto.kemkes.go.id/kfacode/91000592</v>
      </c>
    </row>
    <row r="186" spans="1:5" ht="15.75" customHeight="1">
      <c r="A186" s="2">
        <v>91000504</v>
      </c>
      <c r="B186" s="2" t="s">
        <v>243</v>
      </c>
      <c r="C186" s="2">
        <v>91000504</v>
      </c>
      <c r="D186" s="2" t="s">
        <v>29</v>
      </c>
      <c r="E186" s="6" t="str">
        <f t="shared" si="0"/>
        <v>https://dto.kemkes.go.id/kfacode/91000504</v>
      </c>
    </row>
    <row r="187" spans="1:5" ht="15.75" customHeight="1">
      <c r="A187" s="2">
        <v>91000116</v>
      </c>
      <c r="B187" s="2" t="s">
        <v>244</v>
      </c>
      <c r="C187" s="2">
        <v>91000116</v>
      </c>
      <c r="D187" s="2" t="s">
        <v>29</v>
      </c>
      <c r="E187" s="6" t="str">
        <f t="shared" si="0"/>
        <v>https://dto.kemkes.go.id/kfacode/91000116</v>
      </c>
    </row>
    <row r="188" spans="1:5" ht="15.75" customHeight="1">
      <c r="A188" s="2">
        <v>91000264</v>
      </c>
      <c r="B188" s="2" t="s">
        <v>245</v>
      </c>
      <c r="C188" s="2">
        <v>91000264</v>
      </c>
      <c r="D188" s="2" t="s">
        <v>29</v>
      </c>
      <c r="E188" s="6" t="str">
        <f t="shared" si="0"/>
        <v>https://dto.kemkes.go.id/kfacode/91000264</v>
      </c>
    </row>
    <row r="189" spans="1:5" ht="15.75" customHeight="1">
      <c r="A189" s="2">
        <v>91000702</v>
      </c>
      <c r="B189" s="2" t="s">
        <v>246</v>
      </c>
      <c r="C189" s="2">
        <v>91000702</v>
      </c>
      <c r="D189" s="2" t="s">
        <v>29</v>
      </c>
      <c r="E189" s="6" t="str">
        <f t="shared" si="0"/>
        <v>https://dto.kemkes.go.id/kfacode/91000702</v>
      </c>
    </row>
    <row r="190" spans="1:5" ht="15.75" customHeight="1">
      <c r="A190" s="2">
        <v>91000132</v>
      </c>
      <c r="B190" s="2" t="s">
        <v>247</v>
      </c>
      <c r="C190" s="2">
        <v>91000132</v>
      </c>
      <c r="D190" s="2" t="s">
        <v>29</v>
      </c>
      <c r="E190" s="6" t="str">
        <f t="shared" si="0"/>
        <v>https://dto.kemkes.go.id/kfacode/91000132</v>
      </c>
    </row>
    <row r="191" spans="1:5" ht="15.75" customHeight="1">
      <c r="A191" s="2">
        <v>91000205</v>
      </c>
      <c r="B191" s="2" t="s">
        <v>248</v>
      </c>
      <c r="C191" s="2">
        <v>91000205</v>
      </c>
      <c r="D191" s="2" t="s">
        <v>29</v>
      </c>
      <c r="E191" s="6" t="str">
        <f t="shared" si="0"/>
        <v>https://dto.kemkes.go.id/kfacode/91000205</v>
      </c>
    </row>
    <row r="192" spans="1:5" ht="15.75" customHeight="1">
      <c r="A192" s="2">
        <v>91000155</v>
      </c>
      <c r="B192" s="2" t="s">
        <v>249</v>
      </c>
      <c r="C192" s="2">
        <v>91000155</v>
      </c>
      <c r="D192" s="2" t="s">
        <v>29</v>
      </c>
      <c r="E192" s="6" t="str">
        <f t="shared" si="0"/>
        <v>https://dto.kemkes.go.id/kfacode/91000155</v>
      </c>
    </row>
    <row r="193" spans="1:5" ht="15.75" customHeight="1">
      <c r="A193" s="2">
        <v>91000530</v>
      </c>
      <c r="B193" s="2" t="s">
        <v>250</v>
      </c>
      <c r="C193" s="2">
        <v>91000530</v>
      </c>
      <c r="D193" s="2" t="s">
        <v>29</v>
      </c>
      <c r="E193" s="6" t="str">
        <f t="shared" si="0"/>
        <v>https://dto.kemkes.go.id/kfacode/91000530</v>
      </c>
    </row>
    <row r="194" spans="1:5" ht="15.75" customHeight="1">
      <c r="A194" s="2">
        <v>91000621</v>
      </c>
      <c r="B194" s="2" t="s">
        <v>251</v>
      </c>
      <c r="C194" s="2">
        <v>91000621</v>
      </c>
      <c r="D194" s="2" t="s">
        <v>29</v>
      </c>
      <c r="E194" s="6" t="str">
        <f t="shared" si="0"/>
        <v>https://dto.kemkes.go.id/kfacode/91000621</v>
      </c>
    </row>
    <row r="195" spans="1:5" ht="15.75" customHeight="1">
      <c r="A195" s="2">
        <v>91000620</v>
      </c>
      <c r="B195" s="2" t="s">
        <v>252</v>
      </c>
      <c r="C195" s="2">
        <v>91000620</v>
      </c>
      <c r="D195" s="2" t="s">
        <v>29</v>
      </c>
      <c r="E195" s="6" t="str">
        <f t="shared" si="0"/>
        <v>https://dto.kemkes.go.id/kfacode/91000620</v>
      </c>
    </row>
    <row r="196" spans="1:5" ht="15.75" customHeight="1">
      <c r="A196" s="2">
        <v>91000374</v>
      </c>
      <c r="B196" s="2" t="s">
        <v>253</v>
      </c>
      <c r="C196" s="2">
        <v>91000374</v>
      </c>
      <c r="D196" s="2" t="s">
        <v>29</v>
      </c>
      <c r="E196" s="6" t="str">
        <f t="shared" si="0"/>
        <v>https://dto.kemkes.go.id/kfacode/91000374</v>
      </c>
    </row>
    <row r="197" spans="1:5" ht="15.75" customHeight="1">
      <c r="A197" s="2">
        <v>91000519</v>
      </c>
      <c r="B197" s="2" t="s">
        <v>254</v>
      </c>
      <c r="C197" s="2">
        <v>91000519</v>
      </c>
      <c r="D197" s="2" t="s">
        <v>29</v>
      </c>
      <c r="E197" s="6" t="str">
        <f t="shared" si="0"/>
        <v>https://dto.kemkes.go.id/kfacode/91000519</v>
      </c>
    </row>
    <row r="198" spans="1:5" ht="15.75" customHeight="1">
      <c r="A198" s="2">
        <v>91000350</v>
      </c>
      <c r="B198" s="2" t="s">
        <v>255</v>
      </c>
      <c r="C198" s="2">
        <v>91000350</v>
      </c>
      <c r="D198" s="2" t="s">
        <v>29</v>
      </c>
      <c r="E198" s="6" t="str">
        <f t="shared" si="0"/>
        <v>https://dto.kemkes.go.id/kfacode/91000350</v>
      </c>
    </row>
    <row r="199" spans="1:5" ht="15.75" customHeight="1">
      <c r="A199" s="2">
        <v>91000111</v>
      </c>
      <c r="B199" s="2" t="s">
        <v>256</v>
      </c>
      <c r="C199" s="2">
        <v>91000111</v>
      </c>
      <c r="D199" s="2" t="s">
        <v>29</v>
      </c>
      <c r="E199" s="6" t="str">
        <f t="shared" si="0"/>
        <v>https://dto.kemkes.go.id/kfacode/91000111</v>
      </c>
    </row>
    <row r="200" spans="1:5" ht="15.75" customHeight="1">
      <c r="A200" s="2">
        <v>91000390</v>
      </c>
      <c r="B200" s="2" t="s">
        <v>257</v>
      </c>
      <c r="C200" s="2">
        <v>91000390</v>
      </c>
      <c r="D200" s="2" t="s">
        <v>29</v>
      </c>
      <c r="E200" s="6" t="str">
        <f t="shared" si="0"/>
        <v>https://dto.kemkes.go.id/kfacode/91000390</v>
      </c>
    </row>
    <row r="201" spans="1:5" ht="15.75" customHeight="1">
      <c r="A201" s="2">
        <v>91000189</v>
      </c>
      <c r="B201" s="2" t="s">
        <v>258</v>
      </c>
      <c r="C201" s="2">
        <v>91000189</v>
      </c>
      <c r="D201" s="2" t="s">
        <v>29</v>
      </c>
      <c r="E201" s="6" t="str">
        <f t="shared" si="0"/>
        <v>https://dto.kemkes.go.id/kfacode/91000189</v>
      </c>
    </row>
    <row r="202" spans="1:5" ht="15.75" customHeight="1">
      <c r="A202" s="2">
        <v>91000187</v>
      </c>
      <c r="B202" s="2" t="s">
        <v>259</v>
      </c>
      <c r="C202" s="2">
        <v>91000187</v>
      </c>
      <c r="D202" s="2" t="s">
        <v>29</v>
      </c>
      <c r="E202" s="6" t="str">
        <f t="shared" si="0"/>
        <v>https://dto.kemkes.go.id/kfacode/91000187</v>
      </c>
    </row>
    <row r="203" spans="1:5" ht="15.75" customHeight="1">
      <c r="A203" s="2">
        <v>91000395</v>
      </c>
      <c r="B203" s="2" t="s">
        <v>260</v>
      </c>
      <c r="C203" s="2">
        <v>91000395</v>
      </c>
      <c r="D203" s="2" t="s">
        <v>29</v>
      </c>
      <c r="E203" s="6" t="str">
        <f t="shared" si="0"/>
        <v>https://dto.kemkes.go.id/kfacode/91000395</v>
      </c>
    </row>
    <row r="204" spans="1:5" ht="15.75" customHeight="1">
      <c r="A204" s="2">
        <v>91000289</v>
      </c>
      <c r="B204" s="2" t="s">
        <v>261</v>
      </c>
      <c r="C204" s="2">
        <v>91000289</v>
      </c>
      <c r="D204" s="2" t="s">
        <v>29</v>
      </c>
      <c r="E204" s="6" t="str">
        <f t="shared" si="0"/>
        <v>https://dto.kemkes.go.id/kfacode/91000289</v>
      </c>
    </row>
    <row r="205" spans="1:5" ht="15.75" customHeight="1">
      <c r="A205" s="2">
        <v>91000597</v>
      </c>
      <c r="B205" s="2" t="s">
        <v>262</v>
      </c>
      <c r="C205" s="2">
        <v>91000597</v>
      </c>
      <c r="D205" s="2" t="s">
        <v>29</v>
      </c>
      <c r="E205" s="6" t="str">
        <f t="shared" si="0"/>
        <v>https://dto.kemkes.go.id/kfacode/91000597</v>
      </c>
    </row>
    <row r="206" spans="1:5" ht="15.75" customHeight="1">
      <c r="A206" s="2">
        <v>91000129</v>
      </c>
      <c r="B206" s="2" t="s">
        <v>263</v>
      </c>
      <c r="C206" s="2">
        <v>91000129</v>
      </c>
      <c r="D206" s="2" t="s">
        <v>29</v>
      </c>
      <c r="E206" s="6" t="str">
        <f t="shared" si="0"/>
        <v>https://dto.kemkes.go.id/kfacode/91000129</v>
      </c>
    </row>
    <row r="207" spans="1:5" ht="15.75" customHeight="1">
      <c r="A207" s="2">
        <v>91000335</v>
      </c>
      <c r="B207" s="2" t="s">
        <v>264</v>
      </c>
      <c r="C207" s="2">
        <v>91000335</v>
      </c>
      <c r="D207" s="2" t="s">
        <v>29</v>
      </c>
      <c r="E207" s="6" t="str">
        <f t="shared" si="0"/>
        <v>https://dto.kemkes.go.id/kfacode/91000335</v>
      </c>
    </row>
    <row r="208" spans="1:5" ht="15.75" customHeight="1">
      <c r="A208" s="2">
        <v>91000165</v>
      </c>
      <c r="B208" s="2" t="s">
        <v>265</v>
      </c>
      <c r="C208" s="2">
        <v>91000165</v>
      </c>
      <c r="D208" s="2" t="s">
        <v>29</v>
      </c>
      <c r="E208" s="6" t="str">
        <f t="shared" si="0"/>
        <v>https://dto.kemkes.go.id/kfacode/91000165</v>
      </c>
    </row>
    <row r="209" spans="1:5" ht="15.75" customHeight="1">
      <c r="A209" s="2">
        <v>91000581</v>
      </c>
      <c r="B209" s="2" t="s">
        <v>266</v>
      </c>
      <c r="C209" s="2">
        <v>91000581</v>
      </c>
      <c r="D209" s="2" t="s">
        <v>29</v>
      </c>
      <c r="E209" s="6" t="str">
        <f t="shared" si="0"/>
        <v>https://dto.kemkes.go.id/kfacode/91000581</v>
      </c>
    </row>
    <row r="210" spans="1:5" ht="15.75" customHeight="1">
      <c r="A210" s="2">
        <v>91000481</v>
      </c>
      <c r="B210" s="2" t="s">
        <v>267</v>
      </c>
      <c r="C210" s="2">
        <v>91000481</v>
      </c>
      <c r="D210" s="2" t="s">
        <v>29</v>
      </c>
      <c r="E210" s="6" t="str">
        <f t="shared" si="0"/>
        <v>https://dto.kemkes.go.id/kfacode/91000481</v>
      </c>
    </row>
    <row r="211" spans="1:5" ht="15.75" customHeight="1">
      <c r="A211" s="2">
        <v>91000480</v>
      </c>
      <c r="B211" s="2" t="s">
        <v>268</v>
      </c>
      <c r="C211" s="2">
        <v>91000480</v>
      </c>
      <c r="D211" s="2" t="s">
        <v>29</v>
      </c>
      <c r="E211" s="6" t="str">
        <f t="shared" si="0"/>
        <v>https://dto.kemkes.go.id/kfacode/91000480</v>
      </c>
    </row>
    <row r="212" spans="1:5" ht="15.75" customHeight="1">
      <c r="A212" s="2">
        <v>91000260</v>
      </c>
      <c r="B212" s="2" t="s">
        <v>269</v>
      </c>
      <c r="C212" s="2">
        <v>91000260</v>
      </c>
      <c r="D212" s="2" t="s">
        <v>29</v>
      </c>
      <c r="E212" s="6" t="str">
        <f t="shared" si="0"/>
        <v>https://dto.kemkes.go.id/kfacode/91000260</v>
      </c>
    </row>
    <row r="213" spans="1:5" ht="15.75" customHeight="1">
      <c r="A213" s="2">
        <v>91000489</v>
      </c>
      <c r="B213" s="2" t="s">
        <v>270</v>
      </c>
      <c r="C213" s="2">
        <v>91000489</v>
      </c>
      <c r="D213" s="2" t="s">
        <v>29</v>
      </c>
      <c r="E213" s="6" t="str">
        <f t="shared" si="0"/>
        <v>https://dto.kemkes.go.id/kfacode/91000489</v>
      </c>
    </row>
    <row r="214" spans="1:5" ht="15.75" customHeight="1">
      <c r="A214" s="2">
        <v>91000654</v>
      </c>
      <c r="B214" s="2" t="s">
        <v>271</v>
      </c>
      <c r="C214" s="2">
        <v>91000654</v>
      </c>
      <c r="D214" s="2" t="s">
        <v>29</v>
      </c>
      <c r="E214" s="6" t="str">
        <f t="shared" si="0"/>
        <v>https://dto.kemkes.go.id/kfacode/91000654</v>
      </c>
    </row>
    <row r="215" spans="1:5" ht="15.75" customHeight="1">
      <c r="A215" s="2">
        <v>91000242</v>
      </c>
      <c r="B215" s="2" t="s">
        <v>272</v>
      </c>
      <c r="C215" s="2">
        <v>91000242</v>
      </c>
      <c r="D215" s="2" t="s">
        <v>29</v>
      </c>
      <c r="E215" s="6" t="str">
        <f t="shared" si="0"/>
        <v>https://dto.kemkes.go.id/kfacode/91000242</v>
      </c>
    </row>
    <row r="216" spans="1:5" ht="15.75" customHeight="1">
      <c r="A216" s="2">
        <v>91000117</v>
      </c>
      <c r="B216" s="2" t="s">
        <v>273</v>
      </c>
      <c r="C216" s="2">
        <v>91000117</v>
      </c>
      <c r="D216" s="2" t="s">
        <v>29</v>
      </c>
      <c r="E216" s="6" t="str">
        <f t="shared" si="0"/>
        <v>https://dto.kemkes.go.id/kfacode/91000117</v>
      </c>
    </row>
    <row r="217" spans="1:5" ht="15.75" customHeight="1">
      <c r="A217" s="2">
        <v>91000508</v>
      </c>
      <c r="B217" s="2" t="s">
        <v>274</v>
      </c>
      <c r="C217" s="2">
        <v>91000508</v>
      </c>
      <c r="D217" s="2" t="s">
        <v>29</v>
      </c>
      <c r="E217" s="6" t="str">
        <f t="shared" si="0"/>
        <v>https://dto.kemkes.go.id/kfacode/91000508</v>
      </c>
    </row>
    <row r="218" spans="1:5" ht="15.75" customHeight="1">
      <c r="A218" s="2">
        <v>91000423</v>
      </c>
      <c r="B218" s="2" t="s">
        <v>275</v>
      </c>
      <c r="C218" s="2">
        <v>91000423</v>
      </c>
      <c r="D218" s="2" t="s">
        <v>29</v>
      </c>
      <c r="E218" s="6" t="str">
        <f t="shared" si="0"/>
        <v>https://dto.kemkes.go.id/kfacode/91000423</v>
      </c>
    </row>
    <row r="219" spans="1:5" ht="15.75" customHeight="1">
      <c r="A219" s="2">
        <v>91000241</v>
      </c>
      <c r="B219" s="2" t="s">
        <v>276</v>
      </c>
      <c r="C219" s="2">
        <v>91000241</v>
      </c>
      <c r="D219" s="2" t="s">
        <v>29</v>
      </c>
      <c r="E219" s="6" t="str">
        <f t="shared" si="0"/>
        <v>https://dto.kemkes.go.id/kfacode/91000241</v>
      </c>
    </row>
    <row r="220" spans="1:5" ht="15.75" customHeight="1">
      <c r="A220" s="2">
        <v>91000353</v>
      </c>
      <c r="B220" s="2" t="s">
        <v>277</v>
      </c>
      <c r="C220" s="2">
        <v>91000353</v>
      </c>
      <c r="D220" s="2" t="s">
        <v>29</v>
      </c>
      <c r="E220" s="6" t="str">
        <f t="shared" si="0"/>
        <v>https://dto.kemkes.go.id/kfacode/91000353</v>
      </c>
    </row>
    <row r="221" spans="1:5" ht="15.75" customHeight="1">
      <c r="A221" s="2">
        <v>91000158</v>
      </c>
      <c r="B221" s="2" t="s">
        <v>278</v>
      </c>
      <c r="C221" s="2">
        <v>91000158</v>
      </c>
      <c r="D221" s="2" t="s">
        <v>29</v>
      </c>
      <c r="E221" s="6" t="str">
        <f t="shared" si="0"/>
        <v>https://dto.kemkes.go.id/kfacode/91000158</v>
      </c>
    </row>
    <row r="222" spans="1:5" ht="15.75" customHeight="1">
      <c r="A222" s="2">
        <v>91000646</v>
      </c>
      <c r="B222" s="2" t="s">
        <v>279</v>
      </c>
      <c r="C222" s="2">
        <v>91000646</v>
      </c>
      <c r="D222" s="2" t="s">
        <v>29</v>
      </c>
      <c r="E222" s="6" t="str">
        <f t="shared" si="0"/>
        <v>https://dto.kemkes.go.id/kfacode/91000646</v>
      </c>
    </row>
    <row r="223" spans="1:5" ht="15.75" customHeight="1">
      <c r="A223" s="2">
        <v>91000471</v>
      </c>
      <c r="B223" s="2" t="s">
        <v>280</v>
      </c>
      <c r="C223" s="2">
        <v>91000471</v>
      </c>
      <c r="D223" s="2" t="s">
        <v>29</v>
      </c>
      <c r="E223" s="6" t="str">
        <f t="shared" si="0"/>
        <v>https://dto.kemkes.go.id/kfacode/91000471</v>
      </c>
    </row>
    <row r="224" spans="1:5" ht="15.75" customHeight="1">
      <c r="A224" s="2">
        <v>91000108</v>
      </c>
      <c r="B224" s="2" t="s">
        <v>281</v>
      </c>
      <c r="C224" s="2">
        <v>91000108</v>
      </c>
      <c r="D224" s="2" t="s">
        <v>29</v>
      </c>
      <c r="E224" s="6" t="str">
        <f t="shared" si="0"/>
        <v>https://dto.kemkes.go.id/kfacode/91000108</v>
      </c>
    </row>
    <row r="225" spans="1:5" ht="15.75" customHeight="1">
      <c r="A225" s="2">
        <v>91000545</v>
      </c>
      <c r="B225" s="2" t="s">
        <v>282</v>
      </c>
      <c r="C225" s="2">
        <v>91000545</v>
      </c>
      <c r="D225" s="2" t="s">
        <v>29</v>
      </c>
      <c r="E225" s="6" t="str">
        <f t="shared" si="0"/>
        <v>https://dto.kemkes.go.id/kfacode/91000545</v>
      </c>
    </row>
    <row r="226" spans="1:5" ht="15.75" customHeight="1">
      <c r="A226" s="2">
        <v>91000455</v>
      </c>
      <c r="B226" s="2" t="s">
        <v>283</v>
      </c>
      <c r="C226" s="2">
        <v>91000455</v>
      </c>
      <c r="D226" s="2" t="s">
        <v>29</v>
      </c>
      <c r="E226" s="6" t="str">
        <f t="shared" si="0"/>
        <v>https://dto.kemkes.go.id/kfacode/91000455</v>
      </c>
    </row>
    <row r="227" spans="1:5" ht="15.75" customHeight="1">
      <c r="A227" s="2">
        <v>91000649</v>
      </c>
      <c r="B227" s="2" t="s">
        <v>284</v>
      </c>
      <c r="C227" s="2">
        <v>91000649</v>
      </c>
      <c r="D227" s="2" t="s">
        <v>29</v>
      </c>
      <c r="E227" s="6" t="str">
        <f t="shared" si="0"/>
        <v>https://dto.kemkes.go.id/kfacode/91000649</v>
      </c>
    </row>
    <row r="228" spans="1:5" ht="15.75" customHeight="1">
      <c r="A228" s="2">
        <v>91000448</v>
      </c>
      <c r="B228" s="2" t="s">
        <v>285</v>
      </c>
      <c r="C228" s="2">
        <v>91000448</v>
      </c>
      <c r="D228" s="2" t="s">
        <v>29</v>
      </c>
      <c r="E228" s="6" t="str">
        <f t="shared" si="0"/>
        <v>https://dto.kemkes.go.id/kfacode/91000448</v>
      </c>
    </row>
    <row r="229" spans="1:5" ht="15.75" customHeight="1">
      <c r="A229" s="2">
        <v>91000399</v>
      </c>
      <c r="B229" s="2" t="s">
        <v>286</v>
      </c>
      <c r="C229" s="2">
        <v>91000399</v>
      </c>
      <c r="D229" s="2" t="s">
        <v>29</v>
      </c>
      <c r="E229" s="6" t="str">
        <f t="shared" si="0"/>
        <v>https://dto.kemkes.go.id/kfacode/91000399</v>
      </c>
    </row>
    <row r="230" spans="1:5" ht="15.75" customHeight="1">
      <c r="A230" s="2">
        <v>91000302</v>
      </c>
      <c r="B230" s="2" t="s">
        <v>287</v>
      </c>
      <c r="C230" s="2">
        <v>91000302</v>
      </c>
      <c r="D230" s="2" t="s">
        <v>29</v>
      </c>
      <c r="E230" s="6" t="str">
        <f t="shared" si="0"/>
        <v>https://dto.kemkes.go.id/kfacode/91000302</v>
      </c>
    </row>
    <row r="231" spans="1:5" ht="15.75" customHeight="1">
      <c r="A231" s="2">
        <v>91000443</v>
      </c>
      <c r="B231" s="2" t="s">
        <v>288</v>
      </c>
      <c r="C231" s="2">
        <v>91000443</v>
      </c>
      <c r="D231" s="2" t="s">
        <v>29</v>
      </c>
      <c r="E231" s="6" t="str">
        <f t="shared" si="0"/>
        <v>https://dto.kemkes.go.id/kfacode/91000443</v>
      </c>
    </row>
    <row r="232" spans="1:5" ht="15.75" customHeight="1">
      <c r="A232" s="2">
        <v>91000277</v>
      </c>
      <c r="B232" s="2" t="s">
        <v>289</v>
      </c>
      <c r="C232" s="2">
        <v>91000277</v>
      </c>
      <c r="D232" s="2" t="s">
        <v>29</v>
      </c>
      <c r="E232" s="6" t="str">
        <f t="shared" si="0"/>
        <v>https://dto.kemkes.go.id/kfacode/91000277</v>
      </c>
    </row>
    <row r="233" spans="1:5" ht="15.75" customHeight="1">
      <c r="A233" s="2">
        <v>91000333</v>
      </c>
      <c r="B233" s="2" t="s">
        <v>290</v>
      </c>
      <c r="C233" s="2">
        <v>91000333</v>
      </c>
      <c r="D233" s="2" t="s">
        <v>29</v>
      </c>
      <c r="E233" s="6" t="str">
        <f t="shared" si="0"/>
        <v>https://dto.kemkes.go.id/kfacode/91000333</v>
      </c>
    </row>
    <row r="234" spans="1:5" ht="15.75" customHeight="1">
      <c r="A234" s="2">
        <v>91000249</v>
      </c>
      <c r="B234" s="2" t="s">
        <v>291</v>
      </c>
      <c r="C234" s="2">
        <v>91000249</v>
      </c>
      <c r="D234" s="2" t="s">
        <v>29</v>
      </c>
      <c r="E234" s="6" t="str">
        <f t="shared" si="0"/>
        <v>https://dto.kemkes.go.id/kfacode/91000249</v>
      </c>
    </row>
    <row r="235" spans="1:5" ht="15.75" customHeight="1">
      <c r="A235" s="2">
        <v>91000407</v>
      </c>
      <c r="B235" s="2" t="s">
        <v>292</v>
      </c>
      <c r="C235" s="2">
        <v>91000407</v>
      </c>
      <c r="D235" s="2" t="s">
        <v>29</v>
      </c>
      <c r="E235" s="6" t="str">
        <f t="shared" si="0"/>
        <v>https://dto.kemkes.go.id/kfacode/91000407</v>
      </c>
    </row>
    <row r="236" spans="1:5" ht="15.75" customHeight="1">
      <c r="A236" s="2">
        <v>91000234</v>
      </c>
      <c r="B236" s="2" t="s">
        <v>293</v>
      </c>
      <c r="C236" s="2">
        <v>91000234</v>
      </c>
      <c r="D236" s="2" t="s">
        <v>29</v>
      </c>
      <c r="E236" s="6" t="str">
        <f t="shared" si="0"/>
        <v>https://dto.kemkes.go.id/kfacode/91000234</v>
      </c>
    </row>
    <row r="237" spans="1:5" ht="15.75" customHeight="1">
      <c r="A237" s="2">
        <v>91000606</v>
      </c>
      <c r="B237" s="2" t="s">
        <v>294</v>
      </c>
      <c r="C237" s="2">
        <v>91000606</v>
      </c>
      <c r="D237" s="2" t="s">
        <v>29</v>
      </c>
      <c r="E237" s="6" t="str">
        <f t="shared" si="0"/>
        <v>https://dto.kemkes.go.id/kfacode/91000606</v>
      </c>
    </row>
    <row r="238" spans="1:5" ht="15.75" customHeight="1">
      <c r="A238" s="2">
        <v>91000555</v>
      </c>
      <c r="B238" s="2" t="s">
        <v>295</v>
      </c>
      <c r="C238" s="2">
        <v>91000555</v>
      </c>
      <c r="D238" s="2" t="s">
        <v>29</v>
      </c>
      <c r="E238" s="6" t="str">
        <f t="shared" si="0"/>
        <v>https://dto.kemkes.go.id/kfacode/91000555</v>
      </c>
    </row>
    <row r="239" spans="1:5" ht="15.75" customHeight="1">
      <c r="A239" s="2">
        <v>91000456</v>
      </c>
      <c r="B239" s="2" t="s">
        <v>296</v>
      </c>
      <c r="C239" s="2">
        <v>91000456</v>
      </c>
      <c r="D239" s="2" t="s">
        <v>29</v>
      </c>
      <c r="E239" s="6" t="str">
        <f t="shared" si="0"/>
        <v>https://dto.kemkes.go.id/kfacode/91000456</v>
      </c>
    </row>
    <row r="240" spans="1:5" ht="15.75" customHeight="1">
      <c r="A240" s="2">
        <v>91000674</v>
      </c>
      <c r="B240" s="2" t="s">
        <v>297</v>
      </c>
      <c r="C240" s="2">
        <v>91000674</v>
      </c>
      <c r="D240" s="2" t="s">
        <v>29</v>
      </c>
      <c r="E240" s="6" t="str">
        <f t="shared" si="0"/>
        <v>https://dto.kemkes.go.id/kfacode/91000674</v>
      </c>
    </row>
    <row r="241" spans="1:5" ht="15.75" customHeight="1">
      <c r="A241" s="2">
        <v>91000675</v>
      </c>
      <c r="B241" s="2" t="s">
        <v>298</v>
      </c>
      <c r="C241" s="2">
        <v>91000675</v>
      </c>
      <c r="D241" s="2" t="s">
        <v>29</v>
      </c>
      <c r="E241" s="6" t="str">
        <f t="shared" si="0"/>
        <v>https://dto.kemkes.go.id/kfacode/91000675</v>
      </c>
    </row>
    <row r="242" spans="1:5" ht="15.75" customHeight="1">
      <c r="A242" s="2">
        <v>91000676</v>
      </c>
      <c r="B242" s="2" t="s">
        <v>299</v>
      </c>
      <c r="C242" s="2">
        <v>91000676</v>
      </c>
      <c r="D242" s="2" t="s">
        <v>29</v>
      </c>
      <c r="E242" s="6" t="str">
        <f t="shared" si="0"/>
        <v>https://dto.kemkes.go.id/kfacode/91000676</v>
      </c>
    </row>
    <row r="243" spans="1:5" ht="15.75" customHeight="1">
      <c r="A243" s="2">
        <v>91000677</v>
      </c>
      <c r="B243" s="2" t="s">
        <v>300</v>
      </c>
      <c r="C243" s="2">
        <v>91000677</v>
      </c>
      <c r="D243" s="2" t="s">
        <v>29</v>
      </c>
      <c r="E243" s="6" t="str">
        <f t="shared" si="0"/>
        <v>https://dto.kemkes.go.id/kfacode/91000677</v>
      </c>
    </row>
    <row r="244" spans="1:5" ht="15.75" customHeight="1">
      <c r="A244" s="2">
        <v>91000678</v>
      </c>
      <c r="B244" s="2" t="s">
        <v>301</v>
      </c>
      <c r="C244" s="2">
        <v>91000678</v>
      </c>
      <c r="D244" s="2" t="s">
        <v>29</v>
      </c>
      <c r="E244" s="6" t="str">
        <f t="shared" si="0"/>
        <v>https://dto.kemkes.go.id/kfacode/91000678</v>
      </c>
    </row>
    <row r="245" spans="1:5" ht="15.75" customHeight="1">
      <c r="A245" s="2">
        <v>91000602</v>
      </c>
      <c r="B245" s="2" t="s">
        <v>302</v>
      </c>
      <c r="C245" s="2">
        <v>91000602</v>
      </c>
      <c r="D245" s="2" t="s">
        <v>29</v>
      </c>
      <c r="E245" s="6" t="str">
        <f t="shared" si="0"/>
        <v>https://dto.kemkes.go.id/kfacode/91000602</v>
      </c>
    </row>
    <row r="246" spans="1:5" ht="15.75" customHeight="1">
      <c r="A246" s="2">
        <v>91000482</v>
      </c>
      <c r="B246" s="2" t="s">
        <v>303</v>
      </c>
      <c r="C246" s="2">
        <v>91000482</v>
      </c>
      <c r="D246" s="2" t="s">
        <v>29</v>
      </c>
      <c r="E246" s="6" t="str">
        <f t="shared" si="0"/>
        <v>https://dto.kemkes.go.id/kfacode/91000482</v>
      </c>
    </row>
    <row r="247" spans="1:5" ht="15.75" customHeight="1">
      <c r="A247" s="2">
        <v>91000516</v>
      </c>
      <c r="B247" s="2" t="s">
        <v>304</v>
      </c>
      <c r="C247" s="2">
        <v>91000516</v>
      </c>
      <c r="D247" s="2" t="s">
        <v>29</v>
      </c>
      <c r="E247" s="6" t="str">
        <f t="shared" si="0"/>
        <v>https://dto.kemkes.go.id/kfacode/91000516</v>
      </c>
    </row>
    <row r="248" spans="1:5" ht="15.75" customHeight="1">
      <c r="A248" s="2">
        <v>91000599</v>
      </c>
      <c r="B248" s="2" t="s">
        <v>305</v>
      </c>
      <c r="C248" s="2">
        <v>91000599</v>
      </c>
      <c r="D248" s="2" t="s">
        <v>29</v>
      </c>
      <c r="E248" s="6" t="str">
        <f t="shared" si="0"/>
        <v>https://dto.kemkes.go.id/kfacode/91000599</v>
      </c>
    </row>
    <row r="249" spans="1:5" ht="15.75" customHeight="1">
      <c r="A249" s="2">
        <v>91000244</v>
      </c>
      <c r="B249" s="2" t="s">
        <v>306</v>
      </c>
      <c r="C249" s="2">
        <v>91000244</v>
      </c>
      <c r="D249" s="2" t="s">
        <v>29</v>
      </c>
      <c r="E249" s="6" t="str">
        <f t="shared" si="0"/>
        <v>https://dto.kemkes.go.id/kfacode/91000244</v>
      </c>
    </row>
    <row r="250" spans="1:5" ht="15.75" customHeight="1">
      <c r="A250" s="2">
        <v>91000540</v>
      </c>
      <c r="B250" s="2" t="s">
        <v>307</v>
      </c>
      <c r="C250" s="2">
        <v>91000540</v>
      </c>
      <c r="D250" s="2" t="s">
        <v>29</v>
      </c>
      <c r="E250" s="6" t="str">
        <f t="shared" si="0"/>
        <v>https://dto.kemkes.go.id/kfacode/91000540</v>
      </c>
    </row>
    <row r="251" spans="1:5" ht="15.75" customHeight="1">
      <c r="A251" s="2">
        <v>91000411</v>
      </c>
      <c r="B251" s="2" t="s">
        <v>308</v>
      </c>
      <c r="C251" s="2">
        <v>91000411</v>
      </c>
      <c r="D251" s="2" t="s">
        <v>29</v>
      </c>
      <c r="E251" s="6" t="str">
        <f t="shared" si="0"/>
        <v>https://dto.kemkes.go.id/kfacode/91000411</v>
      </c>
    </row>
    <row r="252" spans="1:5" ht="15.75" customHeight="1">
      <c r="A252" s="2">
        <v>91000107</v>
      </c>
      <c r="B252" s="2" t="s">
        <v>309</v>
      </c>
      <c r="C252" s="2">
        <v>91000107</v>
      </c>
      <c r="D252" s="2" t="s">
        <v>29</v>
      </c>
      <c r="E252" s="6" t="str">
        <f t="shared" si="0"/>
        <v>https://dto.kemkes.go.id/kfacode/91000107</v>
      </c>
    </row>
    <row r="253" spans="1:5" ht="15.75" customHeight="1">
      <c r="A253" s="2">
        <v>91000479</v>
      </c>
      <c r="B253" s="2" t="s">
        <v>310</v>
      </c>
      <c r="C253" s="2">
        <v>91000479</v>
      </c>
      <c r="D253" s="2" t="s">
        <v>29</v>
      </c>
      <c r="E253" s="6" t="str">
        <f t="shared" si="0"/>
        <v>https://dto.kemkes.go.id/kfacode/91000479</v>
      </c>
    </row>
    <row r="254" spans="1:5" ht="15.75" customHeight="1">
      <c r="A254" s="2">
        <v>91000251</v>
      </c>
      <c r="B254" s="2" t="s">
        <v>311</v>
      </c>
      <c r="C254" s="2">
        <v>91000251</v>
      </c>
      <c r="D254" s="2" t="s">
        <v>29</v>
      </c>
      <c r="E254" s="6" t="str">
        <f t="shared" si="0"/>
        <v>https://dto.kemkes.go.id/kfacode/91000251</v>
      </c>
    </row>
    <row r="255" spans="1:5" ht="15.75" customHeight="1">
      <c r="A255" s="2">
        <v>91000134</v>
      </c>
      <c r="B255" s="2" t="s">
        <v>312</v>
      </c>
      <c r="C255" s="2">
        <v>91000134</v>
      </c>
      <c r="D255" s="2" t="s">
        <v>29</v>
      </c>
      <c r="E255" s="6" t="str">
        <f t="shared" si="0"/>
        <v>https://dto.kemkes.go.id/kfacode/91000134</v>
      </c>
    </row>
    <row r="256" spans="1:5" ht="15.75" customHeight="1">
      <c r="A256" s="2">
        <v>91000157</v>
      </c>
      <c r="B256" s="2" t="s">
        <v>313</v>
      </c>
      <c r="C256" s="2">
        <v>91000157</v>
      </c>
      <c r="D256" s="2" t="s">
        <v>29</v>
      </c>
      <c r="E256" s="6" t="str">
        <f t="shared" si="0"/>
        <v>https://dto.kemkes.go.id/kfacode/91000157</v>
      </c>
    </row>
    <row r="257" spans="1:5" ht="15.75" customHeight="1">
      <c r="A257" s="2">
        <v>91000413</v>
      </c>
      <c r="B257" s="2" t="s">
        <v>314</v>
      </c>
      <c r="C257" s="2">
        <v>91000413</v>
      </c>
      <c r="D257" s="2" t="s">
        <v>29</v>
      </c>
      <c r="E257" s="6" t="str">
        <f t="shared" si="0"/>
        <v>https://dto.kemkes.go.id/kfacode/91000413</v>
      </c>
    </row>
    <row r="258" spans="1:5" ht="15.75" customHeight="1">
      <c r="A258" s="2">
        <v>91000571</v>
      </c>
      <c r="B258" s="2" t="s">
        <v>315</v>
      </c>
      <c r="C258" s="2">
        <v>91000571</v>
      </c>
      <c r="D258" s="2" t="s">
        <v>29</v>
      </c>
      <c r="E258" s="6" t="str">
        <f t="shared" si="0"/>
        <v>https://dto.kemkes.go.id/kfacode/91000571</v>
      </c>
    </row>
    <row r="259" spans="1:5" ht="15.75" customHeight="1">
      <c r="A259" s="2">
        <v>91000311</v>
      </c>
      <c r="B259" s="2" t="s">
        <v>316</v>
      </c>
      <c r="C259" s="2">
        <v>91000311</v>
      </c>
      <c r="D259" s="2" t="s">
        <v>29</v>
      </c>
      <c r="E259" s="6" t="str">
        <f t="shared" si="0"/>
        <v>https://dto.kemkes.go.id/kfacode/91000311</v>
      </c>
    </row>
    <row r="260" spans="1:5" ht="15.75" customHeight="1">
      <c r="A260" s="2">
        <v>91000312</v>
      </c>
      <c r="B260" s="2" t="s">
        <v>317</v>
      </c>
      <c r="C260" s="2">
        <v>91000312</v>
      </c>
      <c r="D260" s="2" t="s">
        <v>29</v>
      </c>
      <c r="E260" s="6" t="str">
        <f t="shared" si="0"/>
        <v>https://dto.kemkes.go.id/kfacode/91000312</v>
      </c>
    </row>
    <row r="261" spans="1:5" ht="15.75" customHeight="1">
      <c r="A261" s="2">
        <v>91000698</v>
      </c>
      <c r="B261" s="2" t="s">
        <v>318</v>
      </c>
      <c r="C261" s="2">
        <v>91000698</v>
      </c>
      <c r="D261" s="2" t="s">
        <v>29</v>
      </c>
      <c r="E261" s="6" t="str">
        <f t="shared" si="0"/>
        <v>https://dto.kemkes.go.id/kfacode/91000698</v>
      </c>
    </row>
    <row r="262" spans="1:5" ht="15.75" customHeight="1">
      <c r="A262" s="2">
        <v>91000162</v>
      </c>
      <c r="B262" s="2" t="s">
        <v>319</v>
      </c>
      <c r="C262" s="2">
        <v>91000162</v>
      </c>
      <c r="D262" s="2" t="s">
        <v>29</v>
      </c>
      <c r="E262" s="6" t="str">
        <f t="shared" si="0"/>
        <v>https://dto.kemkes.go.id/kfacode/91000162</v>
      </c>
    </row>
    <row r="263" spans="1:5" ht="15.75" customHeight="1">
      <c r="A263" s="2">
        <v>91000627</v>
      </c>
      <c r="B263" s="2" t="s">
        <v>320</v>
      </c>
      <c r="C263" s="2">
        <v>91000627</v>
      </c>
      <c r="D263" s="2" t="s">
        <v>29</v>
      </c>
      <c r="E263" s="6" t="str">
        <f t="shared" si="0"/>
        <v>https://dto.kemkes.go.id/kfacode/91000627</v>
      </c>
    </row>
    <row r="264" spans="1:5" ht="15.75" customHeight="1">
      <c r="A264" s="2">
        <v>91000398</v>
      </c>
      <c r="B264" s="2" t="s">
        <v>321</v>
      </c>
      <c r="C264" s="2">
        <v>91000398</v>
      </c>
      <c r="D264" s="2" t="s">
        <v>29</v>
      </c>
      <c r="E264" s="6" t="str">
        <f t="shared" si="0"/>
        <v>https://dto.kemkes.go.id/kfacode/91000398</v>
      </c>
    </row>
    <row r="265" spans="1:5" ht="15.75" customHeight="1">
      <c r="A265" s="2">
        <v>91000429</v>
      </c>
      <c r="B265" s="2" t="s">
        <v>322</v>
      </c>
      <c r="C265" s="2">
        <v>91000429</v>
      </c>
      <c r="D265" s="2" t="s">
        <v>29</v>
      </c>
      <c r="E265" s="6" t="str">
        <f t="shared" si="0"/>
        <v>https://dto.kemkes.go.id/kfacode/91000429</v>
      </c>
    </row>
    <row r="266" spans="1:5" ht="15.75" customHeight="1">
      <c r="A266" s="2">
        <v>91000422</v>
      </c>
      <c r="B266" s="2" t="s">
        <v>323</v>
      </c>
      <c r="C266" s="2">
        <v>91000422</v>
      </c>
      <c r="D266" s="2" t="s">
        <v>29</v>
      </c>
      <c r="E266" s="6" t="str">
        <f t="shared" si="0"/>
        <v>https://dto.kemkes.go.id/kfacode/91000422</v>
      </c>
    </row>
    <row r="267" spans="1:5" ht="15.75" customHeight="1">
      <c r="A267" s="2">
        <v>91000185</v>
      </c>
      <c r="B267" s="2" t="s">
        <v>324</v>
      </c>
      <c r="C267" s="2">
        <v>91000185</v>
      </c>
      <c r="D267" s="2" t="s">
        <v>29</v>
      </c>
      <c r="E267" s="6" t="str">
        <f t="shared" si="0"/>
        <v>https://dto.kemkes.go.id/kfacode/91000185</v>
      </c>
    </row>
    <row r="268" spans="1:5" ht="15.75" customHeight="1">
      <c r="A268" s="2">
        <v>91000182</v>
      </c>
      <c r="B268" s="2" t="s">
        <v>325</v>
      </c>
      <c r="C268" s="2">
        <v>91000182</v>
      </c>
      <c r="D268" s="2" t="s">
        <v>29</v>
      </c>
      <c r="E268" s="6" t="str">
        <f t="shared" si="0"/>
        <v>https://dto.kemkes.go.id/kfacode/91000182</v>
      </c>
    </row>
    <row r="269" spans="1:5" ht="15.75" customHeight="1">
      <c r="A269" s="2">
        <v>91000488</v>
      </c>
      <c r="B269" s="2" t="s">
        <v>326</v>
      </c>
      <c r="C269" s="2">
        <v>91000488</v>
      </c>
      <c r="D269" s="2" t="s">
        <v>29</v>
      </c>
      <c r="E269" s="6" t="str">
        <f t="shared" si="0"/>
        <v>https://dto.kemkes.go.id/kfacode/91000488</v>
      </c>
    </row>
    <row r="270" spans="1:5" ht="15.75" customHeight="1">
      <c r="A270" s="2">
        <v>91000236</v>
      </c>
      <c r="B270" s="2" t="s">
        <v>327</v>
      </c>
      <c r="C270" s="2">
        <v>91000236</v>
      </c>
      <c r="D270" s="2" t="s">
        <v>29</v>
      </c>
      <c r="E270" s="6" t="str">
        <f t="shared" si="0"/>
        <v>https://dto.kemkes.go.id/kfacode/91000236</v>
      </c>
    </row>
    <row r="271" spans="1:5" ht="15.75" customHeight="1">
      <c r="A271" s="2">
        <v>91000229</v>
      </c>
      <c r="B271" s="2" t="s">
        <v>328</v>
      </c>
      <c r="C271" s="2">
        <v>91000229</v>
      </c>
      <c r="D271" s="2" t="s">
        <v>29</v>
      </c>
      <c r="E271" s="6" t="str">
        <f t="shared" si="0"/>
        <v>https://dto.kemkes.go.id/kfacode/91000229</v>
      </c>
    </row>
    <row r="272" spans="1:5" ht="15.75" customHeight="1">
      <c r="A272" s="2">
        <v>91000439</v>
      </c>
      <c r="B272" s="2" t="s">
        <v>329</v>
      </c>
      <c r="C272" s="2">
        <v>91000439</v>
      </c>
      <c r="D272" s="2" t="s">
        <v>29</v>
      </c>
      <c r="E272" s="6" t="str">
        <f t="shared" si="0"/>
        <v>https://dto.kemkes.go.id/kfacode/91000439</v>
      </c>
    </row>
    <row r="273" spans="1:5" ht="15.75" customHeight="1">
      <c r="A273" s="2">
        <v>91000495</v>
      </c>
      <c r="B273" s="2" t="s">
        <v>330</v>
      </c>
      <c r="C273" s="2">
        <v>91000495</v>
      </c>
      <c r="D273" s="2" t="s">
        <v>29</v>
      </c>
      <c r="E273" s="6" t="str">
        <f t="shared" si="0"/>
        <v>https://dto.kemkes.go.id/kfacode/91000495</v>
      </c>
    </row>
    <row r="274" spans="1:5" ht="15.75" customHeight="1">
      <c r="A274" s="2">
        <v>91000159</v>
      </c>
      <c r="B274" s="2" t="s">
        <v>331</v>
      </c>
      <c r="C274" s="2">
        <v>91000159</v>
      </c>
      <c r="D274" s="2" t="s">
        <v>29</v>
      </c>
      <c r="E274" s="6" t="str">
        <f t="shared" si="0"/>
        <v>https://dto.kemkes.go.id/kfacode/91000159</v>
      </c>
    </row>
    <row r="275" spans="1:5" ht="15.75" customHeight="1">
      <c r="A275" s="2">
        <v>91000238</v>
      </c>
      <c r="B275" s="2" t="s">
        <v>332</v>
      </c>
      <c r="C275" s="2">
        <v>91000238</v>
      </c>
      <c r="D275" s="2" t="s">
        <v>29</v>
      </c>
      <c r="E275" s="6" t="str">
        <f t="shared" si="0"/>
        <v>https://dto.kemkes.go.id/kfacode/91000238</v>
      </c>
    </row>
    <row r="276" spans="1:5" ht="15.75" customHeight="1">
      <c r="A276" s="2">
        <v>91000430</v>
      </c>
      <c r="B276" s="2" t="s">
        <v>333</v>
      </c>
      <c r="C276" s="2">
        <v>91000430</v>
      </c>
      <c r="D276" s="2" t="s">
        <v>29</v>
      </c>
      <c r="E276" s="6" t="str">
        <f t="shared" si="0"/>
        <v>https://dto.kemkes.go.id/kfacode/91000430</v>
      </c>
    </row>
    <row r="277" spans="1:5" ht="15.75" customHeight="1">
      <c r="A277" s="2">
        <v>91000421</v>
      </c>
      <c r="B277" s="2" t="s">
        <v>334</v>
      </c>
      <c r="C277" s="2">
        <v>91000421</v>
      </c>
      <c r="D277" s="2" t="s">
        <v>29</v>
      </c>
      <c r="E277" s="6" t="str">
        <f t="shared" si="0"/>
        <v>https://dto.kemkes.go.id/kfacode/91000421</v>
      </c>
    </row>
    <row r="278" spans="1:5" ht="15.75" customHeight="1">
      <c r="A278" s="2">
        <v>91000450</v>
      </c>
      <c r="B278" s="2" t="s">
        <v>335</v>
      </c>
      <c r="C278" s="2">
        <v>91000450</v>
      </c>
      <c r="D278" s="2" t="s">
        <v>29</v>
      </c>
      <c r="E278" s="6" t="str">
        <f t="shared" si="0"/>
        <v>https://dto.kemkes.go.id/kfacode/91000450</v>
      </c>
    </row>
    <row r="279" spans="1:5" ht="15.75" customHeight="1">
      <c r="A279" s="2">
        <v>91000328</v>
      </c>
      <c r="B279" s="2" t="s">
        <v>336</v>
      </c>
      <c r="C279" s="2">
        <v>91000328</v>
      </c>
      <c r="D279" s="2" t="s">
        <v>29</v>
      </c>
      <c r="E279" s="6" t="str">
        <f t="shared" si="0"/>
        <v>https://dto.kemkes.go.id/kfacode/91000328</v>
      </c>
    </row>
    <row r="280" spans="1:5" ht="15.75" customHeight="1">
      <c r="A280" s="2">
        <v>91000137</v>
      </c>
      <c r="B280" s="2" t="s">
        <v>337</v>
      </c>
      <c r="C280" s="2">
        <v>91000137</v>
      </c>
      <c r="D280" s="2" t="s">
        <v>29</v>
      </c>
      <c r="E280" s="6" t="str">
        <f t="shared" si="0"/>
        <v>https://dto.kemkes.go.id/kfacode/91000137</v>
      </c>
    </row>
    <row r="281" spans="1:5" ht="15.75" customHeight="1">
      <c r="A281" s="2">
        <v>91000337</v>
      </c>
      <c r="B281" s="2" t="s">
        <v>338</v>
      </c>
      <c r="C281" s="2">
        <v>91000337</v>
      </c>
      <c r="D281" s="2" t="s">
        <v>29</v>
      </c>
      <c r="E281" s="6" t="str">
        <f t="shared" si="0"/>
        <v>https://dto.kemkes.go.id/kfacode/91000337</v>
      </c>
    </row>
    <row r="282" spans="1:5" ht="15.75" customHeight="1">
      <c r="A282" s="2">
        <v>91000652</v>
      </c>
      <c r="B282" s="2" t="s">
        <v>339</v>
      </c>
      <c r="C282" s="2">
        <v>91000652</v>
      </c>
      <c r="D282" s="2" t="s">
        <v>29</v>
      </c>
      <c r="E282" s="6" t="str">
        <f t="shared" si="0"/>
        <v>https://dto.kemkes.go.id/kfacode/91000652</v>
      </c>
    </row>
    <row r="283" spans="1:5" ht="15.75" customHeight="1">
      <c r="A283" s="2">
        <v>91000228</v>
      </c>
      <c r="B283" s="2" t="s">
        <v>340</v>
      </c>
      <c r="C283" s="2">
        <v>91000228</v>
      </c>
      <c r="D283" s="2" t="s">
        <v>29</v>
      </c>
      <c r="E283" s="6" t="str">
        <f t="shared" si="0"/>
        <v>https://dto.kemkes.go.id/kfacode/91000228</v>
      </c>
    </row>
    <row r="284" spans="1:5" ht="15.75" customHeight="1">
      <c r="A284" s="2">
        <v>91000266</v>
      </c>
      <c r="B284" s="2" t="s">
        <v>341</v>
      </c>
      <c r="C284" s="2">
        <v>91000266</v>
      </c>
      <c r="D284" s="2" t="s">
        <v>29</v>
      </c>
      <c r="E284" s="6" t="str">
        <f t="shared" si="0"/>
        <v>https://dto.kemkes.go.id/kfacode/91000266</v>
      </c>
    </row>
    <row r="285" spans="1:5" ht="15.75" customHeight="1">
      <c r="A285" s="2">
        <v>91000342</v>
      </c>
      <c r="B285" s="2" t="s">
        <v>342</v>
      </c>
      <c r="C285" s="2">
        <v>91000342</v>
      </c>
      <c r="D285" s="2" t="s">
        <v>29</v>
      </c>
      <c r="E285" s="6" t="str">
        <f t="shared" si="0"/>
        <v>https://dto.kemkes.go.id/kfacode/91000342</v>
      </c>
    </row>
    <row r="286" spans="1:5" ht="15.75" customHeight="1">
      <c r="A286" s="2">
        <v>91000483</v>
      </c>
      <c r="B286" s="2" t="s">
        <v>343</v>
      </c>
      <c r="C286" s="2">
        <v>91000483</v>
      </c>
      <c r="D286" s="2" t="s">
        <v>29</v>
      </c>
      <c r="E286" s="6" t="str">
        <f t="shared" si="0"/>
        <v>https://dto.kemkes.go.id/kfacode/91000483</v>
      </c>
    </row>
    <row r="287" spans="1:5" ht="15.75" customHeight="1">
      <c r="A287" s="2">
        <v>91000603</v>
      </c>
      <c r="B287" s="2" t="s">
        <v>344</v>
      </c>
      <c r="C287" s="2">
        <v>91000603</v>
      </c>
      <c r="D287" s="2" t="s">
        <v>29</v>
      </c>
      <c r="E287" s="6" t="str">
        <f t="shared" si="0"/>
        <v>https://dto.kemkes.go.id/kfacode/91000603</v>
      </c>
    </row>
    <row r="288" spans="1:5" ht="15.75" customHeight="1">
      <c r="A288" s="2">
        <v>91000670</v>
      </c>
      <c r="B288" s="2" t="s">
        <v>345</v>
      </c>
      <c r="C288" s="2">
        <v>91000670</v>
      </c>
      <c r="D288" s="2" t="s">
        <v>29</v>
      </c>
      <c r="E288" s="6" t="str">
        <f t="shared" si="0"/>
        <v>https://dto.kemkes.go.id/kfacode/91000670</v>
      </c>
    </row>
    <row r="289" spans="1:5" ht="15.75" customHeight="1">
      <c r="A289" s="2">
        <v>91000671</v>
      </c>
      <c r="B289" s="2" t="s">
        <v>346</v>
      </c>
      <c r="C289" s="2">
        <v>91000671</v>
      </c>
      <c r="D289" s="2" t="s">
        <v>29</v>
      </c>
      <c r="E289" s="6" t="str">
        <f t="shared" si="0"/>
        <v>https://dto.kemkes.go.id/kfacode/91000671</v>
      </c>
    </row>
    <row r="290" spans="1:5" ht="15.75" customHeight="1">
      <c r="A290" s="2">
        <v>91000672</v>
      </c>
      <c r="B290" s="2" t="s">
        <v>347</v>
      </c>
      <c r="C290" s="2">
        <v>91000672</v>
      </c>
      <c r="D290" s="2" t="s">
        <v>29</v>
      </c>
      <c r="E290" s="6" t="str">
        <f t="shared" si="0"/>
        <v>https://dto.kemkes.go.id/kfacode/91000672</v>
      </c>
    </row>
    <row r="291" spans="1:5" ht="15.75" customHeight="1">
      <c r="A291" s="2">
        <v>91000669</v>
      </c>
      <c r="B291" s="2" t="s">
        <v>348</v>
      </c>
      <c r="C291" s="2">
        <v>91000669</v>
      </c>
      <c r="D291" s="2" t="s">
        <v>29</v>
      </c>
      <c r="E291" s="6" t="str">
        <f t="shared" si="0"/>
        <v>https://dto.kemkes.go.id/kfacode/91000669</v>
      </c>
    </row>
    <row r="292" spans="1:5" ht="15.75" customHeight="1">
      <c r="A292" s="2">
        <v>91000348</v>
      </c>
      <c r="B292" s="2" t="s">
        <v>349</v>
      </c>
      <c r="C292" s="2">
        <v>91000348</v>
      </c>
      <c r="D292" s="2" t="s">
        <v>29</v>
      </c>
      <c r="E292" s="6" t="str">
        <f t="shared" si="0"/>
        <v>https://dto.kemkes.go.id/kfacode/91000348</v>
      </c>
    </row>
    <row r="293" spans="1:5" ht="15.75" customHeight="1">
      <c r="A293" s="2">
        <v>91000216</v>
      </c>
      <c r="B293" s="2" t="s">
        <v>350</v>
      </c>
      <c r="C293" s="2">
        <v>91000216</v>
      </c>
      <c r="D293" s="2" t="s">
        <v>29</v>
      </c>
      <c r="E293" s="6" t="str">
        <f t="shared" si="0"/>
        <v>https://dto.kemkes.go.id/kfacode/91000216</v>
      </c>
    </row>
    <row r="294" spans="1:5" ht="15.75" customHeight="1">
      <c r="A294" s="2">
        <v>91000499</v>
      </c>
      <c r="B294" s="2" t="s">
        <v>351</v>
      </c>
      <c r="C294" s="2">
        <v>91000499</v>
      </c>
      <c r="D294" s="2" t="s">
        <v>29</v>
      </c>
      <c r="E294" s="6" t="str">
        <f t="shared" si="0"/>
        <v>https://dto.kemkes.go.id/kfacode/91000499</v>
      </c>
    </row>
    <row r="295" spans="1:5" ht="15.75" customHeight="1">
      <c r="A295" s="2">
        <v>91000252</v>
      </c>
      <c r="B295" s="2" t="s">
        <v>352</v>
      </c>
      <c r="C295" s="2">
        <v>91000252</v>
      </c>
      <c r="D295" s="2" t="s">
        <v>29</v>
      </c>
      <c r="E295" s="6" t="str">
        <f t="shared" si="0"/>
        <v>https://dto.kemkes.go.id/kfacode/91000252</v>
      </c>
    </row>
    <row r="296" spans="1:5" ht="15.75" customHeight="1">
      <c r="A296" s="2">
        <v>91000573</v>
      </c>
      <c r="B296" s="2" t="s">
        <v>353</v>
      </c>
      <c r="C296" s="2">
        <v>91000573</v>
      </c>
      <c r="D296" s="2" t="s">
        <v>29</v>
      </c>
      <c r="E296" s="6" t="str">
        <f t="shared" si="0"/>
        <v>https://dto.kemkes.go.id/kfacode/91000573</v>
      </c>
    </row>
    <row r="297" spans="1:5" ht="15.75" customHeight="1">
      <c r="A297" s="2">
        <v>91000197</v>
      </c>
      <c r="B297" s="2" t="s">
        <v>354</v>
      </c>
      <c r="C297" s="2">
        <v>91000197</v>
      </c>
      <c r="D297" s="2" t="s">
        <v>29</v>
      </c>
      <c r="E297" s="6" t="str">
        <f t="shared" si="0"/>
        <v>https://dto.kemkes.go.id/kfacode/91000197</v>
      </c>
    </row>
    <row r="298" spans="1:5" ht="15.75" customHeight="1">
      <c r="A298" s="2">
        <v>91000708</v>
      </c>
      <c r="B298" s="2" t="s">
        <v>355</v>
      </c>
      <c r="C298" s="2">
        <v>91000708</v>
      </c>
      <c r="D298" s="2" t="s">
        <v>29</v>
      </c>
      <c r="E298" s="6" t="str">
        <f t="shared" si="0"/>
        <v>https://dto.kemkes.go.id/kfacode/91000708</v>
      </c>
    </row>
    <row r="299" spans="1:5" ht="15.75" customHeight="1">
      <c r="A299" s="2">
        <v>91000383</v>
      </c>
      <c r="B299" s="2" t="s">
        <v>356</v>
      </c>
      <c r="C299" s="2">
        <v>91000383</v>
      </c>
      <c r="D299" s="2" t="s">
        <v>29</v>
      </c>
      <c r="E299" s="6" t="str">
        <f t="shared" si="0"/>
        <v>https://dto.kemkes.go.id/kfacode/91000383</v>
      </c>
    </row>
    <row r="300" spans="1:5" ht="15.75" customHeight="1">
      <c r="A300" s="2">
        <v>91000642</v>
      </c>
      <c r="B300" s="2" t="s">
        <v>357</v>
      </c>
      <c r="C300" s="2">
        <v>91000642</v>
      </c>
      <c r="D300" s="2" t="s">
        <v>29</v>
      </c>
      <c r="E300" s="6" t="str">
        <f t="shared" si="0"/>
        <v>https://dto.kemkes.go.id/kfacode/91000642</v>
      </c>
    </row>
    <row r="301" spans="1:5" ht="15.75" customHeight="1">
      <c r="A301" s="2">
        <v>91000449</v>
      </c>
      <c r="B301" s="2" t="s">
        <v>358</v>
      </c>
      <c r="C301" s="2">
        <v>91000449</v>
      </c>
      <c r="D301" s="2" t="s">
        <v>29</v>
      </c>
      <c r="E301" s="6" t="str">
        <f t="shared" si="0"/>
        <v>https://dto.kemkes.go.id/kfacode/91000449</v>
      </c>
    </row>
    <row r="302" spans="1:5" ht="15.75" customHeight="1">
      <c r="A302" s="2">
        <v>91000466</v>
      </c>
      <c r="B302" s="2" t="s">
        <v>359</v>
      </c>
      <c r="C302" s="2">
        <v>91000466</v>
      </c>
      <c r="D302" s="2" t="s">
        <v>29</v>
      </c>
      <c r="E302" s="6" t="str">
        <f t="shared" si="0"/>
        <v>https://dto.kemkes.go.id/kfacode/91000466</v>
      </c>
    </row>
    <row r="303" spans="1:5" ht="15.75" customHeight="1">
      <c r="A303" s="2">
        <v>91000346</v>
      </c>
      <c r="B303" s="2" t="s">
        <v>360</v>
      </c>
      <c r="C303" s="2">
        <v>91000346</v>
      </c>
      <c r="D303" s="2" t="s">
        <v>29</v>
      </c>
      <c r="E303" s="6" t="str">
        <f t="shared" si="0"/>
        <v>https://dto.kemkes.go.id/kfacode/91000346</v>
      </c>
    </row>
    <row r="304" spans="1:5" ht="15.75" customHeight="1">
      <c r="A304" s="2">
        <v>91000437</v>
      </c>
      <c r="B304" s="2" t="s">
        <v>361</v>
      </c>
      <c r="C304" s="2">
        <v>91000437</v>
      </c>
      <c r="D304" s="2" t="s">
        <v>29</v>
      </c>
      <c r="E304" s="6" t="str">
        <f t="shared" si="0"/>
        <v>https://dto.kemkes.go.id/kfacode/91000437</v>
      </c>
    </row>
    <row r="305" spans="1:5" ht="15.75" customHeight="1">
      <c r="A305" s="2">
        <v>91000531</v>
      </c>
      <c r="B305" s="2" t="s">
        <v>362</v>
      </c>
      <c r="C305" s="2">
        <v>91000531</v>
      </c>
      <c r="D305" s="2" t="s">
        <v>29</v>
      </c>
      <c r="E305" s="6" t="str">
        <f t="shared" si="0"/>
        <v>https://dto.kemkes.go.id/kfacode/91000531</v>
      </c>
    </row>
    <row r="306" spans="1:5" ht="15.75" customHeight="1">
      <c r="A306" s="2">
        <v>91000226</v>
      </c>
      <c r="B306" s="2" t="s">
        <v>363</v>
      </c>
      <c r="C306" s="2">
        <v>91000226</v>
      </c>
      <c r="D306" s="2" t="s">
        <v>29</v>
      </c>
      <c r="E306" s="6" t="str">
        <f t="shared" si="0"/>
        <v>https://dto.kemkes.go.id/kfacode/91000226</v>
      </c>
    </row>
    <row r="307" spans="1:5" ht="15.75" customHeight="1">
      <c r="A307" s="2">
        <v>91000136</v>
      </c>
      <c r="B307" s="2" t="s">
        <v>364</v>
      </c>
      <c r="C307" s="2">
        <v>91000136</v>
      </c>
      <c r="D307" s="2" t="s">
        <v>29</v>
      </c>
      <c r="E307" s="6" t="str">
        <f t="shared" si="0"/>
        <v>https://dto.kemkes.go.id/kfacode/91000136</v>
      </c>
    </row>
    <row r="308" spans="1:5" ht="15.75" customHeight="1">
      <c r="A308" s="2">
        <v>91000401</v>
      </c>
      <c r="B308" s="2" t="s">
        <v>365</v>
      </c>
      <c r="C308" s="2">
        <v>91000401</v>
      </c>
      <c r="D308" s="2" t="s">
        <v>29</v>
      </c>
      <c r="E308" s="6" t="str">
        <f t="shared" si="0"/>
        <v>https://dto.kemkes.go.id/kfacode/91000401</v>
      </c>
    </row>
    <row r="309" spans="1:5" ht="15.75" customHeight="1">
      <c r="A309" s="2">
        <v>91000286</v>
      </c>
      <c r="B309" s="2" t="s">
        <v>366</v>
      </c>
      <c r="C309" s="2">
        <v>91000286</v>
      </c>
      <c r="D309" s="2" t="s">
        <v>29</v>
      </c>
      <c r="E309" s="6" t="str">
        <f t="shared" si="0"/>
        <v>https://dto.kemkes.go.id/kfacode/91000286</v>
      </c>
    </row>
    <row r="310" spans="1:5" ht="15.75" customHeight="1">
      <c r="A310" s="2">
        <v>91000267</v>
      </c>
      <c r="B310" s="2" t="s">
        <v>367</v>
      </c>
      <c r="C310" s="2">
        <v>91000267</v>
      </c>
      <c r="D310" s="2" t="s">
        <v>29</v>
      </c>
      <c r="E310" s="6" t="str">
        <f t="shared" si="0"/>
        <v>https://dto.kemkes.go.id/kfacode/91000267</v>
      </c>
    </row>
    <row r="311" spans="1:5" ht="15.75" customHeight="1">
      <c r="A311" s="2">
        <v>91000494</v>
      </c>
      <c r="B311" s="2" t="s">
        <v>368</v>
      </c>
      <c r="C311" s="2">
        <v>91000494</v>
      </c>
      <c r="D311" s="2" t="s">
        <v>29</v>
      </c>
      <c r="E311" s="6" t="str">
        <f t="shared" si="0"/>
        <v>https://dto.kemkes.go.id/kfacode/91000494</v>
      </c>
    </row>
    <row r="312" spans="1:5" ht="15.75" customHeight="1">
      <c r="A312" s="2">
        <v>91000211</v>
      </c>
      <c r="B312" s="2" t="s">
        <v>369</v>
      </c>
      <c r="C312" s="2">
        <v>91000211</v>
      </c>
      <c r="D312" s="2" t="s">
        <v>29</v>
      </c>
      <c r="E312" s="6" t="str">
        <f t="shared" si="0"/>
        <v>https://dto.kemkes.go.id/kfacode/91000211</v>
      </c>
    </row>
    <row r="313" spans="1:5" ht="15.75" customHeight="1">
      <c r="A313" s="2">
        <v>91000160</v>
      </c>
      <c r="B313" s="2" t="s">
        <v>370</v>
      </c>
      <c r="C313" s="2">
        <v>91000160</v>
      </c>
      <c r="D313" s="2" t="s">
        <v>29</v>
      </c>
      <c r="E313" s="6" t="str">
        <f t="shared" si="0"/>
        <v>https://dto.kemkes.go.id/kfacode/91000160</v>
      </c>
    </row>
    <row r="314" spans="1:5" ht="15.75" customHeight="1">
      <c r="A314" s="2">
        <v>91000255</v>
      </c>
      <c r="B314" s="2" t="s">
        <v>371</v>
      </c>
      <c r="C314" s="2">
        <v>91000255</v>
      </c>
      <c r="D314" s="2" t="s">
        <v>29</v>
      </c>
      <c r="E314" s="6" t="str">
        <f t="shared" si="0"/>
        <v>https://dto.kemkes.go.id/kfacode/91000255</v>
      </c>
    </row>
    <row r="315" spans="1:5" ht="15.75" customHeight="1">
      <c r="A315" s="2">
        <v>91000601</v>
      </c>
      <c r="B315" s="2" t="s">
        <v>372</v>
      </c>
      <c r="C315" s="2">
        <v>91000601</v>
      </c>
      <c r="D315" s="2" t="s">
        <v>29</v>
      </c>
      <c r="E315" s="6" t="str">
        <f t="shared" si="0"/>
        <v>https://dto.kemkes.go.id/kfacode/91000601</v>
      </c>
    </row>
    <row r="316" spans="1:5" ht="15.75" customHeight="1">
      <c r="A316" s="2">
        <v>91000546</v>
      </c>
      <c r="B316" s="2" t="s">
        <v>373</v>
      </c>
      <c r="C316" s="2">
        <v>91000546</v>
      </c>
      <c r="D316" s="2" t="s">
        <v>29</v>
      </c>
      <c r="E316" s="6" t="str">
        <f t="shared" si="0"/>
        <v>https://dto.kemkes.go.id/kfacode/91000546</v>
      </c>
    </row>
    <row r="317" spans="1:5" ht="15.75" customHeight="1">
      <c r="A317" s="2">
        <v>91000453</v>
      </c>
      <c r="B317" s="2" t="s">
        <v>374</v>
      </c>
      <c r="C317" s="2">
        <v>91000453</v>
      </c>
      <c r="D317" s="2" t="s">
        <v>29</v>
      </c>
      <c r="E317" s="6" t="str">
        <f t="shared" si="0"/>
        <v>https://dto.kemkes.go.id/kfacode/91000453</v>
      </c>
    </row>
    <row r="318" spans="1:5" ht="15.75" customHeight="1">
      <c r="A318" s="2">
        <v>91000458</v>
      </c>
      <c r="B318" s="2" t="s">
        <v>375</v>
      </c>
      <c r="C318" s="2">
        <v>91000458</v>
      </c>
      <c r="D318" s="2" t="s">
        <v>29</v>
      </c>
      <c r="E318" s="6" t="str">
        <f t="shared" si="0"/>
        <v>https://dto.kemkes.go.id/kfacode/91000458</v>
      </c>
    </row>
    <row r="319" spans="1:5" ht="15.75" customHeight="1">
      <c r="A319" s="2">
        <v>91000618</v>
      </c>
      <c r="B319" s="2" t="s">
        <v>376</v>
      </c>
      <c r="C319" s="2">
        <v>91000618</v>
      </c>
      <c r="D319" s="2" t="s">
        <v>29</v>
      </c>
      <c r="E319" s="6" t="str">
        <f t="shared" si="0"/>
        <v>https://dto.kemkes.go.id/kfacode/91000618</v>
      </c>
    </row>
    <row r="320" spans="1:5" ht="15.75" customHeight="1">
      <c r="A320" s="2">
        <v>91000612</v>
      </c>
      <c r="B320" s="2" t="s">
        <v>377</v>
      </c>
      <c r="C320" s="2">
        <v>91000612</v>
      </c>
      <c r="D320" s="2" t="s">
        <v>29</v>
      </c>
      <c r="E320" s="6" t="str">
        <f t="shared" si="0"/>
        <v>https://dto.kemkes.go.id/kfacode/91000612</v>
      </c>
    </row>
    <row r="321" spans="1:5" ht="15.75" customHeight="1">
      <c r="A321" s="2">
        <v>91000360</v>
      </c>
      <c r="B321" s="2" t="s">
        <v>378</v>
      </c>
      <c r="C321" s="2">
        <v>91000360</v>
      </c>
      <c r="D321" s="2" t="s">
        <v>29</v>
      </c>
      <c r="E321" s="6" t="str">
        <f t="shared" si="0"/>
        <v>https://dto.kemkes.go.id/kfacode/91000360</v>
      </c>
    </row>
    <row r="322" spans="1:5" ht="15.75" customHeight="1">
      <c r="A322" s="2">
        <v>91000444</v>
      </c>
      <c r="B322" s="2" t="s">
        <v>379</v>
      </c>
      <c r="C322" s="2">
        <v>91000444</v>
      </c>
      <c r="D322" s="2" t="s">
        <v>29</v>
      </c>
      <c r="E322" s="6" t="str">
        <f t="shared" si="0"/>
        <v>https://dto.kemkes.go.id/kfacode/91000444</v>
      </c>
    </row>
    <row r="323" spans="1:5" ht="15.75" customHeight="1">
      <c r="A323" s="2">
        <v>91000617</v>
      </c>
      <c r="B323" s="2" t="s">
        <v>380</v>
      </c>
      <c r="C323" s="2">
        <v>91000617</v>
      </c>
      <c r="D323" s="2" t="s">
        <v>29</v>
      </c>
      <c r="E323" s="6" t="str">
        <f t="shared" si="0"/>
        <v>https://dto.kemkes.go.id/kfacode/91000617</v>
      </c>
    </row>
    <row r="324" spans="1:5" ht="15.75" customHeight="1">
      <c r="A324" s="2">
        <v>91000641</v>
      </c>
      <c r="B324" s="2" t="s">
        <v>381</v>
      </c>
      <c r="C324" s="2">
        <v>91000641</v>
      </c>
      <c r="D324" s="2" t="s">
        <v>29</v>
      </c>
      <c r="E324" s="6" t="str">
        <f t="shared" si="0"/>
        <v>https://dto.kemkes.go.id/kfacode/91000641</v>
      </c>
    </row>
    <row r="325" spans="1:5" ht="15.75" customHeight="1">
      <c r="A325" s="2">
        <v>91000113</v>
      </c>
      <c r="B325" s="2" t="s">
        <v>382</v>
      </c>
      <c r="C325" s="2">
        <v>91000113</v>
      </c>
      <c r="D325" s="2" t="s">
        <v>29</v>
      </c>
      <c r="E325" s="6" t="str">
        <f t="shared" si="0"/>
        <v>https://dto.kemkes.go.id/kfacode/91000113</v>
      </c>
    </row>
    <row r="326" spans="1:5" ht="15.75" customHeight="1">
      <c r="A326" s="2">
        <v>91000409</v>
      </c>
      <c r="B326" s="2" t="s">
        <v>383</v>
      </c>
      <c r="C326" s="2">
        <v>91000409</v>
      </c>
      <c r="D326" s="2" t="s">
        <v>29</v>
      </c>
      <c r="E326" s="6" t="str">
        <f t="shared" si="0"/>
        <v>https://dto.kemkes.go.id/kfacode/91000409</v>
      </c>
    </row>
    <row r="327" spans="1:5" ht="15.75" customHeight="1">
      <c r="A327" s="2">
        <v>91000196</v>
      </c>
      <c r="B327" s="2" t="s">
        <v>384</v>
      </c>
      <c r="C327" s="2">
        <v>91000196</v>
      </c>
      <c r="D327" s="2" t="s">
        <v>29</v>
      </c>
      <c r="E327" s="6" t="str">
        <f t="shared" si="0"/>
        <v>https://dto.kemkes.go.id/kfacode/91000196</v>
      </c>
    </row>
    <row r="328" spans="1:5" ht="15.75" customHeight="1">
      <c r="A328" s="2">
        <v>91000569</v>
      </c>
      <c r="B328" s="2" t="s">
        <v>385</v>
      </c>
      <c r="C328" s="2">
        <v>91000569</v>
      </c>
      <c r="D328" s="2" t="s">
        <v>29</v>
      </c>
      <c r="E328" s="6" t="str">
        <f t="shared" si="0"/>
        <v>https://dto.kemkes.go.id/kfacode/91000569</v>
      </c>
    </row>
    <row r="329" spans="1:5" ht="15.75" customHeight="1">
      <c r="A329" s="2">
        <v>91000239</v>
      </c>
      <c r="B329" s="2" t="s">
        <v>386</v>
      </c>
      <c r="C329" s="2">
        <v>91000239</v>
      </c>
      <c r="D329" s="2" t="s">
        <v>29</v>
      </c>
      <c r="E329" s="6" t="str">
        <f t="shared" si="0"/>
        <v>https://dto.kemkes.go.id/kfacode/91000239</v>
      </c>
    </row>
    <row r="330" spans="1:5" ht="15.75" customHeight="1">
      <c r="A330" s="2">
        <v>91000304</v>
      </c>
      <c r="B330" s="2" t="s">
        <v>387</v>
      </c>
      <c r="C330" s="2">
        <v>91000304</v>
      </c>
      <c r="D330" s="2" t="s">
        <v>29</v>
      </c>
      <c r="E330" s="6" t="str">
        <f t="shared" si="0"/>
        <v>https://dto.kemkes.go.id/kfacode/91000304</v>
      </c>
    </row>
    <row r="331" spans="1:5" ht="15.75" customHeight="1">
      <c r="A331" s="2">
        <v>91000105</v>
      </c>
      <c r="B331" s="2" t="s">
        <v>388</v>
      </c>
      <c r="C331" s="2">
        <v>91000105</v>
      </c>
      <c r="D331" s="2" t="s">
        <v>29</v>
      </c>
      <c r="E331" s="6" t="str">
        <f t="shared" si="0"/>
        <v>https://dto.kemkes.go.id/kfacode/91000105</v>
      </c>
    </row>
    <row r="332" spans="1:5" ht="15.75" customHeight="1">
      <c r="A332" s="2">
        <v>91000120</v>
      </c>
      <c r="B332" s="2" t="s">
        <v>389</v>
      </c>
      <c r="C332" s="2">
        <v>91000120</v>
      </c>
      <c r="D332" s="2" t="s">
        <v>29</v>
      </c>
      <c r="E332" s="6" t="str">
        <f t="shared" si="0"/>
        <v>https://dto.kemkes.go.id/kfacode/91000120</v>
      </c>
    </row>
    <row r="333" spans="1:5" ht="15.75" customHeight="1">
      <c r="A333" s="2">
        <v>91000230</v>
      </c>
      <c r="B333" s="2" t="s">
        <v>390</v>
      </c>
      <c r="C333" s="2">
        <v>91000230</v>
      </c>
      <c r="D333" s="2" t="s">
        <v>29</v>
      </c>
      <c r="E333" s="6" t="str">
        <f t="shared" si="0"/>
        <v>https://dto.kemkes.go.id/kfacode/91000230</v>
      </c>
    </row>
    <row r="334" spans="1:5" ht="15.75" customHeight="1">
      <c r="A334" s="2">
        <v>91000528</v>
      </c>
      <c r="B334" s="2" t="s">
        <v>391</v>
      </c>
      <c r="C334" s="2">
        <v>91000528</v>
      </c>
      <c r="D334" s="2" t="s">
        <v>29</v>
      </c>
      <c r="E334" s="6" t="str">
        <f t="shared" si="0"/>
        <v>https://dto.kemkes.go.id/kfacode/91000528</v>
      </c>
    </row>
    <row r="335" spans="1:5" ht="15.75" customHeight="1">
      <c r="A335" s="2">
        <v>91000493</v>
      </c>
      <c r="B335" s="2" t="s">
        <v>392</v>
      </c>
      <c r="C335" s="2">
        <v>91000493</v>
      </c>
      <c r="D335" s="2" t="s">
        <v>29</v>
      </c>
      <c r="E335" s="6" t="str">
        <f t="shared" si="0"/>
        <v>https://dto.kemkes.go.id/kfacode/91000493</v>
      </c>
    </row>
    <row r="336" spans="1:5" ht="15.75" customHeight="1">
      <c r="A336" s="2">
        <v>91000559</v>
      </c>
      <c r="B336" s="2" t="s">
        <v>393</v>
      </c>
      <c r="C336" s="2">
        <v>91000559</v>
      </c>
      <c r="D336" s="2" t="s">
        <v>29</v>
      </c>
      <c r="E336" s="6" t="str">
        <f t="shared" si="0"/>
        <v>https://dto.kemkes.go.id/kfacode/91000559</v>
      </c>
    </row>
    <row r="337" spans="1:5" ht="15.75" customHeight="1">
      <c r="A337" s="2">
        <v>91000560</v>
      </c>
      <c r="B337" s="2" t="s">
        <v>394</v>
      </c>
      <c r="C337" s="2">
        <v>91000560</v>
      </c>
      <c r="D337" s="2" t="s">
        <v>29</v>
      </c>
      <c r="E337" s="6" t="str">
        <f t="shared" si="0"/>
        <v>https://dto.kemkes.go.id/kfacode/91000560</v>
      </c>
    </row>
    <row r="338" spans="1:5" ht="15.75" customHeight="1">
      <c r="A338" s="2">
        <v>91000561</v>
      </c>
      <c r="B338" s="2" t="s">
        <v>395</v>
      </c>
      <c r="C338" s="2">
        <v>91000561</v>
      </c>
      <c r="D338" s="2" t="s">
        <v>29</v>
      </c>
      <c r="E338" s="6" t="str">
        <f t="shared" si="0"/>
        <v>https://dto.kemkes.go.id/kfacode/91000561</v>
      </c>
    </row>
    <row r="339" spans="1:5" ht="15.75" customHeight="1">
      <c r="A339" s="2">
        <v>91000562</v>
      </c>
      <c r="B339" s="2" t="s">
        <v>396</v>
      </c>
      <c r="C339" s="2">
        <v>91000562</v>
      </c>
      <c r="D339" s="2" t="s">
        <v>29</v>
      </c>
      <c r="E339" s="6" t="str">
        <f t="shared" si="0"/>
        <v>https://dto.kemkes.go.id/kfacode/91000562</v>
      </c>
    </row>
    <row r="340" spans="1:5" ht="15.75" customHeight="1">
      <c r="A340" s="2">
        <v>91000254</v>
      </c>
      <c r="B340" s="2" t="s">
        <v>397</v>
      </c>
      <c r="C340" s="2">
        <v>91000254</v>
      </c>
      <c r="D340" s="2" t="s">
        <v>29</v>
      </c>
      <c r="E340" s="6" t="str">
        <f t="shared" si="0"/>
        <v>https://dto.kemkes.go.id/kfacode/91000254</v>
      </c>
    </row>
    <row r="341" spans="1:5" ht="15.75" customHeight="1">
      <c r="A341" s="2">
        <v>91000207</v>
      </c>
      <c r="B341" s="2" t="s">
        <v>398</v>
      </c>
      <c r="C341" s="2">
        <v>91000207</v>
      </c>
      <c r="D341" s="2" t="s">
        <v>29</v>
      </c>
      <c r="E341" s="6" t="str">
        <f t="shared" si="0"/>
        <v>https://dto.kemkes.go.id/kfacode/91000207</v>
      </c>
    </row>
    <row r="342" spans="1:5" ht="15.75" customHeight="1">
      <c r="A342" s="2">
        <v>91000428</v>
      </c>
      <c r="B342" s="2" t="s">
        <v>399</v>
      </c>
      <c r="C342" s="2">
        <v>91000428</v>
      </c>
      <c r="D342" s="2" t="s">
        <v>29</v>
      </c>
      <c r="E342" s="6" t="str">
        <f t="shared" si="0"/>
        <v>https://dto.kemkes.go.id/kfacode/91000428</v>
      </c>
    </row>
    <row r="343" spans="1:5" ht="15.75" customHeight="1">
      <c r="A343" s="2">
        <v>91000209</v>
      </c>
      <c r="B343" s="2" t="s">
        <v>400</v>
      </c>
      <c r="C343" s="2">
        <v>91000209</v>
      </c>
      <c r="D343" s="2" t="s">
        <v>29</v>
      </c>
      <c r="E343" s="6" t="str">
        <f t="shared" si="0"/>
        <v>https://dto.kemkes.go.id/kfacode/91000209</v>
      </c>
    </row>
    <row r="344" spans="1:5" ht="15.75" customHeight="1">
      <c r="A344" s="2">
        <v>91000381</v>
      </c>
      <c r="B344" s="2" t="s">
        <v>401</v>
      </c>
      <c r="C344" s="2">
        <v>91000381</v>
      </c>
      <c r="D344" s="2" t="s">
        <v>29</v>
      </c>
      <c r="E344" s="6" t="str">
        <f t="shared" si="0"/>
        <v>https://dto.kemkes.go.id/kfacode/91000381</v>
      </c>
    </row>
    <row r="345" spans="1:5" ht="15.75" customHeight="1">
      <c r="A345" s="2">
        <v>91000227</v>
      </c>
      <c r="B345" s="2" t="s">
        <v>402</v>
      </c>
      <c r="C345" s="2">
        <v>91000227</v>
      </c>
      <c r="D345" s="2" t="s">
        <v>29</v>
      </c>
      <c r="E345" s="6" t="str">
        <f t="shared" si="0"/>
        <v>https://dto.kemkes.go.id/kfacode/91000227</v>
      </c>
    </row>
    <row r="346" spans="1:5" ht="15.75" customHeight="1">
      <c r="A346" s="2">
        <v>91000459</v>
      </c>
      <c r="B346" s="2" t="s">
        <v>403</v>
      </c>
      <c r="C346" s="2">
        <v>91000459</v>
      </c>
      <c r="D346" s="2" t="s">
        <v>29</v>
      </c>
      <c r="E346" s="6" t="str">
        <f t="shared" si="0"/>
        <v>https://dto.kemkes.go.id/kfacode/91000459</v>
      </c>
    </row>
    <row r="347" spans="1:5" ht="15.75" customHeight="1">
      <c r="A347" s="2">
        <v>91000142</v>
      </c>
      <c r="B347" s="2" t="s">
        <v>404</v>
      </c>
      <c r="C347" s="2">
        <v>91000142</v>
      </c>
      <c r="D347" s="2" t="s">
        <v>29</v>
      </c>
      <c r="E347" s="6" t="str">
        <f t="shared" si="0"/>
        <v>https://dto.kemkes.go.id/kfacode/91000142</v>
      </c>
    </row>
    <row r="348" spans="1:5" ht="15.75" customHeight="1">
      <c r="A348" s="2">
        <v>91000713</v>
      </c>
      <c r="B348" s="2" t="s">
        <v>405</v>
      </c>
      <c r="C348" s="2">
        <v>91000713</v>
      </c>
      <c r="D348" s="2" t="s">
        <v>29</v>
      </c>
      <c r="E348" s="6" t="str">
        <f t="shared" si="0"/>
        <v>https://dto.kemkes.go.id/kfacode/91000713</v>
      </c>
    </row>
    <row r="349" spans="1:5" ht="15.75" customHeight="1">
      <c r="A349" s="2">
        <v>91000452</v>
      </c>
      <c r="B349" s="2" t="s">
        <v>406</v>
      </c>
      <c r="C349" s="2">
        <v>91000452</v>
      </c>
      <c r="D349" s="2" t="s">
        <v>29</v>
      </c>
      <c r="E349" s="6" t="str">
        <f t="shared" si="0"/>
        <v>https://dto.kemkes.go.id/kfacode/91000452</v>
      </c>
    </row>
    <row r="350" spans="1:5" ht="15.75" customHeight="1">
      <c r="A350" s="2">
        <v>91000587</v>
      </c>
      <c r="B350" s="2" t="s">
        <v>407</v>
      </c>
      <c r="C350" s="2">
        <v>91000587</v>
      </c>
      <c r="D350" s="2" t="s">
        <v>29</v>
      </c>
      <c r="E350" s="6" t="str">
        <f t="shared" si="0"/>
        <v>https://dto.kemkes.go.id/kfacode/91000587</v>
      </c>
    </row>
    <row r="351" spans="1:5" ht="15.75" customHeight="1">
      <c r="A351" s="2">
        <v>91000527</v>
      </c>
      <c r="B351" s="2" t="s">
        <v>408</v>
      </c>
      <c r="C351" s="2">
        <v>91000527</v>
      </c>
      <c r="D351" s="2" t="s">
        <v>29</v>
      </c>
      <c r="E351" s="6" t="str">
        <f t="shared" si="0"/>
        <v>https://dto.kemkes.go.id/kfacode/91000527</v>
      </c>
    </row>
    <row r="352" spans="1:5" ht="15.75" customHeight="1">
      <c r="A352" s="2">
        <v>91000352</v>
      </c>
      <c r="B352" s="2" t="s">
        <v>409</v>
      </c>
      <c r="C352" s="2">
        <v>91000352</v>
      </c>
      <c r="D352" s="2" t="s">
        <v>29</v>
      </c>
      <c r="E352" s="6" t="str">
        <f t="shared" si="0"/>
        <v>https://dto.kemkes.go.id/kfacode/91000352</v>
      </c>
    </row>
    <row r="353" spans="1:5" ht="15.75" customHeight="1">
      <c r="A353" s="2">
        <v>91000153</v>
      </c>
      <c r="B353" s="2" t="s">
        <v>410</v>
      </c>
      <c r="C353" s="2">
        <v>91000153</v>
      </c>
      <c r="D353" s="2" t="s">
        <v>29</v>
      </c>
      <c r="E353" s="6" t="str">
        <f t="shared" si="0"/>
        <v>https://dto.kemkes.go.id/kfacode/91000153</v>
      </c>
    </row>
    <row r="354" spans="1:5" ht="15.75" customHeight="1">
      <c r="A354" s="2">
        <v>91000152</v>
      </c>
      <c r="B354" s="2" t="s">
        <v>411</v>
      </c>
      <c r="C354" s="2">
        <v>91000152</v>
      </c>
      <c r="D354" s="2" t="s">
        <v>29</v>
      </c>
      <c r="E354" s="6" t="str">
        <f t="shared" si="0"/>
        <v>https://dto.kemkes.go.id/kfacode/91000152</v>
      </c>
    </row>
    <row r="355" spans="1:5" ht="15.75" customHeight="1">
      <c r="A355" s="2">
        <v>91000150</v>
      </c>
      <c r="B355" s="2" t="s">
        <v>412</v>
      </c>
      <c r="C355" s="2">
        <v>91000150</v>
      </c>
      <c r="D355" s="2" t="s">
        <v>29</v>
      </c>
      <c r="E355" s="6" t="str">
        <f t="shared" si="0"/>
        <v>https://dto.kemkes.go.id/kfacode/91000150</v>
      </c>
    </row>
    <row r="356" spans="1:5" ht="15.75" customHeight="1">
      <c r="A356" s="2">
        <v>91000529</v>
      </c>
      <c r="B356" s="2" t="s">
        <v>413</v>
      </c>
      <c r="C356" s="2">
        <v>91000529</v>
      </c>
      <c r="D356" s="2" t="s">
        <v>29</v>
      </c>
      <c r="E356" s="6" t="str">
        <f t="shared" si="0"/>
        <v>https://dto.kemkes.go.id/kfacode/91000529</v>
      </c>
    </row>
    <row r="357" spans="1:5" ht="15.75" customHeight="1">
      <c r="A357" s="2">
        <v>91000400</v>
      </c>
      <c r="B357" s="2" t="s">
        <v>414</v>
      </c>
      <c r="C357" s="2">
        <v>91000400</v>
      </c>
      <c r="D357" s="2" t="s">
        <v>29</v>
      </c>
      <c r="E357" s="6" t="str">
        <f t="shared" si="0"/>
        <v>https://dto.kemkes.go.id/kfacode/91000400</v>
      </c>
    </row>
    <row r="358" spans="1:5" ht="15.75" customHeight="1">
      <c r="A358" s="2">
        <v>91000323</v>
      </c>
      <c r="B358" s="2" t="s">
        <v>415</v>
      </c>
      <c r="C358" s="2">
        <v>91000323</v>
      </c>
      <c r="D358" s="2" t="s">
        <v>29</v>
      </c>
      <c r="E358" s="6" t="str">
        <f t="shared" si="0"/>
        <v>https://dto.kemkes.go.id/kfacode/91000323</v>
      </c>
    </row>
    <row r="359" spans="1:5" ht="15.75" customHeight="1">
      <c r="A359" s="2">
        <v>91000394</v>
      </c>
      <c r="B359" s="2" t="s">
        <v>416</v>
      </c>
      <c r="C359" s="2">
        <v>91000394</v>
      </c>
      <c r="D359" s="2" t="s">
        <v>29</v>
      </c>
      <c r="E359" s="6" t="str">
        <f t="shared" si="0"/>
        <v>https://dto.kemkes.go.id/kfacode/91000394</v>
      </c>
    </row>
    <row r="360" spans="1:5" ht="15.75" customHeight="1">
      <c r="A360" s="2">
        <v>91000434</v>
      </c>
      <c r="B360" s="2" t="s">
        <v>417</v>
      </c>
      <c r="C360" s="2">
        <v>91000434</v>
      </c>
      <c r="D360" s="2" t="s">
        <v>29</v>
      </c>
      <c r="E360" s="6" t="str">
        <f t="shared" si="0"/>
        <v>https://dto.kemkes.go.id/kfacode/91000434</v>
      </c>
    </row>
    <row r="361" spans="1:5" ht="15.75" customHeight="1">
      <c r="A361" s="2">
        <v>91000332</v>
      </c>
      <c r="B361" s="2" t="s">
        <v>418</v>
      </c>
      <c r="C361" s="2">
        <v>91000332</v>
      </c>
      <c r="D361" s="2" t="s">
        <v>29</v>
      </c>
      <c r="E361" s="6" t="str">
        <f t="shared" si="0"/>
        <v>https://dto.kemkes.go.id/kfacode/91000332</v>
      </c>
    </row>
    <row r="362" spans="1:5" ht="15.75" customHeight="1">
      <c r="A362" s="2">
        <v>91000446</v>
      </c>
      <c r="B362" s="2" t="s">
        <v>419</v>
      </c>
      <c r="C362" s="2">
        <v>91000446</v>
      </c>
      <c r="D362" s="2" t="s">
        <v>29</v>
      </c>
      <c r="E362" s="6" t="str">
        <f t="shared" si="0"/>
        <v>https://dto.kemkes.go.id/kfacode/91000446</v>
      </c>
    </row>
    <row r="363" spans="1:5" ht="15.75" customHeight="1">
      <c r="A363" s="2">
        <v>91000123</v>
      </c>
      <c r="B363" s="2" t="s">
        <v>420</v>
      </c>
      <c r="C363" s="2">
        <v>91000123</v>
      </c>
      <c r="D363" s="2" t="s">
        <v>29</v>
      </c>
      <c r="E363" s="6" t="str">
        <f t="shared" si="0"/>
        <v>https://dto.kemkes.go.id/kfacode/91000123</v>
      </c>
    </row>
    <row r="364" spans="1:5" ht="15.75" customHeight="1">
      <c r="A364" s="2">
        <v>91000585</v>
      </c>
      <c r="B364" s="2" t="s">
        <v>421</v>
      </c>
      <c r="C364" s="2">
        <v>91000585</v>
      </c>
      <c r="D364" s="2" t="s">
        <v>29</v>
      </c>
      <c r="E364" s="6" t="str">
        <f t="shared" si="0"/>
        <v>https://dto.kemkes.go.id/kfacode/91000585</v>
      </c>
    </row>
    <row r="365" spans="1:5" ht="15.75" customHeight="1">
      <c r="A365" s="2">
        <v>91000336</v>
      </c>
      <c r="B365" s="2" t="s">
        <v>422</v>
      </c>
      <c r="C365" s="2">
        <v>91000336</v>
      </c>
      <c r="D365" s="2" t="s">
        <v>29</v>
      </c>
      <c r="E365" s="6" t="str">
        <f t="shared" si="0"/>
        <v>https://dto.kemkes.go.id/kfacode/91000336</v>
      </c>
    </row>
    <row r="366" spans="1:5" ht="15.75" customHeight="1">
      <c r="A366" s="2">
        <v>91000640</v>
      </c>
      <c r="B366" s="2" t="s">
        <v>423</v>
      </c>
      <c r="C366" s="2">
        <v>91000640</v>
      </c>
      <c r="D366" s="2" t="s">
        <v>29</v>
      </c>
      <c r="E366" s="6" t="str">
        <f t="shared" si="0"/>
        <v>https://dto.kemkes.go.id/kfacode/91000640</v>
      </c>
    </row>
    <row r="367" spans="1:5" ht="15.75" customHeight="1">
      <c r="A367" s="2">
        <v>91000547</v>
      </c>
      <c r="B367" s="2" t="s">
        <v>424</v>
      </c>
      <c r="C367" s="2">
        <v>91000547</v>
      </c>
      <c r="D367" s="2" t="s">
        <v>29</v>
      </c>
      <c r="E367" s="6" t="str">
        <f t="shared" si="0"/>
        <v>https://dto.kemkes.go.id/kfacode/91000547</v>
      </c>
    </row>
    <row r="368" spans="1:5" ht="15.75" customHeight="1">
      <c r="A368" s="2">
        <v>91000334</v>
      </c>
      <c r="B368" s="2" t="s">
        <v>425</v>
      </c>
      <c r="C368" s="2">
        <v>91000334</v>
      </c>
      <c r="D368" s="2" t="s">
        <v>29</v>
      </c>
      <c r="E368" s="6" t="str">
        <f t="shared" si="0"/>
        <v>https://dto.kemkes.go.id/kfacode/91000334</v>
      </c>
    </row>
    <row r="369" spans="1:5" ht="15.75" customHeight="1">
      <c r="A369" s="2">
        <v>91000124</v>
      </c>
      <c r="B369" s="2" t="s">
        <v>426</v>
      </c>
      <c r="C369" s="2">
        <v>91000124</v>
      </c>
      <c r="D369" s="2" t="s">
        <v>29</v>
      </c>
      <c r="E369" s="6" t="str">
        <f t="shared" si="0"/>
        <v>https://dto.kemkes.go.id/kfacode/91000124</v>
      </c>
    </row>
    <row r="370" spans="1:5" ht="15.75" customHeight="1">
      <c r="A370" s="2">
        <v>91000215</v>
      </c>
      <c r="B370" s="2" t="s">
        <v>427</v>
      </c>
      <c r="C370" s="2">
        <v>91000215</v>
      </c>
      <c r="D370" s="2" t="s">
        <v>29</v>
      </c>
      <c r="E370" s="6" t="str">
        <f t="shared" si="0"/>
        <v>https://dto.kemkes.go.id/kfacode/91000215</v>
      </c>
    </row>
    <row r="371" spans="1:5" ht="15.75" customHeight="1">
      <c r="A371" s="2">
        <v>91000327</v>
      </c>
      <c r="B371" s="2" t="s">
        <v>428</v>
      </c>
      <c r="C371" s="2">
        <v>91000327</v>
      </c>
      <c r="D371" s="2" t="s">
        <v>29</v>
      </c>
      <c r="E371" s="6" t="str">
        <f t="shared" si="0"/>
        <v>https://dto.kemkes.go.id/kfacode/91000327</v>
      </c>
    </row>
    <row r="372" spans="1:5" ht="15.75" customHeight="1">
      <c r="A372" s="2">
        <v>91000687</v>
      </c>
      <c r="B372" s="2" t="s">
        <v>429</v>
      </c>
      <c r="C372" s="2">
        <v>91000687</v>
      </c>
      <c r="D372" s="2" t="s">
        <v>29</v>
      </c>
      <c r="E372" s="6" t="str">
        <f t="shared" si="0"/>
        <v>https://dto.kemkes.go.id/kfacode/91000687</v>
      </c>
    </row>
    <row r="373" spans="1:5" ht="15.75" customHeight="1">
      <c r="A373" s="2">
        <v>91000261</v>
      </c>
      <c r="B373" s="2" t="s">
        <v>430</v>
      </c>
      <c r="C373" s="2">
        <v>91000261</v>
      </c>
      <c r="D373" s="2" t="s">
        <v>29</v>
      </c>
      <c r="E373" s="6" t="str">
        <f t="shared" si="0"/>
        <v>https://dto.kemkes.go.id/kfacode/91000261</v>
      </c>
    </row>
    <row r="374" spans="1:5" ht="15.75" customHeight="1">
      <c r="A374" s="2">
        <v>91000593</v>
      </c>
      <c r="B374" s="2" t="s">
        <v>431</v>
      </c>
      <c r="C374" s="2">
        <v>91000593</v>
      </c>
      <c r="D374" s="2" t="s">
        <v>29</v>
      </c>
      <c r="E374" s="6" t="str">
        <f t="shared" si="0"/>
        <v>https://dto.kemkes.go.id/kfacode/91000593</v>
      </c>
    </row>
    <row r="375" spans="1:5" ht="15.75" customHeight="1">
      <c r="A375" s="2">
        <v>91000191</v>
      </c>
      <c r="B375" s="2" t="s">
        <v>432</v>
      </c>
      <c r="C375" s="2">
        <v>91000191</v>
      </c>
      <c r="D375" s="2" t="s">
        <v>29</v>
      </c>
      <c r="E375" s="6" t="str">
        <f t="shared" si="0"/>
        <v>https://dto.kemkes.go.id/kfacode/91000191</v>
      </c>
    </row>
    <row r="376" spans="1:5" ht="15.75" customHeight="1">
      <c r="A376" s="2">
        <v>91000321</v>
      </c>
      <c r="B376" s="2" t="s">
        <v>433</v>
      </c>
      <c r="C376" s="2">
        <v>91000321</v>
      </c>
      <c r="D376" s="2" t="s">
        <v>29</v>
      </c>
      <c r="E376" s="6" t="str">
        <f t="shared" si="0"/>
        <v>https://dto.kemkes.go.id/kfacode/91000321</v>
      </c>
    </row>
    <row r="377" spans="1:5" ht="15.75" customHeight="1">
      <c r="A377" s="2">
        <v>91000604</v>
      </c>
      <c r="B377" s="2" t="s">
        <v>434</v>
      </c>
      <c r="C377" s="2">
        <v>91000604</v>
      </c>
      <c r="D377" s="2" t="s">
        <v>29</v>
      </c>
      <c r="E377" s="6" t="str">
        <f t="shared" si="0"/>
        <v>https://dto.kemkes.go.id/kfacode/91000604</v>
      </c>
    </row>
    <row r="378" spans="1:5" ht="15.75" customHeight="1">
      <c r="A378" s="2">
        <v>91000586</v>
      </c>
      <c r="B378" s="2" t="s">
        <v>435</v>
      </c>
      <c r="C378" s="2">
        <v>91000586</v>
      </c>
      <c r="D378" s="2" t="s">
        <v>29</v>
      </c>
      <c r="E378" s="6" t="str">
        <f t="shared" si="0"/>
        <v>https://dto.kemkes.go.id/kfacode/91000586</v>
      </c>
    </row>
    <row r="379" spans="1:5" ht="15.75" customHeight="1">
      <c r="A379" s="2">
        <v>91000284</v>
      </c>
      <c r="B379" s="2" t="s">
        <v>436</v>
      </c>
      <c r="C379" s="2">
        <v>91000284</v>
      </c>
      <c r="D379" s="2" t="s">
        <v>29</v>
      </c>
      <c r="E379" s="6" t="str">
        <f t="shared" si="0"/>
        <v>https://dto.kemkes.go.id/kfacode/91000284</v>
      </c>
    </row>
    <row r="380" spans="1:5" ht="15.75" customHeight="1">
      <c r="A380" s="2">
        <v>91000498</v>
      </c>
      <c r="B380" s="2" t="s">
        <v>437</v>
      </c>
      <c r="C380" s="2">
        <v>91000498</v>
      </c>
      <c r="D380" s="2" t="s">
        <v>29</v>
      </c>
      <c r="E380" s="6" t="str">
        <f t="shared" si="0"/>
        <v>https://dto.kemkes.go.id/kfacode/91000498</v>
      </c>
    </row>
    <row r="381" spans="1:5" ht="15.75" customHeight="1">
      <c r="A381" s="2">
        <v>91000257</v>
      </c>
      <c r="B381" s="2" t="s">
        <v>438</v>
      </c>
      <c r="C381" s="2">
        <v>91000257</v>
      </c>
      <c r="D381" s="2" t="s">
        <v>29</v>
      </c>
      <c r="E381" s="6" t="str">
        <f t="shared" si="0"/>
        <v>https://dto.kemkes.go.id/kfacode/91000257</v>
      </c>
    </row>
    <row r="382" spans="1:5" ht="15.75" customHeight="1">
      <c r="A382" s="2">
        <v>91000203</v>
      </c>
      <c r="B382" s="2" t="s">
        <v>439</v>
      </c>
      <c r="C382" s="2">
        <v>91000203</v>
      </c>
      <c r="D382" s="2" t="s">
        <v>29</v>
      </c>
      <c r="E382" s="6" t="str">
        <f t="shared" si="0"/>
        <v>https://dto.kemkes.go.id/kfacode/91000203</v>
      </c>
    </row>
    <row r="383" spans="1:5" ht="15.75" customHeight="1">
      <c r="A383" s="2">
        <v>91000539</v>
      </c>
      <c r="B383" s="2" t="s">
        <v>440</v>
      </c>
      <c r="C383" s="2">
        <v>91000539</v>
      </c>
      <c r="D383" s="2" t="s">
        <v>29</v>
      </c>
      <c r="E383" s="6" t="str">
        <f t="shared" si="0"/>
        <v>https://dto.kemkes.go.id/kfacode/91000539</v>
      </c>
    </row>
    <row r="384" spans="1:5" ht="15.75" customHeight="1">
      <c r="A384" s="2">
        <v>91000533</v>
      </c>
      <c r="B384" s="2" t="s">
        <v>441</v>
      </c>
      <c r="C384" s="2">
        <v>91000533</v>
      </c>
      <c r="D384" s="2" t="s">
        <v>29</v>
      </c>
      <c r="E384" s="6" t="str">
        <f t="shared" si="0"/>
        <v>https://dto.kemkes.go.id/kfacode/91000533</v>
      </c>
    </row>
    <row r="385" spans="1:5" ht="15.75" customHeight="1">
      <c r="A385" s="2">
        <v>91000121</v>
      </c>
      <c r="B385" s="2" t="s">
        <v>442</v>
      </c>
      <c r="C385" s="2">
        <v>91000121</v>
      </c>
      <c r="D385" s="2" t="s">
        <v>29</v>
      </c>
      <c r="E385" s="6" t="str">
        <f t="shared" si="0"/>
        <v>https://dto.kemkes.go.id/kfacode/91000121</v>
      </c>
    </row>
    <row r="386" spans="1:5" ht="15.75" customHeight="1">
      <c r="A386" s="2">
        <v>91000343</v>
      </c>
      <c r="B386" s="2" t="s">
        <v>443</v>
      </c>
      <c r="C386" s="2">
        <v>91000343</v>
      </c>
      <c r="D386" s="2" t="s">
        <v>29</v>
      </c>
      <c r="E386" s="6" t="str">
        <f t="shared" si="0"/>
        <v>https://dto.kemkes.go.id/kfacode/91000343</v>
      </c>
    </row>
    <row r="387" spans="1:5" ht="15.75" customHeight="1">
      <c r="A387" s="2">
        <v>91000190</v>
      </c>
      <c r="B387" s="2" t="s">
        <v>444</v>
      </c>
      <c r="C387" s="2">
        <v>91000190</v>
      </c>
      <c r="D387" s="2" t="s">
        <v>29</v>
      </c>
      <c r="E387" s="6" t="str">
        <f t="shared" si="0"/>
        <v>https://dto.kemkes.go.id/kfacode/91000190</v>
      </c>
    </row>
    <row r="388" spans="1:5" ht="15.75" customHeight="1">
      <c r="A388" s="2">
        <v>91000184</v>
      </c>
      <c r="B388" s="2" t="s">
        <v>445</v>
      </c>
      <c r="C388" s="2">
        <v>91000184</v>
      </c>
      <c r="D388" s="2" t="s">
        <v>29</v>
      </c>
      <c r="E388" s="6" t="str">
        <f t="shared" si="0"/>
        <v>https://dto.kemkes.go.id/kfacode/91000184</v>
      </c>
    </row>
    <row r="389" spans="1:5" ht="15.75" customHeight="1">
      <c r="A389" s="2">
        <v>91000143</v>
      </c>
      <c r="B389" s="2" t="s">
        <v>446</v>
      </c>
      <c r="C389" s="2">
        <v>91000143</v>
      </c>
      <c r="D389" s="2" t="s">
        <v>29</v>
      </c>
      <c r="E389" s="6" t="str">
        <f t="shared" si="0"/>
        <v>https://dto.kemkes.go.id/kfacode/91000143</v>
      </c>
    </row>
    <row r="390" spans="1:5" ht="15.75" customHeight="1">
      <c r="A390" s="2">
        <v>91000319</v>
      </c>
      <c r="B390" s="2" t="s">
        <v>447</v>
      </c>
      <c r="C390" s="2">
        <v>91000319</v>
      </c>
      <c r="D390" s="2" t="s">
        <v>29</v>
      </c>
      <c r="E390" s="6" t="str">
        <f t="shared" si="0"/>
        <v>https://dto.kemkes.go.id/kfacode/91000319</v>
      </c>
    </row>
    <row r="391" spans="1:5" ht="15.75" customHeight="1">
      <c r="A391" s="2">
        <v>91000637</v>
      </c>
      <c r="B391" s="2" t="s">
        <v>448</v>
      </c>
      <c r="C391" s="2">
        <v>91000637</v>
      </c>
      <c r="D391" s="2" t="s">
        <v>29</v>
      </c>
      <c r="E391" s="6" t="str">
        <f t="shared" si="0"/>
        <v>https://dto.kemkes.go.id/kfacode/91000637</v>
      </c>
    </row>
    <row r="392" spans="1:5" ht="15.75" customHeight="1">
      <c r="A392" s="2">
        <v>91000595</v>
      </c>
      <c r="B392" s="2" t="s">
        <v>449</v>
      </c>
      <c r="C392" s="2">
        <v>91000595</v>
      </c>
      <c r="D392" s="2" t="s">
        <v>29</v>
      </c>
      <c r="E392" s="6" t="str">
        <f t="shared" si="0"/>
        <v>https://dto.kemkes.go.id/kfacode/91000595</v>
      </c>
    </row>
    <row r="393" spans="1:5" ht="15.75" customHeight="1">
      <c r="A393" s="2">
        <v>91000118</v>
      </c>
      <c r="B393" s="2" t="s">
        <v>450</v>
      </c>
      <c r="C393" s="2">
        <v>91000118</v>
      </c>
      <c r="D393" s="2" t="s">
        <v>29</v>
      </c>
      <c r="E393" s="6" t="str">
        <f t="shared" si="0"/>
        <v>https://dto.kemkes.go.id/kfacode/91000118</v>
      </c>
    </row>
    <row r="394" spans="1:5" ht="15.75" customHeight="1">
      <c r="A394" s="2">
        <v>91000119</v>
      </c>
      <c r="B394" s="2" t="s">
        <v>451</v>
      </c>
      <c r="C394" s="2">
        <v>91000119</v>
      </c>
      <c r="D394" s="2" t="s">
        <v>29</v>
      </c>
      <c r="E394" s="6" t="str">
        <f t="shared" si="0"/>
        <v>https://dto.kemkes.go.id/kfacode/91000119</v>
      </c>
    </row>
    <row r="395" spans="1:5" ht="15.75" customHeight="1">
      <c r="A395" s="2">
        <v>91000181</v>
      </c>
      <c r="B395" s="2" t="s">
        <v>452</v>
      </c>
      <c r="C395" s="2">
        <v>91000181</v>
      </c>
      <c r="D395" s="2" t="s">
        <v>29</v>
      </c>
      <c r="E395" s="6" t="str">
        <f t="shared" si="0"/>
        <v>https://dto.kemkes.go.id/kfacode/91000181</v>
      </c>
    </row>
    <row r="396" spans="1:5" ht="15.75" customHeight="1">
      <c r="A396" s="2">
        <v>91000101</v>
      </c>
      <c r="B396" s="2" t="s">
        <v>56</v>
      </c>
      <c r="C396" s="2">
        <v>91000101</v>
      </c>
      <c r="D396" s="2" t="s">
        <v>29</v>
      </c>
      <c r="E396" s="6" t="str">
        <f t="shared" si="0"/>
        <v>https://dto.kemkes.go.id/kfacode/91000101</v>
      </c>
    </row>
    <row r="397" spans="1:5" ht="15.75" customHeight="1">
      <c r="A397" s="2">
        <v>91000688</v>
      </c>
      <c r="B397" s="2" t="s">
        <v>453</v>
      </c>
      <c r="C397" s="2">
        <v>91000688</v>
      </c>
      <c r="D397" s="2" t="s">
        <v>29</v>
      </c>
      <c r="E397" s="6" t="str">
        <f t="shared" si="0"/>
        <v>https://dto.kemkes.go.id/kfacode/91000688</v>
      </c>
    </row>
    <row r="398" spans="1:5" ht="15.75" customHeight="1">
      <c r="A398" s="2">
        <v>91000365</v>
      </c>
      <c r="B398" s="2" t="s">
        <v>454</v>
      </c>
      <c r="C398" s="2">
        <v>91000365</v>
      </c>
      <c r="D398" s="2" t="s">
        <v>29</v>
      </c>
      <c r="E398" s="6" t="str">
        <f t="shared" si="0"/>
        <v>https://dto.kemkes.go.id/kfacode/91000365</v>
      </c>
    </row>
    <row r="399" spans="1:5" ht="15.75" customHeight="1">
      <c r="A399" s="2">
        <v>91000170</v>
      </c>
      <c r="B399" s="2" t="s">
        <v>455</v>
      </c>
      <c r="C399" s="2">
        <v>91000170</v>
      </c>
      <c r="D399" s="2" t="s">
        <v>29</v>
      </c>
      <c r="E399" s="6" t="str">
        <f t="shared" si="0"/>
        <v>https://dto.kemkes.go.id/kfacode/91000170</v>
      </c>
    </row>
    <row r="400" spans="1:5" ht="15.75" customHeight="1">
      <c r="A400" s="2">
        <v>91000206</v>
      </c>
      <c r="B400" s="2" t="s">
        <v>456</v>
      </c>
      <c r="C400" s="2">
        <v>91000206</v>
      </c>
      <c r="D400" s="2" t="s">
        <v>29</v>
      </c>
      <c r="E400" s="6" t="str">
        <f t="shared" si="0"/>
        <v>https://dto.kemkes.go.id/kfacode/91000206</v>
      </c>
    </row>
    <row r="401" spans="1:5" ht="15.75" customHeight="1">
      <c r="A401" s="2">
        <v>91000510</v>
      </c>
      <c r="B401" s="2" t="s">
        <v>457</v>
      </c>
      <c r="C401" s="2">
        <v>91000510</v>
      </c>
      <c r="D401" s="2" t="s">
        <v>29</v>
      </c>
      <c r="E401" s="6" t="str">
        <f t="shared" si="0"/>
        <v>https://dto.kemkes.go.id/kfacode/91000510</v>
      </c>
    </row>
    <row r="402" spans="1:5" ht="15.75" customHeight="1">
      <c r="A402" s="2">
        <v>91000418</v>
      </c>
      <c r="B402" s="2" t="s">
        <v>458</v>
      </c>
      <c r="C402" s="2">
        <v>91000418</v>
      </c>
      <c r="D402" s="2" t="s">
        <v>29</v>
      </c>
      <c r="E402" s="6" t="str">
        <f t="shared" si="0"/>
        <v>https://dto.kemkes.go.id/kfacode/91000418</v>
      </c>
    </row>
    <row r="403" spans="1:5" ht="15.75" customHeight="1">
      <c r="A403" s="2">
        <v>91000325</v>
      </c>
      <c r="B403" s="2" t="s">
        <v>459</v>
      </c>
      <c r="C403" s="2">
        <v>91000325</v>
      </c>
      <c r="D403" s="2" t="s">
        <v>29</v>
      </c>
      <c r="E403" s="6" t="str">
        <f t="shared" si="0"/>
        <v>https://dto.kemkes.go.id/kfacode/91000325</v>
      </c>
    </row>
    <row r="404" spans="1:5" ht="15.75" customHeight="1">
      <c r="A404" s="2">
        <v>91000396</v>
      </c>
      <c r="B404" s="2" t="s">
        <v>460</v>
      </c>
      <c r="C404" s="2">
        <v>91000396</v>
      </c>
      <c r="D404" s="2" t="s">
        <v>29</v>
      </c>
      <c r="E404" s="6" t="str">
        <f t="shared" si="0"/>
        <v>https://dto.kemkes.go.id/kfacode/91000396</v>
      </c>
    </row>
    <row r="405" spans="1:5" ht="15.75" customHeight="1">
      <c r="A405" s="2">
        <v>91000318</v>
      </c>
      <c r="B405" s="2" t="s">
        <v>461</v>
      </c>
      <c r="C405" s="2">
        <v>91000318</v>
      </c>
      <c r="D405" s="2" t="s">
        <v>29</v>
      </c>
      <c r="E405" s="6" t="str">
        <f t="shared" si="0"/>
        <v>https://dto.kemkes.go.id/kfacode/91000318</v>
      </c>
    </row>
    <row r="406" spans="1:5" ht="15.75" customHeight="1">
      <c r="A406" s="2">
        <v>91000200</v>
      </c>
      <c r="B406" s="2" t="s">
        <v>462</v>
      </c>
      <c r="C406" s="2">
        <v>91000200</v>
      </c>
      <c r="D406" s="2" t="s">
        <v>29</v>
      </c>
      <c r="E406" s="6" t="str">
        <f t="shared" si="0"/>
        <v>https://dto.kemkes.go.id/kfacode/91000200</v>
      </c>
    </row>
    <row r="407" spans="1:5" ht="15.75" customHeight="1">
      <c r="A407" s="2">
        <v>91000199</v>
      </c>
      <c r="B407" s="2" t="s">
        <v>463</v>
      </c>
      <c r="C407" s="2">
        <v>91000199</v>
      </c>
      <c r="D407" s="2" t="s">
        <v>29</v>
      </c>
      <c r="E407" s="6" t="str">
        <f t="shared" si="0"/>
        <v>https://dto.kemkes.go.id/kfacode/91000199</v>
      </c>
    </row>
    <row r="408" spans="1:5" ht="15.75" customHeight="1">
      <c r="A408" s="2">
        <v>91000490</v>
      </c>
      <c r="B408" s="2" t="s">
        <v>464</v>
      </c>
      <c r="C408" s="2">
        <v>91000490</v>
      </c>
      <c r="D408" s="2" t="s">
        <v>29</v>
      </c>
      <c r="E408" s="6" t="str">
        <f t="shared" si="0"/>
        <v>https://dto.kemkes.go.id/kfacode/91000490</v>
      </c>
    </row>
    <row r="409" spans="1:5" ht="15.75" customHeight="1">
      <c r="A409" s="2">
        <v>91000460</v>
      </c>
      <c r="B409" s="2" t="s">
        <v>465</v>
      </c>
      <c r="C409" s="2">
        <v>91000460</v>
      </c>
      <c r="D409" s="2" t="s">
        <v>29</v>
      </c>
      <c r="E409" s="6" t="str">
        <f t="shared" si="0"/>
        <v>https://dto.kemkes.go.id/kfacode/91000460</v>
      </c>
    </row>
    <row r="410" spans="1:5" ht="15.75" customHeight="1">
      <c r="A410" s="2">
        <v>91000515</v>
      </c>
      <c r="B410" s="2" t="s">
        <v>466</v>
      </c>
      <c r="C410" s="2">
        <v>91000515</v>
      </c>
      <c r="D410" s="2" t="s">
        <v>29</v>
      </c>
      <c r="E410" s="6" t="str">
        <f t="shared" si="0"/>
        <v>https://dto.kemkes.go.id/kfacode/91000515</v>
      </c>
    </row>
    <row r="411" spans="1:5" ht="15.75" customHeight="1">
      <c r="A411" s="2">
        <v>91000484</v>
      </c>
      <c r="B411" s="2" t="s">
        <v>467</v>
      </c>
      <c r="C411" s="2">
        <v>91000484</v>
      </c>
      <c r="D411" s="2" t="s">
        <v>29</v>
      </c>
      <c r="E411" s="6" t="str">
        <f t="shared" si="0"/>
        <v>https://dto.kemkes.go.id/kfacode/91000484</v>
      </c>
    </row>
    <row r="412" spans="1:5" ht="15.75" customHeight="1">
      <c r="A412" s="2">
        <v>91000268</v>
      </c>
      <c r="B412" s="2" t="s">
        <v>468</v>
      </c>
      <c r="C412" s="2">
        <v>91000268</v>
      </c>
      <c r="D412" s="2" t="s">
        <v>29</v>
      </c>
      <c r="E412" s="6" t="str">
        <f t="shared" si="0"/>
        <v>https://dto.kemkes.go.id/kfacode/91000268</v>
      </c>
    </row>
    <row r="413" spans="1:5" ht="15.75" customHeight="1">
      <c r="A413" s="2">
        <v>91000440</v>
      </c>
      <c r="B413" s="2" t="s">
        <v>469</v>
      </c>
      <c r="C413" s="2">
        <v>91000440</v>
      </c>
      <c r="D413" s="2" t="s">
        <v>29</v>
      </c>
      <c r="E413" s="6" t="str">
        <f t="shared" si="0"/>
        <v>https://dto.kemkes.go.id/kfacode/91000440</v>
      </c>
    </row>
    <row r="414" spans="1:5" ht="15.75" customHeight="1">
      <c r="A414" s="2">
        <v>91000102</v>
      </c>
      <c r="B414" s="2" t="s">
        <v>470</v>
      </c>
      <c r="C414" s="2">
        <v>91000102</v>
      </c>
      <c r="D414" s="2" t="s">
        <v>29</v>
      </c>
      <c r="E414" s="6" t="str">
        <f t="shared" si="0"/>
        <v>https://dto.kemkes.go.id/kfacode/91000102</v>
      </c>
    </row>
    <row r="415" spans="1:5" ht="15.75" customHeight="1">
      <c r="A415" s="2">
        <v>91000103</v>
      </c>
      <c r="B415" s="2" t="s">
        <v>471</v>
      </c>
      <c r="C415" s="2">
        <v>91000103</v>
      </c>
      <c r="D415" s="2" t="s">
        <v>29</v>
      </c>
      <c r="E415" s="6" t="str">
        <f t="shared" si="0"/>
        <v>https://dto.kemkes.go.id/kfacode/91000103</v>
      </c>
    </row>
    <row r="416" spans="1:5" ht="15.75" customHeight="1">
      <c r="A416" s="2">
        <v>91000104</v>
      </c>
      <c r="B416" s="2" t="s">
        <v>472</v>
      </c>
      <c r="C416" s="2">
        <v>91000104</v>
      </c>
      <c r="D416" s="2" t="s">
        <v>29</v>
      </c>
      <c r="E416" s="6" t="str">
        <f t="shared" si="0"/>
        <v>https://dto.kemkes.go.id/kfacode/91000104</v>
      </c>
    </row>
    <row r="417" spans="1:5" ht="15.75" customHeight="1">
      <c r="A417" s="2">
        <v>91000291</v>
      </c>
      <c r="B417" s="2" t="s">
        <v>473</v>
      </c>
      <c r="C417" s="2">
        <v>91000291</v>
      </c>
      <c r="D417" s="2" t="s">
        <v>29</v>
      </c>
      <c r="E417" s="6" t="str">
        <f t="shared" si="0"/>
        <v>https://dto.kemkes.go.id/kfacode/91000291</v>
      </c>
    </row>
    <row r="418" spans="1:5" ht="15.75" customHeight="1">
      <c r="A418" s="2">
        <v>91000611</v>
      </c>
      <c r="B418" s="2" t="s">
        <v>474</v>
      </c>
      <c r="C418" s="2">
        <v>91000611</v>
      </c>
      <c r="D418" s="2" t="s">
        <v>29</v>
      </c>
      <c r="E418" s="6" t="str">
        <f t="shared" si="0"/>
        <v>https://dto.kemkes.go.id/kfacode/91000611</v>
      </c>
    </row>
    <row r="419" spans="1:5" ht="15.75" customHeight="1">
      <c r="A419" s="2">
        <v>91000583</v>
      </c>
      <c r="B419" s="2" t="s">
        <v>475</v>
      </c>
      <c r="C419" s="2">
        <v>91000583</v>
      </c>
      <c r="D419" s="2" t="s">
        <v>29</v>
      </c>
      <c r="E419" s="6" t="str">
        <f t="shared" si="0"/>
        <v>https://dto.kemkes.go.id/kfacode/91000583</v>
      </c>
    </row>
    <row r="420" spans="1:5" ht="15.75" customHeight="1">
      <c r="A420" s="2">
        <v>91000198</v>
      </c>
      <c r="B420" s="2" t="s">
        <v>476</v>
      </c>
      <c r="C420" s="2">
        <v>91000198</v>
      </c>
      <c r="D420" s="2" t="s">
        <v>29</v>
      </c>
      <c r="E420" s="6" t="str">
        <f t="shared" si="0"/>
        <v>https://dto.kemkes.go.id/kfacode/91000198</v>
      </c>
    </row>
    <row r="421" spans="1:5" ht="15.75" customHeight="1">
      <c r="A421" s="2">
        <v>91000615</v>
      </c>
      <c r="B421" s="2" t="s">
        <v>477</v>
      </c>
      <c r="C421" s="2">
        <v>91000615</v>
      </c>
      <c r="D421" s="2" t="s">
        <v>29</v>
      </c>
      <c r="E421" s="6" t="str">
        <f t="shared" si="0"/>
        <v>https://dto.kemkes.go.id/kfacode/91000615</v>
      </c>
    </row>
    <row r="422" spans="1:5" ht="15.75" customHeight="1">
      <c r="A422" s="2">
        <v>91000619</v>
      </c>
      <c r="B422" s="2" t="s">
        <v>478</v>
      </c>
      <c r="C422" s="2">
        <v>91000619</v>
      </c>
      <c r="D422" s="2" t="s">
        <v>29</v>
      </c>
      <c r="E422" s="6" t="str">
        <f t="shared" si="0"/>
        <v>https://dto.kemkes.go.id/kfacode/91000619</v>
      </c>
    </row>
    <row r="423" spans="1:5" ht="15.75" customHeight="1">
      <c r="A423" s="2">
        <v>91000406</v>
      </c>
      <c r="B423" s="2" t="s">
        <v>479</v>
      </c>
      <c r="C423" s="2">
        <v>91000406</v>
      </c>
      <c r="D423" s="2" t="s">
        <v>29</v>
      </c>
      <c r="E423" s="6" t="str">
        <f t="shared" si="0"/>
        <v>https://dto.kemkes.go.id/kfacode/91000406</v>
      </c>
    </row>
    <row r="424" spans="1:5" ht="15.75" customHeight="1">
      <c r="A424" s="2">
        <v>91000507</v>
      </c>
      <c r="B424" s="2" t="s">
        <v>480</v>
      </c>
      <c r="C424" s="2">
        <v>91000507</v>
      </c>
      <c r="D424" s="2" t="s">
        <v>29</v>
      </c>
      <c r="E424" s="6" t="str">
        <f t="shared" si="0"/>
        <v>https://dto.kemkes.go.id/kfacode/91000507</v>
      </c>
    </row>
    <row r="425" spans="1:5" ht="15.75" customHeight="1">
      <c r="A425" s="2">
        <v>91000218</v>
      </c>
      <c r="B425" s="2" t="s">
        <v>481</v>
      </c>
      <c r="C425" s="2">
        <v>91000218</v>
      </c>
      <c r="D425" s="2" t="s">
        <v>29</v>
      </c>
      <c r="E425" s="6" t="str">
        <f t="shared" si="0"/>
        <v>https://dto.kemkes.go.id/kfacode/91000218</v>
      </c>
    </row>
    <row r="426" spans="1:5" ht="15.75" customHeight="1">
      <c r="A426" s="2">
        <v>91000294</v>
      </c>
      <c r="B426" s="2" t="s">
        <v>482</v>
      </c>
      <c r="C426" s="2">
        <v>91000294</v>
      </c>
      <c r="D426" s="2" t="s">
        <v>29</v>
      </c>
      <c r="E426" s="6" t="str">
        <f t="shared" si="0"/>
        <v>https://dto.kemkes.go.id/kfacode/91000294</v>
      </c>
    </row>
    <row r="427" spans="1:5" ht="15.75" customHeight="1">
      <c r="A427" s="2">
        <v>91000657</v>
      </c>
      <c r="B427" s="2" t="s">
        <v>483</v>
      </c>
      <c r="C427" s="2">
        <v>91000657</v>
      </c>
      <c r="D427" s="2" t="s">
        <v>29</v>
      </c>
      <c r="E427" s="6" t="str">
        <f t="shared" si="0"/>
        <v>https://dto.kemkes.go.id/kfacode/91000657</v>
      </c>
    </row>
    <row r="428" spans="1:5" ht="15.75" customHeight="1">
      <c r="A428" s="2">
        <v>91000511</v>
      </c>
      <c r="B428" s="2" t="s">
        <v>484</v>
      </c>
      <c r="C428" s="2">
        <v>91000511</v>
      </c>
      <c r="D428" s="2" t="s">
        <v>29</v>
      </c>
      <c r="E428" s="6" t="str">
        <f t="shared" si="0"/>
        <v>https://dto.kemkes.go.id/kfacode/91000511</v>
      </c>
    </row>
    <row r="429" spans="1:5" ht="15.75" customHeight="1">
      <c r="A429" s="2">
        <v>91000513</v>
      </c>
      <c r="B429" s="2" t="s">
        <v>485</v>
      </c>
      <c r="C429" s="2">
        <v>91000513</v>
      </c>
      <c r="D429" s="2" t="s">
        <v>29</v>
      </c>
      <c r="E429" s="6" t="str">
        <f t="shared" si="0"/>
        <v>https://dto.kemkes.go.id/kfacode/91000513</v>
      </c>
    </row>
    <row r="430" spans="1:5" ht="15.75" customHeight="1">
      <c r="A430" s="2">
        <v>91000462</v>
      </c>
      <c r="B430" s="2" t="s">
        <v>486</v>
      </c>
      <c r="C430" s="2">
        <v>91000462</v>
      </c>
      <c r="D430" s="2" t="s">
        <v>29</v>
      </c>
      <c r="E430" s="6" t="str">
        <f t="shared" si="0"/>
        <v>https://dto.kemkes.go.id/kfacode/91000462</v>
      </c>
    </row>
    <row r="431" spans="1:5" ht="15.75" customHeight="1">
      <c r="A431" s="2">
        <v>91000576</v>
      </c>
      <c r="B431" s="2" t="s">
        <v>487</v>
      </c>
      <c r="C431" s="2">
        <v>91000576</v>
      </c>
      <c r="D431" s="2" t="s">
        <v>29</v>
      </c>
      <c r="E431" s="6" t="str">
        <f t="shared" si="0"/>
        <v>https://dto.kemkes.go.id/kfacode/91000576</v>
      </c>
    </row>
    <row r="432" spans="1:5" ht="15.75" customHeight="1">
      <c r="A432" s="2">
        <v>91000537</v>
      </c>
      <c r="B432" s="2" t="s">
        <v>488</v>
      </c>
      <c r="C432" s="2">
        <v>91000537</v>
      </c>
      <c r="D432" s="2" t="s">
        <v>29</v>
      </c>
      <c r="E432" s="6" t="str">
        <f t="shared" si="0"/>
        <v>https://dto.kemkes.go.id/kfacode/91000537</v>
      </c>
    </row>
    <row r="433" spans="1:5" ht="15.75" customHeight="1">
      <c r="A433" s="2">
        <v>91000536</v>
      </c>
      <c r="B433" s="2" t="s">
        <v>489</v>
      </c>
      <c r="C433" s="2">
        <v>91000536</v>
      </c>
      <c r="D433" s="2" t="s">
        <v>29</v>
      </c>
      <c r="E433" s="6" t="str">
        <f t="shared" si="0"/>
        <v>https://dto.kemkes.go.id/kfacode/91000536</v>
      </c>
    </row>
    <row r="434" spans="1:5" ht="15.75" customHeight="1">
      <c r="A434" s="2">
        <v>91000503</v>
      </c>
      <c r="B434" s="2" t="s">
        <v>490</v>
      </c>
      <c r="C434" s="2">
        <v>91000503</v>
      </c>
      <c r="D434" s="2" t="s">
        <v>29</v>
      </c>
      <c r="E434" s="6" t="str">
        <f t="shared" si="0"/>
        <v>https://dto.kemkes.go.id/kfacode/91000503</v>
      </c>
    </row>
    <row r="435" spans="1:5" ht="15.75" customHeight="1">
      <c r="A435" s="2">
        <v>91000329</v>
      </c>
      <c r="B435" s="2" t="s">
        <v>491</v>
      </c>
      <c r="C435" s="2">
        <v>91000329</v>
      </c>
      <c r="D435" s="2" t="s">
        <v>29</v>
      </c>
      <c r="E435" s="6" t="str">
        <f t="shared" si="0"/>
        <v>https://dto.kemkes.go.id/kfacode/91000329</v>
      </c>
    </row>
    <row r="436" spans="1:5" ht="15.75" customHeight="1">
      <c r="A436" s="2">
        <v>91000683</v>
      </c>
      <c r="B436" s="2" t="s">
        <v>492</v>
      </c>
      <c r="C436" s="2">
        <v>91000683</v>
      </c>
      <c r="D436" s="2" t="s">
        <v>29</v>
      </c>
      <c r="E436" s="6" t="str">
        <f t="shared" si="0"/>
        <v>https://dto.kemkes.go.id/kfacode/91000683</v>
      </c>
    </row>
    <row r="437" spans="1:5" ht="15.75" customHeight="1">
      <c r="A437" s="2">
        <v>91000349</v>
      </c>
      <c r="B437" s="2" t="s">
        <v>493</v>
      </c>
      <c r="C437" s="2">
        <v>91000349</v>
      </c>
      <c r="D437" s="2" t="s">
        <v>29</v>
      </c>
      <c r="E437" s="6" t="str">
        <f t="shared" si="0"/>
        <v>https://dto.kemkes.go.id/kfacode/91000349</v>
      </c>
    </row>
    <row r="438" spans="1:5" ht="15.75" customHeight="1">
      <c r="A438" s="2">
        <v>91000240</v>
      </c>
      <c r="B438" s="2" t="s">
        <v>494</v>
      </c>
      <c r="C438" s="2">
        <v>91000240</v>
      </c>
      <c r="D438" s="2" t="s">
        <v>29</v>
      </c>
      <c r="E438" s="6" t="str">
        <f t="shared" si="0"/>
        <v>https://dto.kemkes.go.id/kfacode/91000240</v>
      </c>
    </row>
    <row r="439" spans="1:5" ht="15.75" customHeight="1">
      <c r="A439" s="2">
        <v>91000509</v>
      </c>
      <c r="B439" s="2" t="s">
        <v>495</v>
      </c>
      <c r="C439" s="2">
        <v>91000509</v>
      </c>
      <c r="D439" s="2" t="s">
        <v>29</v>
      </c>
      <c r="E439" s="6" t="str">
        <f t="shared" si="0"/>
        <v>https://dto.kemkes.go.id/kfacode/91000509</v>
      </c>
    </row>
    <row r="440" spans="1:5" ht="15.75" customHeight="1">
      <c r="A440" s="2">
        <v>91000705</v>
      </c>
      <c r="B440" s="2" t="s">
        <v>496</v>
      </c>
      <c r="C440" s="2">
        <v>91000705</v>
      </c>
      <c r="D440" s="2" t="s">
        <v>29</v>
      </c>
      <c r="E440" s="6" t="str">
        <f t="shared" si="0"/>
        <v>https://dto.kemkes.go.id/kfacode/91000705</v>
      </c>
    </row>
    <row r="441" spans="1:5" ht="15.75" customHeight="1">
      <c r="A441" s="2">
        <v>91000679</v>
      </c>
      <c r="B441" s="2" t="s">
        <v>497</v>
      </c>
      <c r="C441" s="2">
        <v>91000679</v>
      </c>
      <c r="D441" s="2" t="s">
        <v>29</v>
      </c>
      <c r="E441" s="6" t="str">
        <f t="shared" si="0"/>
        <v>https://dto.kemkes.go.id/kfacode/91000679</v>
      </c>
    </row>
    <row r="442" spans="1:5" ht="15.75" customHeight="1">
      <c r="A442" s="2">
        <v>91000303</v>
      </c>
      <c r="B442" s="2" t="s">
        <v>498</v>
      </c>
      <c r="C442" s="2">
        <v>91000303</v>
      </c>
      <c r="D442" s="2" t="s">
        <v>29</v>
      </c>
      <c r="E442" s="6" t="str">
        <f t="shared" si="0"/>
        <v>https://dto.kemkes.go.id/kfacode/91000303</v>
      </c>
    </row>
    <row r="443" spans="1:5" ht="15.75" customHeight="1">
      <c r="A443" s="2">
        <v>91000427</v>
      </c>
      <c r="B443" s="2" t="s">
        <v>499</v>
      </c>
      <c r="C443" s="2">
        <v>91000427</v>
      </c>
      <c r="D443" s="2" t="s">
        <v>29</v>
      </c>
      <c r="E443" s="6" t="str">
        <f t="shared" si="0"/>
        <v>https://dto.kemkes.go.id/kfacode/91000427</v>
      </c>
    </row>
    <row r="444" spans="1:5" ht="15.75" customHeight="1">
      <c r="A444" s="2">
        <v>91000375</v>
      </c>
      <c r="B444" s="2" t="s">
        <v>500</v>
      </c>
      <c r="C444" s="2">
        <v>91000375</v>
      </c>
      <c r="D444" s="2" t="s">
        <v>29</v>
      </c>
      <c r="E444" s="6" t="str">
        <f t="shared" si="0"/>
        <v>https://dto.kemkes.go.id/kfacode/91000375</v>
      </c>
    </row>
    <row r="445" spans="1:5" ht="15.75" customHeight="1">
      <c r="A445" s="2">
        <v>91000376</v>
      </c>
      <c r="B445" s="2" t="s">
        <v>501</v>
      </c>
      <c r="C445" s="2">
        <v>91000376</v>
      </c>
      <c r="D445" s="2" t="s">
        <v>29</v>
      </c>
      <c r="E445" s="6" t="str">
        <f t="shared" si="0"/>
        <v>https://dto.kemkes.go.id/kfacode/91000376</v>
      </c>
    </row>
    <row r="446" spans="1:5" ht="15.75" customHeight="1">
      <c r="A446" s="2">
        <v>91000699</v>
      </c>
      <c r="B446" s="2" t="s">
        <v>502</v>
      </c>
      <c r="C446" s="2">
        <v>91000699</v>
      </c>
      <c r="D446" s="2" t="s">
        <v>29</v>
      </c>
      <c r="E446" s="6" t="str">
        <f t="shared" si="0"/>
        <v>https://dto.kemkes.go.id/kfacode/91000699</v>
      </c>
    </row>
    <row r="447" spans="1:5" ht="15.75" customHeight="1">
      <c r="A447" s="2">
        <v>91000682</v>
      </c>
      <c r="B447" s="2" t="s">
        <v>503</v>
      </c>
      <c r="C447" s="2">
        <v>91000682</v>
      </c>
      <c r="D447" s="2" t="s">
        <v>29</v>
      </c>
      <c r="E447" s="6" t="str">
        <f t="shared" si="0"/>
        <v>https://dto.kemkes.go.id/kfacode/91000682</v>
      </c>
    </row>
    <row r="448" spans="1:5" ht="15.75" customHeight="1">
      <c r="A448" s="2">
        <v>91000330</v>
      </c>
      <c r="B448" s="2" t="s">
        <v>504</v>
      </c>
      <c r="C448" s="2">
        <v>91000330</v>
      </c>
      <c r="D448" s="2" t="s">
        <v>29</v>
      </c>
      <c r="E448" s="6" t="str">
        <f t="shared" si="0"/>
        <v>https://dto.kemkes.go.id/kfacode/91000330</v>
      </c>
    </row>
    <row r="449" spans="1:5" ht="15.75" customHeight="1">
      <c r="A449" s="2">
        <v>91000505</v>
      </c>
      <c r="B449" s="2" t="s">
        <v>505</v>
      </c>
      <c r="C449" s="2">
        <v>91000505</v>
      </c>
      <c r="D449" s="2" t="s">
        <v>29</v>
      </c>
      <c r="E449" s="6" t="str">
        <f t="shared" si="0"/>
        <v>https://dto.kemkes.go.id/kfacode/91000505</v>
      </c>
    </row>
    <row r="450" spans="1:5" ht="15.75" customHeight="1">
      <c r="A450" s="2">
        <v>91000178</v>
      </c>
      <c r="B450" s="2" t="s">
        <v>506</v>
      </c>
      <c r="C450" s="2">
        <v>91000178</v>
      </c>
      <c r="D450" s="2" t="s">
        <v>29</v>
      </c>
      <c r="E450" s="6" t="str">
        <f t="shared" si="0"/>
        <v>https://dto.kemkes.go.id/kfacode/91000178</v>
      </c>
    </row>
    <row r="451" spans="1:5" ht="15.75" customHeight="1">
      <c r="A451" s="2">
        <v>91000331</v>
      </c>
      <c r="B451" s="2" t="s">
        <v>507</v>
      </c>
      <c r="C451" s="2">
        <v>91000331</v>
      </c>
      <c r="D451" s="2" t="s">
        <v>29</v>
      </c>
      <c r="E451" s="6" t="str">
        <f t="shared" si="0"/>
        <v>https://dto.kemkes.go.id/kfacode/91000331</v>
      </c>
    </row>
    <row r="452" spans="1:5" ht="15.75" customHeight="1">
      <c r="A452" s="2">
        <v>91000163</v>
      </c>
      <c r="B452" s="2" t="s">
        <v>508</v>
      </c>
      <c r="C452" s="2">
        <v>91000163</v>
      </c>
      <c r="D452" s="2" t="s">
        <v>29</v>
      </c>
      <c r="E452" s="6" t="str">
        <f t="shared" si="0"/>
        <v>https://dto.kemkes.go.id/kfacode/91000163</v>
      </c>
    </row>
    <row r="453" spans="1:5" ht="15.75" customHeight="1">
      <c r="A453" s="2">
        <v>91000161</v>
      </c>
      <c r="B453" s="2" t="s">
        <v>509</v>
      </c>
      <c r="C453" s="2">
        <v>91000161</v>
      </c>
      <c r="D453" s="2" t="s">
        <v>29</v>
      </c>
      <c r="E453" s="6" t="str">
        <f t="shared" si="0"/>
        <v>https://dto.kemkes.go.id/kfacode/91000161</v>
      </c>
    </row>
    <row r="454" spans="1:5" ht="15.75" customHeight="1">
      <c r="A454" s="2">
        <v>91000193</v>
      </c>
      <c r="B454" s="2" t="s">
        <v>510</v>
      </c>
      <c r="C454" s="2">
        <v>91000193</v>
      </c>
      <c r="D454" s="2" t="s">
        <v>29</v>
      </c>
      <c r="E454" s="6" t="str">
        <f t="shared" si="0"/>
        <v>https://dto.kemkes.go.id/kfacode/91000193</v>
      </c>
    </row>
    <row r="455" spans="1:5" ht="15.75" customHeight="1">
      <c r="A455" s="2">
        <v>91000364</v>
      </c>
      <c r="B455" s="2" t="s">
        <v>511</v>
      </c>
      <c r="C455" s="2">
        <v>91000364</v>
      </c>
      <c r="D455" s="2" t="s">
        <v>29</v>
      </c>
      <c r="E455" s="6" t="str">
        <f t="shared" si="0"/>
        <v>https://dto.kemkes.go.id/kfacode/91000364</v>
      </c>
    </row>
    <row r="456" spans="1:5" ht="15.75" customHeight="1">
      <c r="A456" s="2">
        <v>91000500</v>
      </c>
      <c r="B456" s="2" t="s">
        <v>512</v>
      </c>
      <c r="C456" s="2">
        <v>91000500</v>
      </c>
      <c r="D456" s="2" t="s">
        <v>29</v>
      </c>
      <c r="E456" s="6" t="str">
        <f t="shared" si="0"/>
        <v>https://dto.kemkes.go.id/kfacode/91000500</v>
      </c>
    </row>
    <row r="457" spans="1:5" ht="15.75" customHeight="1">
      <c r="A457" s="2">
        <v>91000285</v>
      </c>
      <c r="B457" s="2" t="s">
        <v>513</v>
      </c>
      <c r="C457" s="2">
        <v>91000285</v>
      </c>
      <c r="D457" s="2" t="s">
        <v>29</v>
      </c>
      <c r="E457" s="6" t="str">
        <f t="shared" si="0"/>
        <v>https://dto.kemkes.go.id/kfacode/91000285</v>
      </c>
    </row>
    <row r="458" spans="1:5" ht="15.75" customHeight="1">
      <c r="A458" s="2">
        <v>91000309</v>
      </c>
      <c r="B458" s="2" t="s">
        <v>514</v>
      </c>
      <c r="C458" s="2">
        <v>91000309</v>
      </c>
      <c r="D458" s="2" t="s">
        <v>29</v>
      </c>
      <c r="E458" s="6" t="str">
        <f t="shared" si="0"/>
        <v>https://dto.kemkes.go.id/kfacode/91000309</v>
      </c>
    </row>
    <row r="459" spans="1:5" ht="15.75" customHeight="1">
      <c r="A459" s="2">
        <v>91000310</v>
      </c>
      <c r="B459" s="2" t="s">
        <v>515</v>
      </c>
      <c r="C459" s="2">
        <v>91000310</v>
      </c>
      <c r="D459" s="2" t="s">
        <v>29</v>
      </c>
      <c r="E459" s="6" t="str">
        <f t="shared" si="0"/>
        <v>https://dto.kemkes.go.id/kfacode/91000310</v>
      </c>
    </row>
    <row r="460" spans="1:5" ht="15.75" customHeight="1">
      <c r="A460" s="2">
        <v>91000673</v>
      </c>
      <c r="B460" s="2" t="s">
        <v>516</v>
      </c>
      <c r="C460" s="2">
        <v>91000673</v>
      </c>
      <c r="D460" s="2" t="s">
        <v>29</v>
      </c>
      <c r="E460" s="6" t="str">
        <f t="shared" si="0"/>
        <v>https://dto.kemkes.go.id/kfacode/91000673</v>
      </c>
    </row>
    <row r="461" spans="1:5" ht="15.75" customHeight="1">
      <c r="A461" s="2">
        <v>91000549</v>
      </c>
      <c r="B461" s="2" t="s">
        <v>517</v>
      </c>
      <c r="C461" s="2">
        <v>91000549</v>
      </c>
      <c r="D461" s="2" t="s">
        <v>29</v>
      </c>
      <c r="E461" s="6" t="str">
        <f t="shared" si="0"/>
        <v>https://dto.kemkes.go.id/kfacode/91000549</v>
      </c>
    </row>
    <row r="462" spans="1:5" ht="15.75" customHeight="1">
      <c r="A462" s="2">
        <v>91000106</v>
      </c>
      <c r="B462" s="2" t="s">
        <v>518</v>
      </c>
      <c r="C462" s="2">
        <v>91000106</v>
      </c>
      <c r="D462" s="2" t="s">
        <v>29</v>
      </c>
      <c r="E462" s="6" t="str">
        <f t="shared" si="0"/>
        <v>https://dto.kemkes.go.id/kfacode/91000106</v>
      </c>
    </row>
    <row r="463" spans="1:5" ht="15.75" customHeight="1">
      <c r="A463" s="2">
        <v>91000689</v>
      </c>
      <c r="B463" s="2" t="s">
        <v>519</v>
      </c>
      <c r="C463" s="2">
        <v>91000689</v>
      </c>
      <c r="D463" s="2" t="s">
        <v>29</v>
      </c>
      <c r="E463" s="6" t="str">
        <f t="shared" si="0"/>
        <v>https://dto.kemkes.go.id/kfacode/91000689</v>
      </c>
    </row>
    <row r="464" spans="1:5" ht="15.75" customHeight="1">
      <c r="A464" s="2">
        <v>91000144</v>
      </c>
      <c r="B464" s="2" t="s">
        <v>520</v>
      </c>
      <c r="C464" s="2">
        <v>91000144</v>
      </c>
      <c r="D464" s="2" t="s">
        <v>29</v>
      </c>
      <c r="E464" s="6" t="str">
        <f t="shared" si="0"/>
        <v>https://dto.kemkes.go.id/kfacode/91000144</v>
      </c>
    </row>
    <row r="465" spans="1:5" ht="15.75" customHeight="1">
      <c r="A465" s="2">
        <v>91000188</v>
      </c>
      <c r="B465" s="2" t="s">
        <v>521</v>
      </c>
      <c r="C465" s="2">
        <v>91000188</v>
      </c>
      <c r="D465" s="2" t="s">
        <v>29</v>
      </c>
      <c r="E465" s="6" t="str">
        <f t="shared" si="0"/>
        <v>https://dto.kemkes.go.id/kfacode/91000188</v>
      </c>
    </row>
    <row r="466" spans="1:5" ht="15.75" customHeight="1">
      <c r="A466" s="2">
        <v>91000408</v>
      </c>
      <c r="B466" s="2" t="s">
        <v>522</v>
      </c>
      <c r="C466" s="2">
        <v>91000408</v>
      </c>
      <c r="D466" s="2" t="s">
        <v>29</v>
      </c>
      <c r="E466" s="6" t="str">
        <f t="shared" si="0"/>
        <v>https://dto.kemkes.go.id/kfacode/91000408</v>
      </c>
    </row>
    <row r="467" spans="1:5" ht="15.75" customHeight="1">
      <c r="A467" s="2">
        <v>91000463</v>
      </c>
      <c r="B467" s="2" t="s">
        <v>523</v>
      </c>
      <c r="C467" s="2">
        <v>91000463</v>
      </c>
      <c r="D467" s="2" t="s">
        <v>29</v>
      </c>
      <c r="E467" s="6" t="str">
        <f t="shared" si="0"/>
        <v>https://dto.kemkes.go.id/kfacode/91000463</v>
      </c>
    </row>
    <row r="468" spans="1:5" ht="15.75" customHeight="1">
      <c r="A468" s="2">
        <v>91000281</v>
      </c>
      <c r="B468" s="2" t="s">
        <v>524</v>
      </c>
      <c r="C468" s="2">
        <v>91000281</v>
      </c>
      <c r="D468" s="2" t="s">
        <v>29</v>
      </c>
      <c r="E468" s="6" t="str">
        <f t="shared" si="0"/>
        <v>https://dto.kemkes.go.id/kfacode/91000281</v>
      </c>
    </row>
    <row r="469" spans="1:5" ht="15.75" customHeight="1">
      <c r="A469" s="2">
        <v>91000384</v>
      </c>
      <c r="B469" s="2" t="s">
        <v>525</v>
      </c>
      <c r="C469" s="2">
        <v>91000384</v>
      </c>
      <c r="D469" s="2" t="s">
        <v>29</v>
      </c>
      <c r="E469" s="6" t="str">
        <f t="shared" si="0"/>
        <v>https://dto.kemkes.go.id/kfacode/91000384</v>
      </c>
    </row>
    <row r="470" spans="1:5" ht="15.75" customHeight="1">
      <c r="A470" s="2">
        <v>91000366</v>
      </c>
      <c r="B470" s="2" t="s">
        <v>526</v>
      </c>
      <c r="C470" s="2">
        <v>91000366</v>
      </c>
      <c r="D470" s="2" t="s">
        <v>29</v>
      </c>
      <c r="E470" s="6" t="str">
        <f t="shared" si="0"/>
        <v>https://dto.kemkes.go.id/kfacode/91000366</v>
      </c>
    </row>
    <row r="471" spans="1:5" ht="15.75" customHeight="1">
      <c r="A471" s="2">
        <v>91000382</v>
      </c>
      <c r="B471" s="2" t="s">
        <v>527</v>
      </c>
      <c r="C471" s="2">
        <v>91000382</v>
      </c>
      <c r="D471" s="2" t="s">
        <v>29</v>
      </c>
      <c r="E471" s="6" t="str">
        <f t="shared" si="0"/>
        <v>https://dto.kemkes.go.id/kfacode/91000382</v>
      </c>
    </row>
    <row r="472" spans="1:5" ht="15.75" customHeight="1">
      <c r="A472" s="2">
        <v>91000210</v>
      </c>
      <c r="B472" s="2" t="s">
        <v>528</v>
      </c>
      <c r="C472" s="2">
        <v>91000210</v>
      </c>
      <c r="D472" s="2" t="s">
        <v>29</v>
      </c>
      <c r="E472" s="6" t="str">
        <f t="shared" si="0"/>
        <v>https://dto.kemkes.go.id/kfacode/91000210</v>
      </c>
    </row>
    <row r="473" spans="1:5" ht="15.75" customHeight="1">
      <c r="A473" s="2">
        <v>91000172</v>
      </c>
      <c r="B473" s="2" t="s">
        <v>529</v>
      </c>
      <c r="C473" s="2">
        <v>91000172</v>
      </c>
      <c r="D473" s="2" t="s">
        <v>29</v>
      </c>
      <c r="E473" s="6" t="str">
        <f t="shared" si="0"/>
        <v>https://dto.kemkes.go.id/kfacode/91000172</v>
      </c>
    </row>
    <row r="474" spans="1:5" ht="15.75" customHeight="1">
      <c r="A474" s="2">
        <v>91000359</v>
      </c>
      <c r="B474" s="2" t="s">
        <v>530</v>
      </c>
      <c r="C474" s="2">
        <v>91000359</v>
      </c>
      <c r="D474" s="2" t="s">
        <v>29</v>
      </c>
      <c r="E474" s="6" t="str">
        <f t="shared" si="0"/>
        <v>https://dto.kemkes.go.id/kfacode/91000359</v>
      </c>
    </row>
    <row r="475" spans="1:5" ht="15.75" customHeight="1">
      <c r="A475" s="2">
        <v>91000704</v>
      </c>
      <c r="B475" s="2" t="s">
        <v>531</v>
      </c>
      <c r="C475" s="2">
        <v>91000704</v>
      </c>
      <c r="D475" s="2" t="s">
        <v>29</v>
      </c>
      <c r="E475" s="6" t="str">
        <f t="shared" si="0"/>
        <v>https://dto.kemkes.go.id/kfacode/91000704</v>
      </c>
    </row>
    <row r="476" spans="1:5" ht="15.75" customHeight="1">
      <c r="A476" s="2">
        <v>91000436</v>
      </c>
      <c r="B476" s="2" t="s">
        <v>532</v>
      </c>
      <c r="C476" s="2">
        <v>91000436</v>
      </c>
      <c r="D476" s="2" t="s">
        <v>29</v>
      </c>
      <c r="E476" s="6" t="str">
        <f t="shared" si="0"/>
        <v>https://dto.kemkes.go.id/kfacode/91000436</v>
      </c>
    </row>
    <row r="477" spans="1:5" ht="15.75" customHeight="1">
      <c r="A477" s="2">
        <v>91000541</v>
      </c>
      <c r="B477" s="2" t="s">
        <v>533</v>
      </c>
      <c r="C477" s="2">
        <v>91000541</v>
      </c>
      <c r="D477" s="2" t="s">
        <v>29</v>
      </c>
      <c r="E477" s="6" t="str">
        <f t="shared" si="0"/>
        <v>https://dto.kemkes.go.id/kfacode/91000541</v>
      </c>
    </row>
    <row r="478" spans="1:5" ht="15.75" customHeight="1">
      <c r="A478" s="2">
        <v>91000685</v>
      </c>
      <c r="B478" s="2" t="s">
        <v>534</v>
      </c>
      <c r="C478" s="2">
        <v>91000685</v>
      </c>
      <c r="D478" s="2" t="s">
        <v>29</v>
      </c>
      <c r="E478" s="6" t="str">
        <f t="shared" si="0"/>
        <v>https://dto.kemkes.go.id/kfacode/91000685</v>
      </c>
    </row>
    <row r="479" spans="1:5" ht="15.75" customHeight="1">
      <c r="A479" s="2">
        <v>91000435</v>
      </c>
      <c r="B479" s="2" t="s">
        <v>535</v>
      </c>
      <c r="C479" s="2">
        <v>91000435</v>
      </c>
      <c r="D479" s="2" t="s">
        <v>29</v>
      </c>
      <c r="E479" s="6" t="str">
        <f t="shared" si="0"/>
        <v>https://dto.kemkes.go.id/kfacode/91000435</v>
      </c>
    </row>
    <row r="480" spans="1:5" ht="15.75" customHeight="1">
      <c r="A480" s="2">
        <v>91000171</v>
      </c>
      <c r="B480" s="2" t="s">
        <v>536</v>
      </c>
      <c r="C480" s="2">
        <v>91000171</v>
      </c>
      <c r="D480" s="2" t="s">
        <v>29</v>
      </c>
      <c r="E480" s="6" t="str">
        <f t="shared" si="0"/>
        <v>https://dto.kemkes.go.id/kfacode/91000171</v>
      </c>
    </row>
    <row r="481" spans="1:5" ht="15.75" customHeight="1">
      <c r="A481" s="2">
        <v>91000465</v>
      </c>
      <c r="B481" s="2" t="s">
        <v>537</v>
      </c>
      <c r="C481" s="2">
        <v>91000465</v>
      </c>
      <c r="D481" s="2" t="s">
        <v>29</v>
      </c>
      <c r="E481" s="6" t="str">
        <f t="shared" si="0"/>
        <v>https://dto.kemkes.go.id/kfacode/91000465</v>
      </c>
    </row>
    <row r="482" spans="1:5" ht="15.75" customHeight="1">
      <c r="A482" s="5">
        <v>91000393</v>
      </c>
      <c r="B482" s="7" t="s">
        <v>538</v>
      </c>
      <c r="C482" s="7">
        <v>91000393</v>
      </c>
      <c r="D482" s="7" t="s">
        <v>29</v>
      </c>
      <c r="E482" s="6" t="str">
        <f t="shared" si="0"/>
        <v>https://dto.kemkes.go.id/kfacode/91000393</v>
      </c>
    </row>
    <row r="483" spans="1:5" ht="15.75" customHeight="1">
      <c r="A483" s="5">
        <v>91000253</v>
      </c>
      <c r="B483" s="7" t="s">
        <v>539</v>
      </c>
      <c r="C483" s="7">
        <v>91000253</v>
      </c>
      <c r="D483" s="7" t="s">
        <v>29</v>
      </c>
      <c r="E483" s="6" t="str">
        <f t="shared" si="0"/>
        <v>https://dto.kemkes.go.id/kfacode/91000253</v>
      </c>
    </row>
    <row r="484" spans="1:5" ht="15.75" customHeight="1">
      <c r="A484" s="5">
        <v>91000542</v>
      </c>
      <c r="B484" s="7" t="s">
        <v>540</v>
      </c>
      <c r="C484" s="7">
        <v>91000542</v>
      </c>
      <c r="D484" s="7" t="s">
        <v>29</v>
      </c>
      <c r="E484" s="6" t="str">
        <f t="shared" si="0"/>
        <v>https://dto.kemkes.go.id/kfacode/91000542</v>
      </c>
    </row>
    <row r="485" spans="1:5" ht="15.75" customHeight="1">
      <c r="A485" s="5">
        <v>91000426</v>
      </c>
      <c r="B485" s="7" t="s">
        <v>541</v>
      </c>
      <c r="C485" s="7">
        <v>91000426</v>
      </c>
      <c r="D485" s="7" t="s">
        <v>29</v>
      </c>
      <c r="E485" s="6" t="str">
        <f t="shared" si="0"/>
        <v>https://dto.kemkes.go.id/kfacode/91000426</v>
      </c>
    </row>
    <row r="486" spans="1:5" ht="15.75" customHeight="1">
      <c r="A486" s="5">
        <v>91000610</v>
      </c>
      <c r="B486" s="7" t="s">
        <v>542</v>
      </c>
      <c r="C486" s="7">
        <v>91000610</v>
      </c>
      <c r="D486" s="7" t="s">
        <v>29</v>
      </c>
      <c r="E486" s="6" t="str">
        <f t="shared" si="0"/>
        <v>https://dto.kemkes.go.id/kfacode/91000610</v>
      </c>
    </row>
    <row r="487" spans="1:5" ht="15.75" customHeight="1">
      <c r="A487" s="5">
        <v>91000265</v>
      </c>
      <c r="B487" s="7" t="s">
        <v>543</v>
      </c>
      <c r="C487" s="7">
        <v>91000265</v>
      </c>
      <c r="D487" s="7" t="s">
        <v>29</v>
      </c>
      <c r="E487" s="6" t="str">
        <f t="shared" si="0"/>
        <v>https://dto.kemkes.go.id/kfacode/91000265</v>
      </c>
    </row>
    <row r="488" spans="1:5" ht="15.75" customHeight="1">
      <c r="A488" s="5">
        <v>91000684</v>
      </c>
      <c r="B488" s="7" t="s">
        <v>544</v>
      </c>
      <c r="C488" s="7">
        <v>91000684</v>
      </c>
      <c r="D488" s="7" t="s">
        <v>29</v>
      </c>
      <c r="E488" s="6" t="str">
        <f t="shared" si="0"/>
        <v>https://dto.kemkes.go.id/kfacode/91000684</v>
      </c>
    </row>
    <row r="489" spans="1:5" ht="15.75" customHeight="1">
      <c r="A489" s="5">
        <v>91000391</v>
      </c>
      <c r="B489" s="7" t="s">
        <v>545</v>
      </c>
      <c r="C489" s="7">
        <v>91000391</v>
      </c>
      <c r="D489" s="7" t="s">
        <v>29</v>
      </c>
      <c r="E489" s="6" t="str">
        <f t="shared" si="0"/>
        <v>https://dto.kemkes.go.id/kfacode/91000391</v>
      </c>
    </row>
    <row r="490" spans="1:5" ht="15.75" customHeight="1">
      <c r="A490" s="5">
        <v>91000392</v>
      </c>
      <c r="B490" s="7" t="s">
        <v>546</v>
      </c>
      <c r="C490" s="7">
        <v>91000392</v>
      </c>
      <c r="D490" s="7" t="s">
        <v>29</v>
      </c>
      <c r="E490" s="6" t="str">
        <f t="shared" si="0"/>
        <v>https://dto.kemkes.go.id/kfacode/91000392</v>
      </c>
    </row>
    <row r="491" spans="1:5" ht="15.75" customHeight="1">
      <c r="A491" s="5">
        <v>91000269</v>
      </c>
      <c r="B491" s="7" t="s">
        <v>547</v>
      </c>
      <c r="C491" s="7">
        <v>91000269</v>
      </c>
      <c r="D491" s="7" t="s">
        <v>29</v>
      </c>
      <c r="E491" s="6" t="str">
        <f t="shared" si="0"/>
        <v>https://dto.kemkes.go.id/kfacode/91000269</v>
      </c>
    </row>
    <row r="492" spans="1:5" ht="15.75" customHeight="1">
      <c r="A492" s="5">
        <v>91000177</v>
      </c>
      <c r="B492" s="7" t="s">
        <v>548</v>
      </c>
      <c r="C492" s="7">
        <v>91000177</v>
      </c>
      <c r="D492" s="7" t="s">
        <v>29</v>
      </c>
      <c r="E492" s="6" t="str">
        <f t="shared" si="0"/>
        <v>https://dto.kemkes.go.id/kfacode/91000177</v>
      </c>
    </row>
    <row r="493" spans="1:5" ht="15.75" customHeight="1">
      <c r="A493" s="5">
        <v>91000420</v>
      </c>
      <c r="B493" s="7" t="s">
        <v>549</v>
      </c>
      <c r="C493" s="7">
        <v>91000420</v>
      </c>
      <c r="D493" s="7" t="s">
        <v>29</v>
      </c>
      <c r="E493" s="6" t="str">
        <f t="shared" si="0"/>
        <v>https://dto.kemkes.go.id/kfacode/91000420</v>
      </c>
    </row>
    <row r="494" spans="1:5" ht="15.75" customHeight="1">
      <c r="A494" s="5">
        <v>91000643</v>
      </c>
      <c r="B494" s="7" t="s">
        <v>550</v>
      </c>
      <c r="C494" s="7">
        <v>91000643</v>
      </c>
      <c r="D494" s="7" t="s">
        <v>29</v>
      </c>
      <c r="E494" s="6" t="str">
        <f t="shared" si="0"/>
        <v>https://dto.kemkes.go.id/kfacode/91000643</v>
      </c>
    </row>
    <row r="495" spans="1:5" ht="15.75" customHeight="1">
      <c r="A495" s="5">
        <v>91000468</v>
      </c>
      <c r="B495" s="7" t="s">
        <v>551</v>
      </c>
      <c r="C495" s="7">
        <v>91000468</v>
      </c>
      <c r="D495" s="7" t="s">
        <v>29</v>
      </c>
      <c r="E495" s="6" t="str">
        <f t="shared" si="0"/>
        <v>https://dto.kemkes.go.id/kfacode/91000468</v>
      </c>
    </row>
    <row r="496" spans="1:5" ht="15.75" customHeight="1">
      <c r="A496" s="5">
        <v>91000270</v>
      </c>
      <c r="B496" s="7" t="s">
        <v>552</v>
      </c>
      <c r="C496" s="7">
        <v>91000270</v>
      </c>
      <c r="D496" s="7" t="s">
        <v>29</v>
      </c>
      <c r="E496" s="6" t="str">
        <f t="shared" si="0"/>
        <v>https://dto.kemkes.go.id/kfacode/91000270</v>
      </c>
    </row>
    <row r="497" spans="1:5" ht="15.75" customHeight="1">
      <c r="A497" s="5">
        <v>91000525</v>
      </c>
      <c r="B497" s="7" t="s">
        <v>553</v>
      </c>
      <c r="C497" s="7">
        <v>91000525</v>
      </c>
      <c r="D497" s="7" t="s">
        <v>29</v>
      </c>
      <c r="E497" s="6" t="str">
        <f t="shared" si="0"/>
        <v>https://dto.kemkes.go.id/kfacode/91000525</v>
      </c>
    </row>
    <row r="498" spans="1:5" ht="15.75" customHeight="1">
      <c r="A498" s="5">
        <v>91000659</v>
      </c>
      <c r="B498" s="7" t="s">
        <v>554</v>
      </c>
      <c r="C498" s="7">
        <v>91000659</v>
      </c>
      <c r="D498" s="7" t="s">
        <v>29</v>
      </c>
      <c r="E498" s="6" t="str">
        <f t="shared" si="0"/>
        <v>https://dto.kemkes.go.id/kfacode/91000659</v>
      </c>
    </row>
    <row r="499" spans="1:5" ht="15.75" customHeight="1">
      <c r="A499" s="5">
        <v>91000664</v>
      </c>
      <c r="B499" s="7" t="s">
        <v>555</v>
      </c>
      <c r="C499" s="7">
        <v>91000664</v>
      </c>
      <c r="D499" s="7" t="s">
        <v>29</v>
      </c>
      <c r="E499" s="6" t="str">
        <f t="shared" si="0"/>
        <v>https://dto.kemkes.go.id/kfacode/91000664</v>
      </c>
    </row>
    <row r="500" spans="1:5" ht="15.75" customHeight="1">
      <c r="A500" s="5">
        <v>91000665</v>
      </c>
      <c r="B500" s="7" t="s">
        <v>556</v>
      </c>
      <c r="C500" s="7">
        <v>91000665</v>
      </c>
      <c r="D500" s="7" t="s">
        <v>29</v>
      </c>
      <c r="E500" s="6" t="str">
        <f t="shared" si="0"/>
        <v>https://dto.kemkes.go.id/kfacode/91000665</v>
      </c>
    </row>
    <row r="501" spans="1:5" ht="15.75" customHeight="1">
      <c r="A501" s="5">
        <v>91000666</v>
      </c>
      <c r="B501" s="7" t="s">
        <v>557</v>
      </c>
      <c r="C501" s="7">
        <v>91000666</v>
      </c>
      <c r="D501" s="7" t="s">
        <v>29</v>
      </c>
      <c r="E501" s="6" t="str">
        <f t="shared" si="0"/>
        <v>https://dto.kemkes.go.id/kfacode/91000666</v>
      </c>
    </row>
    <row r="502" spans="1:5" ht="15.75" customHeight="1">
      <c r="A502" s="5">
        <v>91000667</v>
      </c>
      <c r="B502" s="7" t="s">
        <v>558</v>
      </c>
      <c r="C502" s="7">
        <v>91000667</v>
      </c>
      <c r="D502" s="7" t="s">
        <v>29</v>
      </c>
      <c r="E502" s="6" t="str">
        <f t="shared" si="0"/>
        <v>https://dto.kemkes.go.id/kfacode/91000667</v>
      </c>
    </row>
    <row r="503" spans="1:5" ht="15.75" customHeight="1">
      <c r="A503" s="5">
        <v>91000660</v>
      </c>
      <c r="B503" s="7" t="s">
        <v>559</v>
      </c>
      <c r="C503" s="7">
        <v>91000660</v>
      </c>
      <c r="D503" s="7" t="s">
        <v>29</v>
      </c>
      <c r="E503" s="6" t="str">
        <f t="shared" si="0"/>
        <v>https://dto.kemkes.go.id/kfacode/91000660</v>
      </c>
    </row>
    <row r="504" spans="1:5" ht="15.75" customHeight="1">
      <c r="A504" s="5">
        <v>91000661</v>
      </c>
      <c r="B504" s="7" t="s">
        <v>560</v>
      </c>
      <c r="C504" s="7">
        <v>91000661</v>
      </c>
      <c r="D504" s="7" t="s">
        <v>29</v>
      </c>
      <c r="E504" s="6" t="str">
        <f t="shared" si="0"/>
        <v>https://dto.kemkes.go.id/kfacode/91000661</v>
      </c>
    </row>
    <row r="505" spans="1:5" ht="15.75" customHeight="1">
      <c r="A505" s="5">
        <v>91000662</v>
      </c>
      <c r="B505" s="7" t="s">
        <v>561</v>
      </c>
      <c r="C505" s="7">
        <v>91000662</v>
      </c>
      <c r="D505" s="7" t="s">
        <v>29</v>
      </c>
      <c r="E505" s="6" t="str">
        <f t="shared" si="0"/>
        <v>https://dto.kemkes.go.id/kfacode/91000662</v>
      </c>
    </row>
    <row r="506" spans="1:5" ht="15.75" customHeight="1">
      <c r="A506" s="5">
        <v>91000668</v>
      </c>
      <c r="B506" s="7" t="s">
        <v>562</v>
      </c>
      <c r="C506" s="7">
        <v>91000668</v>
      </c>
      <c r="D506" s="7" t="s">
        <v>29</v>
      </c>
      <c r="E506" s="6" t="str">
        <f t="shared" si="0"/>
        <v>https://dto.kemkes.go.id/kfacode/91000668</v>
      </c>
    </row>
    <row r="507" spans="1:5" ht="15.75" customHeight="1">
      <c r="A507" s="5">
        <v>91000663</v>
      </c>
      <c r="B507" s="7" t="s">
        <v>563</v>
      </c>
      <c r="C507" s="7">
        <v>91000663</v>
      </c>
      <c r="D507" s="7" t="s">
        <v>29</v>
      </c>
      <c r="E507" s="6" t="str">
        <f t="shared" si="0"/>
        <v>https://dto.kemkes.go.id/kfacode/91000663</v>
      </c>
    </row>
    <row r="508" spans="1:5" ht="15.75" customHeight="1">
      <c r="A508" s="5">
        <v>91000293</v>
      </c>
      <c r="B508" s="7" t="s">
        <v>564</v>
      </c>
      <c r="C508" s="7">
        <v>91000293</v>
      </c>
      <c r="D508" s="7" t="s">
        <v>29</v>
      </c>
      <c r="E508" s="6" t="str">
        <f t="shared" si="0"/>
        <v>https://dto.kemkes.go.id/kfacode/91000293</v>
      </c>
    </row>
    <row r="509" spans="1:5" ht="15.75" customHeight="1">
      <c r="A509" s="5">
        <v>91000114</v>
      </c>
      <c r="B509" s="7" t="s">
        <v>565</v>
      </c>
      <c r="C509" s="7">
        <v>91000114</v>
      </c>
      <c r="D509" s="7" t="s">
        <v>29</v>
      </c>
      <c r="E509" s="6" t="str">
        <f t="shared" si="0"/>
        <v>https://dto.kemkes.go.id/kfacode/91000114</v>
      </c>
    </row>
    <row r="510" spans="1:5" ht="15.75" customHeight="1">
      <c r="A510" s="5">
        <v>91000431</v>
      </c>
      <c r="B510" s="7" t="s">
        <v>566</v>
      </c>
      <c r="C510" s="7">
        <v>91000431</v>
      </c>
      <c r="D510" s="7" t="s">
        <v>29</v>
      </c>
      <c r="E510" s="6" t="str">
        <f t="shared" si="0"/>
        <v>https://dto.kemkes.go.id/kfacode/91000431</v>
      </c>
    </row>
    <row r="511" spans="1:5" ht="15.75" customHeight="1">
      <c r="A511" s="5">
        <v>91000534</v>
      </c>
      <c r="B511" s="7" t="s">
        <v>567</v>
      </c>
      <c r="C511" s="7">
        <v>91000534</v>
      </c>
      <c r="D511" s="7" t="s">
        <v>29</v>
      </c>
      <c r="E511" s="6" t="str">
        <f t="shared" si="0"/>
        <v>https://dto.kemkes.go.id/kfacode/91000534</v>
      </c>
    </row>
    <row r="512" spans="1:5" ht="15.75" customHeight="1">
      <c r="A512" s="5">
        <v>91000246</v>
      </c>
      <c r="B512" s="7" t="s">
        <v>568</v>
      </c>
      <c r="C512" s="7">
        <v>91000246</v>
      </c>
      <c r="D512" s="7" t="s">
        <v>29</v>
      </c>
      <c r="E512" s="6" t="str">
        <f t="shared" si="0"/>
        <v>https://dto.kemkes.go.id/kfacode/91000246</v>
      </c>
    </row>
    <row r="513" spans="1:5" ht="15.75" customHeight="1">
      <c r="A513" s="5">
        <v>91000626</v>
      </c>
      <c r="B513" s="7" t="s">
        <v>569</v>
      </c>
      <c r="C513" s="7">
        <v>91000626</v>
      </c>
      <c r="D513" s="7" t="s">
        <v>29</v>
      </c>
      <c r="E513" s="6" t="str">
        <f t="shared" si="0"/>
        <v>https://dto.kemkes.go.id/kfacode/91000626</v>
      </c>
    </row>
    <row r="514" spans="1:5" ht="15.75" customHeight="1">
      <c r="A514" s="5">
        <v>91000624</v>
      </c>
      <c r="B514" s="7" t="s">
        <v>570</v>
      </c>
      <c r="C514" s="7">
        <v>91000624</v>
      </c>
      <c r="D514" s="7" t="s">
        <v>29</v>
      </c>
      <c r="E514" s="6" t="str">
        <f t="shared" si="0"/>
        <v>https://dto.kemkes.go.id/kfacode/91000624</v>
      </c>
    </row>
    <row r="515" spans="1:5" ht="15.75" customHeight="1">
      <c r="A515" s="5">
        <v>91000145</v>
      </c>
      <c r="B515" s="7" t="s">
        <v>571</v>
      </c>
      <c r="C515" s="7">
        <v>91000145</v>
      </c>
      <c r="D515" s="7" t="s">
        <v>29</v>
      </c>
      <c r="E515" s="6" t="str">
        <f t="shared" si="0"/>
        <v>https://dto.kemkes.go.id/kfacode/91000145</v>
      </c>
    </row>
    <row r="516" spans="1:5" ht="15.75" customHeight="1">
      <c r="A516" s="5">
        <v>91000250</v>
      </c>
      <c r="B516" s="7" t="s">
        <v>572</v>
      </c>
      <c r="C516" s="7">
        <v>91000250</v>
      </c>
      <c r="D516" s="7" t="s">
        <v>29</v>
      </c>
      <c r="E516" s="6" t="str">
        <f t="shared" si="0"/>
        <v>https://dto.kemkes.go.id/kfacode/91000250</v>
      </c>
    </row>
    <row r="517" spans="1:5" ht="15.75" customHeight="1">
      <c r="A517" s="5">
        <v>91000280</v>
      </c>
      <c r="B517" s="7" t="s">
        <v>573</v>
      </c>
      <c r="C517" s="7">
        <v>91000280</v>
      </c>
      <c r="D517" s="7" t="s">
        <v>29</v>
      </c>
      <c r="E517" s="6" t="str">
        <f t="shared" si="0"/>
        <v>https://dto.kemkes.go.id/kfacode/91000280</v>
      </c>
    </row>
    <row r="518" spans="1:5" ht="15.75" customHeight="1">
      <c r="A518" s="5">
        <v>91000324</v>
      </c>
      <c r="B518" s="7" t="s">
        <v>574</v>
      </c>
      <c r="C518" s="7">
        <v>91000324</v>
      </c>
      <c r="D518" s="7" t="s">
        <v>29</v>
      </c>
      <c r="E518" s="6" t="str">
        <f t="shared" si="0"/>
        <v>https://dto.kemkes.go.id/kfacode/91000324</v>
      </c>
    </row>
    <row r="519" spans="1:5" ht="15.75" customHeight="1">
      <c r="A519" s="5">
        <v>91000543</v>
      </c>
      <c r="B519" s="7" t="s">
        <v>575</v>
      </c>
      <c r="C519" s="7">
        <v>91000543</v>
      </c>
      <c r="D519" s="7" t="s">
        <v>29</v>
      </c>
      <c r="E519" s="6" t="str">
        <f t="shared" si="0"/>
        <v>https://dto.kemkes.go.id/kfacode/91000543</v>
      </c>
    </row>
    <row r="520" spans="1:5" ht="15.75" customHeight="1">
      <c r="A520" s="5">
        <v>91000125</v>
      </c>
      <c r="B520" s="7" t="s">
        <v>576</v>
      </c>
      <c r="C520" s="7">
        <v>91000125</v>
      </c>
      <c r="D520" s="7" t="s">
        <v>29</v>
      </c>
      <c r="E520" s="6" t="str">
        <f t="shared" si="0"/>
        <v>https://dto.kemkes.go.id/kfacode/91000125</v>
      </c>
    </row>
    <row r="521" spans="1:5" ht="15.75" customHeight="1">
      <c r="A521" s="5">
        <v>91000491</v>
      </c>
      <c r="B521" s="7" t="s">
        <v>577</v>
      </c>
      <c r="C521" s="7">
        <v>91000491</v>
      </c>
      <c r="D521" s="7" t="s">
        <v>29</v>
      </c>
      <c r="E521" s="6" t="str">
        <f t="shared" si="0"/>
        <v>https://dto.kemkes.go.id/kfacode/91000491</v>
      </c>
    </row>
    <row r="522" spans="1:5" ht="15.75" customHeight="1">
      <c r="A522" s="5">
        <v>91000175</v>
      </c>
      <c r="B522" s="7" t="s">
        <v>43</v>
      </c>
      <c r="C522" s="7">
        <v>91000175</v>
      </c>
      <c r="D522" s="7" t="s">
        <v>29</v>
      </c>
      <c r="E522" s="6" t="str">
        <f t="shared" si="0"/>
        <v>https://dto.kemkes.go.id/kfacode/91000175</v>
      </c>
    </row>
    <row r="523" spans="1:5" ht="15.75" customHeight="1">
      <c r="A523" s="5">
        <v>91000351</v>
      </c>
      <c r="B523" s="7" t="s">
        <v>578</v>
      </c>
      <c r="C523" s="7">
        <v>91000351</v>
      </c>
      <c r="D523" s="7" t="s">
        <v>29</v>
      </c>
      <c r="E523" s="6" t="str">
        <f t="shared" si="0"/>
        <v>https://dto.kemkes.go.id/kfacode/91000351</v>
      </c>
    </row>
    <row r="524" spans="1:5" ht="15.75" customHeight="1">
      <c r="A524" s="5">
        <v>91000470</v>
      </c>
      <c r="B524" s="7" t="s">
        <v>579</v>
      </c>
      <c r="C524" s="7">
        <v>91000470</v>
      </c>
      <c r="D524" s="7" t="s">
        <v>29</v>
      </c>
      <c r="E524" s="6" t="str">
        <f t="shared" si="0"/>
        <v>https://dto.kemkes.go.id/kfacode/91000470</v>
      </c>
    </row>
    <row r="525" spans="1:5" ht="15.75" customHeight="1">
      <c r="A525" s="5">
        <v>91000202</v>
      </c>
      <c r="B525" s="7" t="s">
        <v>580</v>
      </c>
      <c r="C525" s="7">
        <v>91000202</v>
      </c>
      <c r="D525" s="7" t="s">
        <v>29</v>
      </c>
      <c r="E525" s="6" t="str">
        <f t="shared" si="0"/>
        <v>https://dto.kemkes.go.id/kfacode/91000202</v>
      </c>
    </row>
    <row r="526" spans="1:5" ht="15.75" customHeight="1">
      <c r="A526" s="5">
        <v>91000256</v>
      </c>
      <c r="B526" s="7" t="s">
        <v>581</v>
      </c>
      <c r="C526" s="7">
        <v>91000256</v>
      </c>
      <c r="D526" s="7" t="s">
        <v>29</v>
      </c>
      <c r="E526" s="6" t="str">
        <f t="shared" si="0"/>
        <v>https://dto.kemkes.go.id/kfacode/91000256</v>
      </c>
    </row>
    <row r="527" spans="1:5" ht="15.75" customHeight="1">
      <c r="A527" s="5">
        <v>91000563</v>
      </c>
      <c r="B527" s="7" t="s">
        <v>582</v>
      </c>
      <c r="C527" s="7">
        <v>91000563</v>
      </c>
      <c r="D527" s="7" t="s">
        <v>29</v>
      </c>
      <c r="E527" s="6" t="str">
        <f t="shared" si="0"/>
        <v>https://dto.kemkes.go.id/kfacode/91000563</v>
      </c>
    </row>
    <row r="528" spans="1:5" ht="15.75" customHeight="1">
      <c r="A528" s="5">
        <v>91000564</v>
      </c>
      <c r="B528" s="7" t="s">
        <v>583</v>
      </c>
      <c r="C528" s="7">
        <v>91000564</v>
      </c>
      <c r="D528" s="7" t="s">
        <v>29</v>
      </c>
      <c r="E528" s="6" t="str">
        <f t="shared" si="0"/>
        <v>https://dto.kemkes.go.id/kfacode/91000564</v>
      </c>
    </row>
    <row r="529" spans="1:5" ht="15.75" customHeight="1">
      <c r="A529" s="5">
        <v>91000565</v>
      </c>
      <c r="B529" s="7" t="s">
        <v>584</v>
      </c>
      <c r="C529" s="7">
        <v>91000565</v>
      </c>
      <c r="D529" s="7" t="s">
        <v>29</v>
      </c>
      <c r="E529" s="6" t="str">
        <f t="shared" si="0"/>
        <v>https://dto.kemkes.go.id/kfacode/91000565</v>
      </c>
    </row>
    <row r="530" spans="1:5" ht="15.75" customHeight="1">
      <c r="A530" s="5">
        <v>91000566</v>
      </c>
      <c r="B530" s="7" t="s">
        <v>585</v>
      </c>
      <c r="C530" s="7">
        <v>91000566</v>
      </c>
      <c r="D530" s="7" t="s">
        <v>29</v>
      </c>
      <c r="E530" s="6" t="str">
        <f t="shared" si="0"/>
        <v>https://dto.kemkes.go.id/kfacode/91000566</v>
      </c>
    </row>
    <row r="531" spans="1:5" ht="15.75" customHeight="1">
      <c r="A531" s="5">
        <v>91000271</v>
      </c>
      <c r="B531" s="7" t="s">
        <v>586</v>
      </c>
      <c r="C531" s="7">
        <v>91000271</v>
      </c>
      <c r="D531" s="7" t="s">
        <v>29</v>
      </c>
      <c r="E531" s="6" t="str">
        <f t="shared" si="0"/>
        <v>https://dto.kemkes.go.id/kfacode/91000271</v>
      </c>
    </row>
    <row r="532" spans="1:5" ht="15.75" customHeight="1">
      <c r="A532" s="5">
        <v>91000630</v>
      </c>
      <c r="B532" s="7" t="s">
        <v>587</v>
      </c>
      <c r="C532" s="7">
        <v>91000630</v>
      </c>
      <c r="D532" s="7" t="s">
        <v>29</v>
      </c>
      <c r="E532" s="6" t="str">
        <f t="shared" si="0"/>
        <v>https://dto.kemkes.go.id/kfacode/91000630</v>
      </c>
    </row>
    <row r="533" spans="1:5" ht="15.75" customHeight="1">
      <c r="A533" s="5">
        <v>91000272</v>
      </c>
      <c r="B533" s="7" t="s">
        <v>588</v>
      </c>
      <c r="C533" s="7">
        <v>91000272</v>
      </c>
      <c r="D533" s="7" t="s">
        <v>29</v>
      </c>
      <c r="E533" s="6" t="str">
        <f t="shared" si="0"/>
        <v>https://dto.kemkes.go.id/kfacode/91000272</v>
      </c>
    </row>
    <row r="534" spans="1:5" ht="15.75" customHeight="1">
      <c r="A534" s="5">
        <v>91000283</v>
      </c>
      <c r="B534" s="7" t="s">
        <v>589</v>
      </c>
      <c r="C534" s="7">
        <v>91000283</v>
      </c>
      <c r="D534" s="7" t="s">
        <v>29</v>
      </c>
      <c r="E534" s="6" t="str">
        <f t="shared" si="0"/>
        <v>https://dto.kemkes.go.id/kfacode/91000283</v>
      </c>
    </row>
    <row r="535" spans="1:5" ht="15.75" customHeight="1">
      <c r="A535" s="5">
        <v>91000168</v>
      </c>
      <c r="B535" s="7" t="s">
        <v>590</v>
      </c>
      <c r="C535" s="7">
        <v>91000168</v>
      </c>
      <c r="D535" s="7" t="s">
        <v>29</v>
      </c>
      <c r="E535" s="6" t="str">
        <f t="shared" si="0"/>
        <v>https://dto.kemkes.go.id/kfacode/91000168</v>
      </c>
    </row>
    <row r="536" spans="1:5" ht="15.75" customHeight="1">
      <c r="A536" s="5">
        <v>91000445</v>
      </c>
      <c r="B536" s="7" t="s">
        <v>591</v>
      </c>
      <c r="C536" s="7">
        <v>91000445</v>
      </c>
      <c r="D536" s="7" t="s">
        <v>29</v>
      </c>
      <c r="E536" s="6" t="str">
        <f t="shared" si="0"/>
        <v>https://dto.kemkes.go.id/kfacode/91000445</v>
      </c>
    </row>
    <row r="537" spans="1:5" ht="15.75" customHeight="1">
      <c r="A537" s="5">
        <v>91000298</v>
      </c>
      <c r="B537" s="7" t="s">
        <v>592</v>
      </c>
      <c r="C537" s="7">
        <v>91000298</v>
      </c>
      <c r="D537" s="7" t="s">
        <v>29</v>
      </c>
      <c r="E537" s="6" t="str">
        <f t="shared" si="0"/>
        <v>https://dto.kemkes.go.id/kfacode/91000298</v>
      </c>
    </row>
    <row r="538" spans="1:5" ht="15.75" customHeight="1">
      <c r="A538" s="5">
        <v>91000338</v>
      </c>
      <c r="B538" s="7" t="s">
        <v>593</v>
      </c>
      <c r="C538" s="7">
        <v>91000338</v>
      </c>
      <c r="D538" s="7" t="s">
        <v>29</v>
      </c>
      <c r="E538" s="6" t="str">
        <f t="shared" si="0"/>
        <v>https://dto.kemkes.go.id/kfacode/91000338</v>
      </c>
    </row>
    <row r="539" spans="1:5" ht="15.75" customHeight="1">
      <c r="A539" s="5">
        <v>91000454</v>
      </c>
      <c r="B539" s="7" t="s">
        <v>594</v>
      </c>
      <c r="C539" s="7">
        <v>91000454</v>
      </c>
      <c r="D539" s="7" t="s">
        <v>29</v>
      </c>
      <c r="E539" s="6" t="str">
        <f t="shared" si="0"/>
        <v>https://dto.kemkes.go.id/kfacode/91000454</v>
      </c>
    </row>
    <row r="540" spans="1:5" ht="15.75" customHeight="1">
      <c r="A540" s="5">
        <v>91000322</v>
      </c>
      <c r="B540" s="7" t="s">
        <v>595</v>
      </c>
      <c r="C540" s="7">
        <v>91000322</v>
      </c>
      <c r="D540" s="7" t="s">
        <v>29</v>
      </c>
      <c r="E540" s="6" t="str">
        <f t="shared" si="0"/>
        <v>https://dto.kemkes.go.id/kfacode/91000322</v>
      </c>
    </row>
    <row r="541" spans="1:5" ht="15.75" customHeight="1">
      <c r="A541" s="5">
        <v>91000307</v>
      </c>
      <c r="B541" s="7" t="s">
        <v>596</v>
      </c>
      <c r="C541" s="7">
        <v>91000307</v>
      </c>
      <c r="D541" s="7" t="s">
        <v>29</v>
      </c>
      <c r="E541" s="6" t="str">
        <f t="shared" si="0"/>
        <v>https://dto.kemkes.go.id/kfacode/91000307</v>
      </c>
    </row>
    <row r="542" spans="1:5" ht="15.75" customHeight="1">
      <c r="A542" s="5">
        <v>91000308</v>
      </c>
      <c r="B542" s="7" t="s">
        <v>597</v>
      </c>
      <c r="C542" s="7">
        <v>91000308</v>
      </c>
      <c r="D542" s="7" t="s">
        <v>29</v>
      </c>
      <c r="E542" s="6" t="str">
        <f t="shared" si="0"/>
        <v>https://dto.kemkes.go.id/kfacode/91000308</v>
      </c>
    </row>
    <row r="543" spans="1:5" ht="15.75" customHeight="1">
      <c r="A543" s="5">
        <v>91000214</v>
      </c>
      <c r="B543" s="7" t="s">
        <v>598</v>
      </c>
      <c r="C543" s="7">
        <v>91000214</v>
      </c>
      <c r="D543" s="7" t="s">
        <v>29</v>
      </c>
      <c r="E543" s="6" t="str">
        <f t="shared" si="0"/>
        <v>https://dto.kemkes.go.id/kfacode/91000214</v>
      </c>
    </row>
    <row r="544" spans="1:5" ht="15.75" customHeight="1">
      <c r="A544" s="5">
        <v>91000584</v>
      </c>
      <c r="B544" s="7" t="s">
        <v>599</v>
      </c>
      <c r="C544" s="7">
        <v>91000584</v>
      </c>
      <c r="D544" s="7" t="s">
        <v>29</v>
      </c>
      <c r="E544" s="6" t="str">
        <f t="shared" si="0"/>
        <v>https://dto.kemkes.go.id/kfacode/91000584</v>
      </c>
    </row>
    <row r="545" spans="1:5" ht="15.75" customHeight="1">
      <c r="A545" s="5">
        <v>91000341</v>
      </c>
      <c r="B545" s="7" t="s">
        <v>600</v>
      </c>
      <c r="C545" s="7">
        <v>91000341</v>
      </c>
      <c r="D545" s="7" t="s">
        <v>29</v>
      </c>
      <c r="E545" s="6" t="str">
        <f t="shared" si="0"/>
        <v>https://dto.kemkes.go.id/kfacode/91000341</v>
      </c>
    </row>
    <row r="546" spans="1:5" ht="15.75" customHeight="1">
      <c r="A546" s="5">
        <v>91000180</v>
      </c>
      <c r="B546" s="7" t="s">
        <v>601</v>
      </c>
      <c r="C546" s="7">
        <v>91000180</v>
      </c>
      <c r="D546" s="7" t="s">
        <v>29</v>
      </c>
      <c r="E546" s="6" t="str">
        <f t="shared" si="0"/>
        <v>https://dto.kemkes.go.id/kfacode/91000180</v>
      </c>
    </row>
    <row r="547" spans="1:5" ht="15.75" customHeight="1">
      <c r="A547" s="5">
        <v>91000636</v>
      </c>
      <c r="B547" s="7" t="s">
        <v>602</v>
      </c>
      <c r="C547" s="7">
        <v>91000636</v>
      </c>
      <c r="D547" s="7" t="s">
        <v>29</v>
      </c>
      <c r="E547" s="6" t="str">
        <f t="shared" si="0"/>
        <v>https://dto.kemkes.go.id/kfacode/91000636</v>
      </c>
    </row>
    <row r="548" spans="1:5" ht="15.75" customHeight="1">
      <c r="A548" s="5">
        <v>91000656</v>
      </c>
      <c r="B548" s="7" t="s">
        <v>603</v>
      </c>
      <c r="C548" s="7">
        <v>91000656</v>
      </c>
      <c r="D548" s="7" t="s">
        <v>29</v>
      </c>
      <c r="E548" s="6" t="str">
        <f t="shared" si="0"/>
        <v>https://dto.kemkes.go.id/kfacode/91000656</v>
      </c>
    </row>
    <row r="549" spans="1:5" ht="15.75" customHeight="1">
      <c r="A549" s="5">
        <v>91000233</v>
      </c>
      <c r="B549" s="7" t="s">
        <v>604</v>
      </c>
      <c r="C549" s="7">
        <v>91000233</v>
      </c>
      <c r="D549" s="7" t="s">
        <v>29</v>
      </c>
      <c r="E549" s="6" t="str">
        <f t="shared" si="0"/>
        <v>https://dto.kemkes.go.id/kfacode/91000233</v>
      </c>
    </row>
    <row r="550" spans="1:5" ht="15.75" customHeight="1">
      <c r="A550" s="5">
        <v>91000224</v>
      </c>
      <c r="B550" s="7" t="s">
        <v>605</v>
      </c>
      <c r="C550" s="7">
        <v>91000224</v>
      </c>
      <c r="D550" s="7" t="s">
        <v>29</v>
      </c>
      <c r="E550" s="6" t="str">
        <f t="shared" si="0"/>
        <v>https://dto.kemkes.go.id/kfacode/91000224</v>
      </c>
    </row>
    <row r="551" spans="1:5" ht="15.75" customHeight="1">
      <c r="A551" s="5">
        <v>91000402</v>
      </c>
      <c r="B551" s="7" t="s">
        <v>606</v>
      </c>
      <c r="C551" s="7">
        <v>91000402</v>
      </c>
      <c r="D551" s="7" t="s">
        <v>29</v>
      </c>
      <c r="E551" s="6" t="str">
        <f t="shared" si="0"/>
        <v>https://dto.kemkes.go.id/kfacode/91000402</v>
      </c>
    </row>
    <row r="552" spans="1:5" ht="15.75" customHeight="1">
      <c r="A552" s="5">
        <v>91000572</v>
      </c>
      <c r="B552" s="7" t="s">
        <v>607</v>
      </c>
      <c r="C552" s="7">
        <v>91000572</v>
      </c>
      <c r="D552" s="7" t="s">
        <v>29</v>
      </c>
      <c r="E552" s="6" t="str">
        <f t="shared" si="0"/>
        <v>https://dto.kemkes.go.id/kfacode/91000572</v>
      </c>
    </row>
    <row r="553" spans="1:5" ht="15.75" customHeight="1">
      <c r="A553" s="5">
        <v>91000415</v>
      </c>
      <c r="B553" s="7" t="s">
        <v>608</v>
      </c>
      <c r="C553" s="7">
        <v>91000415</v>
      </c>
      <c r="D553" s="7" t="s">
        <v>29</v>
      </c>
      <c r="E553" s="6" t="str">
        <f t="shared" si="0"/>
        <v>https://dto.kemkes.go.id/kfacode/91000415</v>
      </c>
    </row>
    <row r="554" spans="1:5" ht="15.75" customHeight="1">
      <c r="A554" s="5">
        <v>91000416</v>
      </c>
      <c r="B554" s="7" t="s">
        <v>609</v>
      </c>
      <c r="C554" s="7">
        <v>91000416</v>
      </c>
      <c r="D554" s="7" t="s">
        <v>29</v>
      </c>
      <c r="E554" s="6" t="str">
        <f t="shared" si="0"/>
        <v>https://dto.kemkes.go.id/kfacode/91000416</v>
      </c>
    </row>
    <row r="555" spans="1:5" ht="15.75" customHeight="1">
      <c r="A555" s="5">
        <v>91000258</v>
      </c>
      <c r="B555" s="7" t="s">
        <v>610</v>
      </c>
      <c r="C555" s="7">
        <v>91000258</v>
      </c>
      <c r="D555" s="7" t="s">
        <v>29</v>
      </c>
      <c r="E555" s="6" t="str">
        <f t="shared" si="0"/>
        <v>https://dto.kemkes.go.id/kfacode/91000258</v>
      </c>
    </row>
    <row r="556" spans="1:5" ht="15.75" customHeight="1">
      <c r="A556" s="5">
        <v>91000457</v>
      </c>
      <c r="B556" s="7" t="s">
        <v>611</v>
      </c>
      <c r="C556" s="7">
        <v>91000457</v>
      </c>
      <c r="D556" s="7" t="s">
        <v>29</v>
      </c>
      <c r="E556" s="6" t="str">
        <f t="shared" si="0"/>
        <v>https://dto.kemkes.go.id/kfacode/91000457</v>
      </c>
    </row>
    <row r="557" spans="1:5" ht="15.75" customHeight="1">
      <c r="A557" s="5">
        <v>91000461</v>
      </c>
      <c r="B557" s="7" t="s">
        <v>612</v>
      </c>
      <c r="C557" s="7">
        <v>91000461</v>
      </c>
      <c r="D557" s="7" t="s">
        <v>29</v>
      </c>
      <c r="E557" s="6" t="str">
        <f t="shared" si="0"/>
        <v>https://dto.kemkes.go.id/kfacode/91000461</v>
      </c>
    </row>
    <row r="558" spans="1:5" ht="15.75" customHeight="1">
      <c r="A558" s="5">
        <v>91000591</v>
      </c>
      <c r="B558" s="7" t="s">
        <v>613</v>
      </c>
      <c r="C558" s="7">
        <v>91000591</v>
      </c>
      <c r="D558" s="7" t="s">
        <v>29</v>
      </c>
      <c r="E558" s="6" t="str">
        <f t="shared" si="0"/>
        <v>https://dto.kemkes.go.id/kfacode/91000591</v>
      </c>
    </row>
    <row r="559" spans="1:5" ht="15.75" customHeight="1">
      <c r="A559" s="5">
        <v>91000223</v>
      </c>
      <c r="B559" s="7" t="s">
        <v>614</v>
      </c>
      <c r="C559" s="7">
        <v>91000223</v>
      </c>
      <c r="D559" s="7" t="s">
        <v>29</v>
      </c>
      <c r="E559" s="6" t="str">
        <f t="shared" si="0"/>
        <v>https://dto.kemkes.go.id/kfacode/91000223</v>
      </c>
    </row>
    <row r="560" spans="1:5" ht="15.75" customHeight="1">
      <c r="A560" s="5">
        <v>91000451</v>
      </c>
      <c r="B560" s="7" t="s">
        <v>615</v>
      </c>
      <c r="C560" s="7">
        <v>91000451</v>
      </c>
      <c r="D560" s="7" t="s">
        <v>29</v>
      </c>
      <c r="E560" s="6" t="str">
        <f t="shared" si="0"/>
        <v>https://dto.kemkes.go.id/kfacode/91000451</v>
      </c>
    </row>
    <row r="561" spans="1:5" ht="15.75" customHeight="1">
      <c r="A561" s="5">
        <v>91000377</v>
      </c>
      <c r="B561" s="7" t="s">
        <v>616</v>
      </c>
      <c r="C561" s="7">
        <v>91000377</v>
      </c>
      <c r="D561" s="7" t="s">
        <v>29</v>
      </c>
      <c r="E561" s="6" t="str">
        <f t="shared" si="0"/>
        <v>https://dto.kemkes.go.id/kfacode/91000377</v>
      </c>
    </row>
    <row r="562" spans="1:5" ht="15.75" customHeight="1">
      <c r="A562" s="5">
        <v>91000305</v>
      </c>
      <c r="B562" s="7" t="s">
        <v>617</v>
      </c>
      <c r="C562" s="7">
        <v>91000305</v>
      </c>
      <c r="D562" s="7" t="s">
        <v>29</v>
      </c>
      <c r="E562" s="6" t="str">
        <f t="shared" si="0"/>
        <v>https://dto.kemkes.go.id/kfacode/91000305</v>
      </c>
    </row>
    <row r="563" spans="1:5" ht="15.75" customHeight="1">
      <c r="A563" s="5">
        <v>91000306</v>
      </c>
      <c r="B563" s="7" t="s">
        <v>618</v>
      </c>
      <c r="C563" s="7">
        <v>91000306</v>
      </c>
      <c r="D563" s="7" t="s">
        <v>29</v>
      </c>
      <c r="E563" s="6" t="str">
        <f t="shared" si="0"/>
        <v>https://dto.kemkes.go.id/kfacode/91000306</v>
      </c>
    </row>
    <row r="564" spans="1:5" ht="15.75" customHeight="1">
      <c r="A564" s="5">
        <v>91000194</v>
      </c>
      <c r="B564" s="7" t="s">
        <v>619</v>
      </c>
      <c r="C564" s="7">
        <v>91000194</v>
      </c>
      <c r="D564" s="7" t="s">
        <v>29</v>
      </c>
      <c r="E564" s="6" t="str">
        <f t="shared" si="0"/>
        <v>https://dto.kemkes.go.id/kfacode/91000194</v>
      </c>
    </row>
    <row r="565" spans="1:5" ht="15.75" customHeight="1">
      <c r="A565" s="5">
        <v>91000690</v>
      </c>
      <c r="B565" s="7" t="s">
        <v>620</v>
      </c>
      <c r="C565" s="7">
        <v>91000690</v>
      </c>
      <c r="D565" s="7" t="s">
        <v>29</v>
      </c>
      <c r="E565" s="6" t="str">
        <f t="shared" si="0"/>
        <v>https://dto.kemkes.go.id/kfacode/91000690</v>
      </c>
    </row>
    <row r="566" spans="1:5" ht="15.75" customHeight="1">
      <c r="A566" s="5">
        <v>91000467</v>
      </c>
      <c r="B566" s="7" t="s">
        <v>621</v>
      </c>
      <c r="C566" s="7">
        <v>91000467</v>
      </c>
      <c r="D566" s="7" t="s">
        <v>29</v>
      </c>
      <c r="E566" s="6" t="str">
        <f t="shared" si="0"/>
        <v>https://dto.kemkes.go.id/kfacode/91000467</v>
      </c>
    </row>
    <row r="567" spans="1:5" ht="15.75" customHeight="1">
      <c r="A567" s="5">
        <v>91000179</v>
      </c>
      <c r="B567" s="7" t="s">
        <v>622</v>
      </c>
      <c r="C567" s="7">
        <v>91000179</v>
      </c>
      <c r="D567" s="7" t="s">
        <v>29</v>
      </c>
      <c r="E567" s="6" t="str">
        <f t="shared" si="0"/>
        <v>https://dto.kemkes.go.id/kfacode/91000179</v>
      </c>
    </row>
    <row r="568" spans="1:5" ht="15.75" customHeight="1">
      <c r="A568" s="5">
        <v>91000355</v>
      </c>
      <c r="B568" s="7" t="s">
        <v>623</v>
      </c>
      <c r="C568" s="7">
        <v>91000355</v>
      </c>
      <c r="D568" s="7" t="s">
        <v>29</v>
      </c>
      <c r="E568" s="6" t="str">
        <f t="shared" si="0"/>
        <v>https://dto.kemkes.go.id/kfacode/91000355</v>
      </c>
    </row>
    <row r="569" spans="1:5" ht="15.75" customHeight="1">
      <c r="A569" s="5">
        <v>91000622</v>
      </c>
      <c r="B569" s="7" t="s">
        <v>624</v>
      </c>
      <c r="C569" s="7">
        <v>91000622</v>
      </c>
      <c r="D569" s="7" t="s">
        <v>29</v>
      </c>
      <c r="E569" s="6" t="str">
        <f t="shared" si="0"/>
        <v>https://dto.kemkes.go.id/kfacode/91000622</v>
      </c>
    </row>
    <row r="570" spans="1:5" ht="15.75" customHeight="1">
      <c r="A570" s="5">
        <v>91000219</v>
      </c>
      <c r="B570" s="7" t="s">
        <v>625</v>
      </c>
      <c r="C570" s="7">
        <v>91000219</v>
      </c>
      <c r="D570" s="7" t="s">
        <v>29</v>
      </c>
      <c r="E570" s="6" t="str">
        <f t="shared" si="0"/>
        <v>https://dto.kemkes.go.id/kfacode/91000219</v>
      </c>
    </row>
    <row r="571" spans="1:5" ht="15.75" customHeight="1">
      <c r="A571" s="5">
        <v>91000496</v>
      </c>
      <c r="B571" s="7" t="s">
        <v>626</v>
      </c>
      <c r="C571" s="7">
        <v>91000496</v>
      </c>
      <c r="D571" s="7" t="s">
        <v>29</v>
      </c>
      <c r="E571" s="6" t="str">
        <f t="shared" si="0"/>
        <v>https://dto.kemkes.go.id/kfacode/91000496</v>
      </c>
    </row>
    <row r="572" spans="1:5" ht="15.75" customHeight="1">
      <c r="A572" s="5">
        <v>91000532</v>
      </c>
      <c r="B572" s="7" t="s">
        <v>627</v>
      </c>
      <c r="C572" s="7">
        <v>91000532</v>
      </c>
      <c r="D572" s="7" t="s">
        <v>29</v>
      </c>
      <c r="E572" s="6" t="str">
        <f t="shared" si="0"/>
        <v>https://dto.kemkes.go.id/kfacode/91000532</v>
      </c>
    </row>
    <row r="573" spans="1:5" ht="15.75" customHeight="1">
      <c r="A573" s="5">
        <v>91000259</v>
      </c>
      <c r="B573" s="7" t="s">
        <v>628</v>
      </c>
      <c r="C573" s="7">
        <v>91000259</v>
      </c>
      <c r="D573" s="7" t="s">
        <v>29</v>
      </c>
      <c r="E573" s="6" t="str">
        <f t="shared" si="0"/>
        <v>https://dto.kemkes.go.id/kfacode/91000259</v>
      </c>
    </row>
    <row r="574" spans="1:5" ht="15.75" customHeight="1">
      <c r="A574" s="5">
        <v>91000166</v>
      </c>
      <c r="B574" s="7" t="s">
        <v>629</v>
      </c>
      <c r="C574" s="7">
        <v>91000166</v>
      </c>
      <c r="D574" s="7" t="s">
        <v>29</v>
      </c>
      <c r="E574" s="6" t="str">
        <f t="shared" si="0"/>
        <v>https://dto.kemkes.go.id/kfacode/91000166</v>
      </c>
    </row>
    <row r="575" spans="1:5" ht="15.75" customHeight="1">
      <c r="A575" s="5">
        <v>91000655</v>
      </c>
      <c r="B575" s="7" t="s">
        <v>630</v>
      </c>
      <c r="C575" s="7">
        <v>91000655</v>
      </c>
      <c r="D575" s="7" t="s">
        <v>29</v>
      </c>
      <c r="E575" s="6" t="str">
        <f t="shared" si="0"/>
        <v>https://dto.kemkes.go.id/kfacode/91000655</v>
      </c>
    </row>
    <row r="576" spans="1:5" ht="15.75" customHeight="1">
      <c r="A576" s="5">
        <v>91000217</v>
      </c>
      <c r="B576" s="7" t="s">
        <v>631</v>
      </c>
      <c r="C576" s="7">
        <v>91000217</v>
      </c>
      <c r="D576" s="7" t="s">
        <v>29</v>
      </c>
      <c r="E576" s="6" t="str">
        <f t="shared" si="0"/>
        <v>https://dto.kemkes.go.id/kfacode/91000217</v>
      </c>
    </row>
    <row r="577" spans="1:5" ht="15.75" customHeight="1">
      <c r="A577" s="5">
        <v>91000608</v>
      </c>
      <c r="B577" s="7" t="s">
        <v>632</v>
      </c>
      <c r="C577" s="7">
        <v>91000608</v>
      </c>
      <c r="D577" s="7" t="s">
        <v>29</v>
      </c>
      <c r="E577" s="6" t="str">
        <f t="shared" si="0"/>
        <v>https://dto.kemkes.go.id/kfacode/91000608</v>
      </c>
    </row>
    <row r="578" spans="1:5" ht="15.75" customHeight="1">
      <c r="A578" s="5">
        <v>91000201</v>
      </c>
      <c r="B578" s="7" t="s">
        <v>633</v>
      </c>
      <c r="C578" s="7">
        <v>91000201</v>
      </c>
      <c r="D578" s="7" t="s">
        <v>29</v>
      </c>
      <c r="E578" s="6" t="str">
        <f t="shared" si="0"/>
        <v>https://dto.kemkes.go.id/kfacode/91000201</v>
      </c>
    </row>
    <row r="579" spans="1:5" ht="15.75" customHeight="1">
      <c r="A579" s="5">
        <v>91000220</v>
      </c>
      <c r="B579" s="7" t="s">
        <v>634</v>
      </c>
      <c r="C579" s="7">
        <v>91000220</v>
      </c>
      <c r="D579" s="7" t="s">
        <v>29</v>
      </c>
      <c r="E579" s="6" t="str">
        <f t="shared" si="0"/>
        <v>https://dto.kemkes.go.id/kfacode/91000220</v>
      </c>
    </row>
    <row r="580" spans="1:5" ht="15.75" customHeight="1">
      <c r="A580" s="5">
        <v>91000700</v>
      </c>
      <c r="B580" s="7" t="s">
        <v>635</v>
      </c>
      <c r="C580" s="7">
        <v>91000700</v>
      </c>
      <c r="D580" s="7" t="s">
        <v>29</v>
      </c>
      <c r="E580" s="6" t="str">
        <f t="shared" si="0"/>
        <v>https://dto.kemkes.go.id/kfacode/91000700</v>
      </c>
    </row>
    <row r="581" spans="1:5" ht="15.75" customHeight="1">
      <c r="C581" s="4" t="b">
        <v>0</v>
      </c>
    </row>
    <row r="582" spans="1:5" ht="15.75" customHeight="1">
      <c r="C582" s="4" t="b">
        <v>0</v>
      </c>
    </row>
    <row r="583" spans="1:5" ht="15.75" customHeight="1">
      <c r="C583" s="4" t="b">
        <v>0</v>
      </c>
    </row>
    <row r="584" spans="1:5" ht="15.75" customHeight="1">
      <c r="C584" s="4" t="b">
        <v>0</v>
      </c>
    </row>
    <row r="585" spans="1:5" ht="15.75" customHeight="1">
      <c r="C585" s="4" t="b">
        <v>0</v>
      </c>
    </row>
    <row r="586" spans="1:5" ht="15.75" customHeight="1">
      <c r="C586" s="4" t="b">
        <v>0</v>
      </c>
    </row>
    <row r="587" spans="1:5" ht="15.75" customHeight="1">
      <c r="C587" s="4" t="b">
        <v>0</v>
      </c>
    </row>
    <row r="588" spans="1:5" ht="15.75" customHeight="1">
      <c r="C588" s="4" t="b">
        <v>0</v>
      </c>
    </row>
    <row r="589" spans="1:5" ht="15.75" customHeight="1">
      <c r="C589" s="4" t="b">
        <v>0</v>
      </c>
    </row>
    <row r="590" spans="1:5" ht="15.75" customHeight="1">
      <c r="C590" s="4" t="b">
        <v>0</v>
      </c>
    </row>
    <row r="591" spans="1:5" ht="15.75" customHeight="1">
      <c r="C591" s="4" t="b">
        <v>0</v>
      </c>
    </row>
    <row r="592" spans="1:5" ht="15.75" customHeight="1">
      <c r="C592" s="4" t="b">
        <v>0</v>
      </c>
    </row>
    <row r="593" spans="3:3" ht="15.75" customHeight="1">
      <c r="C593" s="4" t="b">
        <v>0</v>
      </c>
    </row>
    <row r="594" spans="3:3" ht="15.75" customHeight="1">
      <c r="C594" s="4" t="b">
        <v>0</v>
      </c>
    </row>
    <row r="595" spans="3:3" ht="15.75" customHeight="1">
      <c r="C595" s="4" t="b">
        <v>0</v>
      </c>
    </row>
    <row r="596" spans="3:3" ht="15.75" customHeight="1">
      <c r="C596" s="4" t="b">
        <v>0</v>
      </c>
    </row>
    <row r="597" spans="3:3" ht="15.75" customHeight="1">
      <c r="C597" s="4" t="b">
        <v>0</v>
      </c>
    </row>
    <row r="598" spans="3:3" ht="15.75" customHeight="1">
      <c r="C598" s="4" t="b">
        <v>0</v>
      </c>
    </row>
    <row r="599" spans="3:3" ht="15.75" customHeight="1">
      <c r="C599" s="4" t="b">
        <v>0</v>
      </c>
    </row>
    <row r="600" spans="3:3" ht="15.75" customHeight="1">
      <c r="C600" s="4" t="b">
        <v>0</v>
      </c>
    </row>
    <row r="601" spans="3:3" ht="15.75" customHeight="1">
      <c r="C601" s="4" t="b">
        <v>0</v>
      </c>
    </row>
    <row r="602" spans="3:3" ht="15.75" customHeight="1">
      <c r="C602" s="4" t="b">
        <v>0</v>
      </c>
    </row>
    <row r="603" spans="3:3" ht="15.75" customHeight="1">
      <c r="C603" s="4" t="b">
        <v>0</v>
      </c>
    </row>
    <row r="604" spans="3:3" ht="15.75" customHeight="1">
      <c r="C604" s="4" t="b">
        <v>0</v>
      </c>
    </row>
    <row r="605" spans="3:3" ht="15.75" customHeight="1">
      <c r="C605" s="4" t="b">
        <v>0</v>
      </c>
    </row>
    <row r="606" spans="3:3" ht="15.75" customHeight="1">
      <c r="C606" s="4" t="b">
        <v>0</v>
      </c>
    </row>
    <row r="607" spans="3:3" ht="15.75" customHeight="1">
      <c r="C607" s="4" t="b">
        <v>0</v>
      </c>
    </row>
    <row r="608" spans="3:3" ht="15.75" customHeight="1">
      <c r="C608" s="4" t="b">
        <v>0</v>
      </c>
    </row>
    <row r="609" spans="3:3" ht="15.75" customHeight="1">
      <c r="C609" s="4" t="b">
        <v>0</v>
      </c>
    </row>
    <row r="610" spans="3:3" ht="15.75" customHeight="1">
      <c r="C610" s="4" t="b">
        <v>0</v>
      </c>
    </row>
    <row r="611" spans="3:3" ht="15.75" customHeight="1">
      <c r="C611" s="4" t="b">
        <v>0</v>
      </c>
    </row>
    <row r="612" spans="3:3" ht="15.75" customHeight="1">
      <c r="C612" s="4" t="b">
        <v>0</v>
      </c>
    </row>
    <row r="613" spans="3:3" ht="15.75" customHeight="1">
      <c r="C613" s="4" t="b">
        <v>0</v>
      </c>
    </row>
    <row r="614" spans="3:3" ht="15.75" customHeight="1">
      <c r="C614" s="4" t="b">
        <v>0</v>
      </c>
    </row>
    <row r="615" spans="3:3" ht="15.75" customHeight="1">
      <c r="C615" s="4" t="b">
        <v>0</v>
      </c>
    </row>
    <row r="616" spans="3:3" ht="15.75" customHeight="1">
      <c r="C616" s="4" t="b">
        <v>0</v>
      </c>
    </row>
    <row r="617" spans="3:3" ht="15.75" customHeight="1">
      <c r="C617" s="4" t="b">
        <v>0</v>
      </c>
    </row>
    <row r="618" spans="3:3" ht="15.75" customHeight="1">
      <c r="C618" s="4" t="b">
        <v>0</v>
      </c>
    </row>
    <row r="619" spans="3:3" ht="15.75" customHeight="1">
      <c r="C619" s="4" t="b">
        <v>0</v>
      </c>
    </row>
    <row r="620" spans="3:3" ht="15.75" customHeight="1">
      <c r="C620" s="4" t="b">
        <v>0</v>
      </c>
    </row>
    <row r="621" spans="3:3" ht="15.75" customHeight="1">
      <c r="C621" s="4" t="b">
        <v>0</v>
      </c>
    </row>
    <row r="622" spans="3:3" ht="15.75" customHeight="1">
      <c r="C622" s="4" t="b">
        <v>0</v>
      </c>
    </row>
    <row r="623" spans="3:3" ht="15.75" customHeight="1">
      <c r="C623" s="4" t="b">
        <v>0</v>
      </c>
    </row>
    <row r="624" spans="3:3" ht="15.75" customHeight="1">
      <c r="C624" s="4" t="b">
        <v>0</v>
      </c>
    </row>
    <row r="625" spans="3:3" ht="15.75" customHeight="1">
      <c r="C625" s="4" t="b">
        <v>0</v>
      </c>
    </row>
    <row r="626" spans="3:3" ht="15.75" customHeight="1">
      <c r="C626" s="4" t="b">
        <v>0</v>
      </c>
    </row>
    <row r="627" spans="3:3" ht="15.75" customHeight="1">
      <c r="C627" s="4" t="b">
        <v>0</v>
      </c>
    </row>
    <row r="628" spans="3:3" ht="15.75" customHeight="1">
      <c r="C628" s="4" t="b">
        <v>0</v>
      </c>
    </row>
    <row r="629" spans="3:3" ht="15.75" customHeight="1">
      <c r="C629" s="4" t="b">
        <v>0</v>
      </c>
    </row>
    <row r="630" spans="3:3" ht="15.75" customHeight="1">
      <c r="C630" s="4" t="b">
        <v>0</v>
      </c>
    </row>
    <row r="631" spans="3:3" ht="15.75" customHeight="1">
      <c r="C631" s="4" t="b">
        <v>0</v>
      </c>
    </row>
    <row r="632" spans="3:3" ht="15.75" customHeight="1">
      <c r="C632" s="4" t="b">
        <v>0</v>
      </c>
    </row>
    <row r="633" spans="3:3" ht="15.75" customHeight="1">
      <c r="C633" s="4" t="b">
        <v>0</v>
      </c>
    </row>
    <row r="634" spans="3:3" ht="15.75" customHeight="1">
      <c r="C634" s="4" t="b">
        <v>0</v>
      </c>
    </row>
    <row r="635" spans="3:3" ht="15.75" customHeight="1">
      <c r="C635" s="4" t="b">
        <v>0</v>
      </c>
    </row>
    <row r="636" spans="3:3" ht="15.75" customHeight="1">
      <c r="C636" s="4" t="b">
        <v>0</v>
      </c>
    </row>
    <row r="637" spans="3:3" ht="15.75" customHeight="1">
      <c r="C637" s="4" t="b">
        <v>0</v>
      </c>
    </row>
    <row r="638" spans="3:3" ht="15.75" customHeight="1">
      <c r="C638" s="4" t="b">
        <v>0</v>
      </c>
    </row>
    <row r="639" spans="3:3" ht="15.75" customHeight="1">
      <c r="C639" s="4" t="b">
        <v>0</v>
      </c>
    </row>
    <row r="640" spans="3:3" ht="15.75" customHeight="1">
      <c r="C640" s="4" t="b">
        <v>0</v>
      </c>
    </row>
    <row r="641" spans="3:3" ht="15.75" customHeight="1">
      <c r="C641" s="4" t="b">
        <v>0</v>
      </c>
    </row>
    <row r="642" spans="3:3" ht="15.75" customHeight="1">
      <c r="C642" s="4" t="b">
        <v>0</v>
      </c>
    </row>
    <row r="643" spans="3:3" ht="15.75" customHeight="1">
      <c r="C643" s="4" t="b">
        <v>0</v>
      </c>
    </row>
    <row r="644" spans="3:3" ht="15.75" customHeight="1">
      <c r="C644" s="4" t="b">
        <v>0</v>
      </c>
    </row>
    <row r="645" spans="3:3" ht="15.75" customHeight="1">
      <c r="C645" s="4" t="b">
        <v>0</v>
      </c>
    </row>
    <row r="646" spans="3:3" ht="15.75" customHeight="1">
      <c r="C646" s="4" t="b">
        <v>0</v>
      </c>
    </row>
    <row r="647" spans="3:3" ht="15.75" customHeight="1">
      <c r="C647" s="4" t="b">
        <v>0</v>
      </c>
    </row>
    <row r="648" spans="3:3" ht="15.75" customHeight="1">
      <c r="C648" s="4" t="b">
        <v>0</v>
      </c>
    </row>
    <row r="649" spans="3:3" ht="15.75" customHeight="1">
      <c r="C649" s="4" t="b">
        <v>0</v>
      </c>
    </row>
    <row r="650" spans="3:3" ht="15.75" customHeight="1">
      <c r="C650" s="4" t="b">
        <v>0</v>
      </c>
    </row>
    <row r="651" spans="3:3" ht="15.75" customHeight="1">
      <c r="C651" s="4" t="b">
        <v>0</v>
      </c>
    </row>
    <row r="652" spans="3:3" ht="15.75" customHeight="1">
      <c r="C652" s="4" t="b">
        <v>0</v>
      </c>
    </row>
    <row r="653" spans="3:3" ht="15.75" customHeight="1">
      <c r="C653" s="4" t="b">
        <v>0</v>
      </c>
    </row>
    <row r="654" spans="3:3" ht="15.75" customHeight="1">
      <c r="C654" s="4" t="b">
        <v>0</v>
      </c>
    </row>
    <row r="655" spans="3:3" ht="15.75" customHeight="1">
      <c r="C655" s="4" t="b">
        <v>0</v>
      </c>
    </row>
    <row r="656" spans="3:3" ht="15.75" customHeight="1">
      <c r="C656" s="4" t="b">
        <v>0</v>
      </c>
    </row>
    <row r="657" spans="3:3" ht="15.75" customHeight="1">
      <c r="C657" s="4" t="b">
        <v>0</v>
      </c>
    </row>
    <row r="658" spans="3:3" ht="15.75" customHeight="1">
      <c r="C658" s="4" t="b">
        <v>0</v>
      </c>
    </row>
    <row r="659" spans="3:3" ht="15.75" customHeight="1">
      <c r="C659" s="4" t="b">
        <v>0</v>
      </c>
    </row>
    <row r="660" spans="3:3" ht="15.75" customHeight="1">
      <c r="C660" s="4" t="b">
        <v>0</v>
      </c>
    </row>
    <row r="661" spans="3:3" ht="15.75" customHeight="1">
      <c r="C661" s="4" t="b">
        <v>0</v>
      </c>
    </row>
    <row r="662" spans="3:3" ht="15.75" customHeight="1">
      <c r="C662" s="4" t="b">
        <v>0</v>
      </c>
    </row>
    <row r="663" spans="3:3" ht="15.75" customHeight="1">
      <c r="C663" s="4" t="b">
        <v>0</v>
      </c>
    </row>
    <row r="664" spans="3:3" ht="15.75" customHeight="1">
      <c r="C664" s="4" t="b">
        <v>0</v>
      </c>
    </row>
    <row r="665" spans="3:3" ht="15.75" customHeight="1">
      <c r="C665" s="4" t="b">
        <v>0</v>
      </c>
    </row>
    <row r="666" spans="3:3" ht="15.75" customHeight="1">
      <c r="C666" s="4" t="b">
        <v>0</v>
      </c>
    </row>
    <row r="667" spans="3:3" ht="15.75" customHeight="1">
      <c r="C667" s="4" t="b">
        <v>0</v>
      </c>
    </row>
    <row r="668" spans="3:3" ht="15.75" customHeight="1">
      <c r="C668" s="4" t="b">
        <v>0</v>
      </c>
    </row>
    <row r="669" spans="3:3" ht="15.75" customHeight="1">
      <c r="C669" s="4" t="b">
        <v>0</v>
      </c>
    </row>
    <row r="670" spans="3:3" ht="15.75" customHeight="1">
      <c r="C670" s="4" t="b">
        <v>0</v>
      </c>
    </row>
    <row r="671" spans="3:3" ht="15.75" customHeight="1">
      <c r="C671" s="4" t="b">
        <v>0</v>
      </c>
    </row>
    <row r="672" spans="3:3" ht="15.75" customHeight="1">
      <c r="C672" s="4" t="b">
        <v>0</v>
      </c>
    </row>
    <row r="673" spans="3:3" ht="15.75" customHeight="1">
      <c r="C673" s="4" t="b">
        <v>0</v>
      </c>
    </row>
    <row r="674" spans="3:3" ht="15.75" customHeight="1">
      <c r="C674" s="4" t="b">
        <v>0</v>
      </c>
    </row>
    <row r="675" spans="3:3" ht="15.75" customHeight="1">
      <c r="C675" s="4" t="b">
        <v>0</v>
      </c>
    </row>
    <row r="676" spans="3:3" ht="15.75" customHeight="1">
      <c r="C676" s="4" t="b">
        <v>0</v>
      </c>
    </row>
    <row r="677" spans="3:3" ht="15.75" customHeight="1">
      <c r="C677" s="4" t="b">
        <v>0</v>
      </c>
    </row>
    <row r="678" spans="3:3" ht="15.75" customHeight="1">
      <c r="C678" s="4" t="b">
        <v>0</v>
      </c>
    </row>
    <row r="679" spans="3:3" ht="15.75" customHeight="1">
      <c r="C679" s="4" t="b">
        <v>0</v>
      </c>
    </row>
    <row r="680" spans="3:3" ht="15.75" customHeight="1">
      <c r="C680" s="4" t="b">
        <v>0</v>
      </c>
    </row>
    <row r="681" spans="3:3" ht="15.75" customHeight="1">
      <c r="C681" s="4" t="b">
        <v>0</v>
      </c>
    </row>
    <row r="682" spans="3:3" ht="15.75" customHeight="1">
      <c r="C682" s="4" t="b">
        <v>0</v>
      </c>
    </row>
    <row r="683" spans="3:3" ht="15.75" customHeight="1">
      <c r="C683" s="4" t="b">
        <v>0</v>
      </c>
    </row>
    <row r="684" spans="3:3" ht="15.75" customHeight="1">
      <c r="C684" s="4" t="b">
        <v>0</v>
      </c>
    </row>
    <row r="685" spans="3:3" ht="15.75" customHeight="1">
      <c r="C685" s="4" t="b">
        <v>0</v>
      </c>
    </row>
    <row r="686" spans="3:3" ht="15.75" customHeight="1">
      <c r="C686" s="4" t="b">
        <v>0</v>
      </c>
    </row>
    <row r="687" spans="3:3" ht="15.75" customHeight="1">
      <c r="C687" s="4" t="b">
        <v>0</v>
      </c>
    </row>
    <row r="688" spans="3:3" ht="15.75" customHeight="1">
      <c r="C688" s="4" t="b">
        <v>0</v>
      </c>
    </row>
    <row r="689" spans="3:3" ht="15.75" customHeight="1">
      <c r="C689" s="4" t="b">
        <v>0</v>
      </c>
    </row>
    <row r="690" spans="3:3" ht="15.75" customHeight="1">
      <c r="C690" s="4" t="b">
        <v>0</v>
      </c>
    </row>
    <row r="691" spans="3:3" ht="15.75" customHeight="1">
      <c r="C691" s="4" t="b">
        <v>0</v>
      </c>
    </row>
    <row r="692" spans="3:3" ht="15.75" customHeight="1">
      <c r="C692" s="4" t="b">
        <v>0</v>
      </c>
    </row>
    <row r="693" spans="3:3" ht="15.75" customHeight="1">
      <c r="C693" s="4" t="b">
        <v>0</v>
      </c>
    </row>
    <row r="694" spans="3:3" ht="15.75" customHeight="1">
      <c r="C694" s="4" t="b">
        <v>0</v>
      </c>
    </row>
    <row r="695" spans="3:3" ht="15.75" customHeight="1">
      <c r="C695" s="4" t="b">
        <v>0</v>
      </c>
    </row>
    <row r="696" spans="3:3" ht="15.75" customHeight="1">
      <c r="C696" s="4" t="b">
        <v>0</v>
      </c>
    </row>
    <row r="697" spans="3:3" ht="15.75" customHeight="1">
      <c r="C697" s="4" t="b">
        <v>0</v>
      </c>
    </row>
    <row r="698" spans="3:3" ht="15.75" customHeight="1">
      <c r="C698" s="4" t="b">
        <v>0</v>
      </c>
    </row>
    <row r="699" spans="3:3" ht="15.75" customHeight="1">
      <c r="C699" s="4" t="b">
        <v>0</v>
      </c>
    </row>
    <row r="700" spans="3:3" ht="15.75" customHeight="1">
      <c r="C700" s="4" t="b">
        <v>0</v>
      </c>
    </row>
    <row r="701" spans="3:3" ht="15.75" customHeight="1">
      <c r="C701" s="4" t="b">
        <v>0</v>
      </c>
    </row>
    <row r="702" spans="3:3" ht="15.75" customHeight="1">
      <c r="C702" s="4" t="b">
        <v>0</v>
      </c>
    </row>
    <row r="703" spans="3:3" ht="15.75" customHeight="1">
      <c r="C703" s="4" t="b">
        <v>0</v>
      </c>
    </row>
    <row r="704" spans="3:3" ht="15.75" customHeight="1">
      <c r="C704" s="4" t="b">
        <v>0</v>
      </c>
    </row>
    <row r="705" spans="3:3" ht="15.75" customHeight="1">
      <c r="C705" s="4" t="b">
        <v>0</v>
      </c>
    </row>
    <row r="706" spans="3:3" ht="15.75" customHeight="1">
      <c r="C706" s="4" t="b">
        <v>0</v>
      </c>
    </row>
    <row r="707" spans="3:3" ht="15.75" customHeight="1">
      <c r="C707" s="4" t="b">
        <v>0</v>
      </c>
    </row>
    <row r="708" spans="3:3" ht="15.75" customHeight="1">
      <c r="C708" s="4" t="b">
        <v>0</v>
      </c>
    </row>
    <row r="709" spans="3:3" ht="15.75" customHeight="1">
      <c r="C709" s="4" t="b">
        <v>0</v>
      </c>
    </row>
    <row r="710" spans="3:3" ht="15.75" customHeight="1">
      <c r="C710" s="4" t="b">
        <v>0</v>
      </c>
    </row>
    <row r="711" spans="3:3" ht="15.75" customHeight="1">
      <c r="C711" s="4" t="b">
        <v>0</v>
      </c>
    </row>
    <row r="712" spans="3:3" ht="15.75" customHeight="1">
      <c r="C712" s="4" t="b">
        <v>0</v>
      </c>
    </row>
    <row r="713" spans="3:3" ht="15.75" customHeight="1">
      <c r="C713" s="4" t="b">
        <v>0</v>
      </c>
    </row>
    <row r="714" spans="3:3" ht="15.75" customHeight="1">
      <c r="C714" s="4" t="b">
        <v>0</v>
      </c>
    </row>
    <row r="715" spans="3:3" ht="15.75" customHeight="1">
      <c r="C715" s="4" t="b">
        <v>0</v>
      </c>
    </row>
    <row r="716" spans="3:3" ht="15.75" customHeight="1">
      <c r="C716" s="4" t="b">
        <v>0</v>
      </c>
    </row>
    <row r="717" spans="3:3" ht="15.75" customHeight="1">
      <c r="C717" s="4" t="b">
        <v>0</v>
      </c>
    </row>
    <row r="718" spans="3:3" ht="15.75" customHeight="1">
      <c r="C718" s="4" t="b">
        <v>0</v>
      </c>
    </row>
    <row r="719" spans="3:3" ht="15.75" customHeight="1">
      <c r="C719" s="4" t="b">
        <v>0</v>
      </c>
    </row>
    <row r="720" spans="3:3" ht="15.75" customHeight="1">
      <c r="C720" s="4" t="b">
        <v>0</v>
      </c>
    </row>
    <row r="721" spans="3:3" ht="15.75" customHeight="1">
      <c r="C721" s="4" t="b">
        <v>0</v>
      </c>
    </row>
    <row r="722" spans="3:3" ht="15.75" customHeight="1">
      <c r="C722" s="4" t="b">
        <v>0</v>
      </c>
    </row>
    <row r="723" spans="3:3" ht="15.75" customHeight="1">
      <c r="C723" s="4" t="b">
        <v>0</v>
      </c>
    </row>
    <row r="724" spans="3:3" ht="15.75" customHeight="1">
      <c r="C724" s="4" t="b">
        <v>0</v>
      </c>
    </row>
    <row r="725" spans="3:3" ht="15.75" customHeight="1">
      <c r="C725" s="4" t="b">
        <v>0</v>
      </c>
    </row>
    <row r="726" spans="3:3" ht="15.75" customHeight="1">
      <c r="C726" s="4" t="b">
        <v>0</v>
      </c>
    </row>
    <row r="727" spans="3:3" ht="15.75" customHeight="1">
      <c r="C727" s="4" t="b">
        <v>0</v>
      </c>
    </row>
    <row r="728" spans="3:3" ht="15.75" customHeight="1">
      <c r="C728" s="4" t="b">
        <v>0</v>
      </c>
    </row>
    <row r="729" spans="3:3" ht="15.75" customHeight="1">
      <c r="C729" s="4" t="b">
        <v>0</v>
      </c>
    </row>
    <row r="730" spans="3:3" ht="15.75" customHeight="1">
      <c r="C730" s="4" t="b">
        <v>0</v>
      </c>
    </row>
    <row r="731" spans="3:3" ht="15.75" customHeight="1">
      <c r="C731" s="4" t="b">
        <v>0</v>
      </c>
    </row>
    <row r="732" spans="3:3" ht="15.75" customHeight="1">
      <c r="C732" s="4" t="b">
        <v>0</v>
      </c>
    </row>
    <row r="733" spans="3:3" ht="15.75" customHeight="1">
      <c r="C733" s="4" t="b">
        <v>0</v>
      </c>
    </row>
    <row r="734" spans="3:3" ht="15.75" customHeight="1">
      <c r="C734" s="4" t="b">
        <v>0</v>
      </c>
    </row>
    <row r="735" spans="3:3" ht="15.75" customHeight="1">
      <c r="C735" s="4" t="b">
        <v>0</v>
      </c>
    </row>
    <row r="736" spans="3:3" ht="15.75" customHeight="1">
      <c r="C736" s="4" t="b">
        <v>0</v>
      </c>
    </row>
    <row r="737" spans="3:3" ht="15.75" customHeight="1">
      <c r="C737" s="4" t="b">
        <v>0</v>
      </c>
    </row>
    <row r="738" spans="3:3" ht="15.75" customHeight="1">
      <c r="C738" s="4" t="b">
        <v>0</v>
      </c>
    </row>
    <row r="739" spans="3:3" ht="15.75" customHeight="1">
      <c r="C739" s="4" t="b">
        <v>0</v>
      </c>
    </row>
    <row r="740" spans="3:3" ht="15.75" customHeight="1">
      <c r="C740" s="4" t="b">
        <v>0</v>
      </c>
    </row>
    <row r="741" spans="3:3" ht="15.75" customHeight="1">
      <c r="C741" s="4" t="b">
        <v>0</v>
      </c>
    </row>
    <row r="742" spans="3:3" ht="15.75" customHeight="1">
      <c r="C742" s="4" t="b">
        <v>0</v>
      </c>
    </row>
    <row r="743" spans="3:3" ht="15.75" customHeight="1">
      <c r="C743" s="4" t="b">
        <v>0</v>
      </c>
    </row>
    <row r="744" spans="3:3" ht="15.75" customHeight="1">
      <c r="C744" s="4" t="b">
        <v>0</v>
      </c>
    </row>
    <row r="745" spans="3:3" ht="15.75" customHeight="1">
      <c r="C745" s="4" t="b">
        <v>0</v>
      </c>
    </row>
    <row r="746" spans="3:3" ht="15.75" customHeight="1">
      <c r="C746" s="4" t="b">
        <v>0</v>
      </c>
    </row>
    <row r="747" spans="3:3" ht="15.75" customHeight="1">
      <c r="C747" s="4" t="b">
        <v>0</v>
      </c>
    </row>
    <row r="748" spans="3:3" ht="15.75" customHeight="1">
      <c r="C748" s="4" t="b">
        <v>0</v>
      </c>
    </row>
    <row r="749" spans="3:3" ht="15.75" customHeight="1">
      <c r="C749" s="4" t="b">
        <v>0</v>
      </c>
    </row>
    <row r="750" spans="3:3" ht="15.75" customHeight="1">
      <c r="C750" s="4" t="b">
        <v>0</v>
      </c>
    </row>
    <row r="751" spans="3:3" ht="15.75" customHeight="1">
      <c r="C751" s="4" t="b">
        <v>0</v>
      </c>
    </row>
    <row r="752" spans="3:3" ht="15.75" customHeight="1">
      <c r="C752" s="4" t="b">
        <v>0</v>
      </c>
    </row>
    <row r="753" spans="3:3" ht="15.75" customHeight="1">
      <c r="C753" s="4" t="b">
        <v>0</v>
      </c>
    </row>
    <row r="754" spans="3:3" ht="15.75" customHeight="1">
      <c r="C754" s="4" t="b">
        <v>0</v>
      </c>
    </row>
    <row r="755" spans="3:3" ht="15.75" customHeight="1">
      <c r="C755" s="4" t="b">
        <v>0</v>
      </c>
    </row>
    <row r="756" spans="3:3" ht="15.75" customHeight="1">
      <c r="C756" s="4" t="b">
        <v>0</v>
      </c>
    </row>
    <row r="757" spans="3:3" ht="15.75" customHeight="1">
      <c r="C757" s="4" t="b">
        <v>0</v>
      </c>
    </row>
    <row r="758" spans="3:3" ht="15.75" customHeight="1">
      <c r="C758" s="4" t="b">
        <v>0</v>
      </c>
    </row>
    <row r="759" spans="3:3" ht="15.75" customHeight="1">
      <c r="C759" s="4" t="b">
        <v>0</v>
      </c>
    </row>
    <row r="760" spans="3:3" ht="15.75" customHeight="1">
      <c r="C760" s="4" t="b">
        <v>0</v>
      </c>
    </row>
    <row r="761" spans="3:3" ht="15.75" customHeight="1">
      <c r="C761" s="4" t="b">
        <v>0</v>
      </c>
    </row>
    <row r="762" spans="3:3" ht="15.75" customHeight="1">
      <c r="C762" s="4" t="b">
        <v>0</v>
      </c>
    </row>
    <row r="763" spans="3:3" ht="15.75" customHeight="1">
      <c r="C763" s="4" t="b">
        <v>0</v>
      </c>
    </row>
    <row r="764" spans="3:3" ht="15.75" customHeight="1">
      <c r="C764" s="4" t="b">
        <v>0</v>
      </c>
    </row>
    <row r="765" spans="3:3" ht="15.75" customHeight="1">
      <c r="C765" s="4" t="b">
        <v>0</v>
      </c>
    </row>
    <row r="766" spans="3:3" ht="15.75" customHeight="1">
      <c r="C766" s="4" t="b">
        <v>0</v>
      </c>
    </row>
    <row r="767" spans="3:3" ht="15.75" customHeight="1">
      <c r="C767" s="4" t="b">
        <v>0</v>
      </c>
    </row>
    <row r="768" spans="3:3" ht="15.75" customHeight="1">
      <c r="C768" s="4" t="b">
        <v>0</v>
      </c>
    </row>
    <row r="769" spans="3:3" ht="15.75" customHeight="1">
      <c r="C769" s="4" t="b">
        <v>0</v>
      </c>
    </row>
    <row r="770" spans="3:3" ht="15.75" customHeight="1">
      <c r="C770" s="4" t="b">
        <v>0</v>
      </c>
    </row>
    <row r="771" spans="3:3" ht="15.75" customHeight="1">
      <c r="C771" s="4" t="b">
        <v>0</v>
      </c>
    </row>
    <row r="772" spans="3:3" ht="15.75" customHeight="1">
      <c r="C772" s="4" t="b">
        <v>0</v>
      </c>
    </row>
    <row r="773" spans="3:3" ht="15.75" customHeight="1">
      <c r="C773" s="4" t="b">
        <v>0</v>
      </c>
    </row>
    <row r="774" spans="3:3" ht="15.75" customHeight="1">
      <c r="C774" s="4" t="b">
        <v>0</v>
      </c>
    </row>
    <row r="775" spans="3:3" ht="15.75" customHeight="1">
      <c r="C775" s="4" t="b">
        <v>0</v>
      </c>
    </row>
    <row r="776" spans="3:3" ht="15.75" customHeight="1">
      <c r="C776" s="4" t="b">
        <v>0</v>
      </c>
    </row>
    <row r="777" spans="3:3" ht="15.75" customHeight="1">
      <c r="C777" s="4" t="b">
        <v>0</v>
      </c>
    </row>
    <row r="778" spans="3:3" ht="15.75" customHeight="1">
      <c r="C778" s="4" t="b">
        <v>0</v>
      </c>
    </row>
    <row r="779" spans="3:3" ht="15.75" customHeight="1">
      <c r="C779" s="4" t="b">
        <v>0</v>
      </c>
    </row>
    <row r="780" spans="3:3" ht="15.75" customHeight="1">
      <c r="C780" s="4" t="b">
        <v>0</v>
      </c>
    </row>
    <row r="781" spans="3:3" ht="15.75" customHeight="1">
      <c r="C781" s="4" t="b">
        <v>0</v>
      </c>
    </row>
    <row r="782" spans="3:3" ht="15.75" customHeight="1">
      <c r="C782" s="4" t="b">
        <v>0</v>
      </c>
    </row>
    <row r="783" spans="3:3" ht="15.75" customHeight="1">
      <c r="C783" s="4" t="b">
        <v>0</v>
      </c>
    </row>
    <row r="784" spans="3:3" ht="15.75" customHeight="1">
      <c r="C784" s="4" t="b">
        <v>0</v>
      </c>
    </row>
    <row r="785" spans="3:3" ht="15.75" customHeight="1">
      <c r="C785" s="4" t="b">
        <v>0</v>
      </c>
    </row>
    <row r="786" spans="3:3" ht="15.75" customHeight="1">
      <c r="C786" s="4" t="b">
        <v>0</v>
      </c>
    </row>
    <row r="787" spans="3:3" ht="15.75" customHeight="1">
      <c r="C787" s="4" t="b">
        <v>0</v>
      </c>
    </row>
    <row r="788" spans="3:3" ht="15.75" customHeight="1">
      <c r="C788" s="4" t="b">
        <v>0</v>
      </c>
    </row>
    <row r="789" spans="3:3" ht="15.75" customHeight="1">
      <c r="C789" s="4" t="b">
        <v>0</v>
      </c>
    </row>
    <row r="790" spans="3:3" ht="15.75" customHeight="1">
      <c r="C790" s="4" t="b">
        <v>0</v>
      </c>
    </row>
    <row r="791" spans="3:3" ht="15.75" customHeight="1">
      <c r="C791" s="4" t="b">
        <v>0</v>
      </c>
    </row>
    <row r="792" spans="3:3" ht="15.75" customHeight="1">
      <c r="C792" s="4" t="b">
        <v>0</v>
      </c>
    </row>
    <row r="793" spans="3:3" ht="15.75" customHeight="1">
      <c r="C793" s="4" t="b">
        <v>0</v>
      </c>
    </row>
    <row r="794" spans="3:3" ht="15.75" customHeight="1">
      <c r="C794" s="4" t="b">
        <v>0</v>
      </c>
    </row>
    <row r="795" spans="3:3" ht="15.75" customHeight="1">
      <c r="C795" s="4" t="b">
        <v>0</v>
      </c>
    </row>
    <row r="796" spans="3:3" ht="15.75" customHeight="1">
      <c r="C796" s="4" t="b">
        <v>0</v>
      </c>
    </row>
    <row r="797" spans="3:3" ht="15.75" customHeight="1">
      <c r="C797" s="4" t="b">
        <v>0</v>
      </c>
    </row>
    <row r="798" spans="3:3" ht="15.75" customHeight="1">
      <c r="C798" s="4" t="b">
        <v>0</v>
      </c>
    </row>
    <row r="799" spans="3:3" ht="15.75" customHeight="1">
      <c r="C799" s="4" t="b">
        <v>0</v>
      </c>
    </row>
    <row r="800" spans="3:3" ht="15.75" customHeight="1">
      <c r="C800" s="4" t="b">
        <v>0</v>
      </c>
    </row>
    <row r="801" spans="3:3" ht="15.75" customHeight="1">
      <c r="C801" s="4" t="b">
        <v>0</v>
      </c>
    </row>
    <row r="802" spans="3:3" ht="15.75" customHeight="1">
      <c r="C802" s="4" t="b">
        <v>0</v>
      </c>
    </row>
    <row r="803" spans="3:3" ht="15.75" customHeight="1">
      <c r="C803" s="4" t="b">
        <v>0</v>
      </c>
    </row>
    <row r="804" spans="3:3" ht="15.75" customHeight="1">
      <c r="C804" s="4" t="b">
        <v>0</v>
      </c>
    </row>
    <row r="805" spans="3:3" ht="15.75" customHeight="1">
      <c r="C805" s="4" t="b">
        <v>0</v>
      </c>
    </row>
    <row r="806" spans="3:3" ht="15.75" customHeight="1">
      <c r="C806" s="4" t="b">
        <v>0</v>
      </c>
    </row>
    <row r="807" spans="3:3" ht="15.75" customHeight="1">
      <c r="C807" s="4" t="b">
        <v>0</v>
      </c>
    </row>
    <row r="808" spans="3:3" ht="15.75" customHeight="1">
      <c r="C808" s="4" t="b">
        <v>0</v>
      </c>
    </row>
    <row r="809" spans="3:3" ht="15.75" customHeight="1">
      <c r="C809" s="4" t="b">
        <v>0</v>
      </c>
    </row>
    <row r="810" spans="3:3" ht="15.75" customHeight="1">
      <c r="C810" s="4" t="b">
        <v>0</v>
      </c>
    </row>
    <row r="811" spans="3:3" ht="15.75" customHeight="1">
      <c r="C811" s="4" t="b">
        <v>0</v>
      </c>
    </row>
    <row r="812" spans="3:3" ht="15.75" customHeight="1">
      <c r="C812" s="4" t="b">
        <v>0</v>
      </c>
    </row>
    <row r="813" spans="3:3" ht="15.75" customHeight="1">
      <c r="C813" s="4" t="b">
        <v>0</v>
      </c>
    </row>
    <row r="814" spans="3:3" ht="15.75" customHeight="1">
      <c r="C814" s="4" t="b">
        <v>0</v>
      </c>
    </row>
    <row r="815" spans="3:3" ht="15.75" customHeight="1">
      <c r="C815" s="4" t="b">
        <v>0</v>
      </c>
    </row>
    <row r="816" spans="3:3" ht="15.75" customHeight="1">
      <c r="C816" s="4" t="b">
        <v>0</v>
      </c>
    </row>
    <row r="817" spans="3:3" ht="15.75" customHeight="1">
      <c r="C817" s="4" t="b">
        <v>0</v>
      </c>
    </row>
    <row r="818" spans="3:3" ht="15.75" customHeight="1">
      <c r="C818" s="4" t="b">
        <v>0</v>
      </c>
    </row>
    <row r="819" spans="3:3" ht="15.75" customHeight="1">
      <c r="C819" s="4" t="b">
        <v>0</v>
      </c>
    </row>
    <row r="820" spans="3:3" ht="15.75" customHeight="1">
      <c r="C820" s="4" t="b">
        <v>0</v>
      </c>
    </row>
    <row r="821" spans="3:3" ht="15.75" customHeight="1">
      <c r="C821" s="4" t="b">
        <v>0</v>
      </c>
    </row>
    <row r="822" spans="3:3" ht="15.75" customHeight="1">
      <c r="C822" s="4" t="b">
        <v>0</v>
      </c>
    </row>
    <row r="823" spans="3:3" ht="15.75" customHeight="1">
      <c r="C823" s="4" t="b">
        <v>0</v>
      </c>
    </row>
    <row r="824" spans="3:3" ht="15.75" customHeight="1">
      <c r="C824" s="4" t="b">
        <v>0</v>
      </c>
    </row>
    <row r="825" spans="3:3" ht="15.75" customHeight="1">
      <c r="C825" s="4" t="b">
        <v>0</v>
      </c>
    </row>
    <row r="826" spans="3:3" ht="15.75" customHeight="1">
      <c r="C826" s="4" t="b">
        <v>0</v>
      </c>
    </row>
    <row r="827" spans="3:3" ht="15.75" customHeight="1">
      <c r="C827" s="4" t="b">
        <v>0</v>
      </c>
    </row>
    <row r="828" spans="3:3" ht="15.75" customHeight="1">
      <c r="C828" s="4" t="b">
        <v>0</v>
      </c>
    </row>
    <row r="829" spans="3:3" ht="15.75" customHeight="1">
      <c r="C829" s="4" t="b">
        <v>0</v>
      </c>
    </row>
    <row r="830" spans="3:3" ht="15.75" customHeight="1">
      <c r="C830" s="4" t="b">
        <v>0</v>
      </c>
    </row>
    <row r="831" spans="3:3" ht="15.75" customHeight="1">
      <c r="C831" s="4" t="b">
        <v>0</v>
      </c>
    </row>
    <row r="832" spans="3:3" ht="15.75" customHeight="1">
      <c r="C832" s="4" t="b">
        <v>0</v>
      </c>
    </row>
    <row r="833" spans="3:3" ht="15.75" customHeight="1">
      <c r="C833" s="4" t="b">
        <v>0</v>
      </c>
    </row>
    <row r="834" spans="3:3" ht="15.75" customHeight="1">
      <c r="C834" s="4" t="b">
        <v>0</v>
      </c>
    </row>
    <row r="835" spans="3:3" ht="15.75" customHeight="1">
      <c r="C835" s="4" t="b">
        <v>0</v>
      </c>
    </row>
    <row r="836" spans="3:3" ht="15.75" customHeight="1">
      <c r="C836" s="4" t="b">
        <v>0</v>
      </c>
    </row>
    <row r="837" spans="3:3" ht="15.75" customHeight="1">
      <c r="C837" s="4" t="b">
        <v>0</v>
      </c>
    </row>
    <row r="838" spans="3:3" ht="15.75" customHeight="1">
      <c r="C838" s="4" t="b">
        <v>0</v>
      </c>
    </row>
    <row r="839" spans="3:3" ht="15.75" customHeight="1">
      <c r="C839" s="4" t="b">
        <v>0</v>
      </c>
    </row>
    <row r="840" spans="3:3" ht="15.75" customHeight="1">
      <c r="C840" s="4" t="b">
        <v>0</v>
      </c>
    </row>
    <row r="841" spans="3:3" ht="15.75" customHeight="1">
      <c r="C841" s="4" t="b">
        <v>0</v>
      </c>
    </row>
    <row r="842" spans="3:3" ht="15.75" customHeight="1">
      <c r="C842" s="4" t="b">
        <v>0</v>
      </c>
    </row>
    <row r="843" spans="3:3" ht="15.75" customHeight="1">
      <c r="C843" s="4" t="b">
        <v>0</v>
      </c>
    </row>
    <row r="844" spans="3:3" ht="15.75" customHeight="1">
      <c r="C844" s="4" t="b">
        <v>0</v>
      </c>
    </row>
    <row r="845" spans="3:3" ht="15.75" customHeight="1">
      <c r="C845" s="4" t="b">
        <v>0</v>
      </c>
    </row>
    <row r="846" spans="3:3" ht="15.75" customHeight="1">
      <c r="C846" s="4" t="b">
        <v>0</v>
      </c>
    </row>
    <row r="847" spans="3:3" ht="15.75" customHeight="1">
      <c r="C847" s="4" t="b">
        <v>0</v>
      </c>
    </row>
    <row r="848" spans="3:3" ht="15.75" customHeight="1">
      <c r="C848" s="4" t="b">
        <v>0</v>
      </c>
    </row>
    <row r="849" spans="3:3" ht="15.75" customHeight="1">
      <c r="C849" s="4" t="b">
        <v>0</v>
      </c>
    </row>
    <row r="850" spans="3:3" ht="15.75" customHeight="1">
      <c r="C850" s="4" t="b">
        <v>0</v>
      </c>
    </row>
    <row r="851" spans="3:3" ht="15.75" customHeight="1">
      <c r="C851" s="4" t="b">
        <v>0</v>
      </c>
    </row>
    <row r="852" spans="3:3" ht="15.75" customHeight="1">
      <c r="C852" s="4" t="b">
        <v>0</v>
      </c>
    </row>
    <row r="853" spans="3:3" ht="15.75" customHeight="1">
      <c r="C853" s="4" t="b">
        <v>0</v>
      </c>
    </row>
    <row r="854" spans="3:3" ht="15.75" customHeight="1">
      <c r="C854" s="4" t="b">
        <v>0</v>
      </c>
    </row>
    <row r="855" spans="3:3" ht="15.75" customHeight="1">
      <c r="C855" s="4" t="b">
        <v>0</v>
      </c>
    </row>
    <row r="856" spans="3:3" ht="15.75" customHeight="1">
      <c r="C856" s="4" t="b">
        <v>0</v>
      </c>
    </row>
    <row r="857" spans="3:3" ht="15.75" customHeight="1">
      <c r="C857" s="4" t="b">
        <v>0</v>
      </c>
    </row>
    <row r="858" spans="3:3" ht="15.75" customHeight="1">
      <c r="C858" s="4" t="b">
        <v>0</v>
      </c>
    </row>
    <row r="859" spans="3:3" ht="15.75" customHeight="1">
      <c r="C859" s="4" t="b">
        <v>0</v>
      </c>
    </row>
    <row r="860" spans="3:3" ht="15.75" customHeight="1">
      <c r="C860" s="4" t="b">
        <v>0</v>
      </c>
    </row>
    <row r="861" spans="3:3" ht="15.75" customHeight="1">
      <c r="C861" s="4" t="b">
        <v>0</v>
      </c>
    </row>
    <row r="862" spans="3:3" ht="15.75" customHeight="1">
      <c r="C862" s="4" t="b">
        <v>0</v>
      </c>
    </row>
    <row r="863" spans="3:3" ht="15.75" customHeight="1">
      <c r="C863" s="4" t="b">
        <v>0</v>
      </c>
    </row>
    <row r="864" spans="3:3" ht="15.75" customHeight="1">
      <c r="C864" s="4" t="b">
        <v>0</v>
      </c>
    </row>
    <row r="865" spans="3:3" ht="15.75" customHeight="1">
      <c r="C865" s="4" t="b">
        <v>0</v>
      </c>
    </row>
    <row r="866" spans="3:3" ht="15.75" customHeight="1">
      <c r="C866" s="4" t="b">
        <v>0</v>
      </c>
    </row>
    <row r="867" spans="3:3" ht="15.75" customHeight="1">
      <c r="C867" s="4" t="b">
        <v>0</v>
      </c>
    </row>
    <row r="868" spans="3:3" ht="15.75" customHeight="1">
      <c r="C868" s="4" t="b">
        <v>0</v>
      </c>
    </row>
    <row r="869" spans="3:3" ht="15.75" customHeight="1">
      <c r="C869" s="4" t="b">
        <v>0</v>
      </c>
    </row>
    <row r="870" spans="3:3" ht="15.75" customHeight="1">
      <c r="C870" s="4" t="b">
        <v>0</v>
      </c>
    </row>
    <row r="871" spans="3:3" ht="15.75" customHeight="1">
      <c r="C871" s="4" t="b">
        <v>0</v>
      </c>
    </row>
    <row r="872" spans="3:3" ht="15.75" customHeight="1">
      <c r="C872" s="4" t="b">
        <v>0</v>
      </c>
    </row>
    <row r="873" spans="3:3" ht="15.75" customHeight="1">
      <c r="C873" s="4" t="b">
        <v>0</v>
      </c>
    </row>
    <row r="874" spans="3:3" ht="15.75" customHeight="1">
      <c r="C874" s="4" t="b">
        <v>0</v>
      </c>
    </row>
    <row r="875" spans="3:3" ht="15.75" customHeight="1">
      <c r="C875" s="4" t="b">
        <v>0</v>
      </c>
    </row>
    <row r="876" spans="3:3" ht="15.75" customHeight="1">
      <c r="C876" s="4" t="b">
        <v>0</v>
      </c>
    </row>
    <row r="877" spans="3:3" ht="15.75" customHeight="1">
      <c r="C877" s="4" t="b">
        <v>0</v>
      </c>
    </row>
    <row r="878" spans="3:3" ht="15.75" customHeight="1">
      <c r="C878" s="4" t="b">
        <v>0</v>
      </c>
    </row>
    <row r="879" spans="3:3" ht="15.75" customHeight="1">
      <c r="C879" s="4" t="b">
        <v>0</v>
      </c>
    </row>
    <row r="880" spans="3:3" ht="15.75" customHeight="1">
      <c r="C880" s="4" t="b">
        <v>0</v>
      </c>
    </row>
    <row r="881" spans="3:3" ht="15.75" customHeight="1">
      <c r="C881" s="4" t="b">
        <v>0</v>
      </c>
    </row>
    <row r="882" spans="3:3" ht="15.75" customHeight="1">
      <c r="C882" s="4" t="b">
        <v>0</v>
      </c>
    </row>
    <row r="883" spans="3:3" ht="15.75" customHeight="1">
      <c r="C883" s="4" t="b">
        <v>0</v>
      </c>
    </row>
    <row r="884" spans="3:3" ht="15.75" customHeight="1">
      <c r="C884" s="4" t="b">
        <v>0</v>
      </c>
    </row>
    <row r="885" spans="3:3" ht="15.75" customHeight="1">
      <c r="C885" s="4" t="b">
        <v>0</v>
      </c>
    </row>
    <row r="886" spans="3:3" ht="15.75" customHeight="1">
      <c r="C886" s="4" t="b">
        <v>0</v>
      </c>
    </row>
    <row r="887" spans="3:3" ht="15.75" customHeight="1">
      <c r="C887" s="4" t="b">
        <v>0</v>
      </c>
    </row>
    <row r="888" spans="3:3" ht="15.75" customHeight="1">
      <c r="C888" s="4" t="b">
        <v>0</v>
      </c>
    </row>
    <row r="889" spans="3:3" ht="15.75" customHeight="1">
      <c r="C889" s="4" t="b">
        <v>0</v>
      </c>
    </row>
    <row r="890" spans="3:3" ht="15.75" customHeight="1">
      <c r="C890" s="4" t="b">
        <v>0</v>
      </c>
    </row>
    <row r="891" spans="3:3" ht="15.75" customHeight="1">
      <c r="C891" s="4" t="b">
        <v>0</v>
      </c>
    </row>
    <row r="892" spans="3:3" ht="15.75" customHeight="1">
      <c r="C892" s="4" t="b">
        <v>0</v>
      </c>
    </row>
    <row r="893" spans="3:3" ht="15.75" customHeight="1">
      <c r="C893" s="4" t="b">
        <v>0</v>
      </c>
    </row>
    <row r="894" spans="3:3" ht="15.75" customHeight="1">
      <c r="C894" s="4" t="b">
        <v>0</v>
      </c>
    </row>
    <row r="895" spans="3:3" ht="15.75" customHeight="1">
      <c r="C895" s="4" t="b">
        <v>0</v>
      </c>
    </row>
    <row r="896" spans="3:3" ht="15.75" customHeight="1">
      <c r="C896" s="4" t="b">
        <v>0</v>
      </c>
    </row>
    <row r="897" spans="3:3" ht="15.75" customHeight="1">
      <c r="C897" s="4" t="b">
        <v>0</v>
      </c>
    </row>
    <row r="898" spans="3:3" ht="15.75" customHeight="1">
      <c r="C898" s="4" t="b">
        <v>0</v>
      </c>
    </row>
    <row r="899" spans="3:3" ht="15.75" customHeight="1">
      <c r="C899" s="4" t="b">
        <v>0</v>
      </c>
    </row>
    <row r="900" spans="3:3" ht="15.75" customHeight="1">
      <c r="C900" s="4" t="b">
        <v>0</v>
      </c>
    </row>
    <row r="901" spans="3:3" ht="15.75" customHeight="1">
      <c r="C901" s="4" t="b">
        <v>0</v>
      </c>
    </row>
    <row r="902" spans="3:3" ht="15.75" customHeight="1">
      <c r="C902" s="4" t="b">
        <v>0</v>
      </c>
    </row>
    <row r="903" spans="3:3" ht="15.75" customHeight="1">
      <c r="C903" s="4" t="b">
        <v>0</v>
      </c>
    </row>
    <row r="904" spans="3:3" ht="15.75" customHeight="1">
      <c r="C904" s="4" t="b">
        <v>0</v>
      </c>
    </row>
    <row r="905" spans="3:3" ht="15.75" customHeight="1">
      <c r="C905" s="4" t="b">
        <v>0</v>
      </c>
    </row>
    <row r="906" spans="3:3" ht="15.75" customHeight="1">
      <c r="C906" s="4" t="b">
        <v>0</v>
      </c>
    </row>
    <row r="907" spans="3:3" ht="15.75" customHeight="1">
      <c r="C907" s="4" t="b">
        <v>0</v>
      </c>
    </row>
    <row r="908" spans="3:3" ht="15.75" customHeight="1">
      <c r="C908" s="4" t="b">
        <v>0</v>
      </c>
    </row>
    <row r="909" spans="3:3" ht="15.75" customHeight="1">
      <c r="C909" s="4" t="b">
        <v>0</v>
      </c>
    </row>
    <row r="910" spans="3:3" ht="15.75" customHeight="1">
      <c r="C910" s="4" t="b">
        <v>0</v>
      </c>
    </row>
    <row r="911" spans="3:3" ht="15.75" customHeight="1">
      <c r="C911" s="4" t="b">
        <v>0</v>
      </c>
    </row>
    <row r="912" spans="3:3" ht="15.75" customHeight="1">
      <c r="C912" s="4" t="b">
        <v>0</v>
      </c>
    </row>
    <row r="913" spans="3:3" ht="15.75" customHeight="1">
      <c r="C913" s="4" t="b">
        <v>0</v>
      </c>
    </row>
    <row r="914" spans="3:3" ht="15.75" customHeight="1">
      <c r="C914" s="4" t="b">
        <v>0</v>
      </c>
    </row>
    <row r="915" spans="3:3" ht="15.75" customHeight="1">
      <c r="C915" s="4" t="b">
        <v>0</v>
      </c>
    </row>
    <row r="916" spans="3:3" ht="15.75" customHeight="1">
      <c r="C916" s="4" t="b">
        <v>0</v>
      </c>
    </row>
    <row r="917" spans="3:3" ht="15.75" customHeight="1">
      <c r="C917" s="4" t="b">
        <v>0</v>
      </c>
    </row>
    <row r="918" spans="3:3" ht="15.75" customHeight="1">
      <c r="C918" s="4" t="b">
        <v>0</v>
      </c>
    </row>
    <row r="919" spans="3:3" ht="15.75" customHeight="1">
      <c r="C919" s="4" t="b">
        <v>0</v>
      </c>
    </row>
    <row r="920" spans="3:3" ht="15.75" customHeight="1">
      <c r="C920" s="4" t="b">
        <v>0</v>
      </c>
    </row>
    <row r="921" spans="3:3" ht="15.75" customHeight="1">
      <c r="C921" s="4" t="b">
        <v>0</v>
      </c>
    </row>
    <row r="922" spans="3:3" ht="15.75" customHeight="1">
      <c r="C922" s="4" t="b">
        <v>0</v>
      </c>
    </row>
    <row r="923" spans="3:3" ht="15.75" customHeight="1">
      <c r="C923" s="4" t="b">
        <v>0</v>
      </c>
    </row>
    <row r="924" spans="3:3" ht="15.75" customHeight="1">
      <c r="C924" s="4" t="b">
        <v>0</v>
      </c>
    </row>
    <row r="925" spans="3:3" ht="15.75" customHeight="1">
      <c r="C925" s="4" t="b">
        <v>0</v>
      </c>
    </row>
    <row r="926" spans="3:3" ht="15.75" customHeight="1">
      <c r="C926" s="4" t="b">
        <v>0</v>
      </c>
    </row>
    <row r="927" spans="3:3" ht="15.75" customHeight="1">
      <c r="C927" s="4" t="b">
        <v>0</v>
      </c>
    </row>
    <row r="928" spans="3:3" ht="15.75" customHeight="1">
      <c r="C928" s="4" t="b">
        <v>0</v>
      </c>
    </row>
    <row r="929" spans="3:3" ht="15.75" customHeight="1">
      <c r="C929" s="4" t="b">
        <v>0</v>
      </c>
    </row>
    <row r="930" spans="3:3" ht="15.75" customHeight="1">
      <c r="C930" s="4" t="b">
        <v>0</v>
      </c>
    </row>
    <row r="931" spans="3:3" ht="15.75" customHeight="1">
      <c r="C931" s="4" t="b">
        <v>0</v>
      </c>
    </row>
    <row r="932" spans="3:3" ht="15.75" customHeight="1">
      <c r="C932" s="4" t="b">
        <v>0</v>
      </c>
    </row>
    <row r="933" spans="3:3" ht="15.75" customHeight="1">
      <c r="C933" s="4" t="b">
        <v>0</v>
      </c>
    </row>
    <row r="934" spans="3:3" ht="15.75" customHeight="1">
      <c r="C934" s="4" t="b">
        <v>0</v>
      </c>
    </row>
    <row r="935" spans="3:3" ht="15.75" customHeight="1">
      <c r="C935" s="4" t="b">
        <v>0</v>
      </c>
    </row>
    <row r="936" spans="3:3" ht="15.75" customHeight="1">
      <c r="C936" s="4" t="b">
        <v>0</v>
      </c>
    </row>
    <row r="937" spans="3:3" ht="15.75" customHeight="1">
      <c r="C937" s="4" t="b">
        <v>0</v>
      </c>
    </row>
    <row r="938" spans="3:3" ht="15.75" customHeight="1">
      <c r="C938" s="4" t="b">
        <v>0</v>
      </c>
    </row>
    <row r="939" spans="3:3" ht="15.75" customHeight="1">
      <c r="C939" s="4" t="b">
        <v>0</v>
      </c>
    </row>
    <row r="940" spans="3:3" ht="15.75" customHeight="1">
      <c r="C940" s="4" t="b">
        <v>0</v>
      </c>
    </row>
    <row r="941" spans="3:3" ht="15.75" customHeight="1">
      <c r="C941" s="4" t="b">
        <v>0</v>
      </c>
    </row>
    <row r="942" spans="3:3" ht="15.75" customHeight="1">
      <c r="C942" s="4" t="b">
        <v>0</v>
      </c>
    </row>
    <row r="943" spans="3:3" ht="15.75" customHeight="1">
      <c r="C943" s="4" t="b">
        <v>0</v>
      </c>
    </row>
    <row r="944" spans="3:3" ht="15.75" customHeight="1">
      <c r="C944" s="4" t="b">
        <v>0</v>
      </c>
    </row>
    <row r="945" spans="3:3" ht="15.75" customHeight="1">
      <c r="C945" s="4" t="b">
        <v>0</v>
      </c>
    </row>
    <row r="946" spans="3:3" ht="15.75" customHeight="1">
      <c r="C946" s="4" t="b">
        <v>0</v>
      </c>
    </row>
    <row r="947" spans="3:3" ht="15.75" customHeight="1">
      <c r="C947" s="4" t="b">
        <v>0</v>
      </c>
    </row>
    <row r="948" spans="3:3" ht="15.75" customHeight="1">
      <c r="C948" s="4" t="b">
        <v>0</v>
      </c>
    </row>
    <row r="949" spans="3:3" ht="15.75" customHeight="1">
      <c r="C949" s="4" t="b">
        <v>0</v>
      </c>
    </row>
    <row r="950" spans="3:3" ht="15.75" customHeight="1">
      <c r="C950" s="4" t="b">
        <v>0</v>
      </c>
    </row>
    <row r="951" spans="3:3" ht="15.75" customHeight="1">
      <c r="C951" s="4" t="b">
        <v>0</v>
      </c>
    </row>
    <row r="952" spans="3:3" ht="15.75" customHeight="1">
      <c r="C952" s="4" t="b">
        <v>0</v>
      </c>
    </row>
    <row r="953" spans="3:3" ht="15.75" customHeight="1">
      <c r="C953" s="4" t="b">
        <v>0</v>
      </c>
    </row>
    <row r="954" spans="3:3" ht="15.75" customHeight="1">
      <c r="C954" s="4" t="b">
        <v>0</v>
      </c>
    </row>
    <row r="955" spans="3:3" ht="15.75" customHeight="1">
      <c r="C955" s="4" t="b">
        <v>0</v>
      </c>
    </row>
    <row r="956" spans="3:3" ht="15.75" customHeight="1">
      <c r="C956" s="4" t="b">
        <v>0</v>
      </c>
    </row>
    <row r="957" spans="3:3" ht="15.75" customHeight="1">
      <c r="C957" s="4" t="b">
        <v>0</v>
      </c>
    </row>
    <row r="958" spans="3:3" ht="15.75" customHeight="1">
      <c r="C958" s="4" t="b">
        <v>0</v>
      </c>
    </row>
    <row r="959" spans="3:3" ht="15.75" customHeight="1">
      <c r="C959" s="4" t="b">
        <v>0</v>
      </c>
    </row>
    <row r="960" spans="3:3" ht="15.75" customHeight="1">
      <c r="C960" s="4" t="b">
        <v>0</v>
      </c>
    </row>
    <row r="961" spans="3:3" ht="15.75" customHeight="1">
      <c r="C961" s="4" t="b">
        <v>0</v>
      </c>
    </row>
    <row r="962" spans="3:3" ht="15.75" customHeight="1">
      <c r="C962" s="4" t="b">
        <v>0</v>
      </c>
    </row>
    <row r="963" spans="3:3" ht="15.75" customHeight="1">
      <c r="C963" s="4" t="b">
        <v>0</v>
      </c>
    </row>
    <row r="964" spans="3:3" ht="15.75" customHeight="1">
      <c r="C964" s="4" t="b">
        <v>0</v>
      </c>
    </row>
    <row r="965" spans="3:3" ht="15.75" customHeight="1">
      <c r="C965" s="4" t="b">
        <v>0</v>
      </c>
    </row>
    <row r="966" spans="3:3" ht="15.75" customHeight="1">
      <c r="C966" s="4" t="b">
        <v>0</v>
      </c>
    </row>
    <row r="967" spans="3:3" ht="15.75" customHeight="1">
      <c r="C967" s="4" t="b">
        <v>0</v>
      </c>
    </row>
    <row r="968" spans="3:3" ht="15.75" customHeight="1">
      <c r="C968" s="4" t="b">
        <v>0</v>
      </c>
    </row>
    <row r="969" spans="3:3" ht="15.75" customHeight="1">
      <c r="C969" s="4" t="b">
        <v>0</v>
      </c>
    </row>
    <row r="970" spans="3:3" ht="15.75" customHeight="1">
      <c r="C970" s="4" t="b">
        <v>0</v>
      </c>
    </row>
    <row r="971" spans="3:3" ht="15.75" customHeight="1">
      <c r="C971" s="4" t="b">
        <v>0</v>
      </c>
    </row>
    <row r="972" spans="3:3" ht="15.75" customHeight="1">
      <c r="C972" s="4" t="b">
        <v>0</v>
      </c>
    </row>
    <row r="973" spans="3:3" ht="15.75" customHeight="1">
      <c r="C973" s="4" t="b">
        <v>0</v>
      </c>
    </row>
    <row r="974" spans="3:3" ht="15.75" customHeight="1">
      <c r="C974" s="4" t="b">
        <v>0</v>
      </c>
    </row>
    <row r="975" spans="3:3" ht="15.75" customHeight="1">
      <c r="C975" s="4" t="b">
        <v>0</v>
      </c>
    </row>
    <row r="976" spans="3:3" ht="15.75" customHeight="1">
      <c r="C976" s="4" t="b">
        <v>0</v>
      </c>
    </row>
    <row r="977" spans="3:3" ht="15.75" customHeight="1">
      <c r="C977" s="4" t="b">
        <v>0</v>
      </c>
    </row>
    <row r="978" spans="3:3" ht="15.75" customHeight="1">
      <c r="C978" s="4" t="b">
        <v>0</v>
      </c>
    </row>
    <row r="979" spans="3:3" ht="15.75" customHeight="1">
      <c r="C979" s="4" t="b">
        <v>0</v>
      </c>
    </row>
    <row r="980" spans="3:3" ht="15.75" customHeight="1">
      <c r="C980" s="4" t="b">
        <v>0</v>
      </c>
    </row>
    <row r="981" spans="3:3" ht="15.75" customHeight="1">
      <c r="C981" s="4" t="b">
        <v>0</v>
      </c>
    </row>
    <row r="982" spans="3:3" ht="15.75" customHeight="1">
      <c r="C982" s="4" t="b">
        <v>0</v>
      </c>
    </row>
    <row r="983" spans="3:3" ht="15.75" customHeight="1">
      <c r="C983" s="4" t="b">
        <v>0</v>
      </c>
    </row>
    <row r="984" spans="3:3" ht="15.75" customHeight="1">
      <c r="C984" s="4" t="b">
        <v>0</v>
      </c>
    </row>
    <row r="985" spans="3:3" ht="15.75" customHeight="1">
      <c r="C985" s="4" t="b">
        <v>0</v>
      </c>
    </row>
    <row r="986" spans="3:3" ht="15.75" customHeight="1">
      <c r="C986" s="4" t="b">
        <v>0</v>
      </c>
    </row>
    <row r="987" spans="3:3" ht="15.75" customHeight="1">
      <c r="C987" s="4" t="b">
        <v>0</v>
      </c>
    </row>
    <row r="988" spans="3:3" ht="15.75" customHeight="1">
      <c r="C988" s="4" t="b">
        <v>0</v>
      </c>
    </row>
    <row r="989" spans="3:3" ht="15.75" customHeight="1">
      <c r="C989" s="4" t="b">
        <v>0</v>
      </c>
    </row>
    <row r="990" spans="3:3" ht="15.75" customHeight="1">
      <c r="C990" s="4" t="b">
        <v>0</v>
      </c>
    </row>
    <row r="991" spans="3:3" ht="15.75" customHeight="1">
      <c r="C991" s="4" t="b">
        <v>0</v>
      </c>
    </row>
    <row r="992" spans="3:3" ht="15.75" customHeight="1">
      <c r="C992" s="4" t="b">
        <v>0</v>
      </c>
    </row>
    <row r="993" spans="3:3" ht="15.75" customHeight="1">
      <c r="C993" s="4" t="b">
        <v>0</v>
      </c>
    </row>
    <row r="994" spans="3:3" ht="15.75" customHeight="1">
      <c r="C994" s="4" t="b">
        <v>0</v>
      </c>
    </row>
    <row r="995" spans="3:3" ht="15.75" customHeight="1">
      <c r="C995" s="4" t="b">
        <v>0</v>
      </c>
    </row>
    <row r="996" spans="3:3" ht="15.75" customHeight="1">
      <c r="C996" s="4" t="b">
        <v>0</v>
      </c>
    </row>
    <row r="997" spans="3:3" ht="15.75" customHeight="1">
      <c r="C997" s="4" t="b">
        <v>0</v>
      </c>
    </row>
    <row r="998" spans="3:3" ht="15.75" customHeight="1">
      <c r="C998" s="4" t="b">
        <v>0</v>
      </c>
    </row>
    <row r="999" spans="3:3" ht="15.75" customHeight="1">
      <c r="C999" s="4" t="b">
        <v>0</v>
      </c>
    </row>
    <row r="1000" spans="3:3" ht="15.75" customHeight="1">
      <c r="C1000" s="4" t="b">
        <v>0</v>
      </c>
    </row>
  </sheetData>
  <autoFilter ref="A1:E1000">
    <extLst/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88"/>
  <sheetViews>
    <sheetView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defaultColWidth="12.6328125" defaultRowHeight="15.75" customHeight="1"/>
  <cols>
    <col min="1" max="1" width="35.26953125" customWidth="1"/>
    <col min="2" max="2" width="90.6328125" customWidth="1"/>
    <col min="3" max="3" width="35.26953125" customWidth="1"/>
    <col min="4" max="4" width="16.08984375" customWidth="1"/>
    <col min="6" max="6" width="21.08984375" customWidth="1"/>
  </cols>
  <sheetData>
    <row r="1" spans="1:7" ht="15.75" customHeight="1">
      <c r="A1" s="1" t="s">
        <v>13</v>
      </c>
      <c r="B1" s="1" t="s">
        <v>14</v>
      </c>
      <c r="C1" s="1" t="s">
        <v>13</v>
      </c>
      <c r="D1" s="1" t="s">
        <v>636</v>
      </c>
      <c r="E1" s="1" t="s">
        <v>637</v>
      </c>
      <c r="F1" s="1" t="s">
        <v>638</v>
      </c>
      <c r="G1" s="1" t="s">
        <v>64</v>
      </c>
    </row>
    <row r="2" spans="1:7" ht="15.75" customHeight="1">
      <c r="A2" s="2">
        <v>92000888</v>
      </c>
      <c r="B2" s="2" t="s">
        <v>639</v>
      </c>
      <c r="C2" s="5">
        <v>92000888</v>
      </c>
      <c r="D2" s="2" t="s">
        <v>640</v>
      </c>
      <c r="E2" s="2" t="s">
        <v>641</v>
      </c>
      <c r="F2" s="2">
        <v>2</v>
      </c>
      <c r="G2" s="6" t="str">
        <f t="shared" ref="G2:G795" si="0">_xlfn.TEXTJOIN("/",,"https://dto.kemkes.go.id/kfacode",A2)</f>
        <v>https://dto.kemkes.go.id/kfacode/92000888</v>
      </c>
    </row>
    <row r="3" spans="1:7" ht="15.75" customHeight="1">
      <c r="A3" s="2">
        <v>92000372</v>
      </c>
      <c r="B3" s="2" t="s">
        <v>40</v>
      </c>
      <c r="C3" s="5">
        <v>92000372</v>
      </c>
      <c r="D3" s="2" t="s">
        <v>640</v>
      </c>
      <c r="E3" s="2" t="s">
        <v>641</v>
      </c>
      <c r="F3" s="2">
        <v>10</v>
      </c>
      <c r="G3" s="6" t="str">
        <f t="shared" si="0"/>
        <v>https://dto.kemkes.go.id/kfacode/92000372</v>
      </c>
    </row>
    <row r="4" spans="1:7" ht="15.75" customHeight="1">
      <c r="A4" s="2">
        <v>92000371</v>
      </c>
      <c r="B4" s="2" t="s">
        <v>642</v>
      </c>
      <c r="C4" s="5">
        <v>92000371</v>
      </c>
      <c r="D4" s="2" t="s">
        <v>640</v>
      </c>
      <c r="E4" s="2" t="s">
        <v>641</v>
      </c>
      <c r="F4" s="2">
        <v>10</v>
      </c>
      <c r="G4" s="6" t="str">
        <f t="shared" si="0"/>
        <v>https://dto.kemkes.go.id/kfacode/92000371</v>
      </c>
    </row>
    <row r="5" spans="1:7" ht="15.75" customHeight="1">
      <c r="A5" s="2">
        <v>92000283</v>
      </c>
      <c r="B5" s="2" t="s">
        <v>643</v>
      </c>
      <c r="C5" s="5">
        <v>92000283</v>
      </c>
      <c r="D5" s="2" t="s">
        <v>640</v>
      </c>
      <c r="E5" s="2" t="s">
        <v>641</v>
      </c>
      <c r="F5" s="2">
        <v>2</v>
      </c>
      <c r="G5" s="6" t="str">
        <f t="shared" si="0"/>
        <v>https://dto.kemkes.go.id/kfacode/92000283</v>
      </c>
    </row>
    <row r="6" spans="1:7" ht="15.75" customHeight="1">
      <c r="A6" s="2">
        <v>92000867</v>
      </c>
      <c r="B6" s="2" t="s">
        <v>644</v>
      </c>
      <c r="C6" s="5">
        <v>92000867</v>
      </c>
      <c r="D6" s="2" t="s">
        <v>645</v>
      </c>
      <c r="E6" s="2" t="s">
        <v>641</v>
      </c>
      <c r="F6" s="2">
        <v>2</v>
      </c>
      <c r="G6" s="6" t="str">
        <f t="shared" si="0"/>
        <v>https://dto.kemkes.go.id/kfacode/92000867</v>
      </c>
    </row>
    <row r="7" spans="1:7" ht="15.75" customHeight="1">
      <c r="A7" s="2">
        <v>92000868</v>
      </c>
      <c r="B7" s="2" t="s">
        <v>646</v>
      </c>
      <c r="C7" s="5">
        <v>92000868</v>
      </c>
      <c r="D7" s="2" t="s">
        <v>647</v>
      </c>
      <c r="E7" s="2" t="s">
        <v>641</v>
      </c>
      <c r="F7" s="2">
        <v>2</v>
      </c>
      <c r="G7" s="6" t="str">
        <f t="shared" si="0"/>
        <v>https://dto.kemkes.go.id/kfacode/92000868</v>
      </c>
    </row>
    <row r="8" spans="1:7" ht="15.75" customHeight="1">
      <c r="A8" s="2">
        <v>92000610</v>
      </c>
      <c r="B8" s="2" t="s">
        <v>648</v>
      </c>
      <c r="C8" s="5">
        <v>92000610</v>
      </c>
      <c r="D8" s="2" t="s">
        <v>649</v>
      </c>
      <c r="E8" s="2" t="s">
        <v>641</v>
      </c>
      <c r="F8" s="2">
        <v>2</v>
      </c>
      <c r="G8" s="6" t="str">
        <f t="shared" si="0"/>
        <v>https://dto.kemkes.go.id/kfacode/92000610</v>
      </c>
    </row>
    <row r="9" spans="1:7" ht="15.75" customHeight="1">
      <c r="A9" s="2">
        <v>92000472</v>
      </c>
      <c r="B9" s="2" t="s">
        <v>650</v>
      </c>
      <c r="C9" s="5">
        <v>92000472</v>
      </c>
      <c r="D9" s="2" t="s">
        <v>640</v>
      </c>
      <c r="E9" s="2" t="s">
        <v>641</v>
      </c>
      <c r="F9" s="2">
        <v>3</v>
      </c>
      <c r="G9" s="6" t="str">
        <f t="shared" si="0"/>
        <v>https://dto.kemkes.go.id/kfacode/92000472</v>
      </c>
    </row>
    <row r="10" spans="1:7" ht="15.75" customHeight="1">
      <c r="A10" s="2">
        <v>92000770</v>
      </c>
      <c r="B10" s="2" t="s">
        <v>651</v>
      </c>
      <c r="C10" s="5">
        <v>92000770</v>
      </c>
      <c r="D10" s="2" t="s">
        <v>640</v>
      </c>
      <c r="E10" s="2" t="s">
        <v>641</v>
      </c>
      <c r="F10" s="2">
        <v>1</v>
      </c>
      <c r="G10" s="6" t="str">
        <f t="shared" si="0"/>
        <v>https://dto.kemkes.go.id/kfacode/92000770</v>
      </c>
    </row>
    <row r="11" spans="1:7" ht="15.75" customHeight="1">
      <c r="A11" s="2">
        <v>92000160</v>
      </c>
      <c r="B11" s="2" t="s">
        <v>652</v>
      </c>
      <c r="C11" s="5">
        <v>92000160</v>
      </c>
      <c r="D11" s="2" t="s">
        <v>653</v>
      </c>
      <c r="E11" s="2" t="s">
        <v>641</v>
      </c>
      <c r="F11" s="2">
        <v>2</v>
      </c>
      <c r="G11" s="6" t="str">
        <f t="shared" si="0"/>
        <v>https://dto.kemkes.go.id/kfacode/92000160</v>
      </c>
    </row>
    <row r="12" spans="1:7" ht="15.75" customHeight="1">
      <c r="A12" s="2">
        <v>92000640</v>
      </c>
      <c r="B12" s="2" t="s">
        <v>654</v>
      </c>
      <c r="C12" s="5">
        <v>92000640</v>
      </c>
      <c r="D12" s="2" t="s">
        <v>655</v>
      </c>
      <c r="E12" s="2" t="s">
        <v>641</v>
      </c>
      <c r="F12" s="2">
        <v>2</v>
      </c>
      <c r="G12" s="6" t="str">
        <f t="shared" si="0"/>
        <v>https://dto.kemkes.go.id/kfacode/92000640</v>
      </c>
    </row>
    <row r="13" spans="1:7" ht="15.75" customHeight="1">
      <c r="A13" s="2">
        <v>92000248</v>
      </c>
      <c r="B13" s="2" t="s">
        <v>656</v>
      </c>
      <c r="C13" s="5">
        <v>92000248</v>
      </c>
      <c r="D13" s="2" t="s">
        <v>645</v>
      </c>
      <c r="E13" s="2" t="s">
        <v>641</v>
      </c>
      <c r="F13" s="2">
        <v>2</v>
      </c>
      <c r="G13" s="6" t="str">
        <f t="shared" si="0"/>
        <v>https://dto.kemkes.go.id/kfacode/92000248</v>
      </c>
    </row>
    <row r="14" spans="1:7" ht="15.75" customHeight="1">
      <c r="A14" s="2">
        <v>92000637</v>
      </c>
      <c r="B14" s="2" t="s">
        <v>657</v>
      </c>
      <c r="C14" s="5">
        <v>92000637</v>
      </c>
      <c r="D14" s="2" t="s">
        <v>658</v>
      </c>
      <c r="E14" s="2" t="s">
        <v>641</v>
      </c>
      <c r="F14" s="2">
        <v>2</v>
      </c>
      <c r="G14" s="6" t="str">
        <f t="shared" si="0"/>
        <v>https://dto.kemkes.go.id/kfacode/92000637</v>
      </c>
    </row>
    <row r="15" spans="1:7" ht="15.75" customHeight="1">
      <c r="A15" s="2">
        <v>92000146</v>
      </c>
      <c r="B15" s="2" t="s">
        <v>659</v>
      </c>
      <c r="C15" s="5">
        <v>92000146</v>
      </c>
      <c r="D15" s="2" t="s">
        <v>660</v>
      </c>
      <c r="E15" s="2" t="s">
        <v>641</v>
      </c>
      <c r="F15" s="2">
        <v>2</v>
      </c>
      <c r="G15" s="6" t="str">
        <f t="shared" si="0"/>
        <v>https://dto.kemkes.go.id/kfacode/92000146</v>
      </c>
    </row>
    <row r="16" spans="1:7" ht="15.75" customHeight="1">
      <c r="A16" s="2">
        <v>92000281</v>
      </c>
      <c r="B16" s="2" t="s">
        <v>661</v>
      </c>
      <c r="C16" s="5">
        <v>92000281</v>
      </c>
      <c r="D16" s="2" t="s">
        <v>640</v>
      </c>
      <c r="E16" s="2" t="s">
        <v>641</v>
      </c>
      <c r="F16" s="2">
        <v>2</v>
      </c>
      <c r="G16" s="6" t="str">
        <f t="shared" si="0"/>
        <v>https://dto.kemkes.go.id/kfacode/92000281</v>
      </c>
    </row>
    <row r="17" spans="1:7" ht="15.75" customHeight="1">
      <c r="A17" s="2">
        <v>92000125</v>
      </c>
      <c r="B17" s="2" t="s">
        <v>662</v>
      </c>
      <c r="C17" s="5">
        <v>92000125</v>
      </c>
      <c r="D17" s="2" t="s">
        <v>660</v>
      </c>
      <c r="E17" s="2" t="s">
        <v>641</v>
      </c>
      <c r="F17" s="2">
        <v>1</v>
      </c>
      <c r="G17" s="6" t="str">
        <f t="shared" si="0"/>
        <v>https://dto.kemkes.go.id/kfacode/92000125</v>
      </c>
    </row>
    <row r="18" spans="1:7" ht="15.75" customHeight="1">
      <c r="A18" s="2">
        <v>92000124</v>
      </c>
      <c r="B18" s="2" t="s">
        <v>663</v>
      </c>
      <c r="C18" s="5">
        <v>92000124</v>
      </c>
      <c r="D18" s="2" t="s">
        <v>640</v>
      </c>
      <c r="E18" s="2" t="s">
        <v>641</v>
      </c>
      <c r="F18" s="2">
        <v>2</v>
      </c>
      <c r="G18" s="6" t="str">
        <f t="shared" si="0"/>
        <v>https://dto.kemkes.go.id/kfacode/92000124</v>
      </c>
    </row>
    <row r="19" spans="1:7" ht="15.75" customHeight="1">
      <c r="A19" s="2">
        <v>92000434</v>
      </c>
      <c r="B19" s="2" t="s">
        <v>664</v>
      </c>
      <c r="C19" s="5">
        <v>92000434</v>
      </c>
      <c r="D19" s="2" t="s">
        <v>640</v>
      </c>
      <c r="E19" s="2" t="s">
        <v>641</v>
      </c>
      <c r="F19" s="2">
        <v>2</v>
      </c>
      <c r="G19" s="6" t="str">
        <f t="shared" si="0"/>
        <v>https://dto.kemkes.go.id/kfacode/92000434</v>
      </c>
    </row>
    <row r="20" spans="1:7" ht="15.75" customHeight="1">
      <c r="A20" s="2">
        <v>92000697</v>
      </c>
      <c r="B20" s="2" t="s">
        <v>665</v>
      </c>
      <c r="C20" s="5">
        <v>92000697</v>
      </c>
      <c r="D20" s="2" t="s">
        <v>640</v>
      </c>
      <c r="E20" s="2" t="s">
        <v>641</v>
      </c>
      <c r="F20" s="2">
        <v>2</v>
      </c>
      <c r="G20" s="6" t="str">
        <f t="shared" si="0"/>
        <v>https://dto.kemkes.go.id/kfacode/92000697</v>
      </c>
    </row>
    <row r="21" spans="1:7" ht="15.75" customHeight="1">
      <c r="A21" s="2">
        <v>92000703</v>
      </c>
      <c r="B21" s="2" t="s">
        <v>666</v>
      </c>
      <c r="C21" s="5">
        <v>92000703</v>
      </c>
      <c r="D21" s="2" t="s">
        <v>653</v>
      </c>
      <c r="E21" s="2" t="s">
        <v>641</v>
      </c>
      <c r="F21" s="2">
        <v>2</v>
      </c>
      <c r="G21" s="6" t="str">
        <f t="shared" si="0"/>
        <v>https://dto.kemkes.go.id/kfacode/92000703</v>
      </c>
    </row>
    <row r="22" spans="1:7" ht="15.75" customHeight="1">
      <c r="A22" s="2">
        <v>92000798</v>
      </c>
      <c r="B22" s="2" t="s">
        <v>667</v>
      </c>
      <c r="C22" s="5">
        <v>92000798</v>
      </c>
      <c r="D22" s="2" t="s">
        <v>668</v>
      </c>
      <c r="E22" s="2" t="s">
        <v>641</v>
      </c>
      <c r="F22" s="2">
        <v>2</v>
      </c>
      <c r="G22" s="6" t="str">
        <f t="shared" si="0"/>
        <v>https://dto.kemkes.go.id/kfacode/92000798</v>
      </c>
    </row>
    <row r="23" spans="1:7" ht="15.75" customHeight="1">
      <c r="A23" s="2">
        <v>92000423</v>
      </c>
      <c r="B23" s="2" t="s">
        <v>669</v>
      </c>
      <c r="C23" s="5">
        <v>92000423</v>
      </c>
      <c r="D23" s="2" t="s">
        <v>653</v>
      </c>
      <c r="E23" s="2" t="s">
        <v>641</v>
      </c>
      <c r="F23" s="2">
        <v>2</v>
      </c>
      <c r="G23" s="6" t="str">
        <f t="shared" si="0"/>
        <v>https://dto.kemkes.go.id/kfacode/92000423</v>
      </c>
    </row>
    <row r="24" spans="1:7" ht="15.75" customHeight="1">
      <c r="A24" s="2">
        <v>92000179</v>
      </c>
      <c r="B24" s="2" t="s">
        <v>670</v>
      </c>
      <c r="C24" s="5">
        <v>92000179</v>
      </c>
      <c r="D24" s="2" t="s">
        <v>671</v>
      </c>
      <c r="E24" s="2" t="s">
        <v>641</v>
      </c>
      <c r="F24" s="2">
        <v>2</v>
      </c>
      <c r="G24" s="6" t="str">
        <f t="shared" si="0"/>
        <v>https://dto.kemkes.go.id/kfacode/92000179</v>
      </c>
    </row>
    <row r="25" spans="1:7" ht="15.75" customHeight="1">
      <c r="A25" s="2">
        <v>92000278</v>
      </c>
      <c r="B25" s="2" t="s">
        <v>672</v>
      </c>
      <c r="C25" s="5">
        <v>92000278</v>
      </c>
      <c r="D25" s="2" t="s">
        <v>673</v>
      </c>
      <c r="E25" s="2" t="s">
        <v>641</v>
      </c>
      <c r="F25" s="2">
        <v>2</v>
      </c>
      <c r="G25" s="6" t="str">
        <f t="shared" si="0"/>
        <v>https://dto.kemkes.go.id/kfacode/92000278</v>
      </c>
    </row>
    <row r="26" spans="1:7" ht="15.75" customHeight="1">
      <c r="A26" s="2">
        <v>92000251</v>
      </c>
      <c r="B26" s="2" t="s">
        <v>674</v>
      </c>
      <c r="C26" s="5">
        <v>92000251</v>
      </c>
      <c r="D26" s="2" t="s">
        <v>671</v>
      </c>
      <c r="E26" s="2" t="s">
        <v>641</v>
      </c>
      <c r="F26" s="2">
        <v>2</v>
      </c>
      <c r="G26" s="6" t="str">
        <f t="shared" si="0"/>
        <v>https://dto.kemkes.go.id/kfacode/92000251</v>
      </c>
    </row>
    <row r="27" spans="1:7" ht="15.75" customHeight="1">
      <c r="A27" s="2">
        <v>92000500</v>
      </c>
      <c r="B27" s="2" t="s">
        <v>675</v>
      </c>
      <c r="C27" s="5">
        <v>92000500</v>
      </c>
      <c r="D27" s="2" t="s">
        <v>640</v>
      </c>
      <c r="E27" s="2" t="s">
        <v>641</v>
      </c>
      <c r="F27" s="2">
        <v>2</v>
      </c>
      <c r="G27" s="6" t="str">
        <f t="shared" si="0"/>
        <v>https://dto.kemkes.go.id/kfacode/92000500</v>
      </c>
    </row>
    <row r="28" spans="1:7" ht="15.75" customHeight="1">
      <c r="A28" s="2">
        <v>92000857</v>
      </c>
      <c r="B28" s="2" t="s">
        <v>676</v>
      </c>
      <c r="C28" s="5">
        <v>92000857</v>
      </c>
      <c r="D28" s="2" t="s">
        <v>645</v>
      </c>
      <c r="E28" s="2" t="s">
        <v>641</v>
      </c>
      <c r="F28" s="2">
        <v>2</v>
      </c>
      <c r="G28" s="6" t="str">
        <f t="shared" si="0"/>
        <v>https://dto.kemkes.go.id/kfacode/92000857</v>
      </c>
    </row>
    <row r="29" spans="1:7" ht="15.75" customHeight="1">
      <c r="A29" s="2">
        <v>92000740</v>
      </c>
      <c r="B29" s="2" t="s">
        <v>677</v>
      </c>
      <c r="C29" s="5">
        <v>92000740</v>
      </c>
      <c r="D29" s="2" t="s">
        <v>645</v>
      </c>
      <c r="E29" s="2" t="s">
        <v>641</v>
      </c>
      <c r="F29" s="2">
        <v>3</v>
      </c>
      <c r="G29" s="6" t="str">
        <f t="shared" si="0"/>
        <v>https://dto.kemkes.go.id/kfacode/92000740</v>
      </c>
    </row>
    <row r="30" spans="1:7" ht="15.75" customHeight="1">
      <c r="A30" s="2">
        <v>92000233</v>
      </c>
      <c r="B30" s="2" t="s">
        <v>678</v>
      </c>
      <c r="C30" s="5">
        <v>92000233</v>
      </c>
      <c r="D30" s="2" t="s">
        <v>640</v>
      </c>
      <c r="E30" s="2" t="s">
        <v>641</v>
      </c>
      <c r="F30" s="2">
        <v>3</v>
      </c>
      <c r="G30" s="6" t="str">
        <f t="shared" si="0"/>
        <v>https://dto.kemkes.go.id/kfacode/92000233</v>
      </c>
    </row>
    <row r="31" spans="1:7" ht="15.75" customHeight="1">
      <c r="A31" s="2">
        <v>92000407</v>
      </c>
      <c r="B31" s="2" t="s">
        <v>679</v>
      </c>
      <c r="C31" s="5">
        <v>92000407</v>
      </c>
      <c r="D31" s="2" t="s">
        <v>660</v>
      </c>
      <c r="E31" s="2" t="s">
        <v>641</v>
      </c>
      <c r="F31" s="2">
        <v>2</v>
      </c>
      <c r="G31" s="6" t="str">
        <f t="shared" si="0"/>
        <v>https://dto.kemkes.go.id/kfacode/92000407</v>
      </c>
    </row>
    <row r="32" spans="1:7" ht="15.75" customHeight="1">
      <c r="A32" s="2">
        <v>92000454</v>
      </c>
      <c r="B32" s="2" t="s">
        <v>680</v>
      </c>
      <c r="C32" s="5">
        <v>92000454</v>
      </c>
      <c r="D32" s="2" t="s">
        <v>640</v>
      </c>
      <c r="E32" s="2" t="s">
        <v>641</v>
      </c>
      <c r="F32" s="2">
        <v>4</v>
      </c>
      <c r="G32" s="6" t="str">
        <f t="shared" si="0"/>
        <v>https://dto.kemkes.go.id/kfacode/92000454</v>
      </c>
    </row>
    <row r="33" spans="1:7" ht="15.75" customHeight="1">
      <c r="A33" s="2">
        <v>92000486</v>
      </c>
      <c r="B33" s="2" t="s">
        <v>681</v>
      </c>
      <c r="C33" s="5">
        <v>92000486</v>
      </c>
      <c r="D33" s="2" t="s">
        <v>658</v>
      </c>
      <c r="E33" s="2" t="s">
        <v>641</v>
      </c>
      <c r="F33" s="2">
        <v>4</v>
      </c>
      <c r="G33" s="6" t="str">
        <f t="shared" si="0"/>
        <v>https://dto.kemkes.go.id/kfacode/92000486</v>
      </c>
    </row>
    <row r="34" spans="1:7" ht="15.75" customHeight="1">
      <c r="A34" s="2">
        <v>92000284</v>
      </c>
      <c r="B34" s="2" t="s">
        <v>682</v>
      </c>
      <c r="C34" s="5">
        <v>92000284</v>
      </c>
      <c r="D34" s="2" t="s">
        <v>660</v>
      </c>
      <c r="E34" s="2" t="s">
        <v>641</v>
      </c>
      <c r="F34" s="2">
        <v>2</v>
      </c>
      <c r="G34" s="6" t="str">
        <f t="shared" si="0"/>
        <v>https://dto.kemkes.go.id/kfacode/92000284</v>
      </c>
    </row>
    <row r="35" spans="1:7" ht="15.75" customHeight="1">
      <c r="A35" s="2">
        <v>92000881</v>
      </c>
      <c r="B35" s="2" t="s">
        <v>683</v>
      </c>
      <c r="C35" s="5">
        <v>92000881</v>
      </c>
      <c r="D35" s="2" t="s">
        <v>660</v>
      </c>
      <c r="E35" s="2" t="s">
        <v>641</v>
      </c>
      <c r="F35" s="2">
        <v>2</v>
      </c>
      <c r="G35" s="6" t="str">
        <f t="shared" si="0"/>
        <v>https://dto.kemkes.go.id/kfacode/92000881</v>
      </c>
    </row>
    <row r="36" spans="1:7" ht="15.75" customHeight="1">
      <c r="A36" s="2">
        <v>92000234</v>
      </c>
      <c r="B36" s="2" t="s">
        <v>684</v>
      </c>
      <c r="C36" s="5">
        <v>92000234</v>
      </c>
      <c r="D36" s="2" t="s">
        <v>658</v>
      </c>
      <c r="E36" s="2" t="s">
        <v>641</v>
      </c>
      <c r="F36" s="2">
        <v>2</v>
      </c>
      <c r="G36" s="6" t="str">
        <f t="shared" si="0"/>
        <v>https://dto.kemkes.go.id/kfacode/92000234</v>
      </c>
    </row>
    <row r="37" spans="1:7" ht="15.75" customHeight="1">
      <c r="A37" s="2">
        <v>92000570</v>
      </c>
      <c r="B37" s="2" t="s">
        <v>685</v>
      </c>
      <c r="C37" s="5">
        <v>92000570</v>
      </c>
      <c r="D37" s="2" t="s">
        <v>658</v>
      </c>
      <c r="E37" s="2" t="s">
        <v>641</v>
      </c>
      <c r="F37" s="2">
        <v>2</v>
      </c>
      <c r="G37" s="6" t="str">
        <f t="shared" si="0"/>
        <v>https://dto.kemkes.go.id/kfacode/92000570</v>
      </c>
    </row>
    <row r="38" spans="1:7" ht="15.75" customHeight="1">
      <c r="A38" s="2">
        <v>92000406</v>
      </c>
      <c r="B38" s="2" t="s">
        <v>686</v>
      </c>
      <c r="C38" s="5">
        <v>92000406</v>
      </c>
      <c r="D38" s="2" t="s">
        <v>658</v>
      </c>
      <c r="E38" s="2" t="s">
        <v>641</v>
      </c>
      <c r="F38" s="2">
        <v>3</v>
      </c>
      <c r="G38" s="6" t="str">
        <f t="shared" si="0"/>
        <v>https://dto.kemkes.go.id/kfacode/92000406</v>
      </c>
    </row>
    <row r="39" spans="1:7" ht="15.75" customHeight="1">
      <c r="A39" s="2">
        <v>92000811</v>
      </c>
      <c r="B39" s="2" t="s">
        <v>687</v>
      </c>
      <c r="C39" s="5">
        <v>92000811</v>
      </c>
      <c r="D39" s="2" t="s">
        <v>653</v>
      </c>
      <c r="E39" s="2" t="s">
        <v>641</v>
      </c>
      <c r="F39" s="2">
        <v>2</v>
      </c>
      <c r="G39" s="6" t="str">
        <f t="shared" si="0"/>
        <v>https://dto.kemkes.go.id/kfacode/92000811</v>
      </c>
    </row>
    <row r="40" spans="1:7" ht="15.75" customHeight="1">
      <c r="A40" s="2">
        <v>92000631</v>
      </c>
      <c r="B40" s="2" t="s">
        <v>688</v>
      </c>
      <c r="C40" s="5">
        <v>92000631</v>
      </c>
      <c r="D40" s="2" t="s">
        <v>653</v>
      </c>
      <c r="E40" s="2" t="s">
        <v>641</v>
      </c>
      <c r="F40" s="2">
        <v>3</v>
      </c>
      <c r="G40" s="6" t="str">
        <f t="shared" si="0"/>
        <v>https://dto.kemkes.go.id/kfacode/92000631</v>
      </c>
    </row>
    <row r="41" spans="1:7" ht="15.75" customHeight="1">
      <c r="A41" s="2">
        <v>92000566</v>
      </c>
      <c r="B41" s="2" t="s">
        <v>689</v>
      </c>
      <c r="C41" s="5">
        <v>92000566</v>
      </c>
      <c r="D41" s="2" t="s">
        <v>653</v>
      </c>
      <c r="E41" s="2" t="s">
        <v>641</v>
      </c>
      <c r="F41" s="2">
        <v>2</v>
      </c>
      <c r="G41" s="6" t="str">
        <f t="shared" si="0"/>
        <v>https://dto.kemkes.go.id/kfacode/92000566</v>
      </c>
    </row>
    <row r="42" spans="1:7" ht="15.75" customHeight="1">
      <c r="A42" s="2">
        <v>92000394</v>
      </c>
      <c r="B42" s="2" t="s">
        <v>690</v>
      </c>
      <c r="C42" s="5">
        <v>92000394</v>
      </c>
      <c r="D42" s="2" t="s">
        <v>640</v>
      </c>
      <c r="E42" s="2" t="s">
        <v>641</v>
      </c>
      <c r="F42" s="2">
        <v>2</v>
      </c>
      <c r="G42" s="6" t="str">
        <f t="shared" si="0"/>
        <v>https://dto.kemkes.go.id/kfacode/92000394</v>
      </c>
    </row>
    <row r="43" spans="1:7" ht="15.75" customHeight="1">
      <c r="A43" s="2">
        <v>92000196</v>
      </c>
      <c r="B43" s="2" t="s">
        <v>691</v>
      </c>
      <c r="C43" s="5">
        <v>92000196</v>
      </c>
      <c r="D43" s="2" t="s">
        <v>645</v>
      </c>
      <c r="E43" s="2" t="s">
        <v>641</v>
      </c>
      <c r="F43" s="2">
        <v>2</v>
      </c>
      <c r="G43" s="6" t="str">
        <f t="shared" si="0"/>
        <v>https://dto.kemkes.go.id/kfacode/92000196</v>
      </c>
    </row>
    <row r="44" spans="1:7" ht="15.75" customHeight="1">
      <c r="A44" s="2">
        <v>92000828</v>
      </c>
      <c r="B44" s="2" t="s">
        <v>692</v>
      </c>
      <c r="C44" s="5">
        <v>92000828</v>
      </c>
      <c r="D44" s="2" t="s">
        <v>658</v>
      </c>
      <c r="E44" s="2" t="s">
        <v>641</v>
      </c>
      <c r="F44" s="2">
        <v>3</v>
      </c>
      <c r="G44" s="6" t="str">
        <f t="shared" si="0"/>
        <v>https://dto.kemkes.go.id/kfacode/92000828</v>
      </c>
    </row>
    <row r="45" spans="1:7" ht="15.75" customHeight="1">
      <c r="A45" s="2">
        <v>92000810</v>
      </c>
      <c r="B45" s="2" t="s">
        <v>693</v>
      </c>
      <c r="C45" s="5">
        <v>92000810</v>
      </c>
      <c r="D45" s="2" t="s">
        <v>640</v>
      </c>
      <c r="E45" s="2" t="s">
        <v>641</v>
      </c>
      <c r="F45" s="2">
        <v>2</v>
      </c>
      <c r="G45" s="6" t="str">
        <f t="shared" si="0"/>
        <v>https://dto.kemkes.go.id/kfacode/92000810</v>
      </c>
    </row>
    <row r="46" spans="1:7" ht="15.75" customHeight="1">
      <c r="A46" s="2">
        <v>92000228</v>
      </c>
      <c r="B46" s="2" t="s">
        <v>694</v>
      </c>
      <c r="C46" s="5">
        <v>92000228</v>
      </c>
      <c r="D46" s="2" t="s">
        <v>640</v>
      </c>
      <c r="E46" s="2" t="s">
        <v>641</v>
      </c>
      <c r="F46" s="2">
        <v>2</v>
      </c>
      <c r="G46" s="6" t="str">
        <f t="shared" si="0"/>
        <v>https://dto.kemkes.go.id/kfacode/92000228</v>
      </c>
    </row>
    <row r="47" spans="1:7" ht="15.75" customHeight="1">
      <c r="A47" s="2">
        <v>92000229</v>
      </c>
      <c r="B47" s="2" t="s">
        <v>695</v>
      </c>
      <c r="C47" s="5">
        <v>92000229</v>
      </c>
      <c r="D47" s="2" t="s">
        <v>640</v>
      </c>
      <c r="E47" s="2" t="s">
        <v>641</v>
      </c>
      <c r="F47" s="2">
        <v>2</v>
      </c>
      <c r="G47" s="6" t="str">
        <f t="shared" si="0"/>
        <v>https://dto.kemkes.go.id/kfacode/92000229</v>
      </c>
    </row>
    <row r="48" spans="1:7" ht="15.75" customHeight="1">
      <c r="A48" s="2">
        <v>92000227</v>
      </c>
      <c r="B48" s="2" t="s">
        <v>696</v>
      </c>
      <c r="C48" s="5">
        <v>92000227</v>
      </c>
      <c r="D48" s="2" t="s">
        <v>640</v>
      </c>
      <c r="E48" s="2" t="s">
        <v>641</v>
      </c>
      <c r="F48" s="2">
        <v>1</v>
      </c>
      <c r="G48" s="6" t="str">
        <f t="shared" si="0"/>
        <v>https://dto.kemkes.go.id/kfacode/92000227</v>
      </c>
    </row>
    <row r="49" spans="1:7" ht="15.75" customHeight="1">
      <c r="A49" s="2">
        <v>92000533</v>
      </c>
      <c r="B49" s="2" t="s">
        <v>697</v>
      </c>
      <c r="C49" s="5">
        <v>92000533</v>
      </c>
      <c r="D49" s="2" t="s">
        <v>640</v>
      </c>
      <c r="E49" s="2" t="s">
        <v>641</v>
      </c>
      <c r="F49" s="2">
        <v>2</v>
      </c>
      <c r="G49" s="6" t="str">
        <f t="shared" si="0"/>
        <v>https://dto.kemkes.go.id/kfacode/92000533</v>
      </c>
    </row>
    <row r="50" spans="1:7" ht="15.75" customHeight="1">
      <c r="A50" s="2">
        <v>92000787</v>
      </c>
      <c r="B50" s="2" t="s">
        <v>698</v>
      </c>
      <c r="C50" s="5">
        <v>92000787</v>
      </c>
      <c r="D50" s="2" t="s">
        <v>640</v>
      </c>
      <c r="E50" s="2" t="s">
        <v>641</v>
      </c>
      <c r="F50" s="2">
        <v>2</v>
      </c>
      <c r="G50" s="6" t="str">
        <f t="shared" si="0"/>
        <v>https://dto.kemkes.go.id/kfacode/92000787</v>
      </c>
    </row>
    <row r="51" spans="1:7" ht="15.75" customHeight="1">
      <c r="A51" s="2">
        <v>92000293</v>
      </c>
      <c r="B51" s="2" t="s">
        <v>27</v>
      </c>
      <c r="C51" s="5">
        <v>92000293</v>
      </c>
      <c r="D51" s="2" t="s">
        <v>640</v>
      </c>
      <c r="E51" s="2" t="s">
        <v>641</v>
      </c>
      <c r="F51" s="2">
        <v>5</v>
      </c>
      <c r="G51" s="6" t="str">
        <f t="shared" si="0"/>
        <v>https://dto.kemkes.go.id/kfacode/92000293</v>
      </c>
    </row>
    <row r="52" spans="1:7" ht="15.75" customHeight="1">
      <c r="A52" s="2">
        <v>92000129</v>
      </c>
      <c r="B52" s="2" t="s">
        <v>699</v>
      </c>
      <c r="C52" s="5">
        <v>92000129</v>
      </c>
      <c r="D52" s="2" t="s">
        <v>640</v>
      </c>
      <c r="E52" s="2" t="s">
        <v>641</v>
      </c>
      <c r="F52" s="2">
        <v>3</v>
      </c>
      <c r="G52" s="6" t="str">
        <f t="shared" si="0"/>
        <v>https://dto.kemkes.go.id/kfacode/92000129</v>
      </c>
    </row>
    <row r="53" spans="1:7" ht="15.75" customHeight="1">
      <c r="A53" s="2">
        <v>92000517</v>
      </c>
      <c r="B53" s="2" t="s">
        <v>700</v>
      </c>
      <c r="C53" s="5">
        <v>92000517</v>
      </c>
      <c r="D53" s="2" t="s">
        <v>640</v>
      </c>
      <c r="E53" s="2" t="s">
        <v>641</v>
      </c>
      <c r="F53" s="2">
        <v>2</v>
      </c>
      <c r="G53" s="6" t="str">
        <f t="shared" si="0"/>
        <v>https://dto.kemkes.go.id/kfacode/92000517</v>
      </c>
    </row>
    <row r="54" spans="1:7" ht="15.75" customHeight="1">
      <c r="A54" s="2">
        <v>92000943</v>
      </c>
      <c r="B54" s="2" t="s">
        <v>701</v>
      </c>
      <c r="C54" s="5">
        <v>92000943</v>
      </c>
      <c r="D54" s="2" t="s">
        <v>702</v>
      </c>
      <c r="E54" s="2" t="s">
        <v>641</v>
      </c>
      <c r="F54" s="2">
        <v>2</v>
      </c>
      <c r="G54" s="6" t="str">
        <f t="shared" si="0"/>
        <v>https://dto.kemkes.go.id/kfacode/92000943</v>
      </c>
    </row>
    <row r="55" spans="1:7" ht="15.75" customHeight="1">
      <c r="A55" s="2">
        <v>92000208</v>
      </c>
      <c r="B55" s="2" t="s">
        <v>703</v>
      </c>
      <c r="C55" s="5">
        <v>92000208</v>
      </c>
      <c r="D55" s="2" t="s">
        <v>653</v>
      </c>
      <c r="E55" s="2" t="s">
        <v>641</v>
      </c>
      <c r="F55" s="2">
        <v>2</v>
      </c>
      <c r="G55" s="6" t="str">
        <f t="shared" si="0"/>
        <v>https://dto.kemkes.go.id/kfacode/92000208</v>
      </c>
    </row>
    <row r="56" spans="1:7" ht="15.75" customHeight="1">
      <c r="A56" s="2">
        <v>92000524</v>
      </c>
      <c r="B56" s="2" t="s">
        <v>704</v>
      </c>
      <c r="C56" s="5">
        <v>92000524</v>
      </c>
      <c r="D56" s="2" t="s">
        <v>640</v>
      </c>
      <c r="E56" s="2" t="s">
        <v>641</v>
      </c>
      <c r="F56" s="2">
        <v>2</v>
      </c>
      <c r="G56" s="6" t="str">
        <f t="shared" si="0"/>
        <v>https://dto.kemkes.go.id/kfacode/92000524</v>
      </c>
    </row>
    <row r="57" spans="1:7" ht="15.75" customHeight="1">
      <c r="A57" s="2">
        <v>92000356</v>
      </c>
      <c r="B57" s="2" t="s">
        <v>705</v>
      </c>
      <c r="C57" s="5">
        <v>92000356</v>
      </c>
      <c r="D57" s="2" t="s">
        <v>660</v>
      </c>
      <c r="E57" s="2" t="s">
        <v>641</v>
      </c>
      <c r="F57" s="2">
        <v>1</v>
      </c>
      <c r="G57" s="6" t="str">
        <f t="shared" si="0"/>
        <v>https://dto.kemkes.go.id/kfacode/92000356</v>
      </c>
    </row>
    <row r="58" spans="1:7" ht="15.75" customHeight="1">
      <c r="A58" s="2">
        <v>92000355</v>
      </c>
      <c r="B58" s="2" t="s">
        <v>706</v>
      </c>
      <c r="C58" s="5">
        <v>92000355</v>
      </c>
      <c r="D58" s="2" t="s">
        <v>640</v>
      </c>
      <c r="E58" s="2" t="s">
        <v>641</v>
      </c>
      <c r="F58" s="2">
        <v>2</v>
      </c>
      <c r="G58" s="6" t="str">
        <f t="shared" si="0"/>
        <v>https://dto.kemkes.go.id/kfacode/92000355</v>
      </c>
    </row>
    <row r="59" spans="1:7" ht="15.75" customHeight="1">
      <c r="A59" s="2">
        <v>92000742</v>
      </c>
      <c r="B59" s="2" t="s">
        <v>707</v>
      </c>
      <c r="C59" s="5">
        <v>92000742</v>
      </c>
      <c r="D59" s="2" t="s">
        <v>645</v>
      </c>
      <c r="E59" s="2" t="s">
        <v>641</v>
      </c>
      <c r="F59" s="2">
        <v>3</v>
      </c>
      <c r="G59" s="6" t="str">
        <f t="shared" si="0"/>
        <v>https://dto.kemkes.go.id/kfacode/92000742</v>
      </c>
    </row>
    <row r="60" spans="1:7" ht="15.75" customHeight="1">
      <c r="A60" s="2">
        <v>92000114</v>
      </c>
      <c r="B60" s="2" t="s">
        <v>708</v>
      </c>
      <c r="C60" s="5">
        <v>92000114</v>
      </c>
      <c r="D60" s="2" t="s">
        <v>645</v>
      </c>
      <c r="E60" s="2" t="s">
        <v>641</v>
      </c>
      <c r="F60" s="2">
        <v>2</v>
      </c>
      <c r="G60" s="6" t="str">
        <f t="shared" si="0"/>
        <v>https://dto.kemkes.go.id/kfacode/92000114</v>
      </c>
    </row>
    <row r="61" spans="1:7" ht="15.75" customHeight="1">
      <c r="A61" s="2">
        <v>92000549</v>
      </c>
      <c r="B61" s="2" t="s">
        <v>709</v>
      </c>
      <c r="C61" s="5">
        <v>92000549</v>
      </c>
      <c r="D61" s="2" t="s">
        <v>640</v>
      </c>
      <c r="E61" s="2" t="s">
        <v>641</v>
      </c>
      <c r="F61" s="2">
        <v>2</v>
      </c>
      <c r="G61" s="6" t="str">
        <f t="shared" si="0"/>
        <v>https://dto.kemkes.go.id/kfacode/92000549</v>
      </c>
    </row>
    <row r="62" spans="1:7" ht="15.75" customHeight="1">
      <c r="A62" s="2">
        <v>92000230</v>
      </c>
      <c r="B62" s="2" t="s">
        <v>710</v>
      </c>
      <c r="C62" s="5">
        <v>92000230</v>
      </c>
      <c r="D62" s="2" t="s">
        <v>660</v>
      </c>
      <c r="E62" s="2" t="s">
        <v>641</v>
      </c>
      <c r="F62" s="2">
        <v>3</v>
      </c>
      <c r="G62" s="6" t="str">
        <f t="shared" si="0"/>
        <v>https://dto.kemkes.go.id/kfacode/92000230</v>
      </c>
    </row>
    <row r="63" spans="1:7" ht="15.75" customHeight="1">
      <c r="A63" s="2">
        <v>92000338</v>
      </c>
      <c r="B63" s="2" t="s">
        <v>711</v>
      </c>
      <c r="C63" s="5">
        <v>92000338</v>
      </c>
      <c r="D63" s="2" t="s">
        <v>653</v>
      </c>
      <c r="E63" s="2" t="s">
        <v>641</v>
      </c>
      <c r="F63" s="2">
        <v>3</v>
      </c>
      <c r="G63" s="6" t="str">
        <f t="shared" si="0"/>
        <v>https://dto.kemkes.go.id/kfacode/92000338</v>
      </c>
    </row>
    <row r="64" spans="1:7" ht="15.75" customHeight="1">
      <c r="A64" s="2">
        <v>92000702</v>
      </c>
      <c r="B64" s="2" t="s">
        <v>712</v>
      </c>
      <c r="C64" s="5">
        <v>92000702</v>
      </c>
      <c r="D64" s="2" t="s">
        <v>713</v>
      </c>
      <c r="E64" s="2" t="s">
        <v>641</v>
      </c>
      <c r="F64" s="2">
        <v>2</v>
      </c>
      <c r="G64" s="6" t="str">
        <f t="shared" si="0"/>
        <v>https://dto.kemkes.go.id/kfacode/92000702</v>
      </c>
    </row>
    <row r="65" spans="1:7" ht="15.75" customHeight="1">
      <c r="A65" s="2">
        <v>92000297</v>
      </c>
      <c r="B65" s="2" t="s">
        <v>714</v>
      </c>
      <c r="C65" s="5">
        <v>92000297</v>
      </c>
      <c r="D65" s="2" t="s">
        <v>655</v>
      </c>
      <c r="E65" s="2" t="s">
        <v>641</v>
      </c>
      <c r="F65" s="2">
        <v>2</v>
      </c>
      <c r="G65" s="6" t="str">
        <f t="shared" si="0"/>
        <v>https://dto.kemkes.go.id/kfacode/92000297</v>
      </c>
    </row>
    <row r="66" spans="1:7" ht="15.75" customHeight="1">
      <c r="A66" s="2">
        <v>92000641</v>
      </c>
      <c r="B66" s="2" t="s">
        <v>715</v>
      </c>
      <c r="C66" s="5">
        <v>92000641</v>
      </c>
      <c r="D66" s="2" t="s">
        <v>653</v>
      </c>
      <c r="E66" s="2" t="s">
        <v>641</v>
      </c>
      <c r="F66" s="2">
        <v>2</v>
      </c>
      <c r="G66" s="6" t="str">
        <f t="shared" si="0"/>
        <v>https://dto.kemkes.go.id/kfacode/92000641</v>
      </c>
    </row>
    <row r="67" spans="1:7" ht="15.75" customHeight="1">
      <c r="A67" s="2">
        <v>92000290</v>
      </c>
      <c r="B67" s="2" t="s">
        <v>716</v>
      </c>
      <c r="C67" s="5">
        <v>92000290</v>
      </c>
      <c r="D67" s="2" t="s">
        <v>640</v>
      </c>
      <c r="E67" s="2" t="s">
        <v>641</v>
      </c>
      <c r="F67" s="2">
        <v>2</v>
      </c>
      <c r="G67" s="6" t="str">
        <f t="shared" si="0"/>
        <v>https://dto.kemkes.go.id/kfacode/92000290</v>
      </c>
    </row>
    <row r="68" spans="1:7" ht="15.75" customHeight="1">
      <c r="A68" s="2">
        <v>92000232</v>
      </c>
      <c r="B68" s="2" t="s">
        <v>717</v>
      </c>
      <c r="C68" s="5">
        <v>92000232</v>
      </c>
      <c r="D68" s="2" t="s">
        <v>653</v>
      </c>
      <c r="E68" s="2" t="s">
        <v>641</v>
      </c>
      <c r="F68" s="2">
        <v>6</v>
      </c>
      <c r="G68" s="6" t="str">
        <f t="shared" si="0"/>
        <v>https://dto.kemkes.go.id/kfacode/92000232</v>
      </c>
    </row>
    <row r="69" spans="1:7" ht="15.75" customHeight="1">
      <c r="A69" s="2">
        <v>92000897</v>
      </c>
      <c r="B69" s="2" t="s">
        <v>718</v>
      </c>
      <c r="C69" s="5">
        <v>92000897</v>
      </c>
      <c r="D69" s="2" t="s">
        <v>640</v>
      </c>
      <c r="E69" s="2" t="s">
        <v>641</v>
      </c>
      <c r="F69" s="2">
        <v>3</v>
      </c>
      <c r="G69" s="6" t="str">
        <f t="shared" si="0"/>
        <v>https://dto.kemkes.go.id/kfacode/92000897</v>
      </c>
    </row>
    <row r="70" spans="1:7" ht="15.75" customHeight="1">
      <c r="A70" s="2">
        <v>92000241</v>
      </c>
      <c r="B70" s="2" t="s">
        <v>719</v>
      </c>
      <c r="C70" s="5">
        <v>92000241</v>
      </c>
      <c r="D70" s="2" t="s">
        <v>640</v>
      </c>
      <c r="E70" s="2" t="s">
        <v>641</v>
      </c>
      <c r="F70" s="2">
        <v>2</v>
      </c>
      <c r="G70" s="6" t="str">
        <f t="shared" si="0"/>
        <v>https://dto.kemkes.go.id/kfacode/92000241</v>
      </c>
    </row>
    <row r="71" spans="1:7" ht="15.75" customHeight="1">
      <c r="A71" s="2">
        <v>92000204</v>
      </c>
      <c r="B71" s="2" t="s">
        <v>720</v>
      </c>
      <c r="C71" s="5">
        <v>92000204</v>
      </c>
      <c r="D71" s="2" t="s">
        <v>653</v>
      </c>
      <c r="E71" s="2" t="s">
        <v>641</v>
      </c>
      <c r="F71" s="2">
        <v>2</v>
      </c>
      <c r="G71" s="6" t="str">
        <f t="shared" si="0"/>
        <v>https://dto.kemkes.go.id/kfacode/92000204</v>
      </c>
    </row>
    <row r="72" spans="1:7" ht="15.75" customHeight="1">
      <c r="A72" s="2">
        <v>92000623</v>
      </c>
      <c r="B72" s="2" t="s">
        <v>721</v>
      </c>
      <c r="C72" s="5">
        <v>92000623</v>
      </c>
      <c r="D72" s="2" t="s">
        <v>653</v>
      </c>
      <c r="E72" s="2" t="s">
        <v>641</v>
      </c>
      <c r="F72" s="2">
        <v>2</v>
      </c>
      <c r="G72" s="6" t="str">
        <f t="shared" si="0"/>
        <v>https://dto.kemkes.go.id/kfacode/92000623</v>
      </c>
    </row>
    <row r="73" spans="1:7" ht="15.75" customHeight="1">
      <c r="A73" s="2">
        <v>92000669</v>
      </c>
      <c r="B73" s="2" t="s">
        <v>722</v>
      </c>
      <c r="C73" s="5">
        <v>92000669</v>
      </c>
      <c r="D73" s="2" t="s">
        <v>640</v>
      </c>
      <c r="E73" s="2" t="s">
        <v>641</v>
      </c>
      <c r="F73" s="2">
        <v>2</v>
      </c>
      <c r="G73" s="6" t="str">
        <f t="shared" si="0"/>
        <v>https://dto.kemkes.go.id/kfacode/92000669</v>
      </c>
    </row>
    <row r="74" spans="1:7" ht="15.75" customHeight="1">
      <c r="A74" s="2">
        <v>92000451</v>
      </c>
      <c r="B74" s="2" t="s">
        <v>36</v>
      </c>
      <c r="C74" s="5">
        <v>92000451</v>
      </c>
      <c r="D74" s="2" t="s">
        <v>640</v>
      </c>
      <c r="E74" s="2" t="s">
        <v>641</v>
      </c>
      <c r="F74" s="2">
        <v>2</v>
      </c>
      <c r="G74" s="6" t="str">
        <f t="shared" si="0"/>
        <v>https://dto.kemkes.go.id/kfacode/92000451</v>
      </c>
    </row>
    <row r="75" spans="1:7" ht="15.75" customHeight="1">
      <c r="A75" s="2">
        <v>92000832</v>
      </c>
      <c r="B75" s="2" t="s">
        <v>723</v>
      </c>
      <c r="C75" s="5">
        <v>92000832</v>
      </c>
      <c r="D75" s="2" t="s">
        <v>640</v>
      </c>
      <c r="E75" s="2" t="s">
        <v>641</v>
      </c>
      <c r="F75" s="2">
        <v>2</v>
      </c>
      <c r="G75" s="6" t="str">
        <f t="shared" si="0"/>
        <v>https://dto.kemkes.go.id/kfacode/92000832</v>
      </c>
    </row>
    <row r="76" spans="1:7" ht="15.75" customHeight="1">
      <c r="A76" s="2">
        <v>92000572</v>
      </c>
      <c r="B76" s="2" t="s">
        <v>724</v>
      </c>
      <c r="C76" s="5">
        <v>92000572</v>
      </c>
      <c r="D76" s="2" t="s">
        <v>655</v>
      </c>
      <c r="E76" s="2" t="s">
        <v>641</v>
      </c>
      <c r="F76" s="2">
        <v>2</v>
      </c>
      <c r="G76" s="6" t="str">
        <f t="shared" si="0"/>
        <v>https://dto.kemkes.go.id/kfacode/92000572</v>
      </c>
    </row>
    <row r="77" spans="1:7" ht="15.75" customHeight="1">
      <c r="A77" s="2">
        <v>92000542</v>
      </c>
      <c r="B77" s="2" t="s">
        <v>725</v>
      </c>
      <c r="C77" s="5">
        <v>92000542</v>
      </c>
      <c r="D77" s="2" t="s">
        <v>655</v>
      </c>
      <c r="E77" s="2" t="s">
        <v>641</v>
      </c>
      <c r="F77" s="2">
        <v>2</v>
      </c>
      <c r="G77" s="6" t="str">
        <f t="shared" si="0"/>
        <v>https://dto.kemkes.go.id/kfacode/92000542</v>
      </c>
    </row>
    <row r="78" spans="1:7" ht="15.75" customHeight="1">
      <c r="A78" s="2">
        <v>92000501</v>
      </c>
      <c r="B78" s="2" t="s">
        <v>726</v>
      </c>
      <c r="C78" s="5">
        <v>92000501</v>
      </c>
      <c r="D78" s="2" t="s">
        <v>671</v>
      </c>
      <c r="E78" s="2" t="s">
        <v>641</v>
      </c>
      <c r="F78" s="2">
        <v>2</v>
      </c>
      <c r="G78" s="6" t="str">
        <f t="shared" si="0"/>
        <v>https://dto.kemkes.go.id/kfacode/92000501</v>
      </c>
    </row>
    <row r="79" spans="1:7" ht="15.75" customHeight="1">
      <c r="A79" s="2">
        <v>92000826</v>
      </c>
      <c r="B79" s="2" t="s">
        <v>727</v>
      </c>
      <c r="C79" s="5">
        <v>92000826</v>
      </c>
      <c r="D79" s="2" t="s">
        <v>640</v>
      </c>
      <c r="E79" s="2" t="s">
        <v>641</v>
      </c>
      <c r="F79" s="2">
        <v>2</v>
      </c>
      <c r="G79" s="6" t="str">
        <f t="shared" si="0"/>
        <v>https://dto.kemkes.go.id/kfacode/92000826</v>
      </c>
    </row>
    <row r="80" spans="1:7" ht="15.75" customHeight="1">
      <c r="A80" s="2">
        <v>92000753</v>
      </c>
      <c r="B80" s="2" t="s">
        <v>728</v>
      </c>
      <c r="C80" s="5">
        <v>92000753</v>
      </c>
      <c r="D80" s="2" t="s">
        <v>640</v>
      </c>
      <c r="E80" s="2" t="s">
        <v>641</v>
      </c>
      <c r="F80" s="2">
        <v>2</v>
      </c>
      <c r="G80" s="6" t="str">
        <f t="shared" si="0"/>
        <v>https://dto.kemkes.go.id/kfacode/92000753</v>
      </c>
    </row>
    <row r="81" spans="1:7" ht="15.75" customHeight="1">
      <c r="A81" s="2">
        <v>92000389</v>
      </c>
      <c r="B81" s="2" t="s">
        <v>729</v>
      </c>
      <c r="C81" s="5">
        <v>92000389</v>
      </c>
      <c r="D81" s="2" t="s">
        <v>730</v>
      </c>
      <c r="E81" s="2" t="s">
        <v>641</v>
      </c>
      <c r="F81" s="2">
        <v>3</v>
      </c>
      <c r="G81" s="6" t="str">
        <f t="shared" si="0"/>
        <v>https://dto.kemkes.go.id/kfacode/92000389</v>
      </c>
    </row>
    <row r="82" spans="1:7" ht="15.75" customHeight="1">
      <c r="A82" s="2">
        <v>92000387</v>
      </c>
      <c r="B82" s="2" t="s">
        <v>731</v>
      </c>
      <c r="C82" s="5">
        <v>92000387</v>
      </c>
      <c r="D82" s="2" t="s">
        <v>730</v>
      </c>
      <c r="E82" s="2" t="s">
        <v>641</v>
      </c>
      <c r="F82" s="2">
        <v>2</v>
      </c>
      <c r="G82" s="6" t="str">
        <f t="shared" si="0"/>
        <v>https://dto.kemkes.go.id/kfacode/92000387</v>
      </c>
    </row>
    <row r="83" spans="1:7" ht="15.75" customHeight="1">
      <c r="A83" s="2">
        <v>92000413</v>
      </c>
      <c r="B83" s="2" t="s">
        <v>732</v>
      </c>
      <c r="C83" s="5">
        <v>92000413</v>
      </c>
      <c r="D83" s="2" t="s">
        <v>640</v>
      </c>
      <c r="E83" s="2" t="s">
        <v>641</v>
      </c>
      <c r="F83" s="2">
        <v>2</v>
      </c>
      <c r="G83" s="6" t="str">
        <f t="shared" si="0"/>
        <v>https://dto.kemkes.go.id/kfacode/92000413</v>
      </c>
    </row>
    <row r="84" spans="1:7" ht="15.75" customHeight="1">
      <c r="A84" s="2">
        <v>92000780</v>
      </c>
      <c r="B84" s="2" t="s">
        <v>32</v>
      </c>
      <c r="C84" s="5">
        <v>92000780</v>
      </c>
      <c r="D84" s="2" t="s">
        <v>640</v>
      </c>
      <c r="E84" s="2" t="s">
        <v>641</v>
      </c>
      <c r="F84" s="2">
        <v>2</v>
      </c>
      <c r="G84" s="6" t="str">
        <f t="shared" si="0"/>
        <v>https://dto.kemkes.go.id/kfacode/92000780</v>
      </c>
    </row>
    <row r="85" spans="1:7" ht="15.75" customHeight="1">
      <c r="A85" s="2">
        <v>92000383</v>
      </c>
      <c r="B85" s="2" t="s">
        <v>733</v>
      </c>
      <c r="C85" s="5">
        <v>92000383</v>
      </c>
      <c r="D85" s="2" t="s">
        <v>640</v>
      </c>
      <c r="E85" s="2" t="s">
        <v>641</v>
      </c>
      <c r="F85" s="2">
        <v>2</v>
      </c>
      <c r="G85" s="6" t="str">
        <f t="shared" si="0"/>
        <v>https://dto.kemkes.go.id/kfacode/92000383</v>
      </c>
    </row>
    <row r="86" spans="1:7" ht="15.75" customHeight="1">
      <c r="A86" s="2">
        <v>92000581</v>
      </c>
      <c r="B86" s="2" t="s">
        <v>734</v>
      </c>
      <c r="C86" s="5">
        <v>92000581</v>
      </c>
      <c r="D86" s="2" t="s">
        <v>640</v>
      </c>
      <c r="E86" s="2" t="s">
        <v>641</v>
      </c>
      <c r="F86" s="2">
        <v>1</v>
      </c>
      <c r="G86" s="6" t="str">
        <f t="shared" si="0"/>
        <v>https://dto.kemkes.go.id/kfacode/92000581</v>
      </c>
    </row>
    <row r="87" spans="1:7" ht="15.75" customHeight="1">
      <c r="A87" s="2">
        <v>92000526</v>
      </c>
      <c r="B87" s="2" t="s">
        <v>735</v>
      </c>
      <c r="C87" s="5">
        <v>92000526</v>
      </c>
      <c r="D87" s="2" t="s">
        <v>640</v>
      </c>
      <c r="E87" s="2" t="s">
        <v>641</v>
      </c>
      <c r="F87" s="2">
        <v>21</v>
      </c>
      <c r="G87" s="6" t="str">
        <f t="shared" si="0"/>
        <v>https://dto.kemkes.go.id/kfacode/92000526</v>
      </c>
    </row>
    <row r="88" spans="1:7" ht="15.75" customHeight="1">
      <c r="A88" s="2">
        <v>92000285</v>
      </c>
      <c r="B88" s="2" t="s">
        <v>736</v>
      </c>
      <c r="C88" s="5">
        <v>92000285</v>
      </c>
      <c r="D88" s="2" t="s">
        <v>653</v>
      </c>
      <c r="E88" s="2" t="s">
        <v>641</v>
      </c>
      <c r="F88" s="2">
        <v>2</v>
      </c>
      <c r="G88" s="6" t="str">
        <f t="shared" si="0"/>
        <v>https://dto.kemkes.go.id/kfacode/92000285</v>
      </c>
    </row>
    <row r="89" spans="1:7" ht="15.75" customHeight="1">
      <c r="A89" s="2">
        <v>92000912</v>
      </c>
      <c r="B89" s="2" t="s">
        <v>737</v>
      </c>
      <c r="C89" s="5">
        <v>92000912</v>
      </c>
      <c r="D89" s="2" t="s">
        <v>653</v>
      </c>
      <c r="E89" s="2" t="s">
        <v>641</v>
      </c>
      <c r="F89" s="2">
        <v>4</v>
      </c>
      <c r="G89" s="6" t="str">
        <f t="shared" si="0"/>
        <v>https://dto.kemkes.go.id/kfacode/92000912</v>
      </c>
    </row>
    <row r="90" spans="1:7" ht="15.75" customHeight="1">
      <c r="A90" s="2">
        <v>92000831</v>
      </c>
      <c r="B90" s="2" t="s">
        <v>738</v>
      </c>
      <c r="C90" s="5">
        <v>92000831</v>
      </c>
      <c r="D90" s="2" t="s">
        <v>653</v>
      </c>
      <c r="E90" s="2" t="s">
        <v>641</v>
      </c>
      <c r="F90" s="2">
        <v>2</v>
      </c>
      <c r="G90" s="6" t="str">
        <f t="shared" si="0"/>
        <v>https://dto.kemkes.go.id/kfacode/92000831</v>
      </c>
    </row>
    <row r="91" spans="1:7" ht="15.75" customHeight="1">
      <c r="A91" s="2">
        <v>92000489</v>
      </c>
      <c r="B91" s="2" t="s">
        <v>739</v>
      </c>
      <c r="C91" s="5">
        <v>92000489</v>
      </c>
      <c r="D91" s="2" t="s">
        <v>658</v>
      </c>
      <c r="E91" s="2" t="s">
        <v>641</v>
      </c>
      <c r="F91" s="2">
        <v>5</v>
      </c>
      <c r="G91" s="6" t="str">
        <f t="shared" si="0"/>
        <v>https://dto.kemkes.go.id/kfacode/92000489</v>
      </c>
    </row>
    <row r="92" spans="1:7" ht="15.75" customHeight="1">
      <c r="A92" s="2">
        <v>92000481</v>
      </c>
      <c r="B92" s="2" t="s">
        <v>740</v>
      </c>
      <c r="C92" s="5">
        <v>92000481</v>
      </c>
      <c r="D92" s="2" t="s">
        <v>741</v>
      </c>
      <c r="E92" s="2" t="s">
        <v>641</v>
      </c>
      <c r="F92" s="2">
        <v>2</v>
      </c>
      <c r="G92" s="6" t="str">
        <f t="shared" si="0"/>
        <v>https://dto.kemkes.go.id/kfacode/92000481</v>
      </c>
    </row>
    <row r="93" spans="1:7" ht="15.75" customHeight="1">
      <c r="A93" s="2">
        <v>92000739</v>
      </c>
      <c r="B93" s="2" t="s">
        <v>742</v>
      </c>
      <c r="C93" s="5">
        <v>92000739</v>
      </c>
      <c r="D93" s="2" t="s">
        <v>645</v>
      </c>
      <c r="E93" s="2" t="s">
        <v>641</v>
      </c>
      <c r="F93" s="2">
        <v>2</v>
      </c>
      <c r="G93" s="6" t="str">
        <f t="shared" si="0"/>
        <v>https://dto.kemkes.go.id/kfacode/92000739</v>
      </c>
    </row>
    <row r="94" spans="1:7" ht="15.75" customHeight="1">
      <c r="A94" s="2">
        <v>92000666</v>
      </c>
      <c r="B94" s="2" t="s">
        <v>742</v>
      </c>
      <c r="C94" s="5">
        <v>92000666</v>
      </c>
      <c r="D94" s="2" t="s">
        <v>668</v>
      </c>
      <c r="E94" s="2" t="s">
        <v>641</v>
      </c>
      <c r="F94" s="2">
        <v>1</v>
      </c>
      <c r="G94" s="6" t="str">
        <f t="shared" si="0"/>
        <v>https://dto.kemkes.go.id/kfacode/92000666</v>
      </c>
    </row>
    <row r="95" spans="1:7" ht="15.75" customHeight="1">
      <c r="A95" s="2">
        <v>92000181</v>
      </c>
      <c r="B95" s="2" t="s">
        <v>743</v>
      </c>
      <c r="C95" s="5">
        <v>92000181</v>
      </c>
      <c r="D95" s="2" t="s">
        <v>645</v>
      </c>
      <c r="E95" s="2" t="s">
        <v>641</v>
      </c>
      <c r="F95" s="2">
        <v>2</v>
      </c>
      <c r="G95" s="6" t="str">
        <f t="shared" si="0"/>
        <v>https://dto.kemkes.go.id/kfacode/92000181</v>
      </c>
    </row>
    <row r="96" spans="1:7" ht="15.75" customHeight="1">
      <c r="A96" s="2">
        <v>92000131</v>
      </c>
      <c r="B96" s="2" t="s">
        <v>744</v>
      </c>
      <c r="C96" s="5">
        <v>92000131</v>
      </c>
      <c r="D96" s="2" t="s">
        <v>745</v>
      </c>
      <c r="E96" s="2" t="s">
        <v>641</v>
      </c>
      <c r="F96" s="2">
        <v>2</v>
      </c>
      <c r="G96" s="6" t="str">
        <f t="shared" si="0"/>
        <v>https://dto.kemkes.go.id/kfacode/92000131</v>
      </c>
    </row>
    <row r="97" spans="1:7" ht="15.75" customHeight="1">
      <c r="A97" s="2">
        <v>92000323</v>
      </c>
      <c r="B97" s="2" t="s">
        <v>746</v>
      </c>
      <c r="C97" s="5">
        <v>92000323</v>
      </c>
      <c r="D97" s="2" t="s">
        <v>745</v>
      </c>
      <c r="E97" s="2" t="s">
        <v>641</v>
      </c>
      <c r="F97" s="2">
        <v>2</v>
      </c>
      <c r="G97" s="6" t="str">
        <f t="shared" si="0"/>
        <v>https://dto.kemkes.go.id/kfacode/92000323</v>
      </c>
    </row>
    <row r="98" spans="1:7" ht="15.75" customHeight="1">
      <c r="A98" s="2">
        <v>92000880</v>
      </c>
      <c r="B98" s="2" t="s">
        <v>747</v>
      </c>
      <c r="C98" s="5">
        <v>92000880</v>
      </c>
      <c r="D98" s="2" t="s">
        <v>645</v>
      </c>
      <c r="E98" s="2" t="s">
        <v>641</v>
      </c>
      <c r="F98" s="2">
        <v>2</v>
      </c>
      <c r="G98" s="6" t="str">
        <f t="shared" si="0"/>
        <v>https://dto.kemkes.go.id/kfacode/92000880</v>
      </c>
    </row>
    <row r="99" spans="1:7" ht="15.75" customHeight="1">
      <c r="A99" s="2">
        <v>92000663</v>
      </c>
      <c r="B99" s="2" t="s">
        <v>748</v>
      </c>
      <c r="C99" s="5">
        <v>92000663</v>
      </c>
      <c r="D99" s="2" t="s">
        <v>649</v>
      </c>
      <c r="E99" s="2" t="s">
        <v>641</v>
      </c>
      <c r="F99" s="2">
        <v>3</v>
      </c>
      <c r="G99" s="6" t="str">
        <f t="shared" si="0"/>
        <v>https://dto.kemkes.go.id/kfacode/92000663</v>
      </c>
    </row>
    <row r="100" spans="1:7" ht="15.75" customHeight="1">
      <c r="A100" s="2">
        <v>92000602</v>
      </c>
      <c r="B100" s="2" t="s">
        <v>749</v>
      </c>
      <c r="C100" s="5">
        <v>92000602</v>
      </c>
      <c r="D100" s="2" t="s">
        <v>649</v>
      </c>
      <c r="E100" s="2" t="s">
        <v>641</v>
      </c>
      <c r="F100" s="2">
        <v>2</v>
      </c>
      <c r="G100" s="6" t="str">
        <f t="shared" si="0"/>
        <v>https://dto.kemkes.go.id/kfacode/92000602</v>
      </c>
    </row>
    <row r="101" spans="1:7" ht="15.75" customHeight="1">
      <c r="A101" s="2">
        <v>92000601</v>
      </c>
      <c r="B101" s="2" t="s">
        <v>750</v>
      </c>
      <c r="C101" s="5">
        <v>92000601</v>
      </c>
      <c r="D101" s="2" t="s">
        <v>702</v>
      </c>
      <c r="E101" s="2" t="s">
        <v>641</v>
      </c>
      <c r="F101" s="2">
        <v>2</v>
      </c>
      <c r="G101" s="6" t="str">
        <f t="shared" si="0"/>
        <v>https://dto.kemkes.go.id/kfacode/92000601</v>
      </c>
    </row>
    <row r="102" spans="1:7" ht="15.75" customHeight="1">
      <c r="A102" s="2">
        <v>92000503</v>
      </c>
      <c r="B102" s="2" t="s">
        <v>751</v>
      </c>
      <c r="C102" s="5">
        <v>92000503</v>
      </c>
      <c r="D102" s="2" t="s">
        <v>653</v>
      </c>
      <c r="E102" s="2" t="s">
        <v>641</v>
      </c>
      <c r="F102" s="2">
        <v>3</v>
      </c>
      <c r="G102" s="6" t="str">
        <f t="shared" si="0"/>
        <v>https://dto.kemkes.go.id/kfacode/92000503</v>
      </c>
    </row>
    <row r="103" spans="1:7" ht="15.75" customHeight="1">
      <c r="A103" s="2">
        <v>92000438</v>
      </c>
      <c r="B103" s="2" t="s">
        <v>752</v>
      </c>
      <c r="C103" s="5">
        <v>92000438</v>
      </c>
      <c r="D103" s="2" t="s">
        <v>645</v>
      </c>
      <c r="E103" s="2" t="s">
        <v>641</v>
      </c>
      <c r="F103" s="2">
        <v>2</v>
      </c>
      <c r="G103" s="6" t="str">
        <f t="shared" si="0"/>
        <v>https://dto.kemkes.go.id/kfacode/92000438</v>
      </c>
    </row>
    <row r="104" spans="1:7" ht="15.75" customHeight="1">
      <c r="A104" s="2">
        <v>92000127</v>
      </c>
      <c r="B104" s="2" t="s">
        <v>753</v>
      </c>
      <c r="C104" s="5">
        <v>92000127</v>
      </c>
      <c r="D104" s="2" t="s">
        <v>660</v>
      </c>
      <c r="E104" s="2" t="s">
        <v>641</v>
      </c>
      <c r="F104" s="2">
        <v>1</v>
      </c>
      <c r="G104" s="6" t="str">
        <f t="shared" si="0"/>
        <v>https://dto.kemkes.go.id/kfacode/92000127</v>
      </c>
    </row>
    <row r="105" spans="1:7" ht="15.75" customHeight="1">
      <c r="A105" s="2">
        <v>92000126</v>
      </c>
      <c r="B105" s="2" t="s">
        <v>754</v>
      </c>
      <c r="C105" s="5">
        <v>92000126</v>
      </c>
      <c r="D105" s="2" t="s">
        <v>640</v>
      </c>
      <c r="E105" s="2" t="s">
        <v>641</v>
      </c>
      <c r="F105" s="2">
        <v>2</v>
      </c>
      <c r="G105" s="6" t="str">
        <f t="shared" si="0"/>
        <v>https://dto.kemkes.go.id/kfacode/92000126</v>
      </c>
    </row>
    <row r="106" spans="1:7" ht="15.75" customHeight="1">
      <c r="A106" s="2">
        <v>92000834</v>
      </c>
      <c r="B106" s="2" t="s">
        <v>755</v>
      </c>
      <c r="C106" s="5">
        <v>92000834</v>
      </c>
      <c r="D106" s="2" t="s">
        <v>640</v>
      </c>
      <c r="E106" s="2" t="s">
        <v>641</v>
      </c>
      <c r="F106" s="2">
        <v>2</v>
      </c>
      <c r="G106" s="6" t="str">
        <f t="shared" si="0"/>
        <v>https://dto.kemkes.go.id/kfacode/92000834</v>
      </c>
    </row>
    <row r="107" spans="1:7" ht="15.75" customHeight="1">
      <c r="A107" s="2">
        <v>92000836</v>
      </c>
      <c r="B107" s="2" t="s">
        <v>756</v>
      </c>
      <c r="C107" s="5">
        <v>92000836</v>
      </c>
      <c r="D107" s="2" t="s">
        <v>640</v>
      </c>
      <c r="E107" s="2" t="s">
        <v>641</v>
      </c>
      <c r="F107" s="2">
        <v>2</v>
      </c>
      <c r="G107" s="6" t="str">
        <f t="shared" si="0"/>
        <v>https://dto.kemkes.go.id/kfacode/92000836</v>
      </c>
    </row>
    <row r="108" spans="1:7" ht="15.75" customHeight="1">
      <c r="A108" s="2">
        <v>92000312</v>
      </c>
      <c r="B108" s="2" t="s">
        <v>757</v>
      </c>
      <c r="C108" s="5">
        <v>92000312</v>
      </c>
      <c r="D108" s="2" t="s">
        <v>640</v>
      </c>
      <c r="E108" s="2" t="s">
        <v>641</v>
      </c>
      <c r="F108" s="2">
        <v>5</v>
      </c>
      <c r="G108" s="6" t="str">
        <f t="shared" si="0"/>
        <v>https://dto.kemkes.go.id/kfacode/92000312</v>
      </c>
    </row>
    <row r="109" spans="1:7" ht="15.75" customHeight="1">
      <c r="A109" s="2">
        <v>92000773</v>
      </c>
      <c r="B109" s="2" t="s">
        <v>758</v>
      </c>
      <c r="C109" s="5">
        <v>92000773</v>
      </c>
      <c r="D109" s="2" t="s">
        <v>640</v>
      </c>
      <c r="E109" s="2" t="s">
        <v>641</v>
      </c>
      <c r="F109" s="2">
        <v>2</v>
      </c>
      <c r="G109" s="6" t="str">
        <f t="shared" si="0"/>
        <v>https://dto.kemkes.go.id/kfacode/92000773</v>
      </c>
    </row>
    <row r="110" spans="1:7" ht="15.75" customHeight="1">
      <c r="A110" s="2">
        <v>92000344</v>
      </c>
      <c r="B110" s="2" t="s">
        <v>759</v>
      </c>
      <c r="C110" s="5">
        <v>92000344</v>
      </c>
      <c r="D110" s="2" t="s">
        <v>640</v>
      </c>
      <c r="E110" s="2" t="s">
        <v>641</v>
      </c>
      <c r="F110" s="2">
        <v>3</v>
      </c>
      <c r="G110" s="6" t="str">
        <f t="shared" si="0"/>
        <v>https://dto.kemkes.go.id/kfacode/92000344</v>
      </c>
    </row>
    <row r="111" spans="1:7" ht="15.75" customHeight="1">
      <c r="A111" s="2">
        <v>92000353</v>
      </c>
      <c r="B111" s="2" t="s">
        <v>760</v>
      </c>
      <c r="C111" s="5">
        <v>92000353</v>
      </c>
      <c r="D111" s="2" t="s">
        <v>640</v>
      </c>
      <c r="E111" s="2" t="s">
        <v>641</v>
      </c>
      <c r="F111" s="2">
        <v>2</v>
      </c>
      <c r="G111" s="6" t="str">
        <f t="shared" si="0"/>
        <v>https://dto.kemkes.go.id/kfacode/92000353</v>
      </c>
    </row>
    <row r="112" spans="1:7" ht="15.75" customHeight="1">
      <c r="A112" s="2">
        <v>92000808</v>
      </c>
      <c r="B112" s="2" t="s">
        <v>761</v>
      </c>
      <c r="C112" s="5">
        <v>92000808</v>
      </c>
      <c r="D112" s="2" t="s">
        <v>640</v>
      </c>
      <c r="E112" s="2" t="s">
        <v>641</v>
      </c>
      <c r="F112" s="2">
        <v>2</v>
      </c>
      <c r="G112" s="6" t="str">
        <f t="shared" si="0"/>
        <v>https://dto.kemkes.go.id/kfacode/92000808</v>
      </c>
    </row>
    <row r="113" spans="1:7" ht="15.75" customHeight="1">
      <c r="A113" s="2">
        <v>92000191</v>
      </c>
      <c r="B113" s="2" t="s">
        <v>762</v>
      </c>
      <c r="C113" s="5">
        <v>92000191</v>
      </c>
      <c r="D113" s="2" t="s">
        <v>653</v>
      </c>
      <c r="E113" s="2" t="s">
        <v>641</v>
      </c>
      <c r="F113" s="2">
        <v>15</v>
      </c>
      <c r="G113" s="6" t="str">
        <f t="shared" si="0"/>
        <v>https://dto.kemkes.go.id/kfacode/92000191</v>
      </c>
    </row>
    <row r="114" spans="1:7" ht="15.75" customHeight="1">
      <c r="A114" s="2">
        <v>92000280</v>
      </c>
      <c r="B114" s="2" t="s">
        <v>763</v>
      </c>
      <c r="C114" s="5">
        <v>92000280</v>
      </c>
      <c r="D114" s="2" t="s">
        <v>640</v>
      </c>
      <c r="E114" s="2" t="s">
        <v>641</v>
      </c>
      <c r="F114" s="2">
        <v>2</v>
      </c>
      <c r="G114" s="6" t="str">
        <f t="shared" si="0"/>
        <v>https://dto.kemkes.go.id/kfacode/92000280</v>
      </c>
    </row>
    <row r="115" spans="1:7" ht="15.75" customHeight="1">
      <c r="A115" s="2">
        <v>92000794</v>
      </c>
      <c r="B115" s="2" t="s">
        <v>764</v>
      </c>
      <c r="C115" s="5">
        <v>92000794</v>
      </c>
      <c r="D115" s="2" t="s">
        <v>640</v>
      </c>
      <c r="E115" s="2" t="s">
        <v>641</v>
      </c>
      <c r="F115" s="2">
        <v>2</v>
      </c>
      <c r="G115" s="6" t="str">
        <f t="shared" si="0"/>
        <v>https://dto.kemkes.go.id/kfacode/92000794</v>
      </c>
    </row>
    <row r="116" spans="1:7" ht="15.75" customHeight="1">
      <c r="A116" s="2">
        <v>92000192</v>
      </c>
      <c r="B116" s="2" t="s">
        <v>765</v>
      </c>
      <c r="C116" s="5">
        <v>92000192</v>
      </c>
      <c r="D116" s="2" t="s">
        <v>658</v>
      </c>
      <c r="E116" s="2" t="s">
        <v>641</v>
      </c>
      <c r="F116" s="2">
        <v>4</v>
      </c>
      <c r="G116" s="6" t="str">
        <f t="shared" si="0"/>
        <v>https://dto.kemkes.go.id/kfacode/92000192</v>
      </c>
    </row>
    <row r="117" spans="1:7" ht="15.75" customHeight="1">
      <c r="A117" s="2">
        <v>92000262</v>
      </c>
      <c r="B117" s="2" t="s">
        <v>766</v>
      </c>
      <c r="C117" s="5">
        <v>92000262</v>
      </c>
      <c r="D117" s="2" t="s">
        <v>658</v>
      </c>
      <c r="E117" s="2" t="s">
        <v>641</v>
      </c>
      <c r="F117" s="2">
        <v>3</v>
      </c>
      <c r="G117" s="6" t="str">
        <f t="shared" si="0"/>
        <v>https://dto.kemkes.go.id/kfacode/92000262</v>
      </c>
    </row>
    <row r="118" spans="1:7" ht="15.75" customHeight="1">
      <c r="A118" s="2">
        <v>92000668</v>
      </c>
      <c r="B118" s="2" t="s">
        <v>767</v>
      </c>
      <c r="C118" s="5">
        <v>92000668</v>
      </c>
      <c r="D118" s="2" t="s">
        <v>640</v>
      </c>
      <c r="E118" s="2" t="s">
        <v>641</v>
      </c>
      <c r="F118" s="2">
        <v>2</v>
      </c>
      <c r="G118" s="6" t="str">
        <f t="shared" si="0"/>
        <v>https://dto.kemkes.go.id/kfacode/92000668</v>
      </c>
    </row>
    <row r="119" spans="1:7" ht="15.75" customHeight="1">
      <c r="A119" s="2">
        <v>92000350</v>
      </c>
      <c r="B119" s="2" t="s">
        <v>768</v>
      </c>
      <c r="C119" s="5">
        <v>92000350</v>
      </c>
      <c r="D119" s="2" t="s">
        <v>649</v>
      </c>
      <c r="E119" s="2" t="s">
        <v>641</v>
      </c>
      <c r="F119" s="2">
        <v>2</v>
      </c>
      <c r="G119" s="6" t="str">
        <f t="shared" si="0"/>
        <v>https://dto.kemkes.go.id/kfacode/92000350</v>
      </c>
    </row>
    <row r="120" spans="1:7" ht="15.75" customHeight="1">
      <c r="A120" s="2">
        <v>92000741</v>
      </c>
      <c r="B120" s="2" t="s">
        <v>769</v>
      </c>
      <c r="C120" s="5">
        <v>92000741</v>
      </c>
      <c r="D120" s="2" t="s">
        <v>653</v>
      </c>
      <c r="E120" s="2" t="s">
        <v>641</v>
      </c>
      <c r="F120" s="2">
        <v>2</v>
      </c>
      <c r="G120" s="6" t="str">
        <f t="shared" si="0"/>
        <v>https://dto.kemkes.go.id/kfacode/92000741</v>
      </c>
    </row>
    <row r="121" spans="1:7" ht="15.75" customHeight="1">
      <c r="A121" s="2">
        <v>92000405</v>
      </c>
      <c r="B121" s="2" t="s">
        <v>770</v>
      </c>
      <c r="C121" s="5">
        <v>92000405</v>
      </c>
      <c r="D121" s="2" t="s">
        <v>658</v>
      </c>
      <c r="E121" s="2" t="s">
        <v>641</v>
      </c>
      <c r="F121" s="2">
        <v>2</v>
      </c>
      <c r="G121" s="6" t="str">
        <f t="shared" si="0"/>
        <v>https://dto.kemkes.go.id/kfacode/92000405</v>
      </c>
    </row>
    <row r="122" spans="1:7" ht="15.75" customHeight="1">
      <c r="A122" s="2">
        <v>92000242</v>
      </c>
      <c r="B122" s="2" t="s">
        <v>771</v>
      </c>
      <c r="C122" s="5">
        <v>92000242</v>
      </c>
      <c r="D122" s="2" t="s">
        <v>649</v>
      </c>
      <c r="E122" s="2" t="s">
        <v>641</v>
      </c>
      <c r="F122" s="2">
        <v>3</v>
      </c>
      <c r="G122" s="6" t="str">
        <f t="shared" si="0"/>
        <v>https://dto.kemkes.go.id/kfacode/92000242</v>
      </c>
    </row>
    <row r="123" spans="1:7" ht="15.75" customHeight="1">
      <c r="A123" s="2">
        <v>92000814</v>
      </c>
      <c r="B123" s="2" t="s">
        <v>772</v>
      </c>
      <c r="C123" s="5">
        <v>92000814</v>
      </c>
      <c r="D123" s="2" t="s">
        <v>653</v>
      </c>
      <c r="E123" s="2" t="s">
        <v>641</v>
      </c>
      <c r="F123" s="2">
        <v>2</v>
      </c>
      <c r="G123" s="6" t="str">
        <f t="shared" si="0"/>
        <v>https://dto.kemkes.go.id/kfacode/92000814</v>
      </c>
    </row>
    <row r="124" spans="1:7" ht="15.75" customHeight="1">
      <c r="A124" s="2">
        <v>92000358</v>
      </c>
      <c r="B124" s="2" t="s">
        <v>773</v>
      </c>
      <c r="C124" s="5">
        <v>92000358</v>
      </c>
      <c r="D124" s="2" t="s">
        <v>653</v>
      </c>
      <c r="E124" s="2" t="s">
        <v>641</v>
      </c>
      <c r="F124" s="2">
        <v>3</v>
      </c>
      <c r="G124" s="6" t="str">
        <f t="shared" si="0"/>
        <v>https://dto.kemkes.go.id/kfacode/92000358</v>
      </c>
    </row>
    <row r="125" spans="1:7" ht="15.75" customHeight="1">
      <c r="A125" s="2">
        <v>92000841</v>
      </c>
      <c r="B125" s="2" t="s">
        <v>774</v>
      </c>
      <c r="C125" s="5">
        <v>92000841</v>
      </c>
      <c r="D125" s="2" t="s">
        <v>653</v>
      </c>
      <c r="E125" s="2" t="s">
        <v>641</v>
      </c>
      <c r="F125" s="2">
        <v>2</v>
      </c>
      <c r="G125" s="6" t="str">
        <f t="shared" si="0"/>
        <v>https://dto.kemkes.go.id/kfacode/92000841</v>
      </c>
    </row>
    <row r="126" spans="1:7" ht="15.75" customHeight="1">
      <c r="A126" s="2">
        <v>92000400</v>
      </c>
      <c r="B126" s="2" t="s">
        <v>775</v>
      </c>
      <c r="C126" s="5">
        <v>92000400</v>
      </c>
      <c r="D126" s="2" t="s">
        <v>653</v>
      </c>
      <c r="E126" s="2" t="s">
        <v>641</v>
      </c>
      <c r="F126" s="2">
        <v>2</v>
      </c>
      <c r="G126" s="6" t="str">
        <f t="shared" si="0"/>
        <v>https://dto.kemkes.go.id/kfacode/92000400</v>
      </c>
    </row>
    <row r="127" spans="1:7" ht="15.75" customHeight="1">
      <c r="A127" s="2">
        <v>92000134</v>
      </c>
      <c r="B127" s="2" t="s">
        <v>776</v>
      </c>
      <c r="C127" s="5">
        <v>92000134</v>
      </c>
      <c r="D127" s="2" t="s">
        <v>653</v>
      </c>
      <c r="E127" s="2" t="s">
        <v>641</v>
      </c>
      <c r="F127" s="2">
        <v>6</v>
      </c>
      <c r="G127" s="6" t="str">
        <f t="shared" si="0"/>
        <v>https://dto.kemkes.go.id/kfacode/92000134</v>
      </c>
    </row>
    <row r="128" spans="1:7" ht="15.75" customHeight="1">
      <c r="A128" s="2">
        <v>92000553</v>
      </c>
      <c r="B128" s="2" t="s">
        <v>777</v>
      </c>
      <c r="C128" s="5">
        <v>92000553</v>
      </c>
      <c r="D128" s="2" t="s">
        <v>653</v>
      </c>
      <c r="E128" s="2" t="s">
        <v>641</v>
      </c>
      <c r="F128" s="2">
        <v>2</v>
      </c>
      <c r="G128" s="6" t="str">
        <f t="shared" si="0"/>
        <v>https://dto.kemkes.go.id/kfacode/92000553</v>
      </c>
    </row>
    <row r="129" spans="1:7" ht="15.75" customHeight="1">
      <c r="A129" s="2">
        <v>92000151</v>
      </c>
      <c r="B129" s="2" t="s">
        <v>778</v>
      </c>
      <c r="C129" s="5">
        <v>92000151</v>
      </c>
      <c r="D129" s="2" t="s">
        <v>660</v>
      </c>
      <c r="E129" s="2" t="s">
        <v>641</v>
      </c>
      <c r="F129" s="2">
        <v>2</v>
      </c>
      <c r="G129" s="6" t="str">
        <f t="shared" si="0"/>
        <v>https://dto.kemkes.go.id/kfacode/92000151</v>
      </c>
    </row>
    <row r="130" spans="1:7" ht="15.75" customHeight="1">
      <c r="A130" s="2">
        <v>92000121</v>
      </c>
      <c r="B130" s="2" t="s">
        <v>779</v>
      </c>
      <c r="C130" s="5">
        <v>92000121</v>
      </c>
      <c r="D130" s="2" t="s">
        <v>660</v>
      </c>
      <c r="E130" s="2" t="s">
        <v>641</v>
      </c>
      <c r="F130" s="2">
        <v>1</v>
      </c>
      <c r="G130" s="6" t="str">
        <f t="shared" si="0"/>
        <v>https://dto.kemkes.go.id/kfacode/92000121</v>
      </c>
    </row>
    <row r="131" spans="1:7" ht="15.75" customHeight="1">
      <c r="A131" s="2">
        <v>92000120</v>
      </c>
      <c r="B131" s="2" t="s">
        <v>780</v>
      </c>
      <c r="C131" s="5">
        <v>92000120</v>
      </c>
      <c r="D131" s="2" t="s">
        <v>660</v>
      </c>
      <c r="E131" s="2" t="s">
        <v>641</v>
      </c>
      <c r="F131" s="2">
        <v>1</v>
      </c>
      <c r="G131" s="6" t="str">
        <f t="shared" si="0"/>
        <v>https://dto.kemkes.go.id/kfacode/92000120</v>
      </c>
    </row>
    <row r="132" spans="1:7" ht="15.75" customHeight="1">
      <c r="A132" s="2">
        <v>92000123</v>
      </c>
      <c r="B132" s="2" t="s">
        <v>781</v>
      </c>
      <c r="C132" s="5">
        <v>92000123</v>
      </c>
      <c r="D132" s="2" t="s">
        <v>649</v>
      </c>
      <c r="E132" s="2" t="s">
        <v>641</v>
      </c>
      <c r="F132" s="2">
        <v>1</v>
      </c>
      <c r="G132" s="6" t="str">
        <f t="shared" si="0"/>
        <v>https://dto.kemkes.go.id/kfacode/92000123</v>
      </c>
    </row>
    <row r="133" spans="1:7" ht="15.75" customHeight="1">
      <c r="A133" s="2">
        <v>92000122</v>
      </c>
      <c r="B133" s="2" t="s">
        <v>782</v>
      </c>
      <c r="C133" s="5">
        <v>92000122</v>
      </c>
      <c r="D133" s="2" t="s">
        <v>640</v>
      </c>
      <c r="E133" s="2" t="s">
        <v>641</v>
      </c>
      <c r="F133" s="2">
        <v>2</v>
      </c>
      <c r="G133" s="6" t="str">
        <f t="shared" si="0"/>
        <v>https://dto.kemkes.go.id/kfacode/92000122</v>
      </c>
    </row>
    <row r="134" spans="1:7" ht="15.75" customHeight="1">
      <c r="A134" s="2">
        <v>92000245</v>
      </c>
      <c r="B134" s="2" t="s">
        <v>783</v>
      </c>
      <c r="C134" s="5">
        <v>92000245</v>
      </c>
      <c r="D134" s="2" t="s">
        <v>658</v>
      </c>
      <c r="E134" s="2" t="s">
        <v>641</v>
      </c>
      <c r="F134" s="2">
        <v>3</v>
      </c>
      <c r="G134" s="6" t="str">
        <f t="shared" si="0"/>
        <v>https://dto.kemkes.go.id/kfacode/92000245</v>
      </c>
    </row>
    <row r="135" spans="1:7" ht="15.75" customHeight="1">
      <c r="A135" s="2">
        <v>92000243</v>
      </c>
      <c r="B135" s="2" t="s">
        <v>784</v>
      </c>
      <c r="C135" s="5">
        <v>92000243</v>
      </c>
      <c r="D135" s="2" t="s">
        <v>655</v>
      </c>
      <c r="E135" s="2" t="s">
        <v>641</v>
      </c>
      <c r="F135" s="2">
        <v>2</v>
      </c>
      <c r="G135" s="6" t="str">
        <f t="shared" si="0"/>
        <v>https://dto.kemkes.go.id/kfacode/92000243</v>
      </c>
    </row>
    <row r="136" spans="1:7" ht="15.75" customHeight="1">
      <c r="A136" s="2">
        <v>92000856</v>
      </c>
      <c r="B136" s="2" t="s">
        <v>785</v>
      </c>
      <c r="C136" s="5">
        <v>92000856</v>
      </c>
      <c r="D136" s="2" t="s">
        <v>658</v>
      </c>
      <c r="E136" s="2" t="s">
        <v>641</v>
      </c>
      <c r="F136" s="2">
        <v>2</v>
      </c>
      <c r="G136" s="6" t="str">
        <f t="shared" si="0"/>
        <v>https://dto.kemkes.go.id/kfacode/92000856</v>
      </c>
    </row>
    <row r="137" spans="1:7" ht="15.75" customHeight="1">
      <c r="A137" s="2">
        <v>92000873</v>
      </c>
      <c r="B137" s="2" t="s">
        <v>786</v>
      </c>
      <c r="C137" s="5">
        <v>92000873</v>
      </c>
      <c r="D137" s="2" t="s">
        <v>655</v>
      </c>
      <c r="E137" s="2" t="s">
        <v>641</v>
      </c>
      <c r="F137" s="2">
        <v>2</v>
      </c>
      <c r="G137" s="6" t="str">
        <f t="shared" si="0"/>
        <v>https://dto.kemkes.go.id/kfacode/92000873</v>
      </c>
    </row>
    <row r="138" spans="1:7" ht="15.75" customHeight="1">
      <c r="A138" s="2">
        <v>92000156</v>
      </c>
      <c r="B138" s="2" t="s">
        <v>787</v>
      </c>
      <c r="C138" s="5">
        <v>92000156</v>
      </c>
      <c r="D138" s="2" t="s">
        <v>649</v>
      </c>
      <c r="E138" s="2" t="s">
        <v>641</v>
      </c>
      <c r="F138" s="2">
        <v>2</v>
      </c>
      <c r="G138" s="6" t="str">
        <f t="shared" si="0"/>
        <v>https://dto.kemkes.go.id/kfacode/92000156</v>
      </c>
    </row>
    <row r="139" spans="1:7" ht="15.75" customHeight="1">
      <c r="A139" s="2">
        <v>92000565</v>
      </c>
      <c r="B139" s="2" t="s">
        <v>788</v>
      </c>
      <c r="C139" s="5">
        <v>92000565</v>
      </c>
      <c r="D139" s="2" t="s">
        <v>640</v>
      </c>
      <c r="E139" s="2" t="s">
        <v>641</v>
      </c>
      <c r="F139" s="2">
        <v>3</v>
      </c>
      <c r="G139" s="6" t="str">
        <f t="shared" si="0"/>
        <v>https://dto.kemkes.go.id/kfacode/92000565</v>
      </c>
    </row>
    <row r="140" spans="1:7" ht="15.75" customHeight="1">
      <c r="A140" s="2">
        <v>92000621</v>
      </c>
      <c r="B140" s="2" t="s">
        <v>789</v>
      </c>
      <c r="C140" s="5">
        <v>92000621</v>
      </c>
      <c r="D140" s="2" t="s">
        <v>640</v>
      </c>
      <c r="E140" s="2" t="s">
        <v>641</v>
      </c>
      <c r="F140" s="2">
        <v>2</v>
      </c>
      <c r="G140" s="6" t="str">
        <f t="shared" si="0"/>
        <v>https://dto.kemkes.go.id/kfacode/92000621</v>
      </c>
    </row>
    <row r="141" spans="1:7" ht="15.75" customHeight="1">
      <c r="A141" s="2">
        <v>92000148</v>
      </c>
      <c r="B141" s="2" t="s">
        <v>790</v>
      </c>
      <c r="C141" s="5">
        <v>92000148</v>
      </c>
      <c r="D141" s="2" t="s">
        <v>649</v>
      </c>
      <c r="E141" s="2" t="s">
        <v>641</v>
      </c>
      <c r="F141" s="2">
        <v>2</v>
      </c>
      <c r="G141" s="6" t="str">
        <f t="shared" si="0"/>
        <v>https://dto.kemkes.go.id/kfacode/92000148</v>
      </c>
    </row>
    <row r="142" spans="1:7" ht="15.75" customHeight="1">
      <c r="A142" s="2">
        <v>92000628</v>
      </c>
      <c r="B142" s="2" t="s">
        <v>791</v>
      </c>
      <c r="C142" s="5">
        <v>92000628</v>
      </c>
      <c r="D142" s="2" t="s">
        <v>649</v>
      </c>
      <c r="E142" s="2" t="s">
        <v>641</v>
      </c>
      <c r="F142" s="2">
        <v>2</v>
      </c>
      <c r="G142" s="6" t="str">
        <f t="shared" si="0"/>
        <v>https://dto.kemkes.go.id/kfacode/92000628</v>
      </c>
    </row>
    <row r="143" spans="1:7" ht="15.75" customHeight="1">
      <c r="A143" s="2">
        <v>92000441</v>
      </c>
      <c r="B143" s="2" t="s">
        <v>792</v>
      </c>
      <c r="C143" s="5">
        <v>92000441</v>
      </c>
      <c r="D143" s="2" t="s">
        <v>649</v>
      </c>
      <c r="E143" s="2" t="s">
        <v>641</v>
      </c>
      <c r="F143" s="2">
        <v>1</v>
      </c>
      <c r="G143" s="6" t="str">
        <f t="shared" si="0"/>
        <v>https://dto.kemkes.go.id/kfacode/92000441</v>
      </c>
    </row>
    <row r="144" spans="1:7" ht="15.75" customHeight="1">
      <c r="A144" s="2">
        <v>92000785</v>
      </c>
      <c r="B144" s="2" t="s">
        <v>793</v>
      </c>
      <c r="C144" s="5">
        <v>92000785</v>
      </c>
      <c r="D144" s="2" t="s">
        <v>653</v>
      </c>
      <c r="E144" s="2" t="s">
        <v>641</v>
      </c>
      <c r="F144" s="2">
        <v>2</v>
      </c>
      <c r="G144" s="6" t="str">
        <f t="shared" si="0"/>
        <v>https://dto.kemkes.go.id/kfacode/92000785</v>
      </c>
    </row>
    <row r="145" spans="1:7" ht="15.75" customHeight="1">
      <c r="A145" s="2">
        <v>92000567</v>
      </c>
      <c r="B145" s="2" t="s">
        <v>794</v>
      </c>
      <c r="C145" s="5">
        <v>92000567</v>
      </c>
      <c r="D145" s="2" t="s">
        <v>640</v>
      </c>
      <c r="E145" s="2" t="s">
        <v>641</v>
      </c>
      <c r="F145" s="2">
        <v>2</v>
      </c>
      <c r="G145" s="6" t="str">
        <f t="shared" si="0"/>
        <v>https://dto.kemkes.go.id/kfacode/92000567</v>
      </c>
    </row>
    <row r="146" spans="1:7" ht="15.75" customHeight="1">
      <c r="A146" s="2">
        <v>92000410</v>
      </c>
      <c r="B146" s="2" t="s">
        <v>795</v>
      </c>
      <c r="C146" s="5">
        <v>92000410</v>
      </c>
      <c r="D146" s="2" t="s">
        <v>653</v>
      </c>
      <c r="E146" s="2" t="s">
        <v>641</v>
      </c>
      <c r="F146" s="2">
        <v>14</v>
      </c>
      <c r="G146" s="6" t="str">
        <f t="shared" si="0"/>
        <v>https://dto.kemkes.go.id/kfacode/92000410</v>
      </c>
    </row>
    <row r="147" spans="1:7" ht="15.75" customHeight="1">
      <c r="A147" s="2">
        <v>92000158</v>
      </c>
      <c r="B147" s="2" t="s">
        <v>796</v>
      </c>
      <c r="C147" s="5">
        <v>92000158</v>
      </c>
      <c r="D147" s="2" t="s">
        <v>658</v>
      </c>
      <c r="E147" s="2" t="s">
        <v>641</v>
      </c>
      <c r="F147" s="2">
        <v>2</v>
      </c>
      <c r="G147" s="6" t="str">
        <f t="shared" si="0"/>
        <v>https://dto.kemkes.go.id/kfacode/92000158</v>
      </c>
    </row>
    <row r="148" spans="1:7" ht="15.75" customHeight="1">
      <c r="A148" s="2">
        <v>92000886</v>
      </c>
      <c r="B148" s="2" t="s">
        <v>797</v>
      </c>
      <c r="C148" s="5">
        <v>92000886</v>
      </c>
      <c r="D148" s="2" t="s">
        <v>658</v>
      </c>
      <c r="E148" s="2" t="s">
        <v>641</v>
      </c>
      <c r="F148" s="2">
        <v>2</v>
      </c>
      <c r="G148" s="6" t="str">
        <f t="shared" si="0"/>
        <v>https://dto.kemkes.go.id/kfacode/92000886</v>
      </c>
    </row>
    <row r="149" spans="1:7" ht="15.75" customHeight="1">
      <c r="A149" s="2">
        <v>92000554</v>
      </c>
      <c r="B149" s="2" t="s">
        <v>798</v>
      </c>
      <c r="C149" s="5">
        <v>92000554</v>
      </c>
      <c r="D149" s="2" t="s">
        <v>660</v>
      </c>
      <c r="E149" s="2" t="s">
        <v>641</v>
      </c>
      <c r="F149" s="2">
        <v>2</v>
      </c>
      <c r="G149" s="6" t="str">
        <f t="shared" si="0"/>
        <v>https://dto.kemkes.go.id/kfacode/92000554</v>
      </c>
    </row>
    <row r="150" spans="1:7" ht="15.75" customHeight="1">
      <c r="A150" s="2">
        <v>92000768</v>
      </c>
      <c r="B150" s="2" t="s">
        <v>799</v>
      </c>
      <c r="C150" s="5">
        <v>92000768</v>
      </c>
      <c r="D150" s="2" t="s">
        <v>649</v>
      </c>
      <c r="E150" s="2" t="s">
        <v>641</v>
      </c>
      <c r="F150" s="2">
        <v>2</v>
      </c>
      <c r="G150" s="6" t="str">
        <f t="shared" si="0"/>
        <v>https://dto.kemkes.go.id/kfacode/92000768</v>
      </c>
    </row>
    <row r="151" spans="1:7" ht="15.75" customHeight="1">
      <c r="A151" s="2">
        <v>92000367</v>
      </c>
      <c r="B151" s="2" t="s">
        <v>800</v>
      </c>
      <c r="C151" s="5">
        <v>92000367</v>
      </c>
      <c r="D151" s="2" t="s">
        <v>640</v>
      </c>
      <c r="E151" s="2" t="s">
        <v>641</v>
      </c>
      <c r="F151" s="2">
        <v>9</v>
      </c>
      <c r="G151" s="6" t="str">
        <f t="shared" si="0"/>
        <v>https://dto.kemkes.go.id/kfacode/92000367</v>
      </c>
    </row>
    <row r="152" spans="1:7" ht="15.75" customHeight="1">
      <c r="A152" s="2">
        <v>92000699</v>
      </c>
      <c r="B152" s="2" t="s">
        <v>801</v>
      </c>
      <c r="C152" s="5">
        <v>92000699</v>
      </c>
      <c r="D152" s="2" t="s">
        <v>655</v>
      </c>
      <c r="E152" s="2" t="s">
        <v>641</v>
      </c>
      <c r="F152" s="2">
        <v>2</v>
      </c>
      <c r="G152" s="6" t="str">
        <f t="shared" si="0"/>
        <v>https://dto.kemkes.go.id/kfacode/92000699</v>
      </c>
    </row>
    <row r="153" spans="1:7" ht="15.75" customHeight="1">
      <c r="A153" s="2">
        <v>92000551</v>
      </c>
      <c r="B153" s="2" t="s">
        <v>802</v>
      </c>
      <c r="C153" s="5">
        <v>92000551</v>
      </c>
      <c r="D153" s="2" t="s">
        <v>655</v>
      </c>
      <c r="E153" s="2" t="s">
        <v>641</v>
      </c>
      <c r="F153" s="2">
        <v>2</v>
      </c>
      <c r="G153" s="6" t="str">
        <f t="shared" si="0"/>
        <v>https://dto.kemkes.go.id/kfacode/92000551</v>
      </c>
    </row>
    <row r="154" spans="1:7" ht="15.75" customHeight="1">
      <c r="A154" s="2">
        <v>92000847</v>
      </c>
      <c r="B154" s="2" t="s">
        <v>803</v>
      </c>
      <c r="C154" s="5">
        <v>92000847</v>
      </c>
      <c r="D154" s="2" t="s">
        <v>640</v>
      </c>
      <c r="E154" s="2" t="s">
        <v>641</v>
      </c>
      <c r="F154" s="2">
        <v>2</v>
      </c>
      <c r="G154" s="6" t="str">
        <f t="shared" si="0"/>
        <v>https://dto.kemkes.go.id/kfacode/92000847</v>
      </c>
    </row>
    <row r="155" spans="1:7" ht="15.75" customHeight="1">
      <c r="A155" s="2">
        <v>92000758</v>
      </c>
      <c r="B155" s="2" t="s">
        <v>804</v>
      </c>
      <c r="C155" s="5">
        <v>92000758</v>
      </c>
      <c r="D155" s="2" t="s">
        <v>640</v>
      </c>
      <c r="E155" s="2" t="s">
        <v>641</v>
      </c>
      <c r="F155" s="2">
        <v>2</v>
      </c>
      <c r="G155" s="6" t="str">
        <f t="shared" si="0"/>
        <v>https://dto.kemkes.go.id/kfacode/92000758</v>
      </c>
    </row>
    <row r="156" spans="1:7" ht="15.75" customHeight="1">
      <c r="A156" s="2">
        <v>92000848</v>
      </c>
      <c r="B156" s="2" t="s">
        <v>805</v>
      </c>
      <c r="C156" s="5">
        <v>92000848</v>
      </c>
      <c r="D156" s="2" t="s">
        <v>645</v>
      </c>
      <c r="E156" s="2" t="s">
        <v>641</v>
      </c>
      <c r="F156" s="2">
        <v>3</v>
      </c>
      <c r="G156" s="6" t="str">
        <f t="shared" si="0"/>
        <v>https://dto.kemkes.go.id/kfacode/92000848</v>
      </c>
    </row>
    <row r="157" spans="1:7" ht="15.75" customHeight="1">
      <c r="A157" s="2">
        <v>92000464</v>
      </c>
      <c r="B157" s="2" t="s">
        <v>806</v>
      </c>
      <c r="C157" s="5">
        <v>92000464</v>
      </c>
      <c r="D157" s="2" t="s">
        <v>640</v>
      </c>
      <c r="E157" s="2" t="s">
        <v>641</v>
      </c>
      <c r="F157" s="2">
        <v>2</v>
      </c>
      <c r="G157" s="6" t="str">
        <f t="shared" si="0"/>
        <v>https://dto.kemkes.go.id/kfacode/92000464</v>
      </c>
    </row>
    <row r="158" spans="1:7" ht="15.75" customHeight="1">
      <c r="A158" s="2">
        <v>92000468</v>
      </c>
      <c r="B158" s="2" t="s">
        <v>807</v>
      </c>
      <c r="C158" s="5">
        <v>92000468</v>
      </c>
      <c r="D158" s="2" t="s">
        <v>640</v>
      </c>
      <c r="E158" s="2" t="s">
        <v>641</v>
      </c>
      <c r="F158" s="2">
        <v>39</v>
      </c>
      <c r="G158" s="6" t="str">
        <f t="shared" si="0"/>
        <v>https://dto.kemkes.go.id/kfacode/92000468</v>
      </c>
    </row>
    <row r="159" spans="1:7" ht="15.75" customHeight="1">
      <c r="A159" s="2">
        <v>92000783</v>
      </c>
      <c r="B159" s="2" t="s">
        <v>808</v>
      </c>
      <c r="C159" s="5">
        <v>92000783</v>
      </c>
      <c r="D159" s="2" t="s">
        <v>640</v>
      </c>
      <c r="E159" s="2" t="s">
        <v>641</v>
      </c>
      <c r="F159" s="2">
        <v>2</v>
      </c>
      <c r="G159" s="6" t="str">
        <f t="shared" si="0"/>
        <v>https://dto.kemkes.go.id/kfacode/92000783</v>
      </c>
    </row>
    <row r="160" spans="1:7" ht="15.75" customHeight="1">
      <c r="A160" s="2">
        <v>92000432</v>
      </c>
      <c r="B160" s="2" t="s">
        <v>809</v>
      </c>
      <c r="C160" s="5">
        <v>92000432</v>
      </c>
      <c r="D160" s="2" t="s">
        <v>640</v>
      </c>
      <c r="E160" s="2" t="s">
        <v>641</v>
      </c>
      <c r="F160" s="2">
        <v>2</v>
      </c>
      <c r="G160" s="6" t="str">
        <f t="shared" si="0"/>
        <v>https://dto.kemkes.go.id/kfacode/92000432</v>
      </c>
    </row>
    <row r="161" spans="1:7" ht="15.75" customHeight="1">
      <c r="A161" s="2">
        <v>92000375</v>
      </c>
      <c r="B161" s="2" t="s">
        <v>810</v>
      </c>
      <c r="C161" s="5">
        <v>92000375</v>
      </c>
      <c r="D161" s="2" t="s">
        <v>640</v>
      </c>
      <c r="E161" s="2" t="s">
        <v>641</v>
      </c>
      <c r="F161" s="2">
        <v>3</v>
      </c>
      <c r="G161" s="6" t="str">
        <f t="shared" si="0"/>
        <v>https://dto.kemkes.go.id/kfacode/92000375</v>
      </c>
    </row>
    <row r="162" spans="1:7" ht="15.75" customHeight="1">
      <c r="A162" s="2">
        <v>92000515</v>
      </c>
      <c r="B162" s="2" t="s">
        <v>811</v>
      </c>
      <c r="C162" s="5">
        <v>92000515</v>
      </c>
      <c r="D162" s="2" t="s">
        <v>640</v>
      </c>
      <c r="E162" s="2" t="s">
        <v>641</v>
      </c>
      <c r="F162" s="2">
        <v>2</v>
      </c>
      <c r="G162" s="6" t="str">
        <f t="shared" si="0"/>
        <v>https://dto.kemkes.go.id/kfacode/92000515</v>
      </c>
    </row>
    <row r="163" spans="1:7" ht="15.75" customHeight="1">
      <c r="A163" s="2">
        <v>92000516</v>
      </c>
      <c r="B163" s="2" t="s">
        <v>812</v>
      </c>
      <c r="C163" s="5">
        <v>92000516</v>
      </c>
      <c r="D163" s="2" t="s">
        <v>640</v>
      </c>
      <c r="E163" s="2" t="s">
        <v>641</v>
      </c>
      <c r="F163" s="2">
        <v>2</v>
      </c>
      <c r="G163" s="6" t="str">
        <f t="shared" si="0"/>
        <v>https://dto.kemkes.go.id/kfacode/92000516</v>
      </c>
    </row>
    <row r="164" spans="1:7" ht="15.75" customHeight="1">
      <c r="A164" s="2">
        <v>92000249</v>
      </c>
      <c r="B164" s="2" t="s">
        <v>813</v>
      </c>
      <c r="C164" s="5">
        <v>92000249</v>
      </c>
      <c r="D164" s="2" t="s">
        <v>640</v>
      </c>
      <c r="E164" s="2" t="s">
        <v>641</v>
      </c>
      <c r="F164" s="2">
        <v>2</v>
      </c>
      <c r="G164" s="6" t="str">
        <f t="shared" si="0"/>
        <v>https://dto.kemkes.go.id/kfacode/92000249</v>
      </c>
    </row>
    <row r="165" spans="1:7" ht="15.75" customHeight="1">
      <c r="A165" s="2">
        <v>92000803</v>
      </c>
      <c r="B165" s="2" t="s">
        <v>814</v>
      </c>
      <c r="C165" s="5">
        <v>92000803</v>
      </c>
      <c r="D165" s="2" t="s">
        <v>645</v>
      </c>
      <c r="E165" s="2" t="s">
        <v>641</v>
      </c>
      <c r="F165" s="2">
        <v>2</v>
      </c>
      <c r="G165" s="6" t="str">
        <f t="shared" si="0"/>
        <v>https://dto.kemkes.go.id/kfacode/92000803</v>
      </c>
    </row>
    <row r="166" spans="1:7" ht="15.75" customHeight="1">
      <c r="A166" s="2">
        <v>92000671</v>
      </c>
      <c r="B166" s="2" t="s">
        <v>815</v>
      </c>
      <c r="C166" s="5">
        <v>92000671</v>
      </c>
      <c r="D166" s="2" t="s">
        <v>653</v>
      </c>
      <c r="E166" s="2" t="s">
        <v>641</v>
      </c>
      <c r="F166" s="2">
        <v>4</v>
      </c>
      <c r="G166" s="6" t="str">
        <f t="shared" si="0"/>
        <v>https://dto.kemkes.go.id/kfacode/92000671</v>
      </c>
    </row>
    <row r="167" spans="1:7" ht="15.75" customHeight="1">
      <c r="A167" s="2">
        <v>92000670</v>
      </c>
      <c r="B167" s="2" t="s">
        <v>816</v>
      </c>
      <c r="C167" s="5">
        <v>92000670</v>
      </c>
      <c r="D167" s="2" t="s">
        <v>653</v>
      </c>
      <c r="E167" s="2" t="s">
        <v>641</v>
      </c>
      <c r="F167" s="2">
        <v>3</v>
      </c>
      <c r="G167" s="6" t="str">
        <f t="shared" si="0"/>
        <v>https://dto.kemkes.go.id/kfacode/92000670</v>
      </c>
    </row>
    <row r="168" spans="1:7" ht="15.75" customHeight="1">
      <c r="A168" s="2">
        <v>92000422</v>
      </c>
      <c r="B168" s="2" t="s">
        <v>817</v>
      </c>
      <c r="C168" s="5">
        <v>92000422</v>
      </c>
      <c r="D168" s="2" t="s">
        <v>653</v>
      </c>
      <c r="E168" s="2" t="s">
        <v>641</v>
      </c>
      <c r="F168" s="2">
        <v>4</v>
      </c>
      <c r="G168" s="6" t="str">
        <f t="shared" si="0"/>
        <v>https://dto.kemkes.go.id/kfacode/92000422</v>
      </c>
    </row>
    <row r="169" spans="1:7" ht="15.75" customHeight="1">
      <c r="A169" s="2">
        <v>92000754</v>
      </c>
      <c r="B169" s="2" t="s">
        <v>818</v>
      </c>
      <c r="C169" s="5">
        <v>92000754</v>
      </c>
      <c r="D169" s="2" t="s">
        <v>653</v>
      </c>
      <c r="E169" s="2" t="s">
        <v>641</v>
      </c>
      <c r="F169" s="2">
        <v>2</v>
      </c>
      <c r="G169" s="6" t="str">
        <f t="shared" si="0"/>
        <v>https://dto.kemkes.go.id/kfacode/92000754</v>
      </c>
    </row>
    <row r="170" spans="1:7" ht="15.75" customHeight="1">
      <c r="A170" s="2">
        <v>92000932</v>
      </c>
      <c r="B170" s="2" t="s">
        <v>819</v>
      </c>
      <c r="C170" s="5">
        <v>92000932</v>
      </c>
      <c r="D170" s="2" t="s">
        <v>653</v>
      </c>
      <c r="E170" s="2" t="s">
        <v>641</v>
      </c>
      <c r="F170" s="2">
        <v>3</v>
      </c>
      <c r="G170" s="6" t="str">
        <f t="shared" si="0"/>
        <v>https://dto.kemkes.go.id/kfacode/92000932</v>
      </c>
    </row>
    <row r="171" spans="1:7" ht="15.75" customHeight="1">
      <c r="A171" s="2">
        <v>92000239</v>
      </c>
      <c r="B171" s="2" t="s">
        <v>820</v>
      </c>
      <c r="C171" s="5">
        <v>92000239</v>
      </c>
      <c r="D171" s="2" t="s">
        <v>653</v>
      </c>
      <c r="E171" s="2" t="s">
        <v>641</v>
      </c>
      <c r="F171" s="2">
        <v>2</v>
      </c>
      <c r="G171" s="6" t="str">
        <f t="shared" si="0"/>
        <v>https://dto.kemkes.go.id/kfacode/92000239</v>
      </c>
    </row>
    <row r="172" spans="1:7" ht="15.75" customHeight="1">
      <c r="A172" s="2">
        <v>92000252</v>
      </c>
      <c r="B172" s="2" t="s">
        <v>821</v>
      </c>
      <c r="C172" s="5">
        <v>92000252</v>
      </c>
      <c r="D172" s="2" t="s">
        <v>640</v>
      </c>
      <c r="E172" s="2" t="s">
        <v>641</v>
      </c>
      <c r="F172" s="2">
        <v>2</v>
      </c>
      <c r="G172" s="6" t="str">
        <f t="shared" si="0"/>
        <v>https://dto.kemkes.go.id/kfacode/92000252</v>
      </c>
    </row>
    <row r="173" spans="1:7" ht="15.75" customHeight="1">
      <c r="A173" s="2">
        <v>92000253</v>
      </c>
      <c r="B173" s="2" t="s">
        <v>822</v>
      </c>
      <c r="C173" s="5">
        <v>92000253</v>
      </c>
      <c r="D173" s="2" t="s">
        <v>640</v>
      </c>
      <c r="E173" s="2" t="s">
        <v>641</v>
      </c>
      <c r="F173" s="2">
        <v>3</v>
      </c>
      <c r="G173" s="6" t="str">
        <f t="shared" si="0"/>
        <v>https://dto.kemkes.go.id/kfacode/92000253</v>
      </c>
    </row>
    <row r="174" spans="1:7" ht="15.75" customHeight="1">
      <c r="A174" s="2">
        <v>92000430</v>
      </c>
      <c r="B174" s="2" t="s">
        <v>823</v>
      </c>
      <c r="C174" s="5">
        <v>92000430</v>
      </c>
      <c r="D174" s="2" t="s">
        <v>824</v>
      </c>
      <c r="E174" s="2" t="s">
        <v>641</v>
      </c>
      <c r="F174" s="2">
        <v>2</v>
      </c>
      <c r="G174" s="6" t="str">
        <f t="shared" si="0"/>
        <v>https://dto.kemkes.go.id/kfacode/92000430</v>
      </c>
    </row>
    <row r="175" spans="1:7" ht="15.75" customHeight="1">
      <c r="A175" s="2">
        <v>92000917</v>
      </c>
      <c r="B175" s="2" t="s">
        <v>825</v>
      </c>
      <c r="C175" s="5">
        <v>92000917</v>
      </c>
      <c r="D175" s="2" t="s">
        <v>640</v>
      </c>
      <c r="E175" s="2" t="s">
        <v>641</v>
      </c>
      <c r="F175" s="2">
        <v>2</v>
      </c>
      <c r="G175" s="6" t="str">
        <f t="shared" si="0"/>
        <v>https://dto.kemkes.go.id/kfacode/92000917</v>
      </c>
    </row>
    <row r="176" spans="1:7" ht="15.75" customHeight="1">
      <c r="A176" s="2">
        <v>92000337</v>
      </c>
      <c r="B176" s="2" t="s">
        <v>826</v>
      </c>
      <c r="C176" s="5">
        <v>92000337</v>
      </c>
      <c r="D176" s="2" t="s">
        <v>640</v>
      </c>
      <c r="E176" s="2" t="s">
        <v>641</v>
      </c>
      <c r="F176" s="2">
        <v>2</v>
      </c>
      <c r="G176" s="6" t="str">
        <f t="shared" si="0"/>
        <v>https://dto.kemkes.go.id/kfacode/92000337</v>
      </c>
    </row>
    <row r="177" spans="1:7" ht="15.75" customHeight="1">
      <c r="A177" s="2">
        <v>92000918</v>
      </c>
      <c r="B177" s="2" t="s">
        <v>827</v>
      </c>
      <c r="C177" s="5">
        <v>92000918</v>
      </c>
      <c r="D177" s="2" t="s">
        <v>640</v>
      </c>
      <c r="E177" s="2" t="s">
        <v>641</v>
      </c>
      <c r="F177" s="2">
        <v>2</v>
      </c>
      <c r="G177" s="6" t="str">
        <f t="shared" si="0"/>
        <v>https://dto.kemkes.go.id/kfacode/92000918</v>
      </c>
    </row>
    <row r="178" spans="1:7" ht="15.75" customHeight="1">
      <c r="A178" s="2">
        <v>92000310</v>
      </c>
      <c r="B178" s="2" t="s">
        <v>828</v>
      </c>
      <c r="C178" s="5">
        <v>92000310</v>
      </c>
      <c r="D178" s="2" t="s">
        <v>640</v>
      </c>
      <c r="E178" s="2" t="s">
        <v>641</v>
      </c>
      <c r="F178" s="2">
        <v>3</v>
      </c>
      <c r="G178" s="6" t="str">
        <f t="shared" si="0"/>
        <v>https://dto.kemkes.go.id/kfacode/92000310</v>
      </c>
    </row>
    <row r="179" spans="1:7" ht="15.75" customHeight="1">
      <c r="A179" s="2">
        <v>92000203</v>
      </c>
      <c r="B179" s="2" t="s">
        <v>829</v>
      </c>
      <c r="C179" s="5">
        <v>92000203</v>
      </c>
      <c r="D179" s="2" t="s">
        <v>702</v>
      </c>
      <c r="E179" s="2" t="s">
        <v>641</v>
      </c>
      <c r="F179" s="2">
        <v>3</v>
      </c>
      <c r="G179" s="6" t="str">
        <f t="shared" si="0"/>
        <v>https://dto.kemkes.go.id/kfacode/92000203</v>
      </c>
    </row>
    <row r="180" spans="1:7" ht="15.75" customHeight="1">
      <c r="A180" s="2">
        <v>92000369</v>
      </c>
      <c r="B180" s="2" t="s">
        <v>830</v>
      </c>
      <c r="C180" s="5">
        <v>92000369</v>
      </c>
      <c r="D180" s="2" t="s">
        <v>640</v>
      </c>
      <c r="E180" s="2" t="s">
        <v>641</v>
      </c>
      <c r="F180" s="2">
        <v>5</v>
      </c>
      <c r="G180" s="6" t="str">
        <f t="shared" si="0"/>
        <v>https://dto.kemkes.go.id/kfacode/92000369</v>
      </c>
    </row>
    <row r="181" spans="1:7" ht="15.75" customHeight="1">
      <c r="A181" s="2">
        <v>92000178</v>
      </c>
      <c r="B181" s="2" t="s">
        <v>831</v>
      </c>
      <c r="C181" s="5">
        <v>92000178</v>
      </c>
      <c r="D181" s="2" t="s">
        <v>653</v>
      </c>
      <c r="E181" s="2" t="s">
        <v>641</v>
      </c>
      <c r="F181" s="2">
        <v>2</v>
      </c>
      <c r="G181" s="6" t="str">
        <f t="shared" si="0"/>
        <v>https://dto.kemkes.go.id/kfacode/92000178</v>
      </c>
    </row>
    <row r="182" spans="1:7" ht="15.75" customHeight="1">
      <c r="A182" s="2">
        <v>92000942</v>
      </c>
      <c r="B182" s="2" t="s">
        <v>832</v>
      </c>
      <c r="C182" s="5">
        <v>92000942</v>
      </c>
      <c r="D182" s="2" t="s">
        <v>640</v>
      </c>
      <c r="E182" s="2" t="s">
        <v>641</v>
      </c>
      <c r="F182" s="2">
        <v>2</v>
      </c>
      <c r="G182" s="6" t="str">
        <f t="shared" si="0"/>
        <v>https://dto.kemkes.go.id/kfacode/92000942</v>
      </c>
    </row>
    <row r="183" spans="1:7" ht="15.75" customHeight="1">
      <c r="A183" s="2">
        <v>92000195</v>
      </c>
      <c r="B183" s="2" t="s">
        <v>188</v>
      </c>
      <c r="C183" s="5">
        <v>92000195</v>
      </c>
      <c r="D183" s="2" t="s">
        <v>658</v>
      </c>
      <c r="E183" s="2" t="s">
        <v>641</v>
      </c>
      <c r="F183" s="2">
        <v>3</v>
      </c>
      <c r="G183" s="6" t="str">
        <f t="shared" si="0"/>
        <v>https://dto.kemkes.go.id/kfacode/92000195</v>
      </c>
    </row>
    <row r="184" spans="1:7" ht="15.75" customHeight="1">
      <c r="A184" s="2">
        <v>92000520</v>
      </c>
      <c r="B184" s="2" t="s">
        <v>833</v>
      </c>
      <c r="C184" s="5">
        <v>92000520</v>
      </c>
      <c r="D184" s="2" t="s">
        <v>640</v>
      </c>
      <c r="E184" s="2" t="s">
        <v>641</v>
      </c>
      <c r="F184" s="2">
        <v>2</v>
      </c>
      <c r="G184" s="6" t="str">
        <f t="shared" si="0"/>
        <v>https://dto.kemkes.go.id/kfacode/92000520</v>
      </c>
    </row>
    <row r="185" spans="1:7" ht="15.75" customHeight="1">
      <c r="A185" s="2">
        <v>92000343</v>
      </c>
      <c r="B185" s="2" t="s">
        <v>834</v>
      </c>
      <c r="C185" s="5">
        <v>92000343</v>
      </c>
      <c r="D185" s="2" t="s">
        <v>640</v>
      </c>
      <c r="E185" s="2" t="s">
        <v>641</v>
      </c>
      <c r="F185" s="2">
        <v>2</v>
      </c>
      <c r="G185" s="6" t="str">
        <f t="shared" si="0"/>
        <v>https://dto.kemkes.go.id/kfacode/92000343</v>
      </c>
    </row>
    <row r="186" spans="1:7" ht="15.75" customHeight="1">
      <c r="A186" s="2">
        <v>92000620</v>
      </c>
      <c r="B186" s="2" t="s">
        <v>835</v>
      </c>
      <c r="C186" s="5">
        <v>92000620</v>
      </c>
      <c r="D186" s="2" t="s">
        <v>640</v>
      </c>
      <c r="E186" s="2" t="s">
        <v>641</v>
      </c>
      <c r="F186" s="2">
        <v>2</v>
      </c>
      <c r="G186" s="6" t="str">
        <f t="shared" si="0"/>
        <v>https://dto.kemkes.go.id/kfacode/92000620</v>
      </c>
    </row>
    <row r="187" spans="1:7" ht="15.75" customHeight="1">
      <c r="A187" s="2">
        <v>92000446</v>
      </c>
      <c r="B187" s="2" t="s">
        <v>836</v>
      </c>
      <c r="C187" s="5">
        <v>92000446</v>
      </c>
      <c r="D187" s="2" t="s">
        <v>655</v>
      </c>
      <c r="E187" s="2" t="s">
        <v>641</v>
      </c>
      <c r="F187" s="2">
        <v>3</v>
      </c>
      <c r="G187" s="6" t="str">
        <f t="shared" si="0"/>
        <v>https://dto.kemkes.go.id/kfacode/92000446</v>
      </c>
    </row>
    <row r="188" spans="1:7" ht="15.75" customHeight="1">
      <c r="A188" s="2">
        <v>92000244</v>
      </c>
      <c r="B188" s="2" t="s">
        <v>837</v>
      </c>
      <c r="C188" s="5">
        <v>92000244</v>
      </c>
      <c r="D188" s="2" t="s">
        <v>655</v>
      </c>
      <c r="E188" s="2" t="s">
        <v>641</v>
      </c>
      <c r="F188" s="2">
        <v>2</v>
      </c>
      <c r="G188" s="6" t="str">
        <f t="shared" si="0"/>
        <v>https://dto.kemkes.go.id/kfacode/92000244</v>
      </c>
    </row>
    <row r="189" spans="1:7" ht="15.75" customHeight="1">
      <c r="A189" s="2">
        <v>92000287</v>
      </c>
      <c r="B189" s="2" t="s">
        <v>838</v>
      </c>
      <c r="C189" s="5">
        <v>92000287</v>
      </c>
      <c r="D189" s="2" t="s">
        <v>640</v>
      </c>
      <c r="E189" s="2" t="s">
        <v>641</v>
      </c>
      <c r="F189" s="2">
        <v>3</v>
      </c>
      <c r="G189" s="6" t="str">
        <f t="shared" si="0"/>
        <v>https://dto.kemkes.go.id/kfacode/92000287</v>
      </c>
    </row>
    <row r="190" spans="1:7" ht="15.75" customHeight="1">
      <c r="A190" s="2">
        <v>92000525</v>
      </c>
      <c r="B190" s="2" t="s">
        <v>839</v>
      </c>
      <c r="C190" s="5">
        <v>92000525</v>
      </c>
      <c r="D190" s="2" t="s">
        <v>645</v>
      </c>
      <c r="E190" s="2" t="s">
        <v>641</v>
      </c>
      <c r="F190" s="2">
        <v>2</v>
      </c>
      <c r="G190" s="6" t="str">
        <f t="shared" si="0"/>
        <v>https://dto.kemkes.go.id/kfacode/92000525</v>
      </c>
    </row>
    <row r="191" spans="1:7" ht="15.75" customHeight="1">
      <c r="A191" s="2">
        <v>92000443</v>
      </c>
      <c r="B191" s="2" t="s">
        <v>840</v>
      </c>
      <c r="C191" s="5">
        <v>92000443</v>
      </c>
      <c r="D191" s="2" t="s">
        <v>653</v>
      </c>
      <c r="E191" s="2" t="s">
        <v>641</v>
      </c>
      <c r="F191" s="2">
        <v>3</v>
      </c>
      <c r="G191" s="6" t="str">
        <f t="shared" si="0"/>
        <v>https://dto.kemkes.go.id/kfacode/92000443</v>
      </c>
    </row>
    <row r="192" spans="1:7" ht="15.75" customHeight="1">
      <c r="A192" s="2">
        <v>92000176</v>
      </c>
      <c r="B192" s="2" t="s">
        <v>841</v>
      </c>
      <c r="C192" s="5">
        <v>92000176</v>
      </c>
      <c r="D192" s="2" t="s">
        <v>702</v>
      </c>
      <c r="E192" s="2" t="s">
        <v>641</v>
      </c>
      <c r="F192" s="2">
        <v>9</v>
      </c>
      <c r="G192" s="6" t="str">
        <f t="shared" si="0"/>
        <v>https://dto.kemkes.go.id/kfacode/92000176</v>
      </c>
    </row>
    <row r="193" spans="1:7" ht="15.75" customHeight="1">
      <c r="A193" s="2">
        <v>92000199</v>
      </c>
      <c r="B193" s="2" t="s">
        <v>842</v>
      </c>
      <c r="C193" s="5">
        <v>92000199</v>
      </c>
      <c r="D193" s="2" t="s">
        <v>658</v>
      </c>
      <c r="E193" s="2" t="s">
        <v>641</v>
      </c>
      <c r="F193" s="2">
        <v>3</v>
      </c>
      <c r="G193" s="6" t="str">
        <f t="shared" si="0"/>
        <v>https://dto.kemkes.go.id/kfacode/92000199</v>
      </c>
    </row>
    <row r="194" spans="1:7" ht="15.75" customHeight="1">
      <c r="A194" s="2">
        <v>92000605</v>
      </c>
      <c r="B194" s="2" t="s">
        <v>843</v>
      </c>
      <c r="C194" s="5">
        <v>92000605</v>
      </c>
      <c r="D194" s="2" t="s">
        <v>673</v>
      </c>
      <c r="E194" s="2" t="s">
        <v>641</v>
      </c>
      <c r="F194" s="2">
        <v>2</v>
      </c>
      <c r="G194" s="6" t="str">
        <f t="shared" si="0"/>
        <v>https://dto.kemkes.go.id/kfacode/92000605</v>
      </c>
    </row>
    <row r="195" spans="1:7" ht="15.75" customHeight="1">
      <c r="A195" s="2">
        <v>92000198</v>
      </c>
      <c r="B195" s="2" t="s">
        <v>844</v>
      </c>
      <c r="C195" s="5">
        <v>92000198</v>
      </c>
      <c r="D195" s="2" t="s">
        <v>658</v>
      </c>
      <c r="E195" s="2" t="s">
        <v>641</v>
      </c>
      <c r="F195" s="2">
        <v>4</v>
      </c>
      <c r="G195" s="6" t="str">
        <f t="shared" si="0"/>
        <v>https://dto.kemkes.go.id/kfacode/92000198</v>
      </c>
    </row>
    <row r="196" spans="1:7" ht="15.75" customHeight="1">
      <c r="A196" s="2">
        <v>92000265</v>
      </c>
      <c r="B196" s="2" t="s">
        <v>845</v>
      </c>
      <c r="C196" s="5">
        <v>92000265</v>
      </c>
      <c r="D196" s="2" t="s">
        <v>671</v>
      </c>
      <c r="E196" s="2" t="s">
        <v>641</v>
      </c>
      <c r="F196" s="2">
        <v>2</v>
      </c>
      <c r="G196" s="6" t="str">
        <f t="shared" si="0"/>
        <v>https://dto.kemkes.go.id/kfacode/92000265</v>
      </c>
    </row>
    <row r="197" spans="1:7" ht="15.75" customHeight="1">
      <c r="A197" s="2">
        <v>92000604</v>
      </c>
      <c r="B197" s="2" t="s">
        <v>846</v>
      </c>
      <c r="C197" s="5">
        <v>92000604</v>
      </c>
      <c r="D197" s="2" t="s">
        <v>673</v>
      </c>
      <c r="E197" s="2" t="s">
        <v>641</v>
      </c>
      <c r="F197" s="2">
        <v>2</v>
      </c>
      <c r="G197" s="6" t="str">
        <f t="shared" si="0"/>
        <v>https://dto.kemkes.go.id/kfacode/92000604</v>
      </c>
    </row>
    <row r="198" spans="1:7" ht="15.75" customHeight="1">
      <c r="A198" s="2">
        <v>92000941</v>
      </c>
      <c r="B198" s="2" t="s">
        <v>847</v>
      </c>
      <c r="C198" s="5">
        <v>92000941</v>
      </c>
      <c r="D198" s="2" t="s">
        <v>702</v>
      </c>
      <c r="E198" s="2" t="s">
        <v>641</v>
      </c>
      <c r="F198" s="2">
        <v>2</v>
      </c>
      <c r="G198" s="6" t="str">
        <f t="shared" si="0"/>
        <v>https://dto.kemkes.go.id/kfacode/92000941</v>
      </c>
    </row>
    <row r="199" spans="1:7" ht="15.75" customHeight="1">
      <c r="A199" s="2">
        <v>92000597</v>
      </c>
      <c r="B199" s="2" t="s">
        <v>848</v>
      </c>
      <c r="C199" s="5">
        <v>92000597</v>
      </c>
      <c r="D199" s="2" t="s">
        <v>673</v>
      </c>
      <c r="E199" s="2" t="s">
        <v>641</v>
      </c>
      <c r="F199" s="2">
        <v>2</v>
      </c>
      <c r="G199" s="6" t="str">
        <f t="shared" si="0"/>
        <v>https://dto.kemkes.go.id/kfacode/92000597</v>
      </c>
    </row>
    <row r="200" spans="1:7" ht="15.75" customHeight="1">
      <c r="A200" s="2">
        <v>92000940</v>
      </c>
      <c r="B200" s="2" t="s">
        <v>849</v>
      </c>
      <c r="C200" s="5">
        <v>92000940</v>
      </c>
      <c r="D200" s="2" t="s">
        <v>702</v>
      </c>
      <c r="E200" s="2" t="s">
        <v>641</v>
      </c>
      <c r="F200" s="2">
        <v>2</v>
      </c>
      <c r="G200" s="6" t="str">
        <f t="shared" si="0"/>
        <v>https://dto.kemkes.go.id/kfacode/92000940</v>
      </c>
    </row>
    <row r="201" spans="1:7" ht="15.75" customHeight="1">
      <c r="A201" s="2">
        <v>92000506</v>
      </c>
      <c r="B201" s="2" t="s">
        <v>850</v>
      </c>
      <c r="C201" s="5">
        <v>92000506</v>
      </c>
      <c r="D201" s="2" t="s">
        <v>702</v>
      </c>
      <c r="E201" s="2" t="s">
        <v>641</v>
      </c>
      <c r="F201" s="2">
        <v>2</v>
      </c>
      <c r="G201" s="6" t="str">
        <f t="shared" si="0"/>
        <v>https://dto.kemkes.go.id/kfacode/92000506</v>
      </c>
    </row>
    <row r="202" spans="1:7" ht="15.75" customHeight="1">
      <c r="A202" s="2">
        <v>92000505</v>
      </c>
      <c r="B202" s="2" t="s">
        <v>851</v>
      </c>
      <c r="C202" s="5">
        <v>92000505</v>
      </c>
      <c r="D202" s="2" t="s">
        <v>702</v>
      </c>
      <c r="E202" s="2" t="s">
        <v>641</v>
      </c>
      <c r="F202" s="2">
        <v>2</v>
      </c>
      <c r="G202" s="6" t="str">
        <f t="shared" si="0"/>
        <v>https://dto.kemkes.go.id/kfacode/92000505</v>
      </c>
    </row>
    <row r="203" spans="1:7" ht="15.75" customHeight="1">
      <c r="A203" s="2">
        <v>92000939</v>
      </c>
      <c r="B203" s="2" t="s">
        <v>852</v>
      </c>
      <c r="C203" s="5">
        <v>92000939</v>
      </c>
      <c r="D203" s="2" t="s">
        <v>671</v>
      </c>
      <c r="E203" s="2" t="s">
        <v>641</v>
      </c>
      <c r="F203" s="2">
        <v>2</v>
      </c>
      <c r="G203" s="6" t="str">
        <f t="shared" si="0"/>
        <v>https://dto.kemkes.go.id/kfacode/92000939</v>
      </c>
    </row>
    <row r="204" spans="1:7" ht="15.75" customHeight="1">
      <c r="A204" s="2">
        <v>92000247</v>
      </c>
      <c r="B204" s="2" t="s">
        <v>853</v>
      </c>
      <c r="C204" s="5">
        <v>92000247</v>
      </c>
      <c r="D204" s="2" t="s">
        <v>655</v>
      </c>
      <c r="E204" s="2" t="s">
        <v>641</v>
      </c>
      <c r="F204" s="2">
        <v>2</v>
      </c>
      <c r="G204" s="6" t="str">
        <f t="shared" si="0"/>
        <v>https://dto.kemkes.go.id/kfacode/92000247</v>
      </c>
    </row>
    <row r="205" spans="1:7" ht="15.75" customHeight="1">
      <c r="A205" s="2">
        <v>92000132</v>
      </c>
      <c r="B205" s="2" t="s">
        <v>854</v>
      </c>
      <c r="C205" s="5">
        <v>92000132</v>
      </c>
      <c r="D205" s="2" t="s">
        <v>640</v>
      </c>
      <c r="E205" s="2" t="s">
        <v>641</v>
      </c>
      <c r="F205" s="2">
        <v>4</v>
      </c>
      <c r="G205" s="6" t="str">
        <f t="shared" si="0"/>
        <v>https://dto.kemkes.go.id/kfacode/92000132</v>
      </c>
    </row>
    <row r="206" spans="1:7" ht="15.75" customHeight="1">
      <c r="A206" s="2">
        <v>92000246</v>
      </c>
      <c r="B206" s="2" t="s">
        <v>855</v>
      </c>
      <c r="C206" s="5">
        <v>92000246</v>
      </c>
      <c r="D206" s="2" t="s">
        <v>655</v>
      </c>
      <c r="E206" s="2" t="s">
        <v>641</v>
      </c>
      <c r="F206" s="2">
        <v>2</v>
      </c>
      <c r="G206" s="6" t="str">
        <f t="shared" si="0"/>
        <v>https://dto.kemkes.go.id/kfacode/92000246</v>
      </c>
    </row>
    <row r="207" spans="1:7" ht="15.75" customHeight="1">
      <c r="A207" s="2">
        <v>92000767</v>
      </c>
      <c r="B207" s="2" t="s">
        <v>856</v>
      </c>
      <c r="C207" s="5">
        <v>92000767</v>
      </c>
      <c r="D207" s="2" t="s">
        <v>645</v>
      </c>
      <c r="E207" s="2" t="s">
        <v>641</v>
      </c>
      <c r="F207" s="2">
        <v>2</v>
      </c>
      <c r="G207" s="6" t="str">
        <f t="shared" si="0"/>
        <v>https://dto.kemkes.go.id/kfacode/92000767</v>
      </c>
    </row>
    <row r="208" spans="1:7" ht="15.75" customHeight="1">
      <c r="A208" s="2">
        <v>92000435</v>
      </c>
      <c r="B208" s="2" t="s">
        <v>857</v>
      </c>
      <c r="C208" s="5">
        <v>92000435</v>
      </c>
      <c r="D208" s="2" t="s">
        <v>640</v>
      </c>
      <c r="E208" s="2" t="s">
        <v>641</v>
      </c>
      <c r="F208" s="2">
        <v>2</v>
      </c>
      <c r="G208" s="6" t="str">
        <f t="shared" si="0"/>
        <v>https://dto.kemkes.go.id/kfacode/92000435</v>
      </c>
    </row>
    <row r="209" spans="1:7" ht="15.75" customHeight="1">
      <c r="A209" s="2">
        <v>92000453</v>
      </c>
      <c r="B209" s="2" t="s">
        <v>858</v>
      </c>
      <c r="C209" s="5">
        <v>92000453</v>
      </c>
      <c r="D209" s="2" t="s">
        <v>640</v>
      </c>
      <c r="E209" s="2" t="s">
        <v>641</v>
      </c>
      <c r="F209" s="2">
        <v>3</v>
      </c>
      <c r="G209" s="6" t="str">
        <f t="shared" si="0"/>
        <v>https://dto.kemkes.go.id/kfacode/92000453</v>
      </c>
    </row>
    <row r="210" spans="1:7" ht="15.75" customHeight="1">
      <c r="A210" s="2">
        <v>92000535</v>
      </c>
      <c r="B210" s="2" t="s">
        <v>859</v>
      </c>
      <c r="C210" s="5">
        <v>92000535</v>
      </c>
      <c r="D210" s="2" t="s">
        <v>640</v>
      </c>
      <c r="E210" s="2" t="s">
        <v>641</v>
      </c>
      <c r="F210" s="2">
        <v>3</v>
      </c>
      <c r="G210" s="6" t="str">
        <f t="shared" si="0"/>
        <v>https://dto.kemkes.go.id/kfacode/92000535</v>
      </c>
    </row>
    <row r="211" spans="1:7" ht="15.75" customHeight="1">
      <c r="A211" s="2">
        <v>92000362</v>
      </c>
      <c r="B211" s="2" t="s">
        <v>860</v>
      </c>
      <c r="C211" s="5">
        <v>92000362</v>
      </c>
      <c r="D211" s="2" t="s">
        <v>640</v>
      </c>
      <c r="E211" s="2" t="s">
        <v>641</v>
      </c>
      <c r="F211" s="2">
        <v>2</v>
      </c>
      <c r="G211" s="6" t="str">
        <f t="shared" si="0"/>
        <v>https://dto.kemkes.go.id/kfacode/92000362</v>
      </c>
    </row>
    <row r="212" spans="1:7" ht="15.75" customHeight="1">
      <c r="A212" s="2">
        <v>92000172</v>
      </c>
      <c r="B212" s="2" t="s">
        <v>861</v>
      </c>
      <c r="C212" s="5">
        <v>92000172</v>
      </c>
      <c r="D212" s="2" t="s">
        <v>640</v>
      </c>
      <c r="E212" s="2" t="s">
        <v>641</v>
      </c>
      <c r="F212" s="2">
        <v>3</v>
      </c>
      <c r="G212" s="6" t="str">
        <f t="shared" si="0"/>
        <v>https://dto.kemkes.go.id/kfacode/92000172</v>
      </c>
    </row>
    <row r="213" spans="1:7" ht="15.75" customHeight="1">
      <c r="A213" s="2">
        <v>92000632</v>
      </c>
      <c r="B213" s="2" t="s">
        <v>862</v>
      </c>
      <c r="C213" s="5">
        <v>92000632</v>
      </c>
      <c r="D213" s="2" t="s">
        <v>640</v>
      </c>
      <c r="E213" s="2" t="s">
        <v>641</v>
      </c>
      <c r="F213" s="2">
        <v>2</v>
      </c>
      <c r="G213" s="6" t="str">
        <f t="shared" si="0"/>
        <v>https://dto.kemkes.go.id/kfacode/92000632</v>
      </c>
    </row>
    <row r="214" spans="1:7" ht="15.75" customHeight="1">
      <c r="A214" s="2">
        <v>92000258</v>
      </c>
      <c r="B214" s="2" t="s">
        <v>863</v>
      </c>
      <c r="C214" s="5">
        <v>92000258</v>
      </c>
      <c r="D214" s="2" t="s">
        <v>649</v>
      </c>
      <c r="E214" s="2" t="s">
        <v>641</v>
      </c>
      <c r="F214" s="2">
        <v>2</v>
      </c>
      <c r="G214" s="6" t="str">
        <f t="shared" si="0"/>
        <v>https://dto.kemkes.go.id/kfacode/92000258</v>
      </c>
    </row>
    <row r="215" spans="1:7" ht="15.75" customHeight="1">
      <c r="A215" s="2">
        <v>92000259</v>
      </c>
      <c r="B215" s="2" t="s">
        <v>864</v>
      </c>
      <c r="C215" s="5">
        <v>92000259</v>
      </c>
      <c r="D215" s="2" t="s">
        <v>649</v>
      </c>
      <c r="E215" s="2" t="s">
        <v>641</v>
      </c>
      <c r="F215" s="2">
        <v>2</v>
      </c>
      <c r="G215" s="6" t="str">
        <f t="shared" si="0"/>
        <v>https://dto.kemkes.go.id/kfacode/92000259</v>
      </c>
    </row>
    <row r="216" spans="1:7" ht="15.75" customHeight="1">
      <c r="A216" s="2">
        <v>92000307</v>
      </c>
      <c r="B216" s="2" t="s">
        <v>865</v>
      </c>
      <c r="C216" s="5">
        <v>92000307</v>
      </c>
      <c r="D216" s="2" t="s">
        <v>640</v>
      </c>
      <c r="E216" s="2" t="s">
        <v>641</v>
      </c>
      <c r="F216" s="2">
        <v>2</v>
      </c>
      <c r="G216" s="6" t="str">
        <f t="shared" si="0"/>
        <v>https://dto.kemkes.go.id/kfacode/92000307</v>
      </c>
    </row>
    <row r="217" spans="1:7" ht="15.75" customHeight="1">
      <c r="A217" s="2">
        <v>92000861</v>
      </c>
      <c r="B217" s="2" t="s">
        <v>866</v>
      </c>
      <c r="C217" s="5">
        <v>92000861</v>
      </c>
      <c r="D217" s="2" t="s">
        <v>653</v>
      </c>
      <c r="E217" s="2" t="s">
        <v>641</v>
      </c>
      <c r="F217" s="2">
        <v>2</v>
      </c>
      <c r="G217" s="6" t="str">
        <f t="shared" si="0"/>
        <v>https://dto.kemkes.go.id/kfacode/92000861</v>
      </c>
    </row>
    <row r="218" spans="1:7" ht="15.75" customHeight="1">
      <c r="A218" s="2">
        <v>92000552</v>
      </c>
      <c r="B218" s="2" t="s">
        <v>867</v>
      </c>
      <c r="C218" s="5">
        <v>92000552</v>
      </c>
      <c r="D218" s="2" t="s">
        <v>640</v>
      </c>
      <c r="E218" s="2" t="s">
        <v>641</v>
      </c>
      <c r="F218" s="2">
        <v>2</v>
      </c>
      <c r="G218" s="6" t="str">
        <f t="shared" si="0"/>
        <v>https://dto.kemkes.go.id/kfacode/92000552</v>
      </c>
    </row>
    <row r="219" spans="1:7" ht="15.75" customHeight="1">
      <c r="A219" s="2">
        <v>92000708</v>
      </c>
      <c r="B219" s="2" t="s">
        <v>868</v>
      </c>
      <c r="C219" s="5">
        <v>92000708</v>
      </c>
      <c r="D219" s="2" t="s">
        <v>655</v>
      </c>
      <c r="E219" s="2" t="s">
        <v>641</v>
      </c>
      <c r="F219" s="2">
        <v>2</v>
      </c>
      <c r="G219" s="6" t="str">
        <f t="shared" si="0"/>
        <v>https://dto.kemkes.go.id/kfacode/92000708</v>
      </c>
    </row>
    <row r="220" spans="1:7" ht="15.75" customHeight="1">
      <c r="A220" s="2">
        <v>92000510</v>
      </c>
      <c r="B220" s="2" t="s">
        <v>869</v>
      </c>
      <c r="C220" s="5">
        <v>92000510</v>
      </c>
      <c r="D220" s="2" t="s">
        <v>645</v>
      </c>
      <c r="E220" s="2" t="s">
        <v>641</v>
      </c>
      <c r="F220" s="2">
        <v>3</v>
      </c>
      <c r="G220" s="6" t="str">
        <f t="shared" si="0"/>
        <v>https://dto.kemkes.go.id/kfacode/92000510</v>
      </c>
    </row>
    <row r="221" spans="1:7" ht="15.75" customHeight="1">
      <c r="A221" s="2">
        <v>92000402</v>
      </c>
      <c r="B221" s="2" t="s">
        <v>870</v>
      </c>
      <c r="C221" s="5">
        <v>92000402</v>
      </c>
      <c r="D221" s="2" t="s">
        <v>702</v>
      </c>
      <c r="E221" s="2" t="s">
        <v>641</v>
      </c>
      <c r="F221" s="2">
        <v>2</v>
      </c>
      <c r="G221" s="6" t="str">
        <f t="shared" si="0"/>
        <v>https://dto.kemkes.go.id/kfacode/92000402</v>
      </c>
    </row>
    <row r="222" spans="1:7" ht="15.75" customHeight="1">
      <c r="A222" s="2">
        <v>92000583</v>
      </c>
      <c r="B222" s="2" t="s">
        <v>871</v>
      </c>
      <c r="C222" s="5">
        <v>92000583</v>
      </c>
      <c r="D222" s="2" t="s">
        <v>640</v>
      </c>
      <c r="E222" s="2" t="s">
        <v>641</v>
      </c>
      <c r="F222" s="2">
        <v>3</v>
      </c>
      <c r="G222" s="6" t="str">
        <f t="shared" si="0"/>
        <v>https://dto.kemkes.go.id/kfacode/92000583</v>
      </c>
    </row>
    <row r="223" spans="1:7" ht="15.75" customHeight="1">
      <c r="A223" s="2">
        <v>92000694</v>
      </c>
      <c r="B223" s="2" t="s">
        <v>872</v>
      </c>
      <c r="C223" s="5">
        <v>92000694</v>
      </c>
      <c r="D223" s="2" t="s">
        <v>640</v>
      </c>
      <c r="E223" s="2" t="s">
        <v>641</v>
      </c>
      <c r="F223" s="2">
        <v>2</v>
      </c>
      <c r="G223" s="6" t="str">
        <f t="shared" si="0"/>
        <v>https://dto.kemkes.go.id/kfacode/92000694</v>
      </c>
    </row>
    <row r="224" spans="1:7" ht="15.75" customHeight="1">
      <c r="A224" s="2">
        <v>92000692</v>
      </c>
      <c r="B224" s="2" t="s">
        <v>873</v>
      </c>
      <c r="C224" s="5">
        <v>92000692</v>
      </c>
      <c r="D224" s="2" t="s">
        <v>645</v>
      </c>
      <c r="E224" s="2" t="s">
        <v>641</v>
      </c>
      <c r="F224" s="2">
        <v>2</v>
      </c>
      <c r="G224" s="6" t="str">
        <f t="shared" si="0"/>
        <v>https://dto.kemkes.go.id/kfacode/92000692</v>
      </c>
    </row>
    <row r="225" spans="1:7" ht="15.75" customHeight="1">
      <c r="A225" s="2">
        <v>92000508</v>
      </c>
      <c r="B225" s="2" t="s">
        <v>874</v>
      </c>
      <c r="C225" s="5">
        <v>92000508</v>
      </c>
      <c r="D225" s="2" t="s">
        <v>653</v>
      </c>
      <c r="E225" s="2" t="s">
        <v>641</v>
      </c>
      <c r="F225" s="2">
        <v>3</v>
      </c>
      <c r="G225" s="6" t="str">
        <f t="shared" si="0"/>
        <v>https://dto.kemkes.go.id/kfacode/92000508</v>
      </c>
    </row>
    <row r="226" spans="1:7" ht="15.75" customHeight="1">
      <c r="A226" s="2">
        <v>92000109</v>
      </c>
      <c r="B226" s="2" t="s">
        <v>875</v>
      </c>
      <c r="C226" s="5">
        <v>92000109</v>
      </c>
      <c r="D226" s="2" t="s">
        <v>653</v>
      </c>
      <c r="E226" s="2" t="s">
        <v>641</v>
      </c>
      <c r="F226" s="2">
        <v>12</v>
      </c>
      <c r="G226" s="6" t="str">
        <f t="shared" si="0"/>
        <v>https://dto.kemkes.go.id/kfacode/92000109</v>
      </c>
    </row>
    <row r="227" spans="1:7" ht="15.75" customHeight="1">
      <c r="A227" s="2">
        <v>92000200</v>
      </c>
      <c r="B227" s="2" t="s">
        <v>876</v>
      </c>
      <c r="C227" s="5">
        <v>92000200</v>
      </c>
      <c r="D227" s="2" t="s">
        <v>653</v>
      </c>
      <c r="E227" s="2" t="s">
        <v>641</v>
      </c>
      <c r="F227" s="2">
        <v>7</v>
      </c>
      <c r="G227" s="6" t="str">
        <f t="shared" si="0"/>
        <v>https://dto.kemkes.go.id/kfacode/92000200</v>
      </c>
    </row>
    <row r="228" spans="1:7" ht="15.75" customHeight="1">
      <c r="A228" s="2">
        <v>92000584</v>
      </c>
      <c r="B228" s="2" t="s">
        <v>877</v>
      </c>
      <c r="C228" s="5">
        <v>92000584</v>
      </c>
      <c r="D228" s="2" t="s">
        <v>640</v>
      </c>
      <c r="E228" s="2" t="s">
        <v>641</v>
      </c>
      <c r="F228" s="2">
        <v>9</v>
      </c>
      <c r="G228" s="6" t="str">
        <f t="shared" si="0"/>
        <v>https://dto.kemkes.go.id/kfacode/92000584</v>
      </c>
    </row>
    <row r="229" spans="1:7" ht="15.75" customHeight="1">
      <c r="A229" s="2">
        <v>92000892</v>
      </c>
      <c r="B229" s="2" t="s">
        <v>878</v>
      </c>
      <c r="C229" s="5">
        <v>92000892</v>
      </c>
      <c r="D229" s="2" t="s">
        <v>640</v>
      </c>
      <c r="E229" s="2" t="s">
        <v>641</v>
      </c>
      <c r="F229" s="2">
        <v>3</v>
      </c>
      <c r="G229" s="6" t="str">
        <f t="shared" si="0"/>
        <v>https://dto.kemkes.go.id/kfacode/92000892</v>
      </c>
    </row>
    <row r="230" spans="1:7" ht="15.75" customHeight="1">
      <c r="A230" s="2">
        <v>92000139</v>
      </c>
      <c r="B230" s="2" t="s">
        <v>879</v>
      </c>
      <c r="C230" s="5">
        <v>92000139</v>
      </c>
      <c r="D230" s="2" t="s">
        <v>660</v>
      </c>
      <c r="E230" s="2" t="s">
        <v>641</v>
      </c>
      <c r="F230" s="2">
        <v>3</v>
      </c>
      <c r="G230" s="6" t="str">
        <f t="shared" si="0"/>
        <v>https://dto.kemkes.go.id/kfacode/92000139</v>
      </c>
    </row>
    <row r="231" spans="1:7" ht="15.75" customHeight="1">
      <c r="A231" s="2">
        <v>92000143</v>
      </c>
      <c r="B231" s="2" t="s">
        <v>880</v>
      </c>
      <c r="C231" s="5">
        <v>92000143</v>
      </c>
      <c r="D231" s="2" t="s">
        <v>640</v>
      </c>
      <c r="E231" s="2" t="s">
        <v>641</v>
      </c>
      <c r="F231" s="2">
        <v>2</v>
      </c>
      <c r="G231" s="6" t="str">
        <f t="shared" si="0"/>
        <v>https://dto.kemkes.go.id/kfacode/92000143</v>
      </c>
    </row>
    <row r="232" spans="1:7" ht="15.75" customHeight="1">
      <c r="A232" s="2">
        <v>92000138</v>
      </c>
      <c r="B232" s="2" t="s">
        <v>881</v>
      </c>
      <c r="C232" s="5">
        <v>92000138</v>
      </c>
      <c r="D232" s="2" t="s">
        <v>640</v>
      </c>
      <c r="E232" s="2" t="s">
        <v>641</v>
      </c>
      <c r="F232" s="2">
        <v>2</v>
      </c>
      <c r="G232" s="6" t="str">
        <f t="shared" si="0"/>
        <v>https://dto.kemkes.go.id/kfacode/92000138</v>
      </c>
    </row>
    <row r="233" spans="1:7" ht="15.75" customHeight="1">
      <c r="A233" s="2">
        <v>92000695</v>
      </c>
      <c r="B233" s="2" t="s">
        <v>882</v>
      </c>
      <c r="C233" s="5">
        <v>92000695</v>
      </c>
      <c r="D233" s="2" t="s">
        <v>702</v>
      </c>
      <c r="E233" s="2" t="s">
        <v>641</v>
      </c>
      <c r="F233" s="2">
        <v>2</v>
      </c>
      <c r="G233" s="6" t="str">
        <f t="shared" si="0"/>
        <v>https://dto.kemkes.go.id/kfacode/92000695</v>
      </c>
    </row>
    <row r="234" spans="1:7" ht="15.75" customHeight="1">
      <c r="A234" s="2">
        <v>92000137</v>
      </c>
      <c r="B234" s="2" t="s">
        <v>883</v>
      </c>
      <c r="C234" s="5">
        <v>92000137</v>
      </c>
      <c r="D234" s="2" t="s">
        <v>658</v>
      </c>
      <c r="E234" s="2" t="s">
        <v>641</v>
      </c>
      <c r="F234" s="2">
        <v>4</v>
      </c>
      <c r="G234" s="6" t="str">
        <f t="shared" si="0"/>
        <v>https://dto.kemkes.go.id/kfacode/92000137</v>
      </c>
    </row>
    <row r="235" spans="1:7" ht="15.75" customHeight="1">
      <c r="A235" s="2">
        <v>92000142</v>
      </c>
      <c r="B235" s="2" t="s">
        <v>884</v>
      </c>
      <c r="C235" s="5">
        <v>92000142</v>
      </c>
      <c r="D235" s="2" t="s">
        <v>660</v>
      </c>
      <c r="E235" s="2" t="s">
        <v>641</v>
      </c>
      <c r="F235" s="2">
        <v>1</v>
      </c>
      <c r="G235" s="6" t="str">
        <f t="shared" si="0"/>
        <v>https://dto.kemkes.go.id/kfacode/92000142</v>
      </c>
    </row>
    <row r="236" spans="1:7" ht="15.75" customHeight="1">
      <c r="A236" s="2">
        <v>92000141</v>
      </c>
      <c r="B236" s="2" t="s">
        <v>885</v>
      </c>
      <c r="C236" s="5">
        <v>92000141</v>
      </c>
      <c r="D236" s="2" t="s">
        <v>640</v>
      </c>
      <c r="E236" s="2" t="s">
        <v>641</v>
      </c>
      <c r="F236" s="2">
        <v>2</v>
      </c>
      <c r="G236" s="6" t="str">
        <f t="shared" si="0"/>
        <v>https://dto.kemkes.go.id/kfacode/92000141</v>
      </c>
    </row>
    <row r="237" spans="1:7" ht="15.75" customHeight="1">
      <c r="A237" s="2">
        <v>92000140</v>
      </c>
      <c r="B237" s="2" t="s">
        <v>886</v>
      </c>
      <c r="C237" s="5">
        <v>92000140</v>
      </c>
      <c r="D237" s="2" t="s">
        <v>640</v>
      </c>
      <c r="E237" s="2" t="s">
        <v>641</v>
      </c>
      <c r="F237" s="2">
        <v>2</v>
      </c>
      <c r="G237" s="6" t="str">
        <f t="shared" si="0"/>
        <v>https://dto.kemkes.go.id/kfacode/92000140</v>
      </c>
    </row>
    <row r="238" spans="1:7" ht="15.75" customHeight="1">
      <c r="A238" s="2">
        <v>92000118</v>
      </c>
      <c r="B238" s="2" t="s">
        <v>887</v>
      </c>
      <c r="C238" s="5">
        <v>92000118</v>
      </c>
      <c r="D238" s="2" t="s">
        <v>640</v>
      </c>
      <c r="E238" s="2" t="s">
        <v>641</v>
      </c>
      <c r="F238" s="2">
        <v>2</v>
      </c>
      <c r="G238" s="6" t="str">
        <f t="shared" si="0"/>
        <v>https://dto.kemkes.go.id/kfacode/92000118</v>
      </c>
    </row>
    <row r="239" spans="1:7" ht="15.75" customHeight="1">
      <c r="A239" s="2">
        <v>92000255</v>
      </c>
      <c r="B239" s="2" t="s">
        <v>888</v>
      </c>
      <c r="C239" s="5">
        <v>92000255</v>
      </c>
      <c r="D239" s="2" t="s">
        <v>640</v>
      </c>
      <c r="E239" s="2" t="s">
        <v>641</v>
      </c>
      <c r="F239" s="2">
        <v>2</v>
      </c>
      <c r="G239" s="6" t="str">
        <f t="shared" si="0"/>
        <v>https://dto.kemkes.go.id/kfacode/92000255</v>
      </c>
    </row>
    <row r="240" spans="1:7" ht="15.75" customHeight="1">
      <c r="A240" s="2">
        <v>92000471</v>
      </c>
      <c r="B240" s="2" t="s">
        <v>889</v>
      </c>
      <c r="C240" s="5">
        <v>92000471</v>
      </c>
      <c r="D240" s="2" t="s">
        <v>645</v>
      </c>
      <c r="E240" s="2" t="s">
        <v>641</v>
      </c>
      <c r="F240" s="2">
        <v>2</v>
      </c>
      <c r="G240" s="6" t="str">
        <f t="shared" si="0"/>
        <v>https://dto.kemkes.go.id/kfacode/92000471</v>
      </c>
    </row>
    <row r="241" spans="1:7" ht="15.75" customHeight="1">
      <c r="A241" s="2">
        <v>92000154</v>
      </c>
      <c r="B241" s="2" t="s">
        <v>890</v>
      </c>
      <c r="C241" s="5">
        <v>92000154</v>
      </c>
      <c r="D241" s="2" t="s">
        <v>653</v>
      </c>
      <c r="E241" s="2" t="s">
        <v>641</v>
      </c>
      <c r="F241" s="2">
        <v>6</v>
      </c>
      <c r="G241" s="6" t="str">
        <f t="shared" si="0"/>
        <v>https://dto.kemkes.go.id/kfacode/92000154</v>
      </c>
    </row>
    <row r="242" spans="1:7" ht="15.75" customHeight="1">
      <c r="A242" s="2">
        <v>92000673</v>
      </c>
      <c r="B242" s="2" t="s">
        <v>891</v>
      </c>
      <c r="C242" s="5">
        <v>92000673</v>
      </c>
      <c r="D242" s="2" t="s">
        <v>653</v>
      </c>
      <c r="E242" s="2" t="s">
        <v>641</v>
      </c>
      <c r="F242" s="2">
        <v>5</v>
      </c>
      <c r="G242" s="6" t="str">
        <f t="shared" si="0"/>
        <v>https://dto.kemkes.go.id/kfacode/92000673</v>
      </c>
    </row>
    <row r="243" spans="1:7" ht="15.75" customHeight="1">
      <c r="A243" s="2">
        <v>92000147</v>
      </c>
      <c r="B243" s="2" t="s">
        <v>892</v>
      </c>
      <c r="C243" s="5">
        <v>92000147</v>
      </c>
      <c r="D243" s="2" t="s">
        <v>649</v>
      </c>
      <c r="E243" s="2" t="s">
        <v>641</v>
      </c>
      <c r="F243" s="2">
        <v>3</v>
      </c>
      <c r="G243" s="6" t="str">
        <f t="shared" si="0"/>
        <v>https://dto.kemkes.go.id/kfacode/92000147</v>
      </c>
    </row>
    <row r="244" spans="1:7" ht="15.75" customHeight="1">
      <c r="A244" s="2">
        <v>92000779</v>
      </c>
      <c r="B244" s="2" t="s">
        <v>893</v>
      </c>
      <c r="C244" s="5">
        <v>92000779</v>
      </c>
      <c r="D244" s="2" t="s">
        <v>640</v>
      </c>
      <c r="E244" s="2" t="s">
        <v>641</v>
      </c>
      <c r="F244" s="2">
        <v>2</v>
      </c>
      <c r="G244" s="6" t="str">
        <f t="shared" si="0"/>
        <v>https://dto.kemkes.go.id/kfacode/92000779</v>
      </c>
    </row>
    <row r="245" spans="1:7" ht="15.75" customHeight="1">
      <c r="A245" s="2">
        <v>92000677</v>
      </c>
      <c r="B245" s="2" t="s">
        <v>894</v>
      </c>
      <c r="C245" s="5">
        <v>92000677</v>
      </c>
      <c r="D245" s="2" t="s">
        <v>640</v>
      </c>
      <c r="E245" s="2" t="s">
        <v>641</v>
      </c>
      <c r="F245" s="2">
        <v>2</v>
      </c>
      <c r="G245" s="6" t="str">
        <f t="shared" si="0"/>
        <v>https://dto.kemkes.go.id/kfacode/92000677</v>
      </c>
    </row>
    <row r="246" spans="1:7" ht="15.75" customHeight="1">
      <c r="A246" s="2">
        <v>92000279</v>
      </c>
      <c r="B246" s="2" t="s">
        <v>895</v>
      </c>
      <c r="C246" s="5">
        <v>92000279</v>
      </c>
      <c r="D246" s="2" t="s">
        <v>673</v>
      </c>
      <c r="E246" s="2" t="s">
        <v>641</v>
      </c>
      <c r="F246" s="2">
        <v>2</v>
      </c>
      <c r="G246" s="6" t="str">
        <f t="shared" si="0"/>
        <v>https://dto.kemkes.go.id/kfacode/92000279</v>
      </c>
    </row>
    <row r="247" spans="1:7" ht="15.75" customHeight="1">
      <c r="A247" s="2">
        <v>92000456</v>
      </c>
      <c r="B247" s="2" t="s">
        <v>896</v>
      </c>
      <c r="C247" s="5">
        <v>92000456</v>
      </c>
      <c r="D247" s="2" t="s">
        <v>640</v>
      </c>
      <c r="E247" s="2" t="s">
        <v>641</v>
      </c>
      <c r="F247" s="2">
        <v>2</v>
      </c>
      <c r="G247" s="6" t="str">
        <f t="shared" si="0"/>
        <v>https://dto.kemkes.go.id/kfacode/92000456</v>
      </c>
    </row>
    <row r="248" spans="1:7" ht="15.75" customHeight="1">
      <c r="A248" s="2">
        <v>92000458</v>
      </c>
      <c r="B248" s="2" t="s">
        <v>897</v>
      </c>
      <c r="C248" s="5">
        <v>92000458</v>
      </c>
      <c r="D248" s="2" t="s">
        <v>640</v>
      </c>
      <c r="E248" s="2" t="s">
        <v>641</v>
      </c>
      <c r="F248" s="2">
        <v>2</v>
      </c>
      <c r="G248" s="6" t="str">
        <f t="shared" si="0"/>
        <v>https://dto.kemkes.go.id/kfacode/92000458</v>
      </c>
    </row>
    <row r="249" spans="1:7" ht="15.75" customHeight="1">
      <c r="A249" s="2">
        <v>92000613</v>
      </c>
      <c r="B249" s="2" t="s">
        <v>898</v>
      </c>
      <c r="C249" s="5">
        <v>92000613</v>
      </c>
      <c r="D249" s="2" t="s">
        <v>899</v>
      </c>
      <c r="E249" s="2" t="s">
        <v>641</v>
      </c>
      <c r="F249" s="2">
        <v>4</v>
      </c>
      <c r="G249" s="6" t="str">
        <f t="shared" si="0"/>
        <v>https://dto.kemkes.go.id/kfacode/92000613</v>
      </c>
    </row>
    <row r="250" spans="1:7" ht="15.75" customHeight="1">
      <c r="A250" s="2">
        <v>92000713</v>
      </c>
      <c r="B250" s="2" t="s">
        <v>900</v>
      </c>
      <c r="C250" s="5">
        <v>92000713</v>
      </c>
      <c r="D250" s="2" t="s">
        <v>640</v>
      </c>
      <c r="E250" s="2" t="s">
        <v>641</v>
      </c>
      <c r="F250" s="2">
        <v>2</v>
      </c>
      <c r="G250" s="6" t="str">
        <f t="shared" si="0"/>
        <v>https://dto.kemkes.go.id/kfacode/92000713</v>
      </c>
    </row>
    <row r="251" spans="1:7" ht="15.75" customHeight="1">
      <c r="A251" s="2">
        <v>92000555</v>
      </c>
      <c r="B251" s="2" t="s">
        <v>901</v>
      </c>
      <c r="C251" s="5">
        <v>92000555</v>
      </c>
      <c r="D251" s="2" t="s">
        <v>640</v>
      </c>
      <c r="E251" s="2" t="s">
        <v>641</v>
      </c>
      <c r="F251" s="2">
        <v>2</v>
      </c>
      <c r="G251" s="6" t="str">
        <f t="shared" si="0"/>
        <v>https://dto.kemkes.go.id/kfacode/92000555</v>
      </c>
    </row>
    <row r="252" spans="1:7" ht="15.75" customHeight="1">
      <c r="A252" s="2">
        <v>92000683</v>
      </c>
      <c r="B252" s="2" t="s">
        <v>902</v>
      </c>
      <c r="C252" s="5">
        <v>92000683</v>
      </c>
      <c r="D252" s="2" t="s">
        <v>645</v>
      </c>
      <c r="E252" s="2" t="s">
        <v>641</v>
      </c>
      <c r="F252" s="2">
        <v>2</v>
      </c>
      <c r="G252" s="6" t="str">
        <f t="shared" si="0"/>
        <v>https://dto.kemkes.go.id/kfacode/92000683</v>
      </c>
    </row>
    <row r="253" spans="1:7" ht="15.75" customHeight="1">
      <c r="A253" s="2">
        <v>92000634</v>
      </c>
      <c r="B253" s="2" t="s">
        <v>903</v>
      </c>
      <c r="C253" s="5">
        <v>92000634</v>
      </c>
      <c r="D253" s="2" t="s">
        <v>645</v>
      </c>
      <c r="E253" s="2" t="s">
        <v>641</v>
      </c>
      <c r="F253" s="2">
        <v>2</v>
      </c>
      <c r="G253" s="6" t="str">
        <f t="shared" si="0"/>
        <v>https://dto.kemkes.go.id/kfacode/92000634</v>
      </c>
    </row>
    <row r="254" spans="1:7" ht="15.75" customHeight="1">
      <c r="A254" s="2">
        <v>92000231</v>
      </c>
      <c r="B254" s="2" t="s">
        <v>904</v>
      </c>
      <c r="C254" s="5">
        <v>92000231</v>
      </c>
      <c r="D254" s="2" t="s">
        <v>653</v>
      </c>
      <c r="E254" s="2" t="s">
        <v>641</v>
      </c>
      <c r="F254" s="2">
        <v>9</v>
      </c>
      <c r="G254" s="6" t="str">
        <f t="shared" si="0"/>
        <v>https://dto.kemkes.go.id/kfacode/92000231</v>
      </c>
    </row>
    <row r="255" spans="1:7" ht="15.75" customHeight="1">
      <c r="A255" s="2">
        <v>92000512</v>
      </c>
      <c r="B255" s="2" t="s">
        <v>905</v>
      </c>
      <c r="C255" s="5">
        <v>92000512</v>
      </c>
      <c r="D255" s="2" t="s">
        <v>899</v>
      </c>
      <c r="E255" s="2" t="s">
        <v>641</v>
      </c>
      <c r="F255" s="2">
        <v>5</v>
      </c>
      <c r="G255" s="6" t="str">
        <f t="shared" si="0"/>
        <v>https://dto.kemkes.go.id/kfacode/92000512</v>
      </c>
    </row>
    <row r="256" spans="1:7" ht="15.75" customHeight="1">
      <c r="A256" s="2">
        <v>92000690</v>
      </c>
      <c r="B256" s="2" t="s">
        <v>906</v>
      </c>
      <c r="C256" s="5">
        <v>92000690</v>
      </c>
      <c r="D256" s="2" t="s">
        <v>899</v>
      </c>
      <c r="E256" s="2" t="s">
        <v>641</v>
      </c>
      <c r="F256" s="2">
        <v>4</v>
      </c>
      <c r="G256" s="6" t="str">
        <f t="shared" si="0"/>
        <v>https://dto.kemkes.go.id/kfacode/92000690</v>
      </c>
    </row>
    <row r="257" spans="1:7" ht="15.75" customHeight="1">
      <c r="A257" s="2">
        <v>92000896</v>
      </c>
      <c r="B257" s="2" t="s">
        <v>907</v>
      </c>
      <c r="C257" s="5">
        <v>92000896</v>
      </c>
      <c r="D257" s="2" t="s">
        <v>899</v>
      </c>
      <c r="E257" s="2" t="s">
        <v>641</v>
      </c>
      <c r="F257" s="2">
        <v>5</v>
      </c>
      <c r="G257" s="6" t="str">
        <f t="shared" si="0"/>
        <v>https://dto.kemkes.go.id/kfacode/92000896</v>
      </c>
    </row>
    <row r="258" spans="1:7" ht="15.75" customHeight="1">
      <c r="A258" s="2">
        <v>92000381</v>
      </c>
      <c r="B258" s="2" t="s">
        <v>908</v>
      </c>
      <c r="C258" s="5">
        <v>92000381</v>
      </c>
      <c r="D258" s="2" t="s">
        <v>899</v>
      </c>
      <c r="E258" s="2" t="s">
        <v>641</v>
      </c>
      <c r="F258" s="2">
        <v>2</v>
      </c>
      <c r="G258" s="6" t="str">
        <f t="shared" si="0"/>
        <v>https://dto.kemkes.go.id/kfacode/92000381</v>
      </c>
    </row>
    <row r="259" spans="1:7" ht="15.75" customHeight="1">
      <c r="A259" s="2">
        <v>92000788</v>
      </c>
      <c r="B259" s="2" t="s">
        <v>909</v>
      </c>
      <c r="C259" s="5">
        <v>92000788</v>
      </c>
      <c r="D259" s="2" t="s">
        <v>824</v>
      </c>
      <c r="E259" s="2" t="s">
        <v>641</v>
      </c>
      <c r="F259" s="2">
        <v>2</v>
      </c>
      <c r="G259" s="6" t="str">
        <f t="shared" si="0"/>
        <v>https://dto.kemkes.go.id/kfacode/92000788</v>
      </c>
    </row>
    <row r="260" spans="1:7" ht="15.75" customHeight="1">
      <c r="A260" s="2">
        <v>92000930</v>
      </c>
      <c r="B260" s="2" t="s">
        <v>910</v>
      </c>
      <c r="C260" s="5">
        <v>92000930</v>
      </c>
      <c r="D260" s="2" t="s">
        <v>653</v>
      </c>
      <c r="E260" s="2" t="s">
        <v>641</v>
      </c>
      <c r="F260" s="2">
        <v>2</v>
      </c>
      <c r="G260" s="6" t="str">
        <f t="shared" si="0"/>
        <v>https://dto.kemkes.go.id/kfacode/92000930</v>
      </c>
    </row>
    <row r="261" spans="1:7" ht="15.75" customHeight="1">
      <c r="A261" s="2">
        <v>92000802</v>
      </c>
      <c r="B261" s="2" t="s">
        <v>911</v>
      </c>
      <c r="C261" s="5">
        <v>92000802</v>
      </c>
      <c r="D261" s="2" t="s">
        <v>640</v>
      </c>
      <c r="E261" s="2" t="s">
        <v>641</v>
      </c>
      <c r="F261" s="2">
        <v>2</v>
      </c>
      <c r="G261" s="6" t="str">
        <f t="shared" si="0"/>
        <v>https://dto.kemkes.go.id/kfacode/92000802</v>
      </c>
    </row>
    <row r="262" spans="1:7" ht="15.75" customHeight="1">
      <c r="A262" s="2">
        <v>92000534</v>
      </c>
      <c r="B262" s="2" t="s">
        <v>912</v>
      </c>
      <c r="C262" s="5">
        <v>92000534</v>
      </c>
      <c r="D262" s="2" t="s">
        <v>640</v>
      </c>
      <c r="E262" s="2" t="s">
        <v>641</v>
      </c>
      <c r="F262" s="2">
        <v>2</v>
      </c>
      <c r="G262" s="6" t="str">
        <f t="shared" si="0"/>
        <v>https://dto.kemkes.go.id/kfacode/92000534</v>
      </c>
    </row>
    <row r="263" spans="1:7" ht="15.75" customHeight="1">
      <c r="A263" s="2">
        <v>92000877</v>
      </c>
      <c r="B263" s="2" t="s">
        <v>913</v>
      </c>
      <c r="C263" s="5">
        <v>92000877</v>
      </c>
      <c r="D263" s="2" t="s">
        <v>658</v>
      </c>
      <c r="E263" s="2" t="s">
        <v>641</v>
      </c>
      <c r="F263" s="2">
        <v>2</v>
      </c>
      <c r="G263" s="6" t="str">
        <f t="shared" si="0"/>
        <v>https://dto.kemkes.go.id/kfacode/92000877</v>
      </c>
    </row>
    <row r="264" spans="1:7" ht="15.75" customHeight="1">
      <c r="A264" s="2">
        <v>92000874</v>
      </c>
      <c r="B264" s="2" t="s">
        <v>914</v>
      </c>
      <c r="C264" s="5">
        <v>92000874</v>
      </c>
      <c r="D264" s="2" t="s">
        <v>649</v>
      </c>
      <c r="E264" s="2" t="s">
        <v>641</v>
      </c>
      <c r="F264" s="2">
        <v>2</v>
      </c>
      <c r="G264" s="6" t="str">
        <f t="shared" si="0"/>
        <v>https://dto.kemkes.go.id/kfacode/92000874</v>
      </c>
    </row>
    <row r="265" spans="1:7" ht="15.75" customHeight="1">
      <c r="A265" s="2">
        <v>92000614</v>
      </c>
      <c r="B265" s="2" t="s">
        <v>915</v>
      </c>
      <c r="C265" s="5">
        <v>92000614</v>
      </c>
      <c r="D265" s="2" t="s">
        <v>899</v>
      </c>
      <c r="E265" s="2" t="s">
        <v>641</v>
      </c>
      <c r="F265" s="2">
        <v>2</v>
      </c>
      <c r="G265" s="6" t="str">
        <f t="shared" si="0"/>
        <v>https://dto.kemkes.go.id/kfacode/92000614</v>
      </c>
    </row>
    <row r="266" spans="1:7" ht="15.75" customHeight="1">
      <c r="A266" s="2">
        <v>92000177</v>
      </c>
      <c r="B266" s="2" t="s">
        <v>916</v>
      </c>
      <c r="C266" s="5">
        <v>92000177</v>
      </c>
      <c r="D266" s="2" t="s">
        <v>899</v>
      </c>
      <c r="E266" s="2" t="s">
        <v>641</v>
      </c>
      <c r="F266" s="2">
        <v>2</v>
      </c>
      <c r="G266" s="6" t="str">
        <f t="shared" si="0"/>
        <v>https://dto.kemkes.go.id/kfacode/92000177</v>
      </c>
    </row>
    <row r="267" spans="1:7" ht="15.75" customHeight="1">
      <c r="A267" s="2">
        <v>92000569</v>
      </c>
      <c r="B267" s="2" t="s">
        <v>917</v>
      </c>
      <c r="C267" s="5">
        <v>92000569</v>
      </c>
      <c r="D267" s="2" t="s">
        <v>899</v>
      </c>
      <c r="E267" s="2" t="s">
        <v>641</v>
      </c>
      <c r="F267" s="2">
        <v>2</v>
      </c>
      <c r="G267" s="6" t="str">
        <f t="shared" si="0"/>
        <v>https://dto.kemkes.go.id/kfacode/92000569</v>
      </c>
    </row>
    <row r="268" spans="1:7" ht="15.75" customHeight="1">
      <c r="A268" s="2">
        <v>92000674</v>
      </c>
      <c r="B268" s="2" t="s">
        <v>918</v>
      </c>
      <c r="C268" s="5">
        <v>92000674</v>
      </c>
      <c r="D268" s="2" t="s">
        <v>899</v>
      </c>
      <c r="E268" s="2" t="s">
        <v>641</v>
      </c>
      <c r="F268" s="2">
        <v>2</v>
      </c>
      <c r="G268" s="6" t="str">
        <f t="shared" si="0"/>
        <v>https://dto.kemkes.go.id/kfacode/92000674</v>
      </c>
    </row>
    <row r="269" spans="1:7" ht="15.75" customHeight="1">
      <c r="A269" s="2">
        <v>92000348</v>
      </c>
      <c r="B269" s="2" t="s">
        <v>919</v>
      </c>
      <c r="C269" s="5">
        <v>92000348</v>
      </c>
      <c r="D269" s="2" t="s">
        <v>653</v>
      </c>
      <c r="E269" s="2" t="s">
        <v>641</v>
      </c>
      <c r="F269" s="2">
        <v>2</v>
      </c>
      <c r="G269" s="6" t="str">
        <f t="shared" si="0"/>
        <v>https://dto.kemkes.go.id/kfacode/92000348</v>
      </c>
    </row>
    <row r="270" spans="1:7" ht="15.75" customHeight="1">
      <c r="A270" s="2">
        <v>92000902</v>
      </c>
      <c r="B270" s="2" t="s">
        <v>920</v>
      </c>
      <c r="C270" s="5">
        <v>92000902</v>
      </c>
      <c r="D270" s="2" t="s">
        <v>899</v>
      </c>
      <c r="E270" s="2" t="s">
        <v>641</v>
      </c>
      <c r="F270" s="2">
        <v>2</v>
      </c>
      <c r="G270" s="6" t="str">
        <f t="shared" si="0"/>
        <v>https://dto.kemkes.go.id/kfacode/92000902</v>
      </c>
    </row>
    <row r="271" spans="1:7" ht="15.75" customHeight="1">
      <c r="A271" s="2">
        <v>92000298</v>
      </c>
      <c r="B271" s="2" t="s">
        <v>921</v>
      </c>
      <c r="C271" s="5">
        <v>92000298</v>
      </c>
      <c r="D271" s="2" t="s">
        <v>640</v>
      </c>
      <c r="E271" s="2" t="s">
        <v>641</v>
      </c>
      <c r="F271" s="2">
        <v>2</v>
      </c>
      <c r="G271" s="6" t="str">
        <f t="shared" si="0"/>
        <v>https://dto.kemkes.go.id/kfacode/92000298</v>
      </c>
    </row>
    <row r="272" spans="1:7" ht="15.75" customHeight="1">
      <c r="A272" s="2">
        <v>92000149</v>
      </c>
      <c r="B272" s="2" t="s">
        <v>922</v>
      </c>
      <c r="C272" s="5">
        <v>92000149</v>
      </c>
      <c r="D272" s="2" t="s">
        <v>645</v>
      </c>
      <c r="E272" s="2" t="s">
        <v>641</v>
      </c>
      <c r="F272" s="2">
        <v>2</v>
      </c>
      <c r="G272" s="6" t="str">
        <f t="shared" si="0"/>
        <v>https://dto.kemkes.go.id/kfacode/92000149</v>
      </c>
    </row>
    <row r="273" spans="1:7" ht="15.75" customHeight="1">
      <c r="A273" s="2">
        <v>92000806</v>
      </c>
      <c r="B273" s="2" t="s">
        <v>923</v>
      </c>
      <c r="C273" s="5">
        <v>92000806</v>
      </c>
      <c r="D273" s="2" t="s">
        <v>658</v>
      </c>
      <c r="E273" s="2" t="s">
        <v>641</v>
      </c>
      <c r="F273" s="2">
        <v>2</v>
      </c>
      <c r="G273" s="6" t="str">
        <f t="shared" si="0"/>
        <v>https://dto.kemkes.go.id/kfacode/92000806</v>
      </c>
    </row>
    <row r="274" spans="1:7" ht="15.75" customHeight="1">
      <c r="A274" s="2">
        <v>92000564</v>
      </c>
      <c r="B274" s="2" t="s">
        <v>924</v>
      </c>
      <c r="C274" s="5">
        <v>92000564</v>
      </c>
      <c r="D274" s="2" t="s">
        <v>640</v>
      </c>
      <c r="E274" s="2" t="s">
        <v>641</v>
      </c>
      <c r="F274" s="2">
        <v>7</v>
      </c>
      <c r="G274" s="6" t="str">
        <f t="shared" si="0"/>
        <v>https://dto.kemkes.go.id/kfacode/92000564</v>
      </c>
    </row>
    <row r="275" spans="1:7" ht="15.75" customHeight="1">
      <c r="A275" s="2">
        <v>92000643</v>
      </c>
      <c r="B275" s="2" t="s">
        <v>925</v>
      </c>
      <c r="C275" s="5">
        <v>92000643</v>
      </c>
      <c r="D275" s="2" t="s">
        <v>640</v>
      </c>
      <c r="E275" s="2" t="s">
        <v>641</v>
      </c>
      <c r="F275" s="2">
        <v>2</v>
      </c>
      <c r="G275" s="6" t="str">
        <f t="shared" si="0"/>
        <v>https://dto.kemkes.go.id/kfacode/92000643</v>
      </c>
    </row>
    <row r="276" spans="1:7" ht="15.75" customHeight="1">
      <c r="A276" s="2">
        <v>92000642</v>
      </c>
      <c r="B276" s="2" t="s">
        <v>926</v>
      </c>
      <c r="C276" s="5">
        <v>92000642</v>
      </c>
      <c r="D276" s="2" t="s">
        <v>640</v>
      </c>
      <c r="E276" s="2" t="s">
        <v>641</v>
      </c>
      <c r="F276" s="2">
        <v>2</v>
      </c>
      <c r="G276" s="6" t="str">
        <f t="shared" si="0"/>
        <v>https://dto.kemkes.go.id/kfacode/92000642</v>
      </c>
    </row>
    <row r="277" spans="1:7" ht="15.75" customHeight="1">
      <c r="A277" s="2">
        <v>92000748</v>
      </c>
      <c r="B277" s="2" t="s">
        <v>927</v>
      </c>
      <c r="C277" s="5">
        <v>92000748</v>
      </c>
      <c r="D277" s="2" t="s">
        <v>640</v>
      </c>
      <c r="E277" s="2" t="s">
        <v>641</v>
      </c>
      <c r="F277" s="2">
        <v>2</v>
      </c>
      <c r="G277" s="6" t="str">
        <f t="shared" si="0"/>
        <v>https://dto.kemkes.go.id/kfacode/92000748</v>
      </c>
    </row>
    <row r="278" spans="1:7" ht="15.75" customHeight="1">
      <c r="A278" s="2">
        <v>92000675</v>
      </c>
      <c r="B278" s="2" t="s">
        <v>928</v>
      </c>
      <c r="C278" s="5">
        <v>92000675</v>
      </c>
      <c r="D278" s="2" t="s">
        <v>649</v>
      </c>
      <c r="E278" s="2" t="s">
        <v>641</v>
      </c>
      <c r="F278" s="2">
        <v>8</v>
      </c>
      <c r="G278" s="6" t="str">
        <f t="shared" si="0"/>
        <v>https://dto.kemkes.go.id/kfacode/92000675</v>
      </c>
    </row>
    <row r="279" spans="1:7" ht="15.75" customHeight="1">
      <c r="A279" s="2">
        <v>92000260</v>
      </c>
      <c r="B279" s="2" t="s">
        <v>929</v>
      </c>
      <c r="C279" s="5">
        <v>92000260</v>
      </c>
      <c r="D279" s="2" t="s">
        <v>649</v>
      </c>
      <c r="E279" s="2" t="s">
        <v>641</v>
      </c>
      <c r="F279" s="2">
        <v>2</v>
      </c>
      <c r="G279" s="6" t="str">
        <f t="shared" si="0"/>
        <v>https://dto.kemkes.go.id/kfacode/92000260</v>
      </c>
    </row>
    <row r="280" spans="1:7" ht="15.75" customHeight="1">
      <c r="A280" s="2">
        <v>92000261</v>
      </c>
      <c r="B280" s="2" t="s">
        <v>930</v>
      </c>
      <c r="C280" s="5">
        <v>92000261</v>
      </c>
      <c r="D280" s="2" t="s">
        <v>649</v>
      </c>
      <c r="E280" s="2" t="s">
        <v>641</v>
      </c>
      <c r="F280" s="2">
        <v>9</v>
      </c>
      <c r="G280" s="6" t="str">
        <f t="shared" si="0"/>
        <v>https://dto.kemkes.go.id/kfacode/92000261</v>
      </c>
    </row>
    <row r="281" spans="1:7" ht="15.75" customHeight="1">
      <c r="A281" s="2">
        <v>92000931</v>
      </c>
      <c r="B281" s="2" t="s">
        <v>931</v>
      </c>
      <c r="C281" s="5">
        <v>92000931</v>
      </c>
      <c r="D281" s="2" t="s">
        <v>932</v>
      </c>
      <c r="E281" s="2" t="s">
        <v>641</v>
      </c>
      <c r="F281" s="2">
        <v>2</v>
      </c>
      <c r="G281" s="6" t="str">
        <f t="shared" si="0"/>
        <v>https://dto.kemkes.go.id/kfacode/92000931</v>
      </c>
    </row>
    <row r="282" spans="1:7" ht="15.75" customHeight="1">
      <c r="A282" s="2">
        <v>92000878</v>
      </c>
      <c r="B282" s="2" t="s">
        <v>933</v>
      </c>
      <c r="C282" s="5">
        <v>92000878</v>
      </c>
      <c r="D282" s="2" t="s">
        <v>934</v>
      </c>
      <c r="E282" s="2" t="s">
        <v>641</v>
      </c>
      <c r="F282" s="2">
        <v>2</v>
      </c>
      <c r="G282" s="6" t="str">
        <f t="shared" si="0"/>
        <v>https://dto.kemkes.go.id/kfacode/92000878</v>
      </c>
    </row>
    <row r="283" spans="1:7" ht="15.75" customHeight="1">
      <c r="A283" s="2">
        <v>92000900</v>
      </c>
      <c r="B283" s="2" t="s">
        <v>935</v>
      </c>
      <c r="C283" s="5">
        <v>92000900</v>
      </c>
      <c r="D283" s="2" t="s">
        <v>934</v>
      </c>
      <c r="E283" s="2" t="s">
        <v>641</v>
      </c>
      <c r="F283" s="2">
        <v>2</v>
      </c>
      <c r="G283" s="6" t="str">
        <f t="shared" si="0"/>
        <v>https://dto.kemkes.go.id/kfacode/92000900</v>
      </c>
    </row>
    <row r="284" spans="1:7" ht="15.75" customHeight="1">
      <c r="A284" s="2">
        <v>92000128</v>
      </c>
      <c r="B284" s="2" t="s">
        <v>936</v>
      </c>
      <c r="C284" s="5">
        <v>92000128</v>
      </c>
      <c r="D284" s="2" t="s">
        <v>645</v>
      </c>
      <c r="E284" s="2" t="s">
        <v>641</v>
      </c>
      <c r="F284" s="2">
        <v>3</v>
      </c>
      <c r="G284" s="6" t="str">
        <f t="shared" si="0"/>
        <v>https://dto.kemkes.go.id/kfacode/92000128</v>
      </c>
    </row>
    <row r="285" spans="1:7" ht="15.75" customHeight="1">
      <c r="A285" s="2">
        <v>92000700</v>
      </c>
      <c r="B285" s="2" t="s">
        <v>937</v>
      </c>
      <c r="C285" s="5">
        <v>92000700</v>
      </c>
      <c r="D285" s="2" t="s">
        <v>640</v>
      </c>
      <c r="E285" s="2" t="s">
        <v>641</v>
      </c>
      <c r="F285" s="2">
        <v>2</v>
      </c>
      <c r="G285" s="6" t="str">
        <f t="shared" si="0"/>
        <v>https://dto.kemkes.go.id/kfacode/92000700</v>
      </c>
    </row>
    <row r="286" spans="1:7" ht="15.75" customHeight="1">
      <c r="A286" s="2">
        <v>92000653</v>
      </c>
      <c r="B286" s="2" t="s">
        <v>938</v>
      </c>
      <c r="C286" s="5">
        <v>92000653</v>
      </c>
      <c r="D286" s="2" t="s">
        <v>640</v>
      </c>
      <c r="E286" s="2" t="s">
        <v>641</v>
      </c>
      <c r="F286" s="2">
        <v>6</v>
      </c>
      <c r="G286" s="6" t="str">
        <f t="shared" si="0"/>
        <v>https://dto.kemkes.go.id/kfacode/92000653</v>
      </c>
    </row>
    <row r="287" spans="1:7" ht="15.75" customHeight="1">
      <c r="A287" s="2">
        <v>92000157</v>
      </c>
      <c r="B287" s="2" t="s">
        <v>939</v>
      </c>
      <c r="C287" s="5">
        <v>92000157</v>
      </c>
      <c r="D287" s="2" t="s">
        <v>899</v>
      </c>
      <c r="E287" s="2" t="s">
        <v>641</v>
      </c>
      <c r="F287" s="2">
        <v>4</v>
      </c>
      <c r="G287" s="6" t="str">
        <f t="shared" si="0"/>
        <v>https://dto.kemkes.go.id/kfacode/92000157</v>
      </c>
    </row>
    <row r="288" spans="1:7" ht="15.75" customHeight="1">
      <c r="A288" s="2">
        <v>92000399</v>
      </c>
      <c r="B288" s="2" t="s">
        <v>940</v>
      </c>
      <c r="C288" s="5">
        <v>92000399</v>
      </c>
      <c r="D288" s="2" t="s">
        <v>899</v>
      </c>
      <c r="E288" s="2" t="s">
        <v>641</v>
      </c>
      <c r="F288" s="2">
        <v>3</v>
      </c>
      <c r="G288" s="6" t="str">
        <f t="shared" si="0"/>
        <v>https://dto.kemkes.go.id/kfacode/92000399</v>
      </c>
    </row>
    <row r="289" spans="1:7" ht="15.75" customHeight="1">
      <c r="A289" s="2">
        <v>92000576</v>
      </c>
      <c r="B289" s="2" t="s">
        <v>941</v>
      </c>
      <c r="C289" s="5">
        <v>92000576</v>
      </c>
      <c r="D289" s="2" t="s">
        <v>640</v>
      </c>
      <c r="E289" s="2" t="s">
        <v>641</v>
      </c>
      <c r="F289" s="2">
        <v>2</v>
      </c>
      <c r="G289" s="6" t="str">
        <f t="shared" si="0"/>
        <v>https://dto.kemkes.go.id/kfacode/92000576</v>
      </c>
    </row>
    <row r="290" spans="1:7" ht="15.75" customHeight="1">
      <c r="A290" s="2">
        <v>92000514</v>
      </c>
      <c r="B290" s="2" t="s">
        <v>942</v>
      </c>
      <c r="C290" s="5">
        <v>92000514</v>
      </c>
      <c r="D290" s="2" t="s">
        <v>649</v>
      </c>
      <c r="E290" s="2" t="s">
        <v>641</v>
      </c>
      <c r="F290" s="2">
        <v>2</v>
      </c>
      <c r="G290" s="6" t="str">
        <f t="shared" si="0"/>
        <v>https://dto.kemkes.go.id/kfacode/92000514</v>
      </c>
    </row>
    <row r="291" spans="1:7" ht="15.75" customHeight="1">
      <c r="A291" s="2">
        <v>92000392</v>
      </c>
      <c r="B291" s="2" t="s">
        <v>943</v>
      </c>
      <c r="C291" s="5">
        <v>92000392</v>
      </c>
      <c r="D291" s="2" t="s">
        <v>702</v>
      </c>
      <c r="E291" s="2" t="s">
        <v>641</v>
      </c>
      <c r="F291" s="2">
        <v>2</v>
      </c>
      <c r="G291" s="6" t="str">
        <f t="shared" si="0"/>
        <v>https://dto.kemkes.go.id/kfacode/92000392</v>
      </c>
    </row>
    <row r="292" spans="1:7" ht="15.75" customHeight="1">
      <c r="A292" s="2">
        <v>92000934</v>
      </c>
      <c r="B292" s="2" t="s">
        <v>944</v>
      </c>
      <c r="C292" s="5">
        <v>92000934</v>
      </c>
      <c r="D292" s="2" t="s">
        <v>640</v>
      </c>
      <c r="E292" s="2" t="s">
        <v>641</v>
      </c>
      <c r="F292" s="2">
        <v>2</v>
      </c>
      <c r="G292" s="6" t="str">
        <f t="shared" si="0"/>
        <v>https://dto.kemkes.go.id/kfacode/92000934</v>
      </c>
    </row>
    <row r="293" spans="1:7" ht="15.75" customHeight="1">
      <c r="A293" s="2">
        <v>92000627</v>
      </c>
      <c r="B293" s="2" t="s">
        <v>945</v>
      </c>
      <c r="C293" s="5">
        <v>92000627</v>
      </c>
      <c r="D293" s="2" t="s">
        <v>653</v>
      </c>
      <c r="E293" s="2" t="s">
        <v>641</v>
      </c>
      <c r="F293" s="2">
        <v>2</v>
      </c>
      <c r="G293" s="6" t="str">
        <f t="shared" si="0"/>
        <v>https://dto.kemkes.go.id/kfacode/92000627</v>
      </c>
    </row>
    <row r="294" spans="1:7" ht="15.75" customHeight="1">
      <c r="A294" s="2">
        <v>92000401</v>
      </c>
      <c r="B294" s="2" t="s">
        <v>946</v>
      </c>
      <c r="C294" s="5">
        <v>92000401</v>
      </c>
      <c r="D294" s="2" t="s">
        <v>653</v>
      </c>
      <c r="E294" s="2" t="s">
        <v>641</v>
      </c>
      <c r="F294" s="2">
        <v>4</v>
      </c>
      <c r="G294" s="6" t="str">
        <f t="shared" si="0"/>
        <v>https://dto.kemkes.go.id/kfacode/92000401</v>
      </c>
    </row>
    <row r="295" spans="1:7" ht="15.75" customHeight="1">
      <c r="A295" s="2">
        <v>92000586</v>
      </c>
      <c r="B295" s="2" t="s">
        <v>947</v>
      </c>
      <c r="C295" s="5">
        <v>92000586</v>
      </c>
      <c r="D295" s="2" t="s">
        <v>640</v>
      </c>
      <c r="E295" s="2" t="s">
        <v>641</v>
      </c>
      <c r="F295" s="2">
        <v>3</v>
      </c>
      <c r="G295" s="6" t="str">
        <f t="shared" si="0"/>
        <v>https://dto.kemkes.go.id/kfacode/92000586</v>
      </c>
    </row>
    <row r="296" spans="1:7" ht="15.75" customHeight="1">
      <c r="A296" s="2">
        <v>92000599</v>
      </c>
      <c r="B296" s="2" t="s">
        <v>948</v>
      </c>
      <c r="C296" s="5">
        <v>92000599</v>
      </c>
      <c r="D296" s="2" t="s">
        <v>649</v>
      </c>
      <c r="E296" s="2" t="s">
        <v>641</v>
      </c>
      <c r="F296" s="2">
        <v>3</v>
      </c>
      <c r="G296" s="6" t="str">
        <f t="shared" si="0"/>
        <v>https://dto.kemkes.go.id/kfacode/92000599</v>
      </c>
    </row>
    <row r="297" spans="1:7" ht="15.75" customHeight="1">
      <c r="A297" s="2">
        <v>92000197</v>
      </c>
      <c r="B297" s="2" t="s">
        <v>949</v>
      </c>
      <c r="C297" s="5">
        <v>92000197</v>
      </c>
      <c r="D297" s="2" t="s">
        <v>649</v>
      </c>
      <c r="E297" s="2" t="s">
        <v>641</v>
      </c>
      <c r="F297" s="2">
        <v>2</v>
      </c>
      <c r="G297" s="6" t="str">
        <f t="shared" si="0"/>
        <v>https://dto.kemkes.go.id/kfacode/92000197</v>
      </c>
    </row>
    <row r="298" spans="1:7" ht="15.75" customHeight="1">
      <c r="A298" s="2">
        <v>92000726</v>
      </c>
      <c r="B298" s="2" t="s">
        <v>950</v>
      </c>
      <c r="C298" s="5">
        <v>92000726</v>
      </c>
      <c r="D298" s="2" t="s">
        <v>655</v>
      </c>
      <c r="E298" s="2" t="s">
        <v>641</v>
      </c>
      <c r="F298" s="2">
        <v>2</v>
      </c>
      <c r="G298" s="6" t="str">
        <f t="shared" si="0"/>
        <v>https://dto.kemkes.go.id/kfacode/92000726</v>
      </c>
    </row>
    <row r="299" spans="1:7" ht="15.75" customHeight="1">
      <c r="A299" s="2">
        <v>92000404</v>
      </c>
      <c r="B299" s="2" t="s">
        <v>951</v>
      </c>
      <c r="C299" s="5">
        <v>92000404</v>
      </c>
      <c r="D299" s="2" t="s">
        <v>658</v>
      </c>
      <c r="E299" s="2" t="s">
        <v>641</v>
      </c>
      <c r="F299" s="2">
        <v>2</v>
      </c>
      <c r="G299" s="6" t="str">
        <f t="shared" si="0"/>
        <v>https://dto.kemkes.go.id/kfacode/92000404</v>
      </c>
    </row>
    <row r="300" spans="1:7" ht="15.75" customHeight="1">
      <c r="A300" s="2">
        <v>92000759</v>
      </c>
      <c r="B300" s="2" t="s">
        <v>952</v>
      </c>
      <c r="C300" s="5">
        <v>92000759</v>
      </c>
      <c r="D300" s="2" t="s">
        <v>953</v>
      </c>
      <c r="E300" s="2" t="s">
        <v>641</v>
      </c>
      <c r="F300" s="2">
        <v>2</v>
      </c>
      <c r="G300" s="6" t="str">
        <f t="shared" si="0"/>
        <v>https://dto.kemkes.go.id/kfacode/92000759</v>
      </c>
    </row>
    <row r="301" spans="1:7" ht="15.75" customHeight="1">
      <c r="A301" s="2">
        <v>92000784</v>
      </c>
      <c r="B301" s="2" t="s">
        <v>954</v>
      </c>
      <c r="C301" s="5">
        <v>92000784</v>
      </c>
      <c r="D301" s="2" t="s">
        <v>932</v>
      </c>
      <c r="E301" s="2" t="s">
        <v>641</v>
      </c>
      <c r="F301" s="2">
        <v>2</v>
      </c>
      <c r="G301" s="6" t="str">
        <f t="shared" si="0"/>
        <v>https://dto.kemkes.go.id/kfacode/92000784</v>
      </c>
    </row>
    <row r="302" spans="1:7" ht="15.75" customHeight="1">
      <c r="A302" s="2">
        <v>92000762</v>
      </c>
      <c r="B302" s="2" t="s">
        <v>955</v>
      </c>
      <c r="C302" s="5">
        <v>92000762</v>
      </c>
      <c r="D302" s="2" t="s">
        <v>899</v>
      </c>
      <c r="E302" s="2" t="s">
        <v>641</v>
      </c>
      <c r="F302" s="2">
        <v>2</v>
      </c>
      <c r="G302" s="6" t="str">
        <f t="shared" si="0"/>
        <v>https://dto.kemkes.go.id/kfacode/92000762</v>
      </c>
    </row>
    <row r="303" spans="1:7" ht="15.75" customHeight="1">
      <c r="A303" s="2">
        <v>92000720</v>
      </c>
      <c r="B303" s="2" t="s">
        <v>956</v>
      </c>
      <c r="C303" s="5">
        <v>92000720</v>
      </c>
      <c r="D303" s="2" t="s">
        <v>647</v>
      </c>
      <c r="E303" s="2" t="s">
        <v>641</v>
      </c>
      <c r="F303" s="2">
        <v>2</v>
      </c>
      <c r="G303" s="6" t="str">
        <f t="shared" si="0"/>
        <v>https://dto.kemkes.go.id/kfacode/92000720</v>
      </c>
    </row>
    <row r="304" spans="1:7" ht="15.75" customHeight="1">
      <c r="A304" s="2">
        <v>92000596</v>
      </c>
      <c r="B304" s="2" t="s">
        <v>957</v>
      </c>
      <c r="C304" s="5">
        <v>92000596</v>
      </c>
      <c r="D304" s="2" t="s">
        <v>673</v>
      </c>
      <c r="E304" s="2" t="s">
        <v>641</v>
      </c>
      <c r="F304" s="2">
        <v>2</v>
      </c>
      <c r="G304" s="6" t="str">
        <f t="shared" si="0"/>
        <v>https://dto.kemkes.go.id/kfacode/92000596</v>
      </c>
    </row>
    <row r="305" spans="1:7" ht="15.75" customHeight="1">
      <c r="A305" s="2">
        <v>92000603</v>
      </c>
      <c r="B305" s="2" t="s">
        <v>958</v>
      </c>
      <c r="C305" s="5">
        <v>92000603</v>
      </c>
      <c r="D305" s="2" t="s">
        <v>673</v>
      </c>
      <c r="E305" s="2" t="s">
        <v>641</v>
      </c>
      <c r="F305" s="2">
        <v>2</v>
      </c>
      <c r="G305" s="6" t="str">
        <f t="shared" si="0"/>
        <v>https://dto.kemkes.go.id/kfacode/92000603</v>
      </c>
    </row>
    <row r="306" spans="1:7" ht="15.75" customHeight="1">
      <c r="A306" s="2">
        <v>92000171</v>
      </c>
      <c r="B306" s="2" t="s">
        <v>959</v>
      </c>
      <c r="C306" s="5">
        <v>92000171</v>
      </c>
      <c r="D306" s="2" t="s">
        <v>673</v>
      </c>
      <c r="E306" s="2" t="s">
        <v>641</v>
      </c>
      <c r="F306" s="2">
        <v>3</v>
      </c>
      <c r="G306" s="6" t="str">
        <f t="shared" si="0"/>
        <v>https://dto.kemkes.go.id/kfacode/92000171</v>
      </c>
    </row>
    <row r="307" spans="1:7" ht="15.75" customHeight="1">
      <c r="A307" s="2">
        <v>92000696</v>
      </c>
      <c r="B307" s="2" t="s">
        <v>960</v>
      </c>
      <c r="C307" s="5">
        <v>92000696</v>
      </c>
      <c r="D307" s="2" t="s">
        <v>645</v>
      </c>
      <c r="E307" s="2" t="s">
        <v>641</v>
      </c>
      <c r="F307" s="2">
        <v>2</v>
      </c>
      <c r="G307" s="6" t="str">
        <f t="shared" si="0"/>
        <v>https://dto.kemkes.go.id/kfacode/92000696</v>
      </c>
    </row>
    <row r="308" spans="1:7" ht="15.75" customHeight="1">
      <c r="A308" s="2">
        <v>92000914</v>
      </c>
      <c r="B308" s="2" t="s">
        <v>961</v>
      </c>
      <c r="C308" s="5">
        <v>92000914</v>
      </c>
      <c r="D308" s="2" t="s">
        <v>640</v>
      </c>
      <c r="E308" s="2" t="s">
        <v>641</v>
      </c>
      <c r="F308" s="2">
        <v>2</v>
      </c>
      <c r="G308" s="6" t="str">
        <f t="shared" si="0"/>
        <v>https://dto.kemkes.go.id/kfacode/92000914</v>
      </c>
    </row>
    <row r="309" spans="1:7" ht="15.75" customHeight="1">
      <c r="A309" s="2">
        <v>92000712</v>
      </c>
      <c r="B309" s="2" t="s">
        <v>962</v>
      </c>
      <c r="C309" s="5">
        <v>92000712</v>
      </c>
      <c r="D309" s="2" t="s">
        <v>655</v>
      </c>
      <c r="E309" s="2" t="s">
        <v>641</v>
      </c>
      <c r="F309" s="2">
        <v>2</v>
      </c>
      <c r="G309" s="6" t="str">
        <f t="shared" si="0"/>
        <v>https://dto.kemkes.go.id/kfacode/92000712</v>
      </c>
    </row>
    <row r="310" spans="1:7" ht="15.75" customHeight="1">
      <c r="A310" s="2">
        <v>92000254</v>
      </c>
      <c r="B310" s="2" t="s">
        <v>963</v>
      </c>
      <c r="C310" s="5">
        <v>92000254</v>
      </c>
      <c r="D310" s="2" t="s">
        <v>649</v>
      </c>
      <c r="E310" s="2" t="s">
        <v>641</v>
      </c>
      <c r="F310" s="2">
        <v>4</v>
      </c>
      <c r="G310" s="6" t="str">
        <f t="shared" si="0"/>
        <v>https://dto.kemkes.go.id/kfacode/92000254</v>
      </c>
    </row>
    <row r="311" spans="1:7" ht="15.75" customHeight="1">
      <c r="A311" s="2">
        <v>92000693</v>
      </c>
      <c r="B311" s="2" t="s">
        <v>964</v>
      </c>
      <c r="C311" s="5">
        <v>92000693</v>
      </c>
      <c r="D311" s="2" t="s">
        <v>649</v>
      </c>
      <c r="E311" s="2" t="s">
        <v>641</v>
      </c>
      <c r="F311" s="2">
        <v>2</v>
      </c>
      <c r="G311" s="6" t="str">
        <f t="shared" si="0"/>
        <v>https://dto.kemkes.go.id/kfacode/92000693</v>
      </c>
    </row>
    <row r="312" spans="1:7" ht="15.75" customHeight="1">
      <c r="A312" s="2">
        <v>92000648</v>
      </c>
      <c r="B312" s="2" t="s">
        <v>965</v>
      </c>
      <c r="C312" s="5">
        <v>92000648</v>
      </c>
      <c r="D312" s="2" t="s">
        <v>899</v>
      </c>
      <c r="E312" s="2" t="s">
        <v>641</v>
      </c>
      <c r="F312" s="2">
        <v>3</v>
      </c>
      <c r="G312" s="6" t="str">
        <f t="shared" si="0"/>
        <v>https://dto.kemkes.go.id/kfacode/92000648</v>
      </c>
    </row>
    <row r="313" spans="1:7" ht="15.75" customHeight="1">
      <c r="A313" s="2">
        <v>92000894</v>
      </c>
      <c r="B313" s="2" t="s">
        <v>966</v>
      </c>
      <c r="C313" s="5">
        <v>92000894</v>
      </c>
      <c r="D313" s="2" t="s">
        <v>899</v>
      </c>
      <c r="E313" s="2" t="s">
        <v>641</v>
      </c>
      <c r="F313" s="2">
        <v>2</v>
      </c>
      <c r="G313" s="6" t="str">
        <f t="shared" si="0"/>
        <v>https://dto.kemkes.go.id/kfacode/92000894</v>
      </c>
    </row>
    <row r="314" spans="1:7" ht="15.75" customHeight="1">
      <c r="A314" s="2">
        <v>92000220</v>
      </c>
      <c r="B314" s="2" t="s">
        <v>967</v>
      </c>
      <c r="C314" s="5">
        <v>92000220</v>
      </c>
      <c r="D314" s="2" t="s">
        <v>640</v>
      </c>
      <c r="E314" s="2" t="s">
        <v>641</v>
      </c>
      <c r="F314" s="2">
        <v>3</v>
      </c>
      <c r="G314" s="6" t="str">
        <f t="shared" si="0"/>
        <v>https://dto.kemkes.go.id/kfacode/92000220</v>
      </c>
    </row>
    <row r="315" spans="1:7" ht="15.75" customHeight="1">
      <c r="A315" s="2">
        <v>92000550</v>
      </c>
      <c r="B315" s="2" t="s">
        <v>968</v>
      </c>
      <c r="C315" s="5">
        <v>92000550</v>
      </c>
      <c r="D315" s="2" t="s">
        <v>653</v>
      </c>
      <c r="E315" s="2" t="s">
        <v>641</v>
      </c>
      <c r="F315" s="2">
        <v>3</v>
      </c>
      <c r="G315" s="6" t="str">
        <f t="shared" si="0"/>
        <v>https://dto.kemkes.go.id/kfacode/92000550</v>
      </c>
    </row>
    <row r="316" spans="1:7" ht="15.75" customHeight="1">
      <c r="A316" s="2">
        <v>92000106</v>
      </c>
      <c r="B316" s="2" t="s">
        <v>969</v>
      </c>
      <c r="C316" s="5">
        <v>92000106</v>
      </c>
      <c r="D316" s="2" t="s">
        <v>653</v>
      </c>
      <c r="E316" s="2" t="s">
        <v>641</v>
      </c>
      <c r="F316" s="2">
        <v>10</v>
      </c>
      <c r="G316" s="6" t="str">
        <f t="shared" si="0"/>
        <v>https://dto.kemkes.go.id/kfacode/92000106</v>
      </c>
    </row>
    <row r="317" spans="1:7" ht="15.75" customHeight="1">
      <c r="A317" s="2">
        <v>92000107</v>
      </c>
      <c r="B317" s="2" t="s">
        <v>970</v>
      </c>
      <c r="C317" s="5">
        <v>92000107</v>
      </c>
      <c r="D317" s="2" t="s">
        <v>653</v>
      </c>
      <c r="E317" s="2" t="s">
        <v>641</v>
      </c>
      <c r="F317" s="2">
        <v>12</v>
      </c>
      <c r="G317" s="6" t="str">
        <f t="shared" si="0"/>
        <v>https://dto.kemkes.go.id/kfacode/92000107</v>
      </c>
    </row>
    <row r="318" spans="1:7" ht="15.75" customHeight="1">
      <c r="A318" s="2">
        <v>92000638</v>
      </c>
      <c r="B318" s="2" t="s">
        <v>971</v>
      </c>
      <c r="C318" s="5">
        <v>92000638</v>
      </c>
      <c r="D318" s="2" t="s">
        <v>660</v>
      </c>
      <c r="E318" s="2" t="s">
        <v>641</v>
      </c>
      <c r="F318" s="2">
        <v>2</v>
      </c>
      <c r="G318" s="6" t="str">
        <f t="shared" si="0"/>
        <v>https://dto.kemkes.go.id/kfacode/92000638</v>
      </c>
    </row>
    <row r="319" spans="1:7" ht="15.75" customHeight="1">
      <c r="A319" s="2">
        <v>92000731</v>
      </c>
      <c r="B319" s="2" t="s">
        <v>972</v>
      </c>
      <c r="C319" s="5">
        <v>92000731</v>
      </c>
      <c r="D319" s="2" t="s">
        <v>655</v>
      </c>
      <c r="E319" s="2" t="s">
        <v>641</v>
      </c>
      <c r="F319" s="2">
        <v>2</v>
      </c>
      <c r="G319" s="6" t="str">
        <f t="shared" si="0"/>
        <v>https://dto.kemkes.go.id/kfacode/92000731</v>
      </c>
    </row>
    <row r="320" spans="1:7" ht="15.75" customHeight="1">
      <c r="A320" s="2">
        <v>92000883</v>
      </c>
      <c r="B320" s="2" t="s">
        <v>973</v>
      </c>
      <c r="C320" s="5">
        <v>92000883</v>
      </c>
      <c r="D320" s="2" t="s">
        <v>702</v>
      </c>
      <c r="E320" s="2" t="s">
        <v>641</v>
      </c>
      <c r="F320" s="2">
        <v>2</v>
      </c>
      <c r="G320" s="6" t="str">
        <f t="shared" si="0"/>
        <v>https://dto.kemkes.go.id/kfacode/92000883</v>
      </c>
    </row>
    <row r="321" spans="1:7" ht="15.75" customHeight="1">
      <c r="A321" s="2">
        <v>92000904</v>
      </c>
      <c r="B321" s="2" t="s">
        <v>974</v>
      </c>
      <c r="C321" s="5">
        <v>92000904</v>
      </c>
      <c r="D321" s="2" t="s">
        <v>702</v>
      </c>
      <c r="E321" s="2" t="s">
        <v>641</v>
      </c>
      <c r="F321" s="2">
        <v>2</v>
      </c>
      <c r="G321" s="6" t="str">
        <f t="shared" si="0"/>
        <v>https://dto.kemkes.go.id/kfacode/92000904</v>
      </c>
    </row>
    <row r="322" spans="1:7" ht="15.75" customHeight="1">
      <c r="A322" s="2">
        <v>92000450</v>
      </c>
      <c r="B322" s="2" t="s">
        <v>975</v>
      </c>
      <c r="C322" s="5">
        <v>92000450</v>
      </c>
      <c r="D322" s="2" t="s">
        <v>645</v>
      </c>
      <c r="E322" s="2" t="s">
        <v>641</v>
      </c>
      <c r="F322" s="2">
        <v>2</v>
      </c>
      <c r="G322" s="6" t="str">
        <f t="shared" si="0"/>
        <v>https://dto.kemkes.go.id/kfacode/92000450</v>
      </c>
    </row>
    <row r="323" spans="1:7" ht="15.75" customHeight="1">
      <c r="A323" s="2">
        <v>92000217</v>
      </c>
      <c r="B323" s="2" t="s">
        <v>976</v>
      </c>
      <c r="C323" s="5">
        <v>92000217</v>
      </c>
      <c r="D323" s="2" t="s">
        <v>660</v>
      </c>
      <c r="E323" s="2" t="s">
        <v>641</v>
      </c>
      <c r="F323" s="2">
        <v>1</v>
      </c>
      <c r="G323" s="6" t="str">
        <f t="shared" si="0"/>
        <v>https://dto.kemkes.go.id/kfacode/92000217</v>
      </c>
    </row>
    <row r="324" spans="1:7" ht="15.75" customHeight="1">
      <c r="A324" s="2">
        <v>92000216</v>
      </c>
      <c r="B324" s="2" t="s">
        <v>977</v>
      </c>
      <c r="C324" s="5">
        <v>92000216</v>
      </c>
      <c r="D324" s="2" t="s">
        <v>640</v>
      </c>
      <c r="E324" s="2" t="s">
        <v>641</v>
      </c>
      <c r="F324" s="2">
        <v>3</v>
      </c>
      <c r="G324" s="6" t="str">
        <f t="shared" si="0"/>
        <v>https://dto.kemkes.go.id/kfacode/92000216</v>
      </c>
    </row>
    <row r="325" spans="1:7" ht="15.75" customHeight="1">
      <c r="A325" s="2">
        <v>92000591</v>
      </c>
      <c r="B325" s="2" t="s">
        <v>978</v>
      </c>
      <c r="C325" s="5">
        <v>92000591</v>
      </c>
      <c r="D325" s="2" t="s">
        <v>640</v>
      </c>
      <c r="E325" s="2" t="s">
        <v>641</v>
      </c>
      <c r="F325" s="2">
        <v>4</v>
      </c>
      <c r="G325" s="6" t="str">
        <f t="shared" si="0"/>
        <v>https://dto.kemkes.go.id/kfacode/92000591</v>
      </c>
    </row>
    <row r="326" spans="1:7" ht="15.75" customHeight="1">
      <c r="A326" s="2">
        <v>92000352</v>
      </c>
      <c r="B326" s="2" t="s">
        <v>979</v>
      </c>
      <c r="C326" s="5">
        <v>92000352</v>
      </c>
      <c r="D326" s="2" t="s">
        <v>640</v>
      </c>
      <c r="E326" s="2" t="s">
        <v>641</v>
      </c>
      <c r="F326" s="2">
        <v>2</v>
      </c>
      <c r="G326" s="6" t="str">
        <f t="shared" si="0"/>
        <v>https://dto.kemkes.go.id/kfacode/92000352</v>
      </c>
    </row>
    <row r="327" spans="1:7" ht="15.75" customHeight="1">
      <c r="A327" s="2">
        <v>92000523</v>
      </c>
      <c r="B327" s="2" t="s">
        <v>980</v>
      </c>
      <c r="C327" s="5">
        <v>92000523</v>
      </c>
      <c r="D327" s="2" t="s">
        <v>640</v>
      </c>
      <c r="E327" s="2" t="s">
        <v>641</v>
      </c>
      <c r="F327" s="2">
        <v>2</v>
      </c>
      <c r="G327" s="6" t="str">
        <f t="shared" si="0"/>
        <v>https://dto.kemkes.go.id/kfacode/92000523</v>
      </c>
    </row>
    <row r="328" spans="1:7" ht="15.75" customHeight="1">
      <c r="A328" s="2">
        <v>92000594</v>
      </c>
      <c r="B328" s="2" t="s">
        <v>981</v>
      </c>
      <c r="C328" s="5">
        <v>92000594</v>
      </c>
      <c r="D328" s="2" t="s">
        <v>640</v>
      </c>
      <c r="E328" s="2" t="s">
        <v>641</v>
      </c>
      <c r="F328" s="2">
        <v>7</v>
      </c>
      <c r="G328" s="6" t="str">
        <f t="shared" si="0"/>
        <v>https://dto.kemkes.go.id/kfacode/92000594</v>
      </c>
    </row>
    <row r="329" spans="1:7" ht="15.75" customHeight="1">
      <c r="A329" s="2">
        <v>92000163</v>
      </c>
      <c r="B329" s="2" t="s">
        <v>982</v>
      </c>
      <c r="C329" s="5">
        <v>92000163</v>
      </c>
      <c r="D329" s="2" t="s">
        <v>640</v>
      </c>
      <c r="E329" s="2" t="s">
        <v>641</v>
      </c>
      <c r="F329" s="2">
        <v>2</v>
      </c>
      <c r="G329" s="6" t="str">
        <f t="shared" si="0"/>
        <v>https://dto.kemkes.go.id/kfacode/92000163</v>
      </c>
    </row>
    <row r="330" spans="1:7" ht="15.75" customHeight="1">
      <c r="A330" s="2">
        <v>92000595</v>
      </c>
      <c r="B330" s="2" t="s">
        <v>983</v>
      </c>
      <c r="C330" s="5">
        <v>92000595</v>
      </c>
      <c r="D330" s="2" t="s">
        <v>640</v>
      </c>
      <c r="E330" s="2" t="s">
        <v>641</v>
      </c>
      <c r="F330" s="2">
        <v>8</v>
      </c>
      <c r="G330" s="6" t="str">
        <f t="shared" si="0"/>
        <v>https://dto.kemkes.go.id/kfacode/92000595</v>
      </c>
    </row>
    <row r="331" spans="1:7" ht="15.75" customHeight="1">
      <c r="A331" s="2">
        <v>92000417</v>
      </c>
      <c r="B331" s="2" t="s">
        <v>984</v>
      </c>
      <c r="C331" s="5">
        <v>92000417</v>
      </c>
      <c r="D331" s="2" t="s">
        <v>640</v>
      </c>
      <c r="E331" s="2" t="s">
        <v>641</v>
      </c>
      <c r="F331" s="2">
        <v>3</v>
      </c>
      <c r="G331" s="6" t="str">
        <f t="shared" si="0"/>
        <v>https://dto.kemkes.go.id/kfacode/92000417</v>
      </c>
    </row>
    <row r="332" spans="1:7" ht="15.75" customHeight="1">
      <c r="A332" s="2">
        <v>92000869</v>
      </c>
      <c r="B332" s="2" t="s">
        <v>985</v>
      </c>
      <c r="C332" s="5">
        <v>92000869</v>
      </c>
      <c r="D332" s="2" t="s">
        <v>640</v>
      </c>
      <c r="E332" s="2" t="s">
        <v>641</v>
      </c>
      <c r="F332" s="2">
        <v>2</v>
      </c>
      <c r="G332" s="6" t="str">
        <f t="shared" si="0"/>
        <v>https://dto.kemkes.go.id/kfacode/92000869</v>
      </c>
    </row>
    <row r="333" spans="1:7" ht="15.75" customHeight="1">
      <c r="A333" s="2">
        <v>92000870</v>
      </c>
      <c r="B333" s="2" t="s">
        <v>986</v>
      </c>
      <c r="C333" s="5">
        <v>92000870</v>
      </c>
      <c r="D333" s="2" t="s">
        <v>640</v>
      </c>
      <c r="E333" s="2" t="s">
        <v>641</v>
      </c>
      <c r="F333" s="2">
        <v>2</v>
      </c>
      <c r="G333" s="6" t="str">
        <f t="shared" si="0"/>
        <v>https://dto.kemkes.go.id/kfacode/92000870</v>
      </c>
    </row>
    <row r="334" spans="1:7" ht="15.75" customHeight="1">
      <c r="A334" s="2">
        <v>92000376</v>
      </c>
      <c r="B334" s="2" t="s">
        <v>987</v>
      </c>
      <c r="C334" s="5">
        <v>92000376</v>
      </c>
      <c r="D334" s="2" t="s">
        <v>640</v>
      </c>
      <c r="E334" s="2" t="s">
        <v>641</v>
      </c>
      <c r="F334" s="2">
        <v>2</v>
      </c>
      <c r="G334" s="6" t="str">
        <f t="shared" si="0"/>
        <v>https://dto.kemkes.go.id/kfacode/92000376</v>
      </c>
    </row>
    <row r="335" spans="1:7" ht="15.75" customHeight="1">
      <c r="A335" s="2">
        <v>92000854</v>
      </c>
      <c r="B335" s="2" t="s">
        <v>988</v>
      </c>
      <c r="C335" s="5">
        <v>92000854</v>
      </c>
      <c r="D335" s="2" t="s">
        <v>649</v>
      </c>
      <c r="E335" s="2" t="s">
        <v>641</v>
      </c>
      <c r="F335" s="2">
        <v>2</v>
      </c>
      <c r="G335" s="6" t="str">
        <f t="shared" si="0"/>
        <v>https://dto.kemkes.go.id/kfacode/92000854</v>
      </c>
    </row>
    <row r="336" spans="1:7" ht="15.75" customHeight="1">
      <c r="A336" s="2">
        <v>92000743</v>
      </c>
      <c r="B336" s="2" t="s">
        <v>989</v>
      </c>
      <c r="C336" s="5">
        <v>92000743</v>
      </c>
      <c r="D336" s="2" t="s">
        <v>640</v>
      </c>
      <c r="E336" s="2" t="s">
        <v>641</v>
      </c>
      <c r="F336" s="2">
        <v>2</v>
      </c>
      <c r="G336" s="6" t="str">
        <f t="shared" si="0"/>
        <v>https://dto.kemkes.go.id/kfacode/92000743</v>
      </c>
    </row>
    <row r="337" spans="1:7" ht="15.75" customHeight="1">
      <c r="A337" s="2">
        <v>92000528</v>
      </c>
      <c r="B337" s="2" t="s">
        <v>990</v>
      </c>
      <c r="C337" s="5">
        <v>92000528</v>
      </c>
      <c r="D337" s="2" t="s">
        <v>649</v>
      </c>
      <c r="E337" s="2" t="s">
        <v>641</v>
      </c>
      <c r="F337" s="2">
        <v>2</v>
      </c>
      <c r="G337" s="6" t="str">
        <f t="shared" si="0"/>
        <v>https://dto.kemkes.go.id/kfacode/92000528</v>
      </c>
    </row>
    <row r="338" spans="1:7" ht="15.75" customHeight="1">
      <c r="A338" s="2">
        <v>92000296</v>
      </c>
      <c r="B338" s="2" t="s">
        <v>991</v>
      </c>
      <c r="C338" s="5">
        <v>92000296</v>
      </c>
      <c r="D338" s="2" t="s">
        <v>899</v>
      </c>
      <c r="E338" s="2" t="s">
        <v>641</v>
      </c>
      <c r="F338" s="2">
        <v>2</v>
      </c>
      <c r="G338" s="6" t="str">
        <f t="shared" si="0"/>
        <v>https://dto.kemkes.go.id/kfacode/92000296</v>
      </c>
    </row>
    <row r="339" spans="1:7" ht="15.75" customHeight="1">
      <c r="A339" s="2">
        <v>92000295</v>
      </c>
      <c r="B339" s="2" t="s">
        <v>992</v>
      </c>
      <c r="C339" s="5">
        <v>92000295</v>
      </c>
      <c r="D339" s="2" t="s">
        <v>899</v>
      </c>
      <c r="E339" s="2" t="s">
        <v>641</v>
      </c>
      <c r="F339" s="2">
        <v>2</v>
      </c>
      <c r="G339" s="6" t="str">
        <f t="shared" si="0"/>
        <v>https://dto.kemkes.go.id/kfacode/92000295</v>
      </c>
    </row>
    <row r="340" spans="1:7" ht="15.75" customHeight="1">
      <c r="A340" s="2">
        <v>92000561</v>
      </c>
      <c r="B340" s="2" t="s">
        <v>993</v>
      </c>
      <c r="C340" s="5">
        <v>92000561</v>
      </c>
      <c r="D340" s="2" t="s">
        <v>640</v>
      </c>
      <c r="E340" s="2" t="s">
        <v>641</v>
      </c>
      <c r="F340" s="2">
        <v>2</v>
      </c>
      <c r="G340" s="6" t="str">
        <f t="shared" si="0"/>
        <v>https://dto.kemkes.go.id/kfacode/92000561</v>
      </c>
    </row>
    <row r="341" spans="1:7" ht="15.75" customHeight="1">
      <c r="A341" s="2">
        <v>92000644</v>
      </c>
      <c r="B341" s="2" t="s">
        <v>994</v>
      </c>
      <c r="C341" s="5">
        <v>92000644</v>
      </c>
      <c r="D341" s="2" t="s">
        <v>640</v>
      </c>
      <c r="E341" s="2" t="s">
        <v>641</v>
      </c>
      <c r="F341" s="2">
        <v>3</v>
      </c>
      <c r="G341" s="6" t="str">
        <f t="shared" si="0"/>
        <v>https://dto.kemkes.go.id/kfacode/92000644</v>
      </c>
    </row>
    <row r="342" spans="1:7" ht="15.75" customHeight="1">
      <c r="A342" s="2">
        <v>92000889</v>
      </c>
      <c r="B342" s="2" t="s">
        <v>995</v>
      </c>
      <c r="C342" s="5">
        <v>92000889</v>
      </c>
      <c r="D342" s="2" t="s">
        <v>640</v>
      </c>
      <c r="E342" s="2" t="s">
        <v>641</v>
      </c>
      <c r="F342" s="2">
        <v>3</v>
      </c>
      <c r="G342" s="6" t="str">
        <f t="shared" si="0"/>
        <v>https://dto.kemkes.go.id/kfacode/92000889</v>
      </c>
    </row>
    <row r="343" spans="1:7" ht="15.75" customHeight="1">
      <c r="A343" s="2">
        <v>92000527</v>
      </c>
      <c r="B343" s="2" t="s">
        <v>996</v>
      </c>
      <c r="C343" s="5">
        <v>92000527</v>
      </c>
      <c r="D343" s="2" t="s">
        <v>640</v>
      </c>
      <c r="E343" s="2" t="s">
        <v>641</v>
      </c>
      <c r="F343" s="2">
        <v>2</v>
      </c>
      <c r="G343" s="6" t="str">
        <f t="shared" si="0"/>
        <v>https://dto.kemkes.go.id/kfacode/92000527</v>
      </c>
    </row>
    <row r="344" spans="1:7" ht="15.75" customHeight="1">
      <c r="A344" s="2">
        <v>92000772</v>
      </c>
      <c r="B344" s="2" t="s">
        <v>997</v>
      </c>
      <c r="C344" s="5">
        <v>92000772</v>
      </c>
      <c r="D344" s="2" t="s">
        <v>640</v>
      </c>
      <c r="E344" s="2" t="s">
        <v>641</v>
      </c>
      <c r="F344" s="2">
        <v>2</v>
      </c>
      <c r="G344" s="6" t="str">
        <f t="shared" si="0"/>
        <v>https://dto.kemkes.go.id/kfacode/92000772</v>
      </c>
    </row>
    <row r="345" spans="1:7" ht="15.75" customHeight="1">
      <c r="A345" s="2">
        <v>92000429</v>
      </c>
      <c r="B345" s="2" t="s">
        <v>998</v>
      </c>
      <c r="C345" s="5">
        <v>92000429</v>
      </c>
      <c r="D345" s="2" t="s">
        <v>649</v>
      </c>
      <c r="E345" s="2" t="s">
        <v>641</v>
      </c>
      <c r="F345" s="2">
        <v>1</v>
      </c>
      <c r="G345" s="6" t="str">
        <f t="shared" si="0"/>
        <v>https://dto.kemkes.go.id/kfacode/92000429</v>
      </c>
    </row>
    <row r="346" spans="1:7" ht="15.75" customHeight="1">
      <c r="A346" s="2">
        <v>92000426</v>
      </c>
      <c r="B346" s="2" t="s">
        <v>999</v>
      </c>
      <c r="C346" s="5">
        <v>92000426</v>
      </c>
      <c r="D346" s="2" t="s">
        <v>640</v>
      </c>
      <c r="E346" s="2" t="s">
        <v>641</v>
      </c>
      <c r="F346" s="2">
        <v>2</v>
      </c>
      <c r="G346" s="6" t="str">
        <f t="shared" si="0"/>
        <v>https://dto.kemkes.go.id/kfacode/92000426</v>
      </c>
    </row>
    <row r="347" spans="1:7" ht="15.75" customHeight="1">
      <c r="A347" s="2">
        <v>92000851</v>
      </c>
      <c r="B347" s="2" t="s">
        <v>1000</v>
      </c>
      <c r="C347" s="5">
        <v>92000851</v>
      </c>
      <c r="D347" s="2" t="s">
        <v>658</v>
      </c>
      <c r="E347" s="2" t="s">
        <v>641</v>
      </c>
      <c r="F347" s="2">
        <v>2</v>
      </c>
      <c r="G347" s="6" t="str">
        <f t="shared" si="0"/>
        <v>https://dto.kemkes.go.id/kfacode/92000851</v>
      </c>
    </row>
    <row r="348" spans="1:7" ht="15.75" customHeight="1">
      <c r="A348" s="2">
        <v>92000879</v>
      </c>
      <c r="B348" s="2" t="s">
        <v>1001</v>
      </c>
      <c r="C348" s="5">
        <v>92000879</v>
      </c>
      <c r="D348" s="2" t="s">
        <v>645</v>
      </c>
      <c r="E348" s="2" t="s">
        <v>641</v>
      </c>
      <c r="F348" s="2">
        <v>3</v>
      </c>
      <c r="G348" s="6" t="str">
        <f t="shared" si="0"/>
        <v>https://dto.kemkes.go.id/kfacode/92000879</v>
      </c>
    </row>
    <row r="349" spans="1:7" ht="15.75" customHeight="1">
      <c r="A349" s="2">
        <v>92000445</v>
      </c>
      <c r="B349" s="2" t="s">
        <v>1002</v>
      </c>
      <c r="C349" s="5">
        <v>92000445</v>
      </c>
      <c r="D349" s="2" t="s">
        <v>640</v>
      </c>
      <c r="E349" s="2" t="s">
        <v>641</v>
      </c>
      <c r="F349" s="2">
        <v>2</v>
      </c>
      <c r="G349" s="6" t="str">
        <f t="shared" si="0"/>
        <v>https://dto.kemkes.go.id/kfacode/92000445</v>
      </c>
    </row>
    <row r="350" spans="1:7" ht="15.75" customHeight="1">
      <c r="A350" s="2">
        <v>92000825</v>
      </c>
      <c r="B350" s="2" t="s">
        <v>1003</v>
      </c>
      <c r="C350" s="5">
        <v>92000825</v>
      </c>
      <c r="D350" s="2" t="s">
        <v>645</v>
      </c>
      <c r="E350" s="2" t="s">
        <v>641</v>
      </c>
      <c r="F350" s="2">
        <v>2</v>
      </c>
      <c r="G350" s="6" t="str">
        <f t="shared" si="0"/>
        <v>https://dto.kemkes.go.id/kfacode/92000825</v>
      </c>
    </row>
    <row r="351" spans="1:7" ht="15.75" customHeight="1">
      <c r="A351" s="2">
        <v>92000763</v>
      </c>
      <c r="B351" s="2" t="s">
        <v>1004</v>
      </c>
      <c r="C351" s="5">
        <v>92000763</v>
      </c>
      <c r="D351" s="2" t="s">
        <v>658</v>
      </c>
      <c r="E351" s="2" t="s">
        <v>641</v>
      </c>
      <c r="F351" s="2">
        <v>2</v>
      </c>
      <c r="G351" s="6" t="str">
        <f t="shared" si="0"/>
        <v>https://dto.kemkes.go.id/kfacode/92000763</v>
      </c>
    </row>
    <row r="352" spans="1:7" ht="15.75" customHeight="1">
      <c r="A352" s="2">
        <v>92000487</v>
      </c>
      <c r="B352" s="2" t="s">
        <v>1005</v>
      </c>
      <c r="C352" s="5">
        <v>92000487</v>
      </c>
      <c r="D352" s="2" t="s">
        <v>653</v>
      </c>
      <c r="E352" s="2" t="s">
        <v>641</v>
      </c>
      <c r="F352" s="2">
        <v>7</v>
      </c>
      <c r="G352" s="6" t="str">
        <f t="shared" si="0"/>
        <v>https://dto.kemkes.go.id/kfacode/92000487</v>
      </c>
    </row>
    <row r="353" spans="1:7" ht="15.75" customHeight="1">
      <c r="A353" s="2">
        <v>92000136</v>
      </c>
      <c r="B353" s="2" t="s">
        <v>1006</v>
      </c>
      <c r="C353" s="5">
        <v>92000136</v>
      </c>
      <c r="D353" s="2" t="s">
        <v>653</v>
      </c>
      <c r="E353" s="2" t="s">
        <v>641</v>
      </c>
      <c r="F353" s="2">
        <v>6</v>
      </c>
      <c r="G353" s="6" t="str">
        <f t="shared" si="0"/>
        <v>https://dto.kemkes.go.id/kfacode/92000136</v>
      </c>
    </row>
    <row r="354" spans="1:7" ht="15.75" customHeight="1">
      <c r="A354" s="2">
        <v>92000812</v>
      </c>
      <c r="B354" s="2" t="s">
        <v>1007</v>
      </c>
      <c r="C354" s="5">
        <v>92000812</v>
      </c>
      <c r="D354" s="2" t="s">
        <v>653</v>
      </c>
      <c r="E354" s="2" t="s">
        <v>641</v>
      </c>
      <c r="F354" s="2">
        <v>2</v>
      </c>
      <c r="G354" s="6" t="str">
        <f t="shared" si="0"/>
        <v>https://dto.kemkes.go.id/kfacode/92000812</v>
      </c>
    </row>
    <row r="355" spans="1:7" ht="15.75" customHeight="1">
      <c r="A355" s="2">
        <v>92000105</v>
      </c>
      <c r="B355" s="2" t="s">
        <v>1008</v>
      </c>
      <c r="C355" s="5">
        <v>92000105</v>
      </c>
      <c r="D355" s="2" t="s">
        <v>824</v>
      </c>
      <c r="E355" s="2" t="s">
        <v>641</v>
      </c>
      <c r="F355" s="2">
        <v>5</v>
      </c>
      <c r="G355" s="6" t="str">
        <f t="shared" si="0"/>
        <v>https://dto.kemkes.go.id/kfacode/92000105</v>
      </c>
    </row>
    <row r="356" spans="1:7" ht="15.75" customHeight="1">
      <c r="A356" s="2">
        <v>92000490</v>
      </c>
      <c r="B356" s="2" t="s">
        <v>1009</v>
      </c>
      <c r="C356" s="5">
        <v>92000490</v>
      </c>
      <c r="D356" s="2" t="s">
        <v>653</v>
      </c>
      <c r="E356" s="2" t="s">
        <v>641</v>
      </c>
      <c r="F356" s="2">
        <v>2</v>
      </c>
      <c r="G356" s="6" t="str">
        <f t="shared" si="0"/>
        <v>https://dto.kemkes.go.id/kfacode/92000490</v>
      </c>
    </row>
    <row r="357" spans="1:7" ht="15.75" customHeight="1">
      <c r="A357" s="2">
        <v>92000189</v>
      </c>
      <c r="B357" s="2" t="s">
        <v>1009</v>
      </c>
      <c r="C357" s="5">
        <v>92000189</v>
      </c>
      <c r="D357" s="2" t="s">
        <v>824</v>
      </c>
      <c r="E357" s="2" t="s">
        <v>641</v>
      </c>
      <c r="F357" s="2">
        <v>4</v>
      </c>
      <c r="G357" s="6" t="str">
        <f t="shared" si="0"/>
        <v>https://dto.kemkes.go.id/kfacode/92000189</v>
      </c>
    </row>
    <row r="358" spans="1:7" ht="15.75" customHeight="1">
      <c r="A358" s="2">
        <v>92000492</v>
      </c>
      <c r="B358" s="2" t="s">
        <v>1010</v>
      </c>
      <c r="C358" s="5">
        <v>92000492</v>
      </c>
      <c r="D358" s="2" t="s">
        <v>824</v>
      </c>
      <c r="E358" s="2" t="s">
        <v>641</v>
      </c>
      <c r="F358" s="2">
        <v>4</v>
      </c>
      <c r="G358" s="6" t="str">
        <f t="shared" si="0"/>
        <v>https://dto.kemkes.go.id/kfacode/92000492</v>
      </c>
    </row>
    <row r="359" spans="1:7" ht="15.75" customHeight="1">
      <c r="A359" s="2">
        <v>92000797</v>
      </c>
      <c r="B359" s="2" t="s">
        <v>1011</v>
      </c>
      <c r="C359" s="5">
        <v>92000797</v>
      </c>
      <c r="D359" s="2" t="s">
        <v>899</v>
      </c>
      <c r="E359" s="2" t="s">
        <v>641</v>
      </c>
      <c r="F359" s="2">
        <v>2</v>
      </c>
      <c r="G359" s="6" t="str">
        <f t="shared" si="0"/>
        <v>https://dto.kemkes.go.id/kfacode/92000797</v>
      </c>
    </row>
    <row r="360" spans="1:7" ht="15.75" customHeight="1">
      <c r="A360" s="2">
        <v>92000496</v>
      </c>
      <c r="B360" s="2" t="s">
        <v>1012</v>
      </c>
      <c r="C360" s="5">
        <v>92000496</v>
      </c>
      <c r="D360" s="2" t="s">
        <v>653</v>
      </c>
      <c r="E360" s="2" t="s">
        <v>641</v>
      </c>
      <c r="F360" s="2">
        <v>2</v>
      </c>
      <c r="G360" s="6" t="str">
        <f t="shared" si="0"/>
        <v>https://dto.kemkes.go.id/kfacode/92000496</v>
      </c>
    </row>
    <row r="361" spans="1:7" ht="15.75" customHeight="1">
      <c r="A361" s="2">
        <v>92000893</v>
      </c>
      <c r="B361" s="2" t="s">
        <v>1013</v>
      </c>
      <c r="C361" s="5">
        <v>92000893</v>
      </c>
      <c r="D361" s="2" t="s">
        <v>653</v>
      </c>
      <c r="E361" s="2" t="s">
        <v>641</v>
      </c>
      <c r="F361" s="2">
        <v>2</v>
      </c>
      <c r="G361" s="6" t="str">
        <f t="shared" si="0"/>
        <v>https://dto.kemkes.go.id/kfacode/92000893</v>
      </c>
    </row>
    <row r="362" spans="1:7" ht="15.75" customHeight="1">
      <c r="A362" s="2">
        <v>92000936</v>
      </c>
      <c r="B362" s="2" t="s">
        <v>1014</v>
      </c>
      <c r="C362" s="5">
        <v>92000936</v>
      </c>
      <c r="D362" s="2" t="s">
        <v>653</v>
      </c>
      <c r="E362" s="2" t="s">
        <v>641</v>
      </c>
      <c r="F362" s="2">
        <v>2</v>
      </c>
      <c r="G362" s="6" t="str">
        <f t="shared" si="0"/>
        <v>https://dto.kemkes.go.id/kfacode/92000936</v>
      </c>
    </row>
    <row r="363" spans="1:7" ht="15.75" customHeight="1">
      <c r="A363" s="2">
        <v>92000778</v>
      </c>
      <c r="B363" s="2" t="s">
        <v>1015</v>
      </c>
      <c r="C363" s="5">
        <v>92000778</v>
      </c>
      <c r="D363" s="2" t="s">
        <v>640</v>
      </c>
      <c r="E363" s="2" t="s">
        <v>641</v>
      </c>
      <c r="F363" s="2">
        <v>2</v>
      </c>
      <c r="G363" s="6" t="str">
        <f t="shared" si="0"/>
        <v>https://dto.kemkes.go.id/kfacode/92000778</v>
      </c>
    </row>
    <row r="364" spans="1:7" ht="15.75" customHeight="1">
      <c r="A364" s="2">
        <v>92000530</v>
      </c>
      <c r="B364" s="2" t="s">
        <v>1016</v>
      </c>
      <c r="C364" s="5">
        <v>92000530</v>
      </c>
      <c r="D364" s="2" t="s">
        <v>640</v>
      </c>
      <c r="E364" s="2" t="s">
        <v>641</v>
      </c>
      <c r="F364" s="2">
        <v>2</v>
      </c>
      <c r="G364" s="6" t="str">
        <f t="shared" si="0"/>
        <v>https://dto.kemkes.go.id/kfacode/92000530</v>
      </c>
    </row>
    <row r="365" spans="1:7" ht="15.75" customHeight="1">
      <c r="A365" s="2">
        <v>92000606</v>
      </c>
      <c r="B365" s="2" t="s">
        <v>1017</v>
      </c>
      <c r="C365" s="5">
        <v>92000606</v>
      </c>
      <c r="D365" s="2" t="s">
        <v>673</v>
      </c>
      <c r="E365" s="2" t="s">
        <v>641</v>
      </c>
      <c r="F365" s="2">
        <v>2</v>
      </c>
      <c r="G365" s="6" t="str">
        <f t="shared" si="0"/>
        <v>https://dto.kemkes.go.id/kfacode/92000606</v>
      </c>
    </row>
    <row r="366" spans="1:7" ht="15.75" customHeight="1">
      <c r="A366" s="2">
        <v>92000607</v>
      </c>
      <c r="B366" s="2" t="s">
        <v>1018</v>
      </c>
      <c r="C366" s="5">
        <v>92000607</v>
      </c>
      <c r="D366" s="2" t="s">
        <v>640</v>
      </c>
      <c r="E366" s="2" t="s">
        <v>641</v>
      </c>
      <c r="F366" s="2">
        <v>2</v>
      </c>
      <c r="G366" s="6" t="str">
        <f t="shared" si="0"/>
        <v>https://dto.kemkes.go.id/kfacode/92000607</v>
      </c>
    </row>
    <row r="367" spans="1:7" ht="15.75" customHeight="1">
      <c r="A367" s="2">
        <v>92000771</v>
      </c>
      <c r="B367" s="2" t="s">
        <v>1019</v>
      </c>
      <c r="C367" s="5">
        <v>92000771</v>
      </c>
      <c r="D367" s="2" t="s">
        <v>649</v>
      </c>
      <c r="E367" s="2" t="s">
        <v>641</v>
      </c>
      <c r="F367" s="2">
        <v>2</v>
      </c>
      <c r="G367" s="6" t="str">
        <f t="shared" si="0"/>
        <v>https://dto.kemkes.go.id/kfacode/92000771</v>
      </c>
    </row>
    <row r="368" spans="1:7" ht="15.75" customHeight="1">
      <c r="A368" s="2">
        <v>92000316</v>
      </c>
      <c r="B368" s="2" t="s">
        <v>1020</v>
      </c>
      <c r="C368" s="5">
        <v>92000316</v>
      </c>
      <c r="D368" s="2" t="s">
        <v>640</v>
      </c>
      <c r="E368" s="2" t="s">
        <v>641</v>
      </c>
      <c r="F368" s="2">
        <v>3</v>
      </c>
      <c r="G368" s="6" t="str">
        <f t="shared" si="0"/>
        <v>https://dto.kemkes.go.id/kfacode/92000316</v>
      </c>
    </row>
    <row r="369" spans="1:7" ht="15.75" customHeight="1">
      <c r="A369" s="2">
        <v>92000685</v>
      </c>
      <c r="B369" s="2" t="s">
        <v>1021</v>
      </c>
      <c r="C369" s="5">
        <v>92000685</v>
      </c>
      <c r="D369" s="2" t="s">
        <v>645</v>
      </c>
      <c r="E369" s="2" t="s">
        <v>641</v>
      </c>
      <c r="F369" s="2">
        <v>2</v>
      </c>
      <c r="G369" s="6" t="str">
        <f t="shared" si="0"/>
        <v>https://dto.kemkes.go.id/kfacode/92000685</v>
      </c>
    </row>
    <row r="370" spans="1:7" ht="15.75" customHeight="1">
      <c r="A370" s="2">
        <v>92000807</v>
      </c>
      <c r="B370" s="2" t="s">
        <v>1022</v>
      </c>
      <c r="C370" s="5">
        <v>92000807</v>
      </c>
      <c r="D370" s="2" t="s">
        <v>640</v>
      </c>
      <c r="E370" s="2" t="s">
        <v>641</v>
      </c>
      <c r="F370" s="2">
        <v>7</v>
      </c>
      <c r="G370" s="6" t="str">
        <f t="shared" si="0"/>
        <v>https://dto.kemkes.go.id/kfacode/92000807</v>
      </c>
    </row>
    <row r="371" spans="1:7" ht="15.75" customHeight="1">
      <c r="A371" s="2">
        <v>92000442</v>
      </c>
      <c r="B371" s="2" t="s">
        <v>1023</v>
      </c>
      <c r="C371" s="5">
        <v>92000442</v>
      </c>
      <c r="D371" s="2" t="s">
        <v>653</v>
      </c>
      <c r="E371" s="2" t="s">
        <v>641</v>
      </c>
      <c r="F371" s="2">
        <v>2</v>
      </c>
      <c r="G371" s="6" t="str">
        <f t="shared" si="0"/>
        <v>https://dto.kemkes.go.id/kfacode/92000442</v>
      </c>
    </row>
    <row r="372" spans="1:7" ht="15.75" customHeight="1">
      <c r="A372" s="2">
        <v>92000185</v>
      </c>
      <c r="B372" s="2" t="s">
        <v>1024</v>
      </c>
      <c r="C372" s="5">
        <v>92000185</v>
      </c>
      <c r="D372" s="2" t="s">
        <v>702</v>
      </c>
      <c r="E372" s="2" t="s">
        <v>641</v>
      </c>
      <c r="F372" s="2">
        <v>4</v>
      </c>
      <c r="G372" s="6" t="str">
        <f t="shared" si="0"/>
        <v>https://dto.kemkes.go.id/kfacode/92000185</v>
      </c>
    </row>
    <row r="373" spans="1:7" ht="15.75" customHeight="1">
      <c r="A373" s="2">
        <v>92000913</v>
      </c>
      <c r="B373" s="2" t="s">
        <v>1025</v>
      </c>
      <c r="C373" s="5">
        <v>92000913</v>
      </c>
      <c r="D373" s="2" t="s">
        <v>653</v>
      </c>
      <c r="E373" s="2" t="s">
        <v>641</v>
      </c>
      <c r="F373" s="2">
        <v>2</v>
      </c>
      <c r="G373" s="6" t="str">
        <f t="shared" si="0"/>
        <v>https://dto.kemkes.go.id/kfacode/92000913</v>
      </c>
    </row>
    <row r="374" spans="1:7" ht="15.75" customHeight="1">
      <c r="A374" s="2">
        <v>92000224</v>
      </c>
      <c r="B374" s="2" t="s">
        <v>1026</v>
      </c>
      <c r="C374" s="5">
        <v>92000224</v>
      </c>
      <c r="D374" s="2" t="s">
        <v>702</v>
      </c>
      <c r="E374" s="2" t="s">
        <v>641</v>
      </c>
      <c r="F374" s="2">
        <v>3</v>
      </c>
      <c r="G374" s="6" t="str">
        <f t="shared" si="0"/>
        <v>https://dto.kemkes.go.id/kfacode/92000224</v>
      </c>
    </row>
    <row r="375" spans="1:7" ht="15.75" customHeight="1">
      <c r="A375" s="2">
        <v>92000112</v>
      </c>
      <c r="B375" s="2" t="s">
        <v>1027</v>
      </c>
      <c r="C375" s="5">
        <v>92000112</v>
      </c>
      <c r="D375" s="2" t="s">
        <v>640</v>
      </c>
      <c r="E375" s="2" t="s">
        <v>641</v>
      </c>
      <c r="F375" s="2">
        <v>2</v>
      </c>
      <c r="G375" s="6" t="str">
        <f t="shared" si="0"/>
        <v>https://dto.kemkes.go.id/kfacode/92000112</v>
      </c>
    </row>
    <row r="376" spans="1:7" ht="15.75" customHeight="1">
      <c r="A376" s="2">
        <v>92000103</v>
      </c>
      <c r="B376" s="2" t="s">
        <v>1028</v>
      </c>
      <c r="C376" s="5">
        <v>92000103</v>
      </c>
      <c r="D376" s="2" t="s">
        <v>640</v>
      </c>
      <c r="E376" s="2" t="s">
        <v>641</v>
      </c>
      <c r="F376" s="2">
        <v>3</v>
      </c>
      <c r="G376" s="6" t="str">
        <f t="shared" si="0"/>
        <v>https://dto.kemkes.go.id/kfacode/92000103</v>
      </c>
    </row>
    <row r="377" spans="1:7" ht="15.75" customHeight="1">
      <c r="A377" s="2">
        <v>92000821</v>
      </c>
      <c r="B377" s="2" t="s">
        <v>1029</v>
      </c>
      <c r="C377" s="5">
        <v>92000821</v>
      </c>
      <c r="D377" s="2" t="s">
        <v>673</v>
      </c>
      <c r="E377" s="2" t="s">
        <v>641</v>
      </c>
      <c r="F377" s="2">
        <v>2</v>
      </c>
      <c r="G377" s="6" t="str">
        <f t="shared" si="0"/>
        <v>https://dto.kemkes.go.id/kfacode/92000821</v>
      </c>
    </row>
    <row r="378" spans="1:7" ht="15.75" customHeight="1">
      <c r="A378" s="2">
        <v>92000718</v>
      </c>
      <c r="B378" s="2" t="s">
        <v>1030</v>
      </c>
      <c r="C378" s="5">
        <v>92000718</v>
      </c>
      <c r="D378" s="2" t="s">
        <v>653</v>
      </c>
      <c r="E378" s="2" t="s">
        <v>641</v>
      </c>
      <c r="F378" s="2">
        <v>2</v>
      </c>
      <c r="G378" s="6" t="str">
        <f t="shared" si="0"/>
        <v>https://dto.kemkes.go.id/kfacode/92000718</v>
      </c>
    </row>
    <row r="379" spans="1:7" ht="15.75" customHeight="1">
      <c r="A379" s="2">
        <v>92000447</v>
      </c>
      <c r="B379" s="2" t="s">
        <v>1031</v>
      </c>
      <c r="C379" s="5">
        <v>92000447</v>
      </c>
      <c r="D379" s="2" t="s">
        <v>653</v>
      </c>
      <c r="E379" s="2" t="s">
        <v>641</v>
      </c>
      <c r="F379" s="2">
        <v>2</v>
      </c>
      <c r="G379" s="6" t="str">
        <f t="shared" si="0"/>
        <v>https://dto.kemkes.go.id/kfacode/92000447</v>
      </c>
    </row>
    <row r="380" spans="1:7" ht="15.75" customHeight="1">
      <c r="A380" s="2">
        <v>92000331</v>
      </c>
      <c r="B380" s="2" t="s">
        <v>1032</v>
      </c>
      <c r="C380" s="5">
        <v>92000331</v>
      </c>
      <c r="D380" s="2" t="s">
        <v>653</v>
      </c>
      <c r="E380" s="2" t="s">
        <v>641</v>
      </c>
      <c r="F380" s="2">
        <v>2</v>
      </c>
      <c r="G380" s="6" t="str">
        <f t="shared" si="0"/>
        <v>https://dto.kemkes.go.id/kfacode/92000331</v>
      </c>
    </row>
    <row r="381" spans="1:7" ht="15.75" customHeight="1">
      <c r="A381" s="2">
        <v>92000130</v>
      </c>
      <c r="B381" s="2" t="s">
        <v>1033</v>
      </c>
      <c r="C381" s="5">
        <v>92000130</v>
      </c>
      <c r="D381" s="2" t="s">
        <v>645</v>
      </c>
      <c r="E381" s="2" t="s">
        <v>641</v>
      </c>
      <c r="F381" s="2">
        <v>2</v>
      </c>
      <c r="G381" s="6" t="str">
        <f t="shared" si="0"/>
        <v>https://dto.kemkes.go.id/kfacode/92000130</v>
      </c>
    </row>
    <row r="382" spans="1:7" ht="15.75" customHeight="1">
      <c r="A382" s="2">
        <v>92000433</v>
      </c>
      <c r="B382" s="2" t="s">
        <v>1034</v>
      </c>
      <c r="C382" s="5">
        <v>92000433</v>
      </c>
      <c r="D382" s="2" t="s">
        <v>649</v>
      </c>
      <c r="E382" s="2" t="s">
        <v>641</v>
      </c>
      <c r="F382" s="2">
        <v>2</v>
      </c>
      <c r="G382" s="6" t="str">
        <f t="shared" si="0"/>
        <v>https://dto.kemkes.go.id/kfacode/92000433</v>
      </c>
    </row>
    <row r="383" spans="1:7" ht="15.75" customHeight="1">
      <c r="A383" s="2">
        <v>92000162</v>
      </c>
      <c r="B383" s="2" t="s">
        <v>1035</v>
      </c>
      <c r="C383" s="5">
        <v>92000162</v>
      </c>
      <c r="D383" s="2" t="s">
        <v>640</v>
      </c>
      <c r="E383" s="2" t="s">
        <v>641</v>
      </c>
      <c r="F383" s="2">
        <v>7</v>
      </c>
      <c r="G383" s="6" t="str">
        <f t="shared" si="0"/>
        <v>https://dto.kemkes.go.id/kfacode/92000162</v>
      </c>
    </row>
    <row r="384" spans="1:7" ht="15.75" customHeight="1">
      <c r="A384" s="2">
        <v>92000263</v>
      </c>
      <c r="B384" s="2" t="s">
        <v>1036</v>
      </c>
      <c r="C384" s="5">
        <v>92000263</v>
      </c>
      <c r="D384" s="2" t="s">
        <v>640</v>
      </c>
      <c r="E384" s="2" t="s">
        <v>641</v>
      </c>
      <c r="F384" s="2">
        <v>5</v>
      </c>
      <c r="G384" s="6" t="str">
        <f t="shared" si="0"/>
        <v>https://dto.kemkes.go.id/kfacode/92000263</v>
      </c>
    </row>
    <row r="385" spans="1:7" ht="15.75" customHeight="1">
      <c r="A385" s="2">
        <v>92000947</v>
      </c>
      <c r="B385" s="2" t="s">
        <v>1037</v>
      </c>
      <c r="C385" s="5">
        <v>92000947</v>
      </c>
      <c r="D385" s="2" t="s">
        <v>640</v>
      </c>
      <c r="E385" s="2" t="s">
        <v>641</v>
      </c>
      <c r="F385" s="2">
        <v>2</v>
      </c>
      <c r="G385" s="6" t="str">
        <f t="shared" si="0"/>
        <v>https://dto.kemkes.go.id/kfacode/92000947</v>
      </c>
    </row>
    <row r="386" spans="1:7" ht="15.75" customHeight="1">
      <c r="A386" s="2">
        <v>92000622</v>
      </c>
      <c r="B386" s="2" t="s">
        <v>1038</v>
      </c>
      <c r="C386" s="5">
        <v>92000622</v>
      </c>
      <c r="D386" s="2" t="s">
        <v>640</v>
      </c>
      <c r="E386" s="2" t="s">
        <v>641</v>
      </c>
      <c r="F386" s="2">
        <v>2</v>
      </c>
      <c r="G386" s="6" t="str">
        <f t="shared" si="0"/>
        <v>https://dto.kemkes.go.id/kfacode/92000622</v>
      </c>
    </row>
    <row r="387" spans="1:7" ht="15.75" customHeight="1">
      <c r="A387" s="2">
        <v>92000769</v>
      </c>
      <c r="B387" s="2" t="s">
        <v>1039</v>
      </c>
      <c r="C387" s="5">
        <v>92000769</v>
      </c>
      <c r="D387" s="2" t="s">
        <v>640</v>
      </c>
      <c r="E387" s="2" t="s">
        <v>641</v>
      </c>
      <c r="F387" s="2">
        <v>2</v>
      </c>
      <c r="G387" s="6" t="str">
        <f t="shared" si="0"/>
        <v>https://dto.kemkes.go.id/kfacode/92000769</v>
      </c>
    </row>
    <row r="388" spans="1:7" ht="15.75" customHeight="1">
      <c r="A388" s="2">
        <v>92000519</v>
      </c>
      <c r="B388" s="2" t="s">
        <v>1040</v>
      </c>
      <c r="C388" s="5">
        <v>92000519</v>
      </c>
      <c r="D388" s="2" t="s">
        <v>1041</v>
      </c>
      <c r="E388" s="2" t="s">
        <v>641</v>
      </c>
      <c r="F388" s="2">
        <v>2</v>
      </c>
      <c r="G388" s="6" t="str">
        <f t="shared" si="0"/>
        <v>https://dto.kemkes.go.id/kfacode/92000519</v>
      </c>
    </row>
    <row r="389" spans="1:7" ht="15.75" customHeight="1">
      <c r="A389" s="2">
        <v>92000745</v>
      </c>
      <c r="B389" s="2" t="s">
        <v>1042</v>
      </c>
      <c r="C389" s="5">
        <v>92000745</v>
      </c>
      <c r="D389" s="2" t="s">
        <v>649</v>
      </c>
      <c r="E389" s="2" t="s">
        <v>641</v>
      </c>
      <c r="F389" s="2">
        <v>2</v>
      </c>
      <c r="G389" s="6" t="str">
        <f t="shared" si="0"/>
        <v>https://dto.kemkes.go.id/kfacode/92000745</v>
      </c>
    </row>
    <row r="390" spans="1:7" ht="15.75" customHeight="1">
      <c r="A390" s="2">
        <v>92000305</v>
      </c>
      <c r="B390" s="2" t="s">
        <v>1043</v>
      </c>
      <c r="C390" s="5">
        <v>92000305</v>
      </c>
      <c r="D390" s="2" t="s">
        <v>649</v>
      </c>
      <c r="E390" s="2" t="s">
        <v>641</v>
      </c>
      <c r="F390" s="2">
        <v>2</v>
      </c>
      <c r="G390" s="6" t="str">
        <f t="shared" si="0"/>
        <v>https://dto.kemkes.go.id/kfacode/92000305</v>
      </c>
    </row>
    <row r="391" spans="1:7" ht="15.75" customHeight="1">
      <c r="A391" s="2">
        <v>92000563</v>
      </c>
      <c r="B391" s="2" t="s">
        <v>1044</v>
      </c>
      <c r="C391" s="5">
        <v>92000563</v>
      </c>
      <c r="D391" s="2" t="s">
        <v>649</v>
      </c>
      <c r="E391" s="2" t="s">
        <v>641</v>
      </c>
      <c r="F391" s="2">
        <v>2</v>
      </c>
      <c r="G391" s="6" t="str">
        <f t="shared" si="0"/>
        <v>https://dto.kemkes.go.id/kfacode/92000563</v>
      </c>
    </row>
    <row r="392" spans="1:7" ht="15.75" customHeight="1">
      <c r="A392" s="2">
        <v>92000813</v>
      </c>
      <c r="B392" s="2" t="s">
        <v>1045</v>
      </c>
      <c r="C392" s="5">
        <v>92000813</v>
      </c>
      <c r="D392" s="2" t="s">
        <v>1046</v>
      </c>
      <c r="E392" s="2" t="s">
        <v>641</v>
      </c>
      <c r="F392" s="2">
        <v>2</v>
      </c>
      <c r="G392" s="6" t="str">
        <f t="shared" si="0"/>
        <v>https://dto.kemkes.go.id/kfacode/92000813</v>
      </c>
    </row>
    <row r="393" spans="1:7" ht="15.75" customHeight="1">
      <c r="A393" s="2">
        <v>92000478</v>
      </c>
      <c r="B393" s="2" t="s">
        <v>1047</v>
      </c>
      <c r="C393" s="5">
        <v>92000478</v>
      </c>
      <c r="D393" s="2" t="s">
        <v>1046</v>
      </c>
      <c r="E393" s="2" t="s">
        <v>641</v>
      </c>
      <c r="F393" s="2">
        <v>3</v>
      </c>
      <c r="G393" s="6" t="str">
        <f t="shared" si="0"/>
        <v>https://dto.kemkes.go.id/kfacode/92000478</v>
      </c>
    </row>
    <row r="394" spans="1:7" ht="15.75" customHeight="1">
      <c r="A394" s="2">
        <v>92000463</v>
      </c>
      <c r="B394" s="2" t="s">
        <v>1048</v>
      </c>
      <c r="C394" s="5">
        <v>92000463</v>
      </c>
      <c r="D394" s="2" t="s">
        <v>1046</v>
      </c>
      <c r="E394" s="2" t="s">
        <v>641</v>
      </c>
      <c r="F394" s="2">
        <v>2</v>
      </c>
      <c r="G394" s="6" t="str">
        <f t="shared" si="0"/>
        <v>https://dto.kemkes.go.id/kfacode/92000463</v>
      </c>
    </row>
    <row r="395" spans="1:7" ht="15.75" customHeight="1">
      <c r="A395" s="2">
        <v>92000925</v>
      </c>
      <c r="B395" s="2" t="s">
        <v>1049</v>
      </c>
      <c r="C395" s="5">
        <v>92000925</v>
      </c>
      <c r="D395" s="2" t="s">
        <v>1050</v>
      </c>
      <c r="E395" s="2" t="s">
        <v>641</v>
      </c>
      <c r="F395" s="2">
        <v>2</v>
      </c>
      <c r="G395" s="6" t="str">
        <f t="shared" si="0"/>
        <v>https://dto.kemkes.go.id/kfacode/92000925</v>
      </c>
    </row>
    <row r="396" spans="1:7" ht="15.75" customHeight="1">
      <c r="A396" s="2">
        <v>92000598</v>
      </c>
      <c r="B396" s="2" t="s">
        <v>1051</v>
      </c>
      <c r="C396" s="5">
        <v>92000598</v>
      </c>
      <c r="D396" s="2" t="s">
        <v>1046</v>
      </c>
      <c r="E396" s="2" t="s">
        <v>641</v>
      </c>
      <c r="F396" s="2">
        <v>3</v>
      </c>
      <c r="G396" s="6" t="str">
        <f t="shared" si="0"/>
        <v>https://dto.kemkes.go.id/kfacode/92000598</v>
      </c>
    </row>
    <row r="397" spans="1:7" ht="15.75" customHeight="1">
      <c r="A397" s="2">
        <v>92000672</v>
      </c>
      <c r="B397" s="2" t="s">
        <v>1052</v>
      </c>
      <c r="C397" s="5">
        <v>92000672</v>
      </c>
      <c r="D397" s="2" t="s">
        <v>1046</v>
      </c>
      <c r="E397" s="2" t="s">
        <v>641</v>
      </c>
      <c r="F397" s="2">
        <v>4</v>
      </c>
      <c r="G397" s="6" t="str">
        <f t="shared" si="0"/>
        <v>https://dto.kemkes.go.id/kfacode/92000672</v>
      </c>
    </row>
    <row r="398" spans="1:7" ht="15.75" customHeight="1">
      <c r="A398" s="2">
        <v>92000183</v>
      </c>
      <c r="B398" s="2" t="s">
        <v>1053</v>
      </c>
      <c r="C398" s="5">
        <v>92000183</v>
      </c>
      <c r="D398" s="2" t="s">
        <v>1050</v>
      </c>
      <c r="E398" s="2" t="s">
        <v>641</v>
      </c>
      <c r="F398" s="2">
        <v>6</v>
      </c>
      <c r="G398" s="6" t="str">
        <f t="shared" si="0"/>
        <v>https://dto.kemkes.go.id/kfacode/92000183</v>
      </c>
    </row>
    <row r="399" spans="1:7" ht="15.75" customHeight="1">
      <c r="A399" s="2">
        <v>92000660</v>
      </c>
      <c r="B399" s="2" t="s">
        <v>1054</v>
      </c>
      <c r="C399" s="5">
        <v>92000660</v>
      </c>
      <c r="D399" s="2" t="s">
        <v>1046</v>
      </c>
      <c r="E399" s="2" t="s">
        <v>641</v>
      </c>
      <c r="F399" s="2">
        <v>3</v>
      </c>
      <c r="G399" s="6" t="str">
        <f t="shared" si="0"/>
        <v>https://dto.kemkes.go.id/kfacode/92000660</v>
      </c>
    </row>
    <row r="400" spans="1:7" ht="15.75" customHeight="1">
      <c r="A400" s="2">
        <v>92000651</v>
      </c>
      <c r="B400" s="2" t="s">
        <v>1055</v>
      </c>
      <c r="C400" s="5">
        <v>92000651</v>
      </c>
      <c r="D400" s="2" t="s">
        <v>658</v>
      </c>
      <c r="E400" s="2" t="s">
        <v>641</v>
      </c>
      <c r="F400" s="2">
        <v>2</v>
      </c>
      <c r="G400" s="6" t="str">
        <f t="shared" si="0"/>
        <v>https://dto.kemkes.go.id/kfacode/92000651</v>
      </c>
    </row>
    <row r="401" spans="1:7" ht="15.75" customHeight="1">
      <c r="A401" s="2">
        <v>92000650</v>
      </c>
      <c r="B401" s="2" t="s">
        <v>1056</v>
      </c>
      <c r="C401" s="5">
        <v>92000650</v>
      </c>
      <c r="D401" s="2" t="s">
        <v>658</v>
      </c>
      <c r="E401" s="2" t="s">
        <v>641</v>
      </c>
      <c r="F401" s="2">
        <v>2</v>
      </c>
      <c r="G401" s="6" t="str">
        <f t="shared" si="0"/>
        <v>https://dto.kemkes.go.id/kfacode/92000650</v>
      </c>
    </row>
    <row r="402" spans="1:7" ht="15.75" customHeight="1">
      <c r="A402" s="2">
        <v>92000646</v>
      </c>
      <c r="B402" s="2" t="s">
        <v>1057</v>
      </c>
      <c r="C402" s="5">
        <v>92000646</v>
      </c>
      <c r="D402" s="2" t="s">
        <v>653</v>
      </c>
      <c r="E402" s="2" t="s">
        <v>641</v>
      </c>
      <c r="F402" s="2">
        <v>3</v>
      </c>
      <c r="G402" s="6" t="str">
        <f t="shared" si="0"/>
        <v>https://dto.kemkes.go.id/kfacode/92000646</v>
      </c>
    </row>
    <row r="403" spans="1:7" ht="15.75" customHeight="1">
      <c r="A403" s="2">
        <v>92000647</v>
      </c>
      <c r="B403" s="2" t="s">
        <v>1058</v>
      </c>
      <c r="C403" s="5">
        <v>92000647</v>
      </c>
      <c r="D403" s="2" t="s">
        <v>653</v>
      </c>
      <c r="E403" s="2" t="s">
        <v>641</v>
      </c>
      <c r="F403" s="2">
        <v>3</v>
      </c>
      <c r="G403" s="6" t="str">
        <f t="shared" si="0"/>
        <v>https://dto.kemkes.go.id/kfacode/92000647</v>
      </c>
    </row>
    <row r="404" spans="1:7" ht="15.75" customHeight="1">
      <c r="A404" s="2">
        <v>92000540</v>
      </c>
      <c r="B404" s="2" t="s">
        <v>1059</v>
      </c>
      <c r="C404" s="5">
        <v>92000540</v>
      </c>
      <c r="D404" s="2" t="s">
        <v>668</v>
      </c>
      <c r="E404" s="2" t="s">
        <v>641</v>
      </c>
      <c r="F404" s="2">
        <v>2</v>
      </c>
      <c r="G404" s="6" t="str">
        <f t="shared" si="0"/>
        <v>https://dto.kemkes.go.id/kfacode/92000540</v>
      </c>
    </row>
    <row r="405" spans="1:7" ht="15.75" customHeight="1">
      <c r="A405" s="2">
        <v>92000164</v>
      </c>
      <c r="B405" s="2" t="s">
        <v>1060</v>
      </c>
      <c r="C405" s="5">
        <v>92000164</v>
      </c>
      <c r="D405" s="2" t="s">
        <v>640</v>
      </c>
      <c r="E405" s="2" t="s">
        <v>641</v>
      </c>
      <c r="F405" s="2">
        <v>4</v>
      </c>
      <c r="G405" s="6" t="str">
        <f t="shared" si="0"/>
        <v>https://dto.kemkes.go.id/kfacode/92000164</v>
      </c>
    </row>
    <row r="406" spans="1:7" ht="15.75" customHeight="1">
      <c r="A406" s="2">
        <v>92000165</v>
      </c>
      <c r="B406" s="2" t="s">
        <v>1061</v>
      </c>
      <c r="C406" s="5">
        <v>92000165</v>
      </c>
      <c r="D406" s="2" t="s">
        <v>640</v>
      </c>
      <c r="E406" s="2" t="s">
        <v>641</v>
      </c>
      <c r="F406" s="2">
        <v>4</v>
      </c>
      <c r="G406" s="6" t="str">
        <f t="shared" si="0"/>
        <v>https://dto.kemkes.go.id/kfacode/92000165</v>
      </c>
    </row>
    <row r="407" spans="1:7" ht="15.75" customHeight="1">
      <c r="A407" s="2">
        <v>92000466</v>
      </c>
      <c r="B407" s="2" t="s">
        <v>1062</v>
      </c>
      <c r="C407" s="5">
        <v>92000466</v>
      </c>
      <c r="D407" s="2" t="s">
        <v>653</v>
      </c>
      <c r="E407" s="2" t="s">
        <v>641</v>
      </c>
      <c r="F407" s="2">
        <v>15</v>
      </c>
      <c r="G407" s="6" t="str">
        <f t="shared" si="0"/>
        <v>https://dto.kemkes.go.id/kfacode/92000466</v>
      </c>
    </row>
    <row r="408" spans="1:7" ht="15.75" customHeight="1">
      <c r="A408" s="2">
        <v>92000473</v>
      </c>
      <c r="B408" s="2" t="s">
        <v>1063</v>
      </c>
      <c r="C408" s="5">
        <v>92000473</v>
      </c>
      <c r="D408" s="2" t="s">
        <v>645</v>
      </c>
      <c r="E408" s="2" t="s">
        <v>641</v>
      </c>
      <c r="F408" s="2">
        <v>4</v>
      </c>
      <c r="G408" s="6" t="str">
        <f t="shared" si="0"/>
        <v>https://dto.kemkes.go.id/kfacode/92000473</v>
      </c>
    </row>
    <row r="409" spans="1:7" ht="15.75" customHeight="1">
      <c r="A409" s="2">
        <v>92000448</v>
      </c>
      <c r="B409" s="2" t="s">
        <v>1064</v>
      </c>
      <c r="C409" s="5">
        <v>92000448</v>
      </c>
      <c r="D409" s="2" t="s">
        <v>658</v>
      </c>
      <c r="E409" s="2" t="s">
        <v>641</v>
      </c>
      <c r="F409" s="2">
        <v>2</v>
      </c>
      <c r="G409" s="6" t="str">
        <f t="shared" si="0"/>
        <v>https://dto.kemkes.go.id/kfacode/92000448</v>
      </c>
    </row>
    <row r="410" spans="1:7" ht="15.75" customHeight="1">
      <c r="A410" s="2">
        <v>92000449</v>
      </c>
      <c r="B410" s="2" t="s">
        <v>1065</v>
      </c>
      <c r="C410" s="5">
        <v>92000449</v>
      </c>
      <c r="D410" s="2" t="s">
        <v>658</v>
      </c>
      <c r="E410" s="2" t="s">
        <v>641</v>
      </c>
      <c r="F410" s="2">
        <v>3</v>
      </c>
      <c r="G410" s="6" t="str">
        <f t="shared" si="0"/>
        <v>https://dto.kemkes.go.id/kfacode/92000449</v>
      </c>
    </row>
    <row r="411" spans="1:7" ht="15.75" customHeight="1">
      <c r="A411" s="2">
        <v>92000428</v>
      </c>
      <c r="B411" s="2" t="s">
        <v>1066</v>
      </c>
      <c r="C411" s="5">
        <v>92000428</v>
      </c>
      <c r="D411" s="2" t="s">
        <v>640</v>
      </c>
      <c r="E411" s="2" t="s">
        <v>641</v>
      </c>
      <c r="F411" s="2">
        <v>2</v>
      </c>
      <c r="G411" s="6" t="str">
        <f t="shared" si="0"/>
        <v>https://dto.kemkes.go.id/kfacode/92000428</v>
      </c>
    </row>
    <row r="412" spans="1:7" ht="15.75" customHeight="1">
      <c r="A412" s="2">
        <v>92000689</v>
      </c>
      <c r="B412" s="2" t="s">
        <v>1067</v>
      </c>
      <c r="C412" s="5">
        <v>92000689</v>
      </c>
      <c r="D412" s="2" t="s">
        <v>640</v>
      </c>
      <c r="E412" s="2" t="s">
        <v>641</v>
      </c>
      <c r="F412" s="2">
        <v>2</v>
      </c>
      <c r="G412" s="6" t="str">
        <f t="shared" si="0"/>
        <v>https://dto.kemkes.go.id/kfacode/92000689</v>
      </c>
    </row>
    <row r="413" spans="1:7" ht="15.75" customHeight="1">
      <c r="A413" s="2">
        <v>92000256</v>
      </c>
      <c r="B413" s="2" t="s">
        <v>1068</v>
      </c>
      <c r="C413" s="5">
        <v>92000256</v>
      </c>
      <c r="D413" s="2" t="s">
        <v>645</v>
      </c>
      <c r="E413" s="2" t="s">
        <v>641</v>
      </c>
      <c r="F413" s="2">
        <v>2</v>
      </c>
      <c r="G413" s="6" t="str">
        <f t="shared" si="0"/>
        <v>https://dto.kemkes.go.id/kfacode/92000256</v>
      </c>
    </row>
    <row r="414" spans="1:7" ht="15.75" customHeight="1">
      <c r="A414" s="2">
        <v>92000681</v>
      </c>
      <c r="B414" s="2" t="s">
        <v>1069</v>
      </c>
      <c r="C414" s="5">
        <v>92000681</v>
      </c>
      <c r="D414" s="2" t="s">
        <v>640</v>
      </c>
      <c r="E414" s="2" t="s">
        <v>641</v>
      </c>
      <c r="F414" s="2">
        <v>4</v>
      </c>
      <c r="G414" s="6" t="str">
        <f t="shared" si="0"/>
        <v>https://dto.kemkes.go.id/kfacode/92000681</v>
      </c>
    </row>
    <row r="415" spans="1:7" ht="15.75" customHeight="1">
      <c r="A415" s="2">
        <v>92000133</v>
      </c>
      <c r="B415" s="2" t="s">
        <v>1070</v>
      </c>
      <c r="C415" s="5">
        <v>92000133</v>
      </c>
      <c r="D415" s="2" t="s">
        <v>640</v>
      </c>
      <c r="E415" s="2" t="s">
        <v>641</v>
      </c>
      <c r="F415" s="2">
        <v>4</v>
      </c>
      <c r="G415" s="6" t="str">
        <f t="shared" si="0"/>
        <v>https://dto.kemkes.go.id/kfacode/92000133</v>
      </c>
    </row>
    <row r="416" spans="1:7" ht="15.75" customHeight="1">
      <c r="A416" s="2">
        <v>92000341</v>
      </c>
      <c r="B416" s="2" t="s">
        <v>1071</v>
      </c>
      <c r="C416" s="5">
        <v>92000341</v>
      </c>
      <c r="D416" s="2" t="s">
        <v>649</v>
      </c>
      <c r="E416" s="2" t="s">
        <v>641</v>
      </c>
      <c r="F416" s="2">
        <v>2</v>
      </c>
      <c r="G416" s="6" t="str">
        <f t="shared" si="0"/>
        <v>https://dto.kemkes.go.id/kfacode/92000341</v>
      </c>
    </row>
    <row r="417" spans="1:7" ht="15.75" customHeight="1">
      <c r="A417" s="2">
        <v>92000891</v>
      </c>
      <c r="B417" s="2" t="s">
        <v>1072</v>
      </c>
      <c r="C417" s="5">
        <v>92000891</v>
      </c>
      <c r="D417" s="2" t="s">
        <v>640</v>
      </c>
      <c r="E417" s="2" t="s">
        <v>641</v>
      </c>
      <c r="F417" s="2">
        <v>2</v>
      </c>
      <c r="G417" s="6" t="str">
        <f t="shared" si="0"/>
        <v>https://dto.kemkes.go.id/kfacode/92000891</v>
      </c>
    </row>
    <row r="418" spans="1:7" ht="15.75" customHeight="1">
      <c r="A418" s="2">
        <v>92000822</v>
      </c>
      <c r="B418" s="2" t="s">
        <v>1073</v>
      </c>
      <c r="C418" s="5">
        <v>92000822</v>
      </c>
      <c r="D418" s="2" t="s">
        <v>702</v>
      </c>
      <c r="E418" s="2" t="s">
        <v>641</v>
      </c>
      <c r="F418" s="2">
        <v>2</v>
      </c>
      <c r="G418" s="6" t="str">
        <f t="shared" si="0"/>
        <v>https://dto.kemkes.go.id/kfacode/92000822</v>
      </c>
    </row>
    <row r="419" spans="1:7" ht="15.75" customHeight="1">
      <c r="A419" s="2">
        <v>92000267</v>
      </c>
      <c r="B419" s="2" t="s">
        <v>1074</v>
      </c>
      <c r="C419" s="5">
        <v>92000267</v>
      </c>
      <c r="D419" s="2" t="s">
        <v>653</v>
      </c>
      <c r="E419" s="2" t="s">
        <v>641</v>
      </c>
      <c r="F419" s="2">
        <v>1</v>
      </c>
      <c r="G419" s="6" t="str">
        <f t="shared" si="0"/>
        <v>https://dto.kemkes.go.id/kfacode/92000267</v>
      </c>
    </row>
    <row r="420" spans="1:7" ht="15.75" customHeight="1">
      <c r="A420" s="2">
        <v>92000687</v>
      </c>
      <c r="B420" s="2" t="s">
        <v>1075</v>
      </c>
      <c r="C420" s="5">
        <v>92000687</v>
      </c>
      <c r="D420" s="2" t="s">
        <v>653</v>
      </c>
      <c r="E420" s="2" t="s">
        <v>641</v>
      </c>
      <c r="F420" s="2">
        <v>2</v>
      </c>
      <c r="G420" s="6" t="str">
        <f t="shared" si="0"/>
        <v>https://dto.kemkes.go.id/kfacode/92000687</v>
      </c>
    </row>
    <row r="421" spans="1:7" ht="15.75" customHeight="1">
      <c r="A421" s="2">
        <v>92000415</v>
      </c>
      <c r="B421" s="2" t="s">
        <v>1076</v>
      </c>
      <c r="C421" s="5">
        <v>92000415</v>
      </c>
      <c r="D421" s="2" t="s">
        <v>655</v>
      </c>
      <c r="E421" s="2" t="s">
        <v>641</v>
      </c>
      <c r="F421" s="2">
        <v>4</v>
      </c>
      <c r="G421" s="6" t="str">
        <f t="shared" si="0"/>
        <v>https://dto.kemkes.go.id/kfacode/92000415</v>
      </c>
    </row>
    <row r="422" spans="1:7" ht="15.75" customHeight="1">
      <c r="A422" s="2">
        <v>92000357</v>
      </c>
      <c r="B422" s="2" t="s">
        <v>1077</v>
      </c>
      <c r="C422" s="5">
        <v>92000357</v>
      </c>
      <c r="D422" s="2" t="s">
        <v>640</v>
      </c>
      <c r="E422" s="2" t="s">
        <v>641</v>
      </c>
      <c r="F422" s="2">
        <v>2</v>
      </c>
      <c r="G422" s="6" t="str">
        <f t="shared" si="0"/>
        <v>https://dto.kemkes.go.id/kfacode/92000357</v>
      </c>
    </row>
    <row r="423" spans="1:7" ht="15.75" customHeight="1">
      <c r="A423" s="2">
        <v>92000736</v>
      </c>
      <c r="B423" s="2" t="s">
        <v>1078</v>
      </c>
      <c r="C423" s="5">
        <v>92000736</v>
      </c>
      <c r="D423" s="2" t="s">
        <v>702</v>
      </c>
      <c r="E423" s="2" t="s">
        <v>641</v>
      </c>
      <c r="F423" s="2">
        <v>2</v>
      </c>
      <c r="G423" s="6" t="str">
        <f t="shared" si="0"/>
        <v>https://dto.kemkes.go.id/kfacode/92000736</v>
      </c>
    </row>
    <row r="424" spans="1:7" ht="15.75" customHeight="1">
      <c r="A424" s="2">
        <v>92000680</v>
      </c>
      <c r="B424" s="2" t="s">
        <v>1079</v>
      </c>
      <c r="C424" s="5">
        <v>92000680</v>
      </c>
      <c r="D424" s="2" t="s">
        <v>730</v>
      </c>
      <c r="E424" s="2" t="s">
        <v>641</v>
      </c>
      <c r="F424" s="2">
        <v>2</v>
      </c>
      <c r="G424" s="6" t="str">
        <f t="shared" si="0"/>
        <v>https://dto.kemkes.go.id/kfacode/92000680</v>
      </c>
    </row>
    <row r="425" spans="1:7" ht="15.75" customHeight="1">
      <c r="A425" s="2">
        <v>92000751</v>
      </c>
      <c r="B425" s="2" t="s">
        <v>1080</v>
      </c>
      <c r="C425" s="5">
        <v>92000751</v>
      </c>
      <c r="D425" s="2" t="s">
        <v>645</v>
      </c>
      <c r="E425" s="2" t="s">
        <v>641</v>
      </c>
      <c r="F425" s="2">
        <v>2</v>
      </c>
      <c r="G425" s="6" t="str">
        <f t="shared" si="0"/>
        <v>https://dto.kemkes.go.id/kfacode/92000751</v>
      </c>
    </row>
    <row r="426" spans="1:7" ht="15.75" customHeight="1">
      <c r="A426" s="2">
        <v>92000786</v>
      </c>
      <c r="B426" s="2" t="s">
        <v>1081</v>
      </c>
      <c r="C426" s="5">
        <v>92000786</v>
      </c>
      <c r="D426" s="2" t="s">
        <v>645</v>
      </c>
      <c r="E426" s="2" t="s">
        <v>641</v>
      </c>
      <c r="F426" s="2">
        <v>2</v>
      </c>
      <c r="G426" s="6" t="str">
        <f t="shared" si="0"/>
        <v>https://dto.kemkes.go.id/kfacode/92000786</v>
      </c>
    </row>
    <row r="427" spans="1:7" ht="15.75" customHeight="1">
      <c r="A427" s="2">
        <v>92000499</v>
      </c>
      <c r="B427" s="2" t="s">
        <v>1082</v>
      </c>
      <c r="C427" s="5">
        <v>92000499</v>
      </c>
      <c r="D427" s="2" t="s">
        <v>671</v>
      </c>
      <c r="E427" s="2" t="s">
        <v>641</v>
      </c>
      <c r="F427" s="2">
        <v>2</v>
      </c>
      <c r="G427" s="6" t="str">
        <f t="shared" si="0"/>
        <v>https://dto.kemkes.go.id/kfacode/92000499</v>
      </c>
    </row>
    <row r="428" spans="1:7" ht="15.75" customHeight="1">
      <c r="A428" s="2">
        <v>92000734</v>
      </c>
      <c r="B428" s="2" t="s">
        <v>1083</v>
      </c>
      <c r="C428" s="5">
        <v>92000734</v>
      </c>
      <c r="D428" s="2" t="s">
        <v>658</v>
      </c>
      <c r="E428" s="2" t="s">
        <v>641</v>
      </c>
      <c r="F428" s="2">
        <v>3</v>
      </c>
      <c r="G428" s="6" t="str">
        <f t="shared" si="0"/>
        <v>https://dto.kemkes.go.id/kfacode/92000734</v>
      </c>
    </row>
    <row r="429" spans="1:7" ht="15.75" customHeight="1">
      <c r="A429" s="2">
        <v>92000218</v>
      </c>
      <c r="B429" s="2" t="s">
        <v>1084</v>
      </c>
      <c r="C429" s="5">
        <v>92000218</v>
      </c>
      <c r="D429" s="2" t="s">
        <v>640</v>
      </c>
      <c r="E429" s="2" t="s">
        <v>641</v>
      </c>
      <c r="F429" s="2">
        <v>2</v>
      </c>
      <c r="G429" s="6" t="str">
        <f t="shared" si="0"/>
        <v>https://dto.kemkes.go.id/kfacode/92000218</v>
      </c>
    </row>
    <row r="430" spans="1:7" ht="15.75" customHeight="1">
      <c r="A430" s="2">
        <v>92000219</v>
      </c>
      <c r="B430" s="2" t="s">
        <v>1085</v>
      </c>
      <c r="C430" s="5">
        <v>92000219</v>
      </c>
      <c r="D430" s="2" t="s">
        <v>640</v>
      </c>
      <c r="E430" s="2" t="s">
        <v>641</v>
      </c>
      <c r="F430" s="2">
        <v>2</v>
      </c>
      <c r="G430" s="6" t="str">
        <f t="shared" si="0"/>
        <v>https://dto.kemkes.go.id/kfacode/92000219</v>
      </c>
    </row>
    <row r="431" spans="1:7" ht="15.75" customHeight="1">
      <c r="A431" s="2">
        <v>92000729</v>
      </c>
      <c r="B431" s="2" t="s">
        <v>1086</v>
      </c>
      <c r="C431" s="5">
        <v>92000729</v>
      </c>
      <c r="D431" s="2" t="s">
        <v>640</v>
      </c>
      <c r="E431" s="2" t="s">
        <v>641</v>
      </c>
      <c r="F431" s="2">
        <v>2</v>
      </c>
      <c r="G431" s="6" t="str">
        <f t="shared" si="0"/>
        <v>https://dto.kemkes.go.id/kfacode/92000729</v>
      </c>
    </row>
    <row r="432" spans="1:7" ht="15.75" customHeight="1">
      <c r="A432" s="2">
        <v>92000545</v>
      </c>
      <c r="B432" s="2" t="s">
        <v>1087</v>
      </c>
      <c r="C432" s="5">
        <v>92000545</v>
      </c>
      <c r="D432" s="2" t="s">
        <v>640</v>
      </c>
      <c r="E432" s="2" t="s">
        <v>641</v>
      </c>
      <c r="F432" s="2">
        <v>2</v>
      </c>
      <c r="G432" s="6" t="str">
        <f t="shared" si="0"/>
        <v>https://dto.kemkes.go.id/kfacode/92000545</v>
      </c>
    </row>
    <row r="433" spans="1:7" ht="15.75" customHeight="1">
      <c r="A433" s="2">
        <v>92000546</v>
      </c>
      <c r="B433" s="2" t="s">
        <v>1088</v>
      </c>
      <c r="C433" s="5">
        <v>92000546</v>
      </c>
      <c r="D433" s="2" t="s">
        <v>640</v>
      </c>
      <c r="E433" s="2" t="s">
        <v>641</v>
      </c>
      <c r="F433" s="2">
        <v>2</v>
      </c>
      <c r="G433" s="6" t="str">
        <f t="shared" si="0"/>
        <v>https://dto.kemkes.go.id/kfacode/92000546</v>
      </c>
    </row>
    <row r="434" spans="1:7" ht="15.75" customHeight="1">
      <c r="A434" s="2">
        <v>92000705</v>
      </c>
      <c r="B434" s="2" t="s">
        <v>1089</v>
      </c>
      <c r="C434" s="5">
        <v>92000705</v>
      </c>
      <c r="D434" s="2" t="s">
        <v>640</v>
      </c>
      <c r="E434" s="2" t="s">
        <v>641</v>
      </c>
      <c r="F434" s="2">
        <v>2</v>
      </c>
      <c r="G434" s="6" t="str">
        <f t="shared" si="0"/>
        <v>https://dto.kemkes.go.id/kfacode/92000705</v>
      </c>
    </row>
    <row r="435" spans="1:7" ht="15.75" customHeight="1">
      <c r="A435" s="2">
        <v>92000830</v>
      </c>
      <c r="B435" s="2" t="s">
        <v>1090</v>
      </c>
      <c r="C435" s="5">
        <v>92000830</v>
      </c>
      <c r="D435" s="2" t="s">
        <v>653</v>
      </c>
      <c r="E435" s="2" t="s">
        <v>641</v>
      </c>
      <c r="F435" s="2">
        <v>2</v>
      </c>
      <c r="G435" s="6" t="str">
        <f t="shared" si="0"/>
        <v>https://dto.kemkes.go.id/kfacode/92000830</v>
      </c>
    </row>
    <row r="436" spans="1:7" ht="15.75" customHeight="1">
      <c r="A436" s="2">
        <v>92000236</v>
      </c>
      <c r="B436" s="2" t="s">
        <v>1091</v>
      </c>
      <c r="C436" s="5">
        <v>92000236</v>
      </c>
      <c r="D436" s="2" t="s">
        <v>649</v>
      </c>
      <c r="E436" s="2" t="s">
        <v>641</v>
      </c>
      <c r="F436" s="2">
        <v>4</v>
      </c>
      <c r="G436" s="6" t="str">
        <f t="shared" si="0"/>
        <v>https://dto.kemkes.go.id/kfacode/92000236</v>
      </c>
    </row>
    <row r="437" spans="1:7" ht="15.75" customHeight="1">
      <c r="A437" s="2">
        <v>92000630</v>
      </c>
      <c r="B437" s="2" t="s">
        <v>1092</v>
      </c>
      <c r="C437" s="5">
        <v>92000630</v>
      </c>
      <c r="D437" s="2" t="s">
        <v>640</v>
      </c>
      <c r="E437" s="2" t="s">
        <v>641</v>
      </c>
      <c r="F437" s="2">
        <v>2</v>
      </c>
      <c r="G437" s="6" t="str">
        <f t="shared" si="0"/>
        <v>https://dto.kemkes.go.id/kfacode/92000630</v>
      </c>
    </row>
    <row r="438" spans="1:7" ht="15.75" customHeight="1">
      <c r="A438" s="2">
        <v>92000194</v>
      </c>
      <c r="B438" s="2" t="s">
        <v>1093</v>
      </c>
      <c r="C438" s="5">
        <v>92000194</v>
      </c>
      <c r="D438" s="2" t="s">
        <v>658</v>
      </c>
      <c r="E438" s="2" t="s">
        <v>641</v>
      </c>
      <c r="F438" s="2">
        <v>2</v>
      </c>
      <c r="G438" s="6" t="str">
        <f t="shared" si="0"/>
        <v>https://dto.kemkes.go.id/kfacode/92000194</v>
      </c>
    </row>
    <row r="439" spans="1:7" ht="15.75" customHeight="1">
      <c r="A439" s="2">
        <v>92000723</v>
      </c>
      <c r="B439" s="2" t="s">
        <v>1094</v>
      </c>
      <c r="C439" s="5">
        <v>92000723</v>
      </c>
      <c r="D439" s="2" t="s">
        <v>640</v>
      </c>
      <c r="E439" s="2" t="s">
        <v>641</v>
      </c>
      <c r="F439" s="2">
        <v>2</v>
      </c>
      <c r="G439" s="6" t="str">
        <f t="shared" si="0"/>
        <v>https://dto.kemkes.go.id/kfacode/92000723</v>
      </c>
    </row>
    <row r="440" spans="1:7" ht="15.75" customHeight="1">
      <c r="A440" s="2">
        <v>92000858</v>
      </c>
      <c r="B440" s="2" t="s">
        <v>1095</v>
      </c>
      <c r="C440" s="5">
        <v>92000858</v>
      </c>
      <c r="D440" s="2" t="s">
        <v>640</v>
      </c>
      <c r="E440" s="2" t="s">
        <v>641</v>
      </c>
      <c r="F440" s="2">
        <v>2</v>
      </c>
      <c r="G440" s="6" t="str">
        <f t="shared" si="0"/>
        <v>https://dto.kemkes.go.id/kfacode/92000858</v>
      </c>
    </row>
    <row r="441" spans="1:7" ht="15.75" customHeight="1">
      <c r="A441" s="2">
        <v>92000732</v>
      </c>
      <c r="B441" s="2" t="s">
        <v>1096</v>
      </c>
      <c r="C441" s="5">
        <v>92000732</v>
      </c>
      <c r="D441" s="2" t="s">
        <v>824</v>
      </c>
      <c r="E441" s="2" t="s">
        <v>641</v>
      </c>
      <c r="F441" s="2">
        <v>2</v>
      </c>
      <c r="G441" s="6" t="str">
        <f t="shared" si="0"/>
        <v>https://dto.kemkes.go.id/kfacode/92000732</v>
      </c>
    </row>
    <row r="442" spans="1:7" ht="15.75" customHeight="1">
      <c r="A442" s="2">
        <v>92000730</v>
      </c>
      <c r="B442" s="2" t="s">
        <v>1097</v>
      </c>
      <c r="C442" s="5">
        <v>92000730</v>
      </c>
      <c r="D442" s="2" t="s">
        <v>824</v>
      </c>
      <c r="E442" s="2" t="s">
        <v>641</v>
      </c>
      <c r="F442" s="2">
        <v>2</v>
      </c>
      <c r="G442" s="6" t="str">
        <f t="shared" si="0"/>
        <v>https://dto.kemkes.go.id/kfacode/92000730</v>
      </c>
    </row>
    <row r="443" spans="1:7" ht="15.75" customHeight="1">
      <c r="A443" s="2">
        <v>92000491</v>
      </c>
      <c r="B443" s="2" t="s">
        <v>1098</v>
      </c>
      <c r="C443" s="5">
        <v>92000491</v>
      </c>
      <c r="D443" s="2" t="s">
        <v>653</v>
      </c>
      <c r="E443" s="2" t="s">
        <v>641</v>
      </c>
      <c r="F443" s="2">
        <v>2</v>
      </c>
      <c r="G443" s="6" t="str">
        <f t="shared" si="0"/>
        <v>https://dto.kemkes.go.id/kfacode/92000491</v>
      </c>
    </row>
    <row r="444" spans="1:7" ht="15.75" customHeight="1">
      <c r="A444" s="2">
        <v>92000618</v>
      </c>
      <c r="B444" s="2" t="s">
        <v>1099</v>
      </c>
      <c r="C444" s="5">
        <v>92000618</v>
      </c>
      <c r="D444" s="2" t="s">
        <v>824</v>
      </c>
      <c r="E444" s="2" t="s">
        <v>641</v>
      </c>
      <c r="F444" s="2">
        <v>2</v>
      </c>
      <c r="G444" s="6" t="str">
        <f t="shared" si="0"/>
        <v>https://dto.kemkes.go.id/kfacode/92000618</v>
      </c>
    </row>
    <row r="445" spans="1:7" ht="15.75" customHeight="1">
      <c r="A445" s="2">
        <v>92000682</v>
      </c>
      <c r="B445" s="2" t="s">
        <v>1100</v>
      </c>
      <c r="C445" s="5">
        <v>92000682</v>
      </c>
      <c r="D445" s="2" t="s">
        <v>899</v>
      </c>
      <c r="E445" s="2" t="s">
        <v>641</v>
      </c>
      <c r="F445" s="2">
        <v>2</v>
      </c>
      <c r="G445" s="6" t="str">
        <f t="shared" si="0"/>
        <v>https://dto.kemkes.go.id/kfacode/92000682</v>
      </c>
    </row>
    <row r="446" spans="1:7" ht="15.75" customHeight="1">
      <c r="A446" s="2">
        <v>92000577</v>
      </c>
      <c r="B446" s="2" t="s">
        <v>1101</v>
      </c>
      <c r="C446" s="5">
        <v>92000577</v>
      </c>
      <c r="D446" s="2" t="s">
        <v>640</v>
      </c>
      <c r="E446" s="2" t="s">
        <v>641</v>
      </c>
      <c r="F446" s="2">
        <v>2</v>
      </c>
      <c r="G446" s="6" t="str">
        <f t="shared" si="0"/>
        <v>https://dto.kemkes.go.id/kfacode/92000577</v>
      </c>
    </row>
    <row r="447" spans="1:7" ht="15.75" customHeight="1">
      <c r="A447" s="2">
        <v>92000872</v>
      </c>
      <c r="B447" s="2" t="s">
        <v>1102</v>
      </c>
      <c r="C447" s="5">
        <v>92000872</v>
      </c>
      <c r="D447" s="2" t="s">
        <v>640</v>
      </c>
      <c r="E447" s="2" t="s">
        <v>641</v>
      </c>
      <c r="F447" s="2">
        <v>2</v>
      </c>
      <c r="G447" s="6" t="str">
        <f t="shared" si="0"/>
        <v>https://dto.kemkes.go.id/kfacode/92000872</v>
      </c>
    </row>
    <row r="448" spans="1:7" ht="15.75" customHeight="1">
      <c r="A448" s="2">
        <v>92000484</v>
      </c>
      <c r="B448" s="2" t="s">
        <v>1103</v>
      </c>
      <c r="C448" s="5">
        <v>92000484</v>
      </c>
      <c r="D448" s="2" t="s">
        <v>658</v>
      </c>
      <c r="E448" s="2" t="s">
        <v>641</v>
      </c>
      <c r="F448" s="2">
        <v>3</v>
      </c>
      <c r="G448" s="6" t="str">
        <f t="shared" si="0"/>
        <v>https://dto.kemkes.go.id/kfacode/92000484</v>
      </c>
    </row>
    <row r="449" spans="1:7" ht="15.75" customHeight="1">
      <c r="A449" s="2">
        <v>92000135</v>
      </c>
      <c r="B449" s="2" t="s">
        <v>1104</v>
      </c>
      <c r="C449" s="5">
        <v>92000135</v>
      </c>
      <c r="D449" s="2" t="s">
        <v>640</v>
      </c>
      <c r="E449" s="2" t="s">
        <v>641</v>
      </c>
      <c r="F449" s="2">
        <v>2</v>
      </c>
      <c r="G449" s="6" t="str">
        <f t="shared" si="0"/>
        <v>https://dto.kemkes.go.id/kfacode/92000135</v>
      </c>
    </row>
    <row r="450" spans="1:7" ht="15.75" customHeight="1">
      <c r="A450" s="2">
        <v>92000309</v>
      </c>
      <c r="B450" s="2" t="s">
        <v>1105</v>
      </c>
      <c r="C450" s="5">
        <v>92000309</v>
      </c>
      <c r="D450" s="2" t="s">
        <v>658</v>
      </c>
      <c r="E450" s="2" t="s">
        <v>641</v>
      </c>
      <c r="F450" s="2">
        <v>2</v>
      </c>
      <c r="G450" s="6" t="str">
        <f t="shared" si="0"/>
        <v>https://dto.kemkes.go.id/kfacode/92000309</v>
      </c>
    </row>
    <row r="451" spans="1:7" ht="15.75" customHeight="1">
      <c r="A451" s="2">
        <v>92000150</v>
      </c>
      <c r="B451" s="2" t="s">
        <v>1106</v>
      </c>
      <c r="C451" s="5">
        <v>92000150</v>
      </c>
      <c r="D451" s="2" t="s">
        <v>640</v>
      </c>
      <c r="E451" s="2" t="s">
        <v>641</v>
      </c>
      <c r="F451" s="2">
        <v>2</v>
      </c>
      <c r="G451" s="6" t="str">
        <f t="shared" si="0"/>
        <v>https://dto.kemkes.go.id/kfacode/92000150</v>
      </c>
    </row>
    <row r="452" spans="1:7" ht="15.75" customHeight="1">
      <c r="A452" s="2">
        <v>92000346</v>
      </c>
      <c r="B452" s="2" t="s">
        <v>1107</v>
      </c>
      <c r="C452" s="5">
        <v>92000346</v>
      </c>
      <c r="D452" s="2" t="s">
        <v>660</v>
      </c>
      <c r="E452" s="2" t="s">
        <v>641</v>
      </c>
      <c r="F452" s="2">
        <v>2</v>
      </c>
      <c r="G452" s="6" t="str">
        <f t="shared" si="0"/>
        <v>https://dto.kemkes.go.id/kfacode/92000346</v>
      </c>
    </row>
    <row r="453" spans="1:7" ht="15.75" customHeight="1">
      <c r="A453" s="2">
        <v>92000467</v>
      </c>
      <c r="B453" s="2" t="s">
        <v>1108</v>
      </c>
      <c r="C453" s="5">
        <v>92000467</v>
      </c>
      <c r="D453" s="2" t="s">
        <v>640</v>
      </c>
      <c r="E453" s="2" t="s">
        <v>641</v>
      </c>
      <c r="F453" s="2">
        <v>2</v>
      </c>
      <c r="G453" s="6" t="str">
        <f t="shared" si="0"/>
        <v>https://dto.kemkes.go.id/kfacode/92000467</v>
      </c>
    </row>
    <row r="454" spans="1:7" ht="15.75" customHeight="1">
      <c r="A454" s="2">
        <v>92000419</v>
      </c>
      <c r="B454" s="2" t="s">
        <v>1109</v>
      </c>
      <c r="C454" s="5">
        <v>92000419</v>
      </c>
      <c r="D454" s="2" t="s">
        <v>1110</v>
      </c>
      <c r="E454" s="2" t="s">
        <v>641</v>
      </c>
      <c r="F454" s="2">
        <v>2</v>
      </c>
      <c r="G454" s="6" t="str">
        <f t="shared" si="0"/>
        <v>https://dto.kemkes.go.id/kfacode/92000419</v>
      </c>
    </row>
    <row r="455" spans="1:7" ht="15.75" customHeight="1">
      <c r="A455" s="2">
        <v>92000299</v>
      </c>
      <c r="B455" s="2" t="s">
        <v>1111</v>
      </c>
      <c r="C455" s="5">
        <v>92000299</v>
      </c>
      <c r="D455" s="2" t="s">
        <v>655</v>
      </c>
      <c r="E455" s="2" t="s">
        <v>641</v>
      </c>
      <c r="F455" s="2">
        <v>2</v>
      </c>
      <c r="G455" s="6" t="str">
        <f t="shared" si="0"/>
        <v>https://dto.kemkes.go.id/kfacode/92000299</v>
      </c>
    </row>
    <row r="456" spans="1:7" ht="15.75" customHeight="1">
      <c r="A456" s="2">
        <v>92000268</v>
      </c>
      <c r="B456" s="2" t="s">
        <v>1112</v>
      </c>
      <c r="C456" s="5">
        <v>92000268</v>
      </c>
      <c r="D456" s="2" t="s">
        <v>640</v>
      </c>
      <c r="E456" s="2" t="s">
        <v>641</v>
      </c>
      <c r="F456" s="2">
        <v>1</v>
      </c>
      <c r="G456" s="6" t="str">
        <f t="shared" si="0"/>
        <v>https://dto.kemkes.go.id/kfacode/92000268</v>
      </c>
    </row>
    <row r="457" spans="1:7" ht="15.75" customHeight="1">
      <c r="A457" s="2">
        <v>92000269</v>
      </c>
      <c r="B457" s="2" t="s">
        <v>1113</v>
      </c>
      <c r="C457" s="5">
        <v>92000269</v>
      </c>
      <c r="D457" s="2" t="s">
        <v>640</v>
      </c>
      <c r="E457" s="2" t="s">
        <v>641</v>
      </c>
      <c r="F457" s="2">
        <v>2</v>
      </c>
      <c r="G457" s="6" t="str">
        <f t="shared" si="0"/>
        <v>https://dto.kemkes.go.id/kfacode/92000269</v>
      </c>
    </row>
    <row r="458" spans="1:7" ht="15.75" customHeight="1">
      <c r="A458" s="2">
        <v>92000616</v>
      </c>
      <c r="B458" s="2" t="s">
        <v>1114</v>
      </c>
      <c r="C458" s="5">
        <v>92000616</v>
      </c>
      <c r="D458" s="2" t="s">
        <v>640</v>
      </c>
      <c r="E458" s="2" t="s">
        <v>641</v>
      </c>
      <c r="F458" s="2">
        <v>2</v>
      </c>
      <c r="G458" s="6" t="str">
        <f t="shared" si="0"/>
        <v>https://dto.kemkes.go.id/kfacode/92000616</v>
      </c>
    </row>
    <row r="459" spans="1:7" ht="15.75" customHeight="1">
      <c r="A459" s="2">
        <v>92000615</v>
      </c>
      <c r="B459" s="2" t="s">
        <v>1115</v>
      </c>
      <c r="C459" s="5">
        <v>92000615</v>
      </c>
      <c r="D459" s="2" t="s">
        <v>640</v>
      </c>
      <c r="E459" s="2" t="s">
        <v>641</v>
      </c>
      <c r="F459" s="2">
        <v>2</v>
      </c>
      <c r="G459" s="6" t="str">
        <f t="shared" si="0"/>
        <v>https://dto.kemkes.go.id/kfacode/92000615</v>
      </c>
    </row>
    <row r="460" spans="1:7" ht="15.75" customHeight="1">
      <c r="A460" s="2">
        <v>92000654</v>
      </c>
      <c r="B460" s="2" t="s">
        <v>1116</v>
      </c>
      <c r="C460" s="5">
        <v>92000654</v>
      </c>
      <c r="D460" s="2" t="s">
        <v>640</v>
      </c>
      <c r="E460" s="2" t="s">
        <v>641</v>
      </c>
      <c r="F460" s="2">
        <v>4</v>
      </c>
      <c r="G460" s="6" t="str">
        <f t="shared" si="0"/>
        <v>https://dto.kemkes.go.id/kfacode/92000654</v>
      </c>
    </row>
    <row r="461" spans="1:7" ht="15.75" customHeight="1">
      <c r="A461" s="2">
        <v>92000838</v>
      </c>
      <c r="B461" s="2" t="s">
        <v>1117</v>
      </c>
      <c r="C461" s="5">
        <v>92000838</v>
      </c>
      <c r="D461" s="2" t="s">
        <v>640</v>
      </c>
      <c r="E461" s="2" t="s">
        <v>641</v>
      </c>
      <c r="F461" s="2">
        <v>2</v>
      </c>
      <c r="G461" s="6" t="str">
        <f t="shared" si="0"/>
        <v>https://dto.kemkes.go.id/kfacode/92000838</v>
      </c>
    </row>
    <row r="462" spans="1:7" ht="15.75" customHeight="1">
      <c r="A462" s="2">
        <v>92000166</v>
      </c>
      <c r="B462" s="2" t="s">
        <v>1118</v>
      </c>
      <c r="C462" s="5">
        <v>92000166</v>
      </c>
      <c r="D462" s="2" t="s">
        <v>640</v>
      </c>
      <c r="E462" s="2" t="s">
        <v>641</v>
      </c>
      <c r="F462" s="2">
        <v>2</v>
      </c>
      <c r="G462" s="6" t="str">
        <f t="shared" si="0"/>
        <v>https://dto.kemkes.go.id/kfacode/92000166</v>
      </c>
    </row>
    <row r="463" spans="1:7" ht="15.75" customHeight="1">
      <c r="A463" s="2">
        <v>92000315</v>
      </c>
      <c r="B463" s="2" t="s">
        <v>1119</v>
      </c>
      <c r="C463" s="5">
        <v>92000315</v>
      </c>
      <c r="D463" s="2" t="s">
        <v>640</v>
      </c>
      <c r="E463" s="2" t="s">
        <v>641</v>
      </c>
      <c r="F463" s="2">
        <v>2</v>
      </c>
      <c r="G463" s="6" t="str">
        <f t="shared" si="0"/>
        <v>https://dto.kemkes.go.id/kfacode/92000315</v>
      </c>
    </row>
    <row r="464" spans="1:7" ht="15.75" customHeight="1">
      <c r="A464" s="2">
        <v>92000238</v>
      </c>
      <c r="B464" s="2" t="s">
        <v>1120</v>
      </c>
      <c r="C464" s="5">
        <v>92000238</v>
      </c>
      <c r="D464" s="2" t="s">
        <v>640</v>
      </c>
      <c r="E464" s="2" t="s">
        <v>641</v>
      </c>
      <c r="F464" s="2">
        <v>5</v>
      </c>
      <c r="G464" s="6" t="str">
        <f t="shared" si="0"/>
        <v>https://dto.kemkes.go.id/kfacode/92000238</v>
      </c>
    </row>
    <row r="465" spans="1:7" ht="15.75" customHeight="1">
      <c r="A465" s="2">
        <v>92000775</v>
      </c>
      <c r="B465" s="2" t="s">
        <v>1121</v>
      </c>
      <c r="C465" s="5">
        <v>92000775</v>
      </c>
      <c r="D465" s="2" t="s">
        <v>640</v>
      </c>
      <c r="E465" s="2" t="s">
        <v>641</v>
      </c>
      <c r="F465" s="2">
        <v>2</v>
      </c>
      <c r="G465" s="6" t="str">
        <f t="shared" si="0"/>
        <v>https://dto.kemkes.go.id/kfacode/92000775</v>
      </c>
    </row>
    <row r="466" spans="1:7" ht="15.75" customHeight="1">
      <c r="A466" s="2">
        <v>92000875</v>
      </c>
      <c r="B466" s="2" t="s">
        <v>1122</v>
      </c>
      <c r="C466" s="5">
        <v>92000875</v>
      </c>
      <c r="D466" s="2" t="s">
        <v>640</v>
      </c>
      <c r="E466" s="2" t="s">
        <v>641</v>
      </c>
      <c r="F466" s="2">
        <v>2</v>
      </c>
      <c r="G466" s="6" t="str">
        <f t="shared" si="0"/>
        <v>https://dto.kemkes.go.id/kfacode/92000875</v>
      </c>
    </row>
    <row r="467" spans="1:7" ht="15.75" customHeight="1">
      <c r="A467" s="2">
        <v>92000774</v>
      </c>
      <c r="B467" s="2" t="s">
        <v>1123</v>
      </c>
      <c r="C467" s="5">
        <v>92000774</v>
      </c>
      <c r="D467" s="2" t="s">
        <v>640</v>
      </c>
      <c r="E467" s="2" t="s">
        <v>641</v>
      </c>
      <c r="F467" s="2">
        <v>2</v>
      </c>
      <c r="G467" s="6" t="str">
        <f t="shared" si="0"/>
        <v>https://dto.kemkes.go.id/kfacode/92000774</v>
      </c>
    </row>
    <row r="468" spans="1:7" ht="15.75" customHeight="1">
      <c r="A468" s="2">
        <v>92000795</v>
      </c>
      <c r="B468" s="2" t="s">
        <v>1124</v>
      </c>
      <c r="C468" s="5">
        <v>92000795</v>
      </c>
      <c r="D468" s="2" t="s">
        <v>645</v>
      </c>
      <c r="E468" s="2" t="s">
        <v>641</v>
      </c>
      <c r="F468" s="2">
        <v>2</v>
      </c>
      <c r="G468" s="6" t="str">
        <f t="shared" si="0"/>
        <v>https://dto.kemkes.go.id/kfacode/92000795</v>
      </c>
    </row>
    <row r="469" spans="1:7" ht="15.75" customHeight="1">
      <c r="A469" s="2">
        <v>92000431</v>
      </c>
      <c r="B469" s="2" t="s">
        <v>1125</v>
      </c>
      <c r="C469" s="5">
        <v>92000431</v>
      </c>
      <c r="D469" s="2" t="s">
        <v>645</v>
      </c>
      <c r="E469" s="2" t="s">
        <v>641</v>
      </c>
      <c r="F469" s="2">
        <v>2</v>
      </c>
      <c r="G469" s="6" t="str">
        <f t="shared" si="0"/>
        <v>https://dto.kemkes.go.id/kfacode/92000431</v>
      </c>
    </row>
    <row r="470" spans="1:7" ht="15.75" customHeight="1">
      <c r="A470" s="2">
        <v>92000193</v>
      </c>
      <c r="B470" s="2" t="s">
        <v>1126</v>
      </c>
      <c r="C470" s="5">
        <v>92000193</v>
      </c>
      <c r="D470" s="2" t="s">
        <v>702</v>
      </c>
      <c r="E470" s="2" t="s">
        <v>641</v>
      </c>
      <c r="F470" s="2">
        <v>3</v>
      </c>
      <c r="G470" s="6" t="str">
        <f t="shared" si="0"/>
        <v>https://dto.kemkes.go.id/kfacode/92000193</v>
      </c>
    </row>
    <row r="471" spans="1:7" ht="15.75" customHeight="1">
      <c r="A471" s="2">
        <v>92000214</v>
      </c>
      <c r="B471" s="2" t="s">
        <v>1127</v>
      </c>
      <c r="C471" s="5">
        <v>92000214</v>
      </c>
      <c r="D471" s="2" t="s">
        <v>702</v>
      </c>
      <c r="E471" s="2" t="s">
        <v>641</v>
      </c>
      <c r="F471" s="2">
        <v>5</v>
      </c>
      <c r="G471" s="6" t="str">
        <f t="shared" si="0"/>
        <v>https://dto.kemkes.go.id/kfacode/92000214</v>
      </c>
    </row>
    <row r="472" spans="1:7" ht="15.75" customHeight="1">
      <c r="A472" s="2">
        <v>92000370</v>
      </c>
      <c r="B472" s="2" t="s">
        <v>1128</v>
      </c>
      <c r="C472" s="5">
        <v>92000370</v>
      </c>
      <c r="D472" s="2" t="s">
        <v>640</v>
      </c>
      <c r="E472" s="2" t="s">
        <v>641</v>
      </c>
      <c r="F472" s="2">
        <v>3</v>
      </c>
      <c r="G472" s="6" t="str">
        <f t="shared" si="0"/>
        <v>https://dto.kemkes.go.id/kfacode/92000370</v>
      </c>
    </row>
    <row r="473" spans="1:7" ht="15.75" customHeight="1">
      <c r="A473" s="2">
        <v>92000289</v>
      </c>
      <c r="B473" s="2" t="s">
        <v>1129</v>
      </c>
      <c r="C473" s="5">
        <v>92000289</v>
      </c>
      <c r="D473" s="2" t="s">
        <v>640</v>
      </c>
      <c r="E473" s="2" t="s">
        <v>641</v>
      </c>
      <c r="F473" s="2">
        <v>2</v>
      </c>
      <c r="G473" s="6" t="str">
        <f t="shared" si="0"/>
        <v>https://dto.kemkes.go.id/kfacode/92000289</v>
      </c>
    </row>
    <row r="474" spans="1:7" ht="15.75" customHeight="1">
      <c r="A474" s="2">
        <v>92000649</v>
      </c>
      <c r="B474" s="2" t="s">
        <v>1130</v>
      </c>
      <c r="C474" s="5">
        <v>92000649</v>
      </c>
      <c r="D474" s="2" t="s">
        <v>640</v>
      </c>
      <c r="E474" s="2" t="s">
        <v>641</v>
      </c>
      <c r="F474" s="2">
        <v>2</v>
      </c>
      <c r="G474" s="6" t="str">
        <f t="shared" si="0"/>
        <v>https://dto.kemkes.go.id/kfacode/92000649</v>
      </c>
    </row>
    <row r="475" spans="1:7" ht="15.75" customHeight="1">
      <c r="A475" s="2">
        <v>92000568</v>
      </c>
      <c r="B475" s="2" t="s">
        <v>1131</v>
      </c>
      <c r="C475" s="5">
        <v>92000568</v>
      </c>
      <c r="D475" s="2" t="s">
        <v>660</v>
      </c>
      <c r="E475" s="2" t="s">
        <v>641</v>
      </c>
      <c r="F475" s="2">
        <v>2</v>
      </c>
      <c r="G475" s="6" t="str">
        <f t="shared" si="0"/>
        <v>https://dto.kemkes.go.id/kfacode/92000568</v>
      </c>
    </row>
    <row r="476" spans="1:7" ht="15.75" customHeight="1">
      <c r="A476" s="2">
        <v>92000537</v>
      </c>
      <c r="B476" s="2" t="s">
        <v>1132</v>
      </c>
      <c r="C476" s="5">
        <v>92000537</v>
      </c>
      <c r="D476" s="2" t="s">
        <v>640</v>
      </c>
      <c r="E476" s="2" t="s">
        <v>641</v>
      </c>
      <c r="F476" s="2">
        <v>2</v>
      </c>
      <c r="G476" s="6" t="str">
        <f t="shared" si="0"/>
        <v>https://dto.kemkes.go.id/kfacode/92000537</v>
      </c>
    </row>
    <row r="477" spans="1:7" ht="15.75" customHeight="1">
      <c r="A477" s="2">
        <v>92000237</v>
      </c>
      <c r="B477" s="2" t="s">
        <v>1133</v>
      </c>
      <c r="C477" s="5">
        <v>92000237</v>
      </c>
      <c r="D477" s="2" t="s">
        <v>653</v>
      </c>
      <c r="E477" s="2" t="s">
        <v>641</v>
      </c>
      <c r="F477" s="2">
        <v>4</v>
      </c>
      <c r="G477" s="6" t="str">
        <f t="shared" si="0"/>
        <v>https://dto.kemkes.go.id/kfacode/92000237</v>
      </c>
    </row>
    <row r="478" spans="1:7" ht="15.75" customHeight="1">
      <c r="A478" s="2">
        <v>92000707</v>
      </c>
      <c r="B478" s="2" t="s">
        <v>1134</v>
      </c>
      <c r="C478" s="5">
        <v>92000707</v>
      </c>
      <c r="D478" s="2" t="s">
        <v>653</v>
      </c>
      <c r="E478" s="2" t="s">
        <v>641</v>
      </c>
      <c r="F478" s="2">
        <v>2</v>
      </c>
      <c r="G478" s="6" t="str">
        <f t="shared" si="0"/>
        <v>https://dto.kemkes.go.id/kfacode/92000707</v>
      </c>
    </row>
    <row r="479" spans="1:7" ht="15.75" customHeight="1">
      <c r="A479" s="2">
        <v>92000205</v>
      </c>
      <c r="B479" s="2" t="s">
        <v>1135</v>
      </c>
      <c r="C479" s="5">
        <v>92000205</v>
      </c>
      <c r="D479" s="2" t="s">
        <v>645</v>
      </c>
      <c r="E479" s="2" t="s">
        <v>641</v>
      </c>
      <c r="F479" s="2">
        <v>2</v>
      </c>
      <c r="G479" s="6" t="str">
        <f t="shared" si="0"/>
        <v>https://dto.kemkes.go.id/kfacode/92000205</v>
      </c>
    </row>
    <row r="480" spans="1:7" ht="15.75" customHeight="1">
      <c r="A480" s="2">
        <v>92000470</v>
      </c>
      <c r="B480" s="2" t="s">
        <v>1136</v>
      </c>
      <c r="C480" s="5">
        <v>92000470</v>
      </c>
      <c r="D480" s="2" t="s">
        <v>645</v>
      </c>
      <c r="E480" s="2" t="s">
        <v>641</v>
      </c>
      <c r="F480" s="2">
        <v>7</v>
      </c>
      <c r="G480" s="6" t="str">
        <f t="shared" si="0"/>
        <v>https://dto.kemkes.go.id/kfacode/92000470</v>
      </c>
    </row>
    <row r="481" spans="1:7" ht="15.75" customHeight="1">
      <c r="A481" s="2">
        <v>92000209</v>
      </c>
      <c r="B481" s="2" t="s">
        <v>1137</v>
      </c>
      <c r="C481" s="5">
        <v>92000209</v>
      </c>
      <c r="D481" s="2" t="s">
        <v>640</v>
      </c>
      <c r="E481" s="2" t="s">
        <v>641</v>
      </c>
      <c r="F481" s="2">
        <v>2</v>
      </c>
      <c r="G481" s="6" t="str">
        <f t="shared" si="0"/>
        <v>https://dto.kemkes.go.id/kfacode/92000209</v>
      </c>
    </row>
    <row r="482" spans="1:7" ht="15.75" customHeight="1">
      <c r="A482" s="2">
        <v>92000211</v>
      </c>
      <c r="B482" s="2" t="s">
        <v>1138</v>
      </c>
      <c r="C482" s="5">
        <v>92000211</v>
      </c>
      <c r="D482" s="2" t="s">
        <v>660</v>
      </c>
      <c r="E482" s="2" t="s">
        <v>641</v>
      </c>
      <c r="F482" s="2">
        <v>2</v>
      </c>
      <c r="G482" s="6" t="str">
        <f t="shared" si="0"/>
        <v>https://dto.kemkes.go.id/kfacode/92000211</v>
      </c>
    </row>
    <row r="483" spans="1:7" ht="15.75" customHeight="1">
      <c r="A483" s="2">
        <v>92000212</v>
      </c>
      <c r="B483" s="2" t="s">
        <v>1139</v>
      </c>
      <c r="C483" s="5">
        <v>92000212</v>
      </c>
      <c r="D483" s="2" t="s">
        <v>660</v>
      </c>
      <c r="E483" s="2" t="s">
        <v>641</v>
      </c>
      <c r="F483" s="2">
        <v>5</v>
      </c>
      <c r="G483" s="6" t="str">
        <f t="shared" si="0"/>
        <v>https://dto.kemkes.go.id/kfacode/92000212</v>
      </c>
    </row>
    <row r="484" spans="1:7" ht="15.75" customHeight="1">
      <c r="A484" s="2">
        <v>92000395</v>
      </c>
      <c r="B484" s="2" t="s">
        <v>1140</v>
      </c>
      <c r="C484" s="5">
        <v>92000395</v>
      </c>
      <c r="D484" s="2" t="s">
        <v>660</v>
      </c>
      <c r="E484" s="2" t="s">
        <v>641</v>
      </c>
      <c r="F484" s="2">
        <v>2</v>
      </c>
      <c r="G484" s="6" t="str">
        <f t="shared" si="0"/>
        <v>https://dto.kemkes.go.id/kfacode/92000395</v>
      </c>
    </row>
    <row r="485" spans="1:7" ht="15.75" customHeight="1">
      <c r="A485" s="2">
        <v>92000317</v>
      </c>
      <c r="B485" s="2" t="s">
        <v>1141</v>
      </c>
      <c r="C485" s="5">
        <v>92000317</v>
      </c>
      <c r="D485" s="2" t="s">
        <v>658</v>
      </c>
      <c r="E485" s="2" t="s">
        <v>641</v>
      </c>
      <c r="F485" s="2">
        <v>2</v>
      </c>
      <c r="G485" s="6" t="str">
        <f t="shared" si="0"/>
        <v>https://dto.kemkes.go.id/kfacode/92000317</v>
      </c>
    </row>
    <row r="486" spans="1:7" ht="15.75" customHeight="1">
      <c r="A486" s="2">
        <v>92000308</v>
      </c>
      <c r="B486" s="2" t="s">
        <v>1142</v>
      </c>
      <c r="C486" s="5">
        <v>92000308</v>
      </c>
      <c r="D486" s="2" t="s">
        <v>640</v>
      </c>
      <c r="E486" s="2" t="s">
        <v>641</v>
      </c>
      <c r="F486" s="2">
        <v>3</v>
      </c>
      <c r="G486" s="6" t="str">
        <f t="shared" si="0"/>
        <v>https://dto.kemkes.go.id/kfacode/92000308</v>
      </c>
    </row>
    <row r="487" spans="1:7" ht="15.75" customHeight="1">
      <c r="A487" s="2">
        <v>92000184</v>
      </c>
      <c r="B487" s="2" t="s">
        <v>1143</v>
      </c>
      <c r="C487" s="5">
        <v>92000184</v>
      </c>
      <c r="D487" s="2" t="s">
        <v>653</v>
      </c>
      <c r="E487" s="2" t="s">
        <v>641</v>
      </c>
      <c r="F487" s="2">
        <v>7</v>
      </c>
      <c r="G487" s="6" t="str">
        <f t="shared" si="0"/>
        <v>https://dto.kemkes.go.id/kfacode/92000184</v>
      </c>
    </row>
    <row r="488" spans="1:7" ht="15.75" customHeight="1">
      <c r="A488" s="2">
        <v>92000946</v>
      </c>
      <c r="B488" s="2" t="s">
        <v>1144</v>
      </c>
      <c r="C488" s="5">
        <v>92000946</v>
      </c>
      <c r="D488" s="2" t="s">
        <v>899</v>
      </c>
      <c r="E488" s="2" t="s">
        <v>641</v>
      </c>
      <c r="F488" s="2">
        <v>2</v>
      </c>
      <c r="G488" s="6" t="str">
        <f t="shared" si="0"/>
        <v>https://dto.kemkes.go.id/kfacode/92000946</v>
      </c>
    </row>
    <row r="489" spans="1:7" ht="15.75" customHeight="1">
      <c r="A489" s="2">
        <v>92000945</v>
      </c>
      <c r="B489" s="2" t="s">
        <v>1145</v>
      </c>
      <c r="C489" s="5">
        <v>92000945</v>
      </c>
      <c r="D489" s="2" t="s">
        <v>899</v>
      </c>
      <c r="E489" s="2" t="s">
        <v>641</v>
      </c>
      <c r="F489" s="2">
        <v>2</v>
      </c>
      <c r="G489" s="6" t="str">
        <f t="shared" si="0"/>
        <v>https://dto.kemkes.go.id/kfacode/92000945</v>
      </c>
    </row>
    <row r="490" spans="1:7" ht="15.75" customHeight="1">
      <c r="A490" s="2">
        <v>92000738</v>
      </c>
      <c r="B490" s="2" t="s">
        <v>1146</v>
      </c>
      <c r="C490" s="5">
        <v>92000738</v>
      </c>
      <c r="D490" s="2" t="s">
        <v>640</v>
      </c>
      <c r="E490" s="2" t="s">
        <v>641</v>
      </c>
      <c r="F490" s="2">
        <v>2</v>
      </c>
      <c r="G490" s="6" t="str">
        <f t="shared" si="0"/>
        <v>https://dto.kemkes.go.id/kfacode/92000738</v>
      </c>
    </row>
    <row r="491" spans="1:7" ht="15.75" customHeight="1">
      <c r="A491" s="2">
        <v>92000846</v>
      </c>
      <c r="B491" s="2" t="s">
        <v>1147</v>
      </c>
      <c r="C491" s="5">
        <v>92000846</v>
      </c>
      <c r="D491" s="2" t="s">
        <v>640</v>
      </c>
      <c r="E491" s="2" t="s">
        <v>641</v>
      </c>
      <c r="F491" s="2">
        <v>2</v>
      </c>
      <c r="G491" s="6" t="str">
        <f t="shared" si="0"/>
        <v>https://dto.kemkes.go.id/kfacode/92000846</v>
      </c>
    </row>
    <row r="492" spans="1:7" ht="15.75" customHeight="1">
      <c r="A492" s="2">
        <v>92000351</v>
      </c>
      <c r="B492" s="2" t="s">
        <v>1148</v>
      </c>
      <c r="C492" s="5">
        <v>92000351</v>
      </c>
      <c r="D492" s="2" t="s">
        <v>645</v>
      </c>
      <c r="E492" s="2" t="s">
        <v>641</v>
      </c>
      <c r="F492" s="2">
        <v>2</v>
      </c>
      <c r="G492" s="6" t="str">
        <f t="shared" si="0"/>
        <v>https://dto.kemkes.go.id/kfacode/92000351</v>
      </c>
    </row>
    <row r="493" spans="1:7" ht="15.75" customHeight="1">
      <c r="A493" s="2">
        <v>92000536</v>
      </c>
      <c r="B493" s="2" t="s">
        <v>1149</v>
      </c>
      <c r="C493" s="5">
        <v>92000536</v>
      </c>
      <c r="D493" s="2" t="s">
        <v>640</v>
      </c>
      <c r="E493" s="2" t="s">
        <v>641</v>
      </c>
      <c r="F493" s="2">
        <v>2</v>
      </c>
      <c r="G493" s="6" t="str">
        <f t="shared" si="0"/>
        <v>https://dto.kemkes.go.id/kfacode/92000536</v>
      </c>
    </row>
    <row r="494" spans="1:7" ht="15.75" customHeight="1">
      <c r="A494" s="2">
        <v>92000764</v>
      </c>
      <c r="B494" s="2" t="s">
        <v>1150</v>
      </c>
      <c r="C494" s="5">
        <v>92000764</v>
      </c>
      <c r="D494" s="2" t="s">
        <v>824</v>
      </c>
      <c r="E494" s="2" t="s">
        <v>641</v>
      </c>
      <c r="F494" s="2">
        <v>2</v>
      </c>
      <c r="G494" s="6" t="str">
        <f t="shared" si="0"/>
        <v>https://dto.kemkes.go.id/kfacode/92000764</v>
      </c>
    </row>
    <row r="495" spans="1:7" ht="15.75" customHeight="1">
      <c r="A495" s="2">
        <v>92000418</v>
      </c>
      <c r="B495" s="2" t="s">
        <v>1151</v>
      </c>
      <c r="C495" s="5">
        <v>92000418</v>
      </c>
      <c r="D495" s="2" t="s">
        <v>660</v>
      </c>
      <c r="E495" s="2" t="s">
        <v>641</v>
      </c>
      <c r="F495" s="2">
        <v>1</v>
      </c>
      <c r="G495" s="6" t="str">
        <f t="shared" si="0"/>
        <v>https://dto.kemkes.go.id/kfacode/92000418</v>
      </c>
    </row>
    <row r="496" spans="1:7" ht="15.75" customHeight="1">
      <c r="A496" s="2">
        <v>92000529</v>
      </c>
      <c r="B496" s="2" t="s">
        <v>1152</v>
      </c>
      <c r="C496" s="5">
        <v>92000529</v>
      </c>
      <c r="D496" s="2" t="s">
        <v>640</v>
      </c>
      <c r="E496" s="2" t="s">
        <v>641</v>
      </c>
      <c r="F496" s="2">
        <v>2</v>
      </c>
      <c r="G496" s="6" t="str">
        <f t="shared" si="0"/>
        <v>https://dto.kemkes.go.id/kfacode/92000529</v>
      </c>
    </row>
    <row r="497" spans="1:7" ht="15.75" customHeight="1">
      <c r="A497" s="2">
        <v>92000152</v>
      </c>
      <c r="B497" s="2" t="s">
        <v>1153</v>
      </c>
      <c r="C497" s="5">
        <v>92000152</v>
      </c>
      <c r="D497" s="2" t="s">
        <v>640</v>
      </c>
      <c r="E497" s="2" t="s">
        <v>641</v>
      </c>
      <c r="F497" s="2">
        <v>4</v>
      </c>
      <c r="G497" s="6" t="str">
        <f t="shared" si="0"/>
        <v>https://dto.kemkes.go.id/kfacode/92000152</v>
      </c>
    </row>
    <row r="498" spans="1:7" ht="15.75" customHeight="1">
      <c r="A498" s="2">
        <v>92000782</v>
      </c>
      <c r="B498" s="2" t="s">
        <v>1154</v>
      </c>
      <c r="C498" s="5">
        <v>92000782</v>
      </c>
      <c r="D498" s="2" t="s">
        <v>640</v>
      </c>
      <c r="E498" s="2" t="s">
        <v>641</v>
      </c>
      <c r="F498" s="2">
        <v>2</v>
      </c>
      <c r="G498" s="6" t="str">
        <f t="shared" si="0"/>
        <v>https://dto.kemkes.go.id/kfacode/92000782</v>
      </c>
    </row>
    <row r="499" spans="1:7" ht="15.75" customHeight="1">
      <c r="A499" s="2">
        <v>92000155</v>
      </c>
      <c r="B499" s="2" t="s">
        <v>1155</v>
      </c>
      <c r="C499" s="5">
        <v>92000155</v>
      </c>
      <c r="D499" s="2" t="s">
        <v>660</v>
      </c>
      <c r="E499" s="2" t="s">
        <v>641</v>
      </c>
      <c r="F499" s="2">
        <v>2</v>
      </c>
      <c r="G499" s="6" t="str">
        <f t="shared" si="0"/>
        <v>https://dto.kemkes.go.id/kfacode/92000155</v>
      </c>
    </row>
    <row r="500" spans="1:7" ht="15.75" customHeight="1">
      <c r="A500" s="2">
        <v>92000571</v>
      </c>
      <c r="B500" s="2" t="s">
        <v>1156</v>
      </c>
      <c r="C500" s="5">
        <v>92000571</v>
      </c>
      <c r="D500" s="2" t="s">
        <v>640</v>
      </c>
      <c r="E500" s="2" t="s">
        <v>641</v>
      </c>
      <c r="F500" s="2">
        <v>2</v>
      </c>
      <c r="G500" s="6" t="str">
        <f t="shared" si="0"/>
        <v>https://dto.kemkes.go.id/kfacode/92000571</v>
      </c>
    </row>
    <row r="501" spans="1:7" ht="15.75" customHeight="1">
      <c r="A501" s="2">
        <v>92000755</v>
      </c>
      <c r="B501" s="2" t="s">
        <v>1157</v>
      </c>
      <c r="C501" s="5">
        <v>92000755</v>
      </c>
      <c r="D501" s="2" t="s">
        <v>645</v>
      </c>
      <c r="E501" s="2" t="s">
        <v>641</v>
      </c>
      <c r="F501" s="2">
        <v>2</v>
      </c>
      <c r="G501" s="6" t="str">
        <f t="shared" si="0"/>
        <v>https://dto.kemkes.go.id/kfacode/92000755</v>
      </c>
    </row>
    <row r="502" spans="1:7" ht="15.75" customHeight="1">
      <c r="A502" s="2">
        <v>92000792</v>
      </c>
      <c r="B502" s="2" t="s">
        <v>1158</v>
      </c>
      <c r="C502" s="5">
        <v>92000792</v>
      </c>
      <c r="D502" s="2" t="s">
        <v>640</v>
      </c>
      <c r="E502" s="2" t="s">
        <v>641</v>
      </c>
      <c r="F502" s="2">
        <v>2</v>
      </c>
      <c r="G502" s="6" t="str">
        <f t="shared" si="0"/>
        <v>https://dto.kemkes.go.id/kfacode/92000792</v>
      </c>
    </row>
    <row r="503" spans="1:7" ht="15.75" customHeight="1">
      <c r="A503" s="2">
        <v>92000414</v>
      </c>
      <c r="B503" s="2" t="s">
        <v>1159</v>
      </c>
      <c r="C503" s="5">
        <v>92000414</v>
      </c>
      <c r="D503" s="2" t="s">
        <v>658</v>
      </c>
      <c r="E503" s="2" t="s">
        <v>641</v>
      </c>
      <c r="F503" s="2">
        <v>3</v>
      </c>
      <c r="G503" s="6" t="str">
        <f t="shared" si="0"/>
        <v>https://dto.kemkes.go.id/kfacode/92000414</v>
      </c>
    </row>
    <row r="504" spans="1:7" ht="15.75" customHeight="1">
      <c r="A504" s="2">
        <v>92000882</v>
      </c>
      <c r="B504" s="2" t="s">
        <v>1160</v>
      </c>
      <c r="C504" s="5">
        <v>92000882</v>
      </c>
      <c r="D504" s="2" t="s">
        <v>1161</v>
      </c>
      <c r="E504" s="2" t="s">
        <v>641</v>
      </c>
      <c r="F504" s="2">
        <v>2</v>
      </c>
      <c r="G504" s="6" t="str">
        <f t="shared" si="0"/>
        <v>https://dto.kemkes.go.id/kfacode/92000882</v>
      </c>
    </row>
    <row r="505" spans="1:7" ht="15.75" customHeight="1">
      <c r="A505" s="2">
        <v>92000766</v>
      </c>
      <c r="B505" s="2" t="s">
        <v>1162</v>
      </c>
      <c r="C505" s="5">
        <v>92000766</v>
      </c>
      <c r="D505" s="2" t="s">
        <v>658</v>
      </c>
      <c r="E505" s="2" t="s">
        <v>641</v>
      </c>
      <c r="F505" s="2">
        <v>2</v>
      </c>
      <c r="G505" s="6" t="str">
        <f t="shared" si="0"/>
        <v>https://dto.kemkes.go.id/kfacode/92000766</v>
      </c>
    </row>
    <row r="506" spans="1:7" ht="15.75" customHeight="1">
      <c r="A506" s="2">
        <v>92000324</v>
      </c>
      <c r="B506" s="2" t="s">
        <v>1163</v>
      </c>
      <c r="C506" s="5">
        <v>92000324</v>
      </c>
      <c r="D506" s="2" t="s">
        <v>653</v>
      </c>
      <c r="E506" s="2" t="s">
        <v>641</v>
      </c>
      <c r="F506" s="2">
        <v>2</v>
      </c>
      <c r="G506" s="6" t="str">
        <f t="shared" si="0"/>
        <v>https://dto.kemkes.go.id/kfacode/92000324</v>
      </c>
    </row>
    <row r="507" spans="1:7" ht="15.75" customHeight="1">
      <c r="A507" s="2">
        <v>92000403</v>
      </c>
      <c r="B507" s="2" t="s">
        <v>1164</v>
      </c>
      <c r="C507" s="5">
        <v>92000403</v>
      </c>
      <c r="D507" s="2" t="s">
        <v>655</v>
      </c>
      <c r="E507" s="2" t="s">
        <v>641</v>
      </c>
      <c r="F507" s="2">
        <v>5</v>
      </c>
      <c r="G507" s="6" t="str">
        <f t="shared" si="0"/>
        <v>https://dto.kemkes.go.id/kfacode/92000403</v>
      </c>
    </row>
    <row r="508" spans="1:7" ht="15.75" customHeight="1">
      <c r="A508" s="2">
        <v>92000612</v>
      </c>
      <c r="B508" s="2" t="s">
        <v>1165</v>
      </c>
      <c r="C508" s="5">
        <v>92000612</v>
      </c>
      <c r="D508" s="2" t="s">
        <v>702</v>
      </c>
      <c r="E508" s="2" t="s">
        <v>641</v>
      </c>
      <c r="F508" s="2">
        <v>2</v>
      </c>
      <c r="G508" s="6" t="str">
        <f t="shared" si="0"/>
        <v>https://dto.kemkes.go.id/kfacode/92000612</v>
      </c>
    </row>
    <row r="509" spans="1:7" ht="15.75" customHeight="1">
      <c r="A509" s="2">
        <v>92000480</v>
      </c>
      <c r="B509" s="2" t="s">
        <v>1166</v>
      </c>
      <c r="C509" s="5">
        <v>92000480</v>
      </c>
      <c r="D509" s="2" t="s">
        <v>645</v>
      </c>
      <c r="E509" s="2" t="s">
        <v>641</v>
      </c>
      <c r="F509" s="2">
        <v>2</v>
      </c>
      <c r="G509" s="6" t="str">
        <f t="shared" si="0"/>
        <v>https://dto.kemkes.go.id/kfacode/92000480</v>
      </c>
    </row>
    <row r="510" spans="1:7" ht="15.75" customHeight="1">
      <c r="A510" s="2">
        <v>92000722</v>
      </c>
      <c r="B510" s="2" t="s">
        <v>1167</v>
      </c>
      <c r="C510" s="5">
        <v>92000722</v>
      </c>
      <c r="D510" s="2" t="s">
        <v>660</v>
      </c>
      <c r="E510" s="2" t="s">
        <v>641</v>
      </c>
      <c r="F510" s="2">
        <v>3</v>
      </c>
      <c r="G510" s="6" t="str">
        <f t="shared" si="0"/>
        <v>https://dto.kemkes.go.id/kfacode/92000722</v>
      </c>
    </row>
    <row r="511" spans="1:7" ht="15.75" customHeight="1">
      <c r="A511" s="2">
        <v>92000495</v>
      </c>
      <c r="B511" s="2" t="s">
        <v>1168</v>
      </c>
      <c r="C511" s="5">
        <v>92000495</v>
      </c>
      <c r="D511" s="2" t="s">
        <v>640</v>
      </c>
      <c r="E511" s="2" t="s">
        <v>641</v>
      </c>
      <c r="F511" s="2">
        <v>3</v>
      </c>
      <c r="G511" s="6" t="str">
        <f t="shared" si="0"/>
        <v>https://dto.kemkes.go.id/kfacode/92000495</v>
      </c>
    </row>
    <row r="512" spans="1:7" ht="15.75" customHeight="1">
      <c r="A512" s="2">
        <v>92000667</v>
      </c>
      <c r="B512" s="2" t="s">
        <v>1169</v>
      </c>
      <c r="C512" s="5">
        <v>92000667</v>
      </c>
      <c r="D512" s="2" t="s">
        <v>640</v>
      </c>
      <c r="E512" s="2" t="s">
        <v>641</v>
      </c>
      <c r="F512" s="2">
        <v>3</v>
      </c>
      <c r="G512" s="6" t="str">
        <f t="shared" si="0"/>
        <v>https://dto.kemkes.go.id/kfacode/92000667</v>
      </c>
    </row>
    <row r="513" spans="1:7" ht="15.75" customHeight="1">
      <c r="A513" s="2">
        <v>92000167</v>
      </c>
      <c r="B513" s="2" t="s">
        <v>1170</v>
      </c>
      <c r="C513" s="5">
        <v>92000167</v>
      </c>
      <c r="D513" s="2" t="s">
        <v>647</v>
      </c>
      <c r="E513" s="2" t="s">
        <v>641</v>
      </c>
      <c r="F513" s="2">
        <v>2</v>
      </c>
      <c r="G513" s="6" t="str">
        <f t="shared" si="0"/>
        <v>https://dto.kemkes.go.id/kfacode/92000167</v>
      </c>
    </row>
    <row r="514" spans="1:7" ht="15.75" customHeight="1">
      <c r="A514" s="2">
        <v>92000339</v>
      </c>
      <c r="B514" s="2" t="s">
        <v>1171</v>
      </c>
      <c r="C514" s="5">
        <v>92000339</v>
      </c>
      <c r="D514" s="2" t="s">
        <v>655</v>
      </c>
      <c r="E514" s="2" t="s">
        <v>641</v>
      </c>
      <c r="F514" s="2">
        <v>4</v>
      </c>
      <c r="G514" s="6" t="str">
        <f t="shared" si="0"/>
        <v>https://dto.kemkes.go.id/kfacode/92000339</v>
      </c>
    </row>
    <row r="515" spans="1:7" ht="15.75" customHeight="1">
      <c r="A515" s="2">
        <v>92000377</v>
      </c>
      <c r="B515" s="2" t="s">
        <v>1172</v>
      </c>
      <c r="C515" s="5">
        <v>92000377</v>
      </c>
      <c r="D515" s="2" t="s">
        <v>645</v>
      </c>
      <c r="E515" s="2" t="s">
        <v>641</v>
      </c>
      <c r="F515" s="2">
        <v>2</v>
      </c>
      <c r="G515" s="6" t="str">
        <f t="shared" si="0"/>
        <v>https://dto.kemkes.go.id/kfacode/92000377</v>
      </c>
    </row>
    <row r="516" spans="1:7" ht="15.75" customHeight="1">
      <c r="A516" s="2">
        <v>92000573</v>
      </c>
      <c r="B516" s="2" t="s">
        <v>1173</v>
      </c>
      <c r="C516" s="5">
        <v>92000573</v>
      </c>
      <c r="D516" s="2" t="s">
        <v>640</v>
      </c>
      <c r="E516" s="2" t="s">
        <v>641</v>
      </c>
      <c r="F516" s="2">
        <v>2</v>
      </c>
      <c r="G516" s="6" t="str">
        <f t="shared" si="0"/>
        <v>https://dto.kemkes.go.id/kfacode/92000573</v>
      </c>
    </row>
    <row r="517" spans="1:7" ht="15.75" customHeight="1">
      <c r="A517" s="2">
        <v>92000153</v>
      </c>
      <c r="B517" s="2" t="s">
        <v>1174</v>
      </c>
      <c r="C517" s="5">
        <v>92000153</v>
      </c>
      <c r="D517" s="2" t="s">
        <v>640</v>
      </c>
      <c r="E517" s="2" t="s">
        <v>641</v>
      </c>
      <c r="F517" s="2">
        <v>2</v>
      </c>
      <c r="G517" s="6" t="str">
        <f t="shared" si="0"/>
        <v>https://dto.kemkes.go.id/kfacode/92000153</v>
      </c>
    </row>
    <row r="518" spans="1:7" ht="15.75" customHeight="1">
      <c r="A518" s="2">
        <v>92000113</v>
      </c>
      <c r="B518" s="2" t="s">
        <v>1175</v>
      </c>
      <c r="C518" s="5">
        <v>92000113</v>
      </c>
      <c r="D518" s="2" t="s">
        <v>640</v>
      </c>
      <c r="E518" s="2" t="s">
        <v>641</v>
      </c>
      <c r="F518" s="2">
        <v>2</v>
      </c>
      <c r="G518" s="6" t="str">
        <f t="shared" si="0"/>
        <v>https://dto.kemkes.go.id/kfacode/92000113</v>
      </c>
    </row>
    <row r="519" spans="1:7" ht="15.75" customHeight="1">
      <c r="A519" s="2">
        <v>92000658</v>
      </c>
      <c r="B519" s="2" t="s">
        <v>1176</v>
      </c>
      <c r="C519" s="5">
        <v>92000658</v>
      </c>
      <c r="D519" s="2" t="s">
        <v>640</v>
      </c>
      <c r="E519" s="2" t="s">
        <v>641</v>
      </c>
      <c r="F519" s="2">
        <v>2</v>
      </c>
      <c r="G519" s="6" t="str">
        <f t="shared" si="0"/>
        <v>https://dto.kemkes.go.id/kfacode/92000658</v>
      </c>
    </row>
    <row r="520" spans="1:7" ht="15.75" customHeight="1">
      <c r="A520" s="2">
        <v>92000714</v>
      </c>
      <c r="B520" s="2" t="s">
        <v>1177</v>
      </c>
      <c r="C520" s="5">
        <v>92000714</v>
      </c>
      <c r="D520" s="2" t="s">
        <v>658</v>
      </c>
      <c r="E520" s="2" t="s">
        <v>641</v>
      </c>
      <c r="F520" s="2">
        <v>2</v>
      </c>
      <c r="G520" s="6" t="str">
        <f t="shared" si="0"/>
        <v>https://dto.kemkes.go.id/kfacode/92000714</v>
      </c>
    </row>
    <row r="521" spans="1:7" ht="15.75" customHeight="1">
      <c r="A521" s="2">
        <v>92000746</v>
      </c>
      <c r="B521" s="2" t="s">
        <v>1178</v>
      </c>
      <c r="C521" s="5">
        <v>92000746</v>
      </c>
      <c r="D521" s="2" t="s">
        <v>660</v>
      </c>
      <c r="E521" s="2" t="s">
        <v>641</v>
      </c>
      <c r="F521" s="2">
        <v>2</v>
      </c>
      <c r="G521" s="6" t="str">
        <f t="shared" si="0"/>
        <v>https://dto.kemkes.go.id/kfacode/92000746</v>
      </c>
    </row>
    <row r="522" spans="1:7" ht="15.75" customHeight="1">
      <c r="A522" s="2">
        <v>92000558</v>
      </c>
      <c r="B522" s="2" t="s">
        <v>1179</v>
      </c>
      <c r="C522" s="5">
        <v>92000558</v>
      </c>
      <c r="D522" s="2" t="s">
        <v>640</v>
      </c>
      <c r="E522" s="2" t="s">
        <v>641</v>
      </c>
      <c r="F522" s="2">
        <v>1</v>
      </c>
      <c r="G522" s="6" t="str">
        <f t="shared" si="0"/>
        <v>https://dto.kemkes.go.id/kfacode/92000558</v>
      </c>
    </row>
    <row r="523" spans="1:7" ht="15.75" customHeight="1">
      <c r="A523" s="2">
        <v>92000560</v>
      </c>
      <c r="B523" s="2" t="s">
        <v>1180</v>
      </c>
      <c r="C523" s="5">
        <v>92000560</v>
      </c>
      <c r="D523" s="2" t="s">
        <v>640</v>
      </c>
      <c r="E523" s="2" t="s">
        <v>641</v>
      </c>
      <c r="F523" s="2">
        <v>1</v>
      </c>
      <c r="G523" s="6" t="str">
        <f t="shared" si="0"/>
        <v>https://dto.kemkes.go.id/kfacode/92000560</v>
      </c>
    </row>
    <row r="524" spans="1:7" ht="15.75" customHeight="1">
      <c r="A524" s="2">
        <v>92000562</v>
      </c>
      <c r="B524" s="2" t="s">
        <v>1181</v>
      </c>
      <c r="C524" s="5">
        <v>92000562</v>
      </c>
      <c r="D524" s="2" t="s">
        <v>702</v>
      </c>
      <c r="E524" s="2" t="s">
        <v>641</v>
      </c>
      <c r="F524" s="2">
        <v>4</v>
      </c>
      <c r="G524" s="6" t="str">
        <f t="shared" si="0"/>
        <v>https://dto.kemkes.go.id/kfacode/92000562</v>
      </c>
    </row>
    <row r="525" spans="1:7" ht="15.75" customHeight="1">
      <c r="A525" s="2">
        <v>92000678</v>
      </c>
      <c r="B525" s="2" t="s">
        <v>1182</v>
      </c>
      <c r="C525" s="5">
        <v>92000678</v>
      </c>
      <c r="D525" s="2" t="s">
        <v>645</v>
      </c>
      <c r="E525" s="2" t="s">
        <v>641</v>
      </c>
      <c r="F525" s="2">
        <v>3</v>
      </c>
      <c r="G525" s="6" t="str">
        <f t="shared" si="0"/>
        <v>https://dto.kemkes.go.id/kfacode/92000678</v>
      </c>
    </row>
    <row r="526" spans="1:7" ht="15.75" customHeight="1">
      <c r="A526" s="2">
        <v>92000735</v>
      </c>
      <c r="B526" s="2" t="s">
        <v>1183</v>
      </c>
      <c r="C526" s="5">
        <v>92000735</v>
      </c>
      <c r="D526" s="2" t="s">
        <v>645</v>
      </c>
      <c r="E526" s="2" t="s">
        <v>641</v>
      </c>
      <c r="F526" s="2">
        <v>2</v>
      </c>
      <c r="G526" s="6" t="str">
        <f t="shared" si="0"/>
        <v>https://dto.kemkes.go.id/kfacode/92000735</v>
      </c>
    </row>
    <row r="527" spans="1:7" ht="15.75" customHeight="1">
      <c r="A527" s="2">
        <v>92000115</v>
      </c>
      <c r="B527" s="2" t="s">
        <v>1184</v>
      </c>
      <c r="C527" s="5">
        <v>92000115</v>
      </c>
      <c r="D527" s="2" t="s">
        <v>645</v>
      </c>
      <c r="E527" s="2" t="s">
        <v>641</v>
      </c>
      <c r="F527" s="2">
        <v>5</v>
      </c>
      <c r="G527" s="6" t="str">
        <f t="shared" si="0"/>
        <v>https://dto.kemkes.go.id/kfacode/92000115</v>
      </c>
    </row>
    <row r="528" spans="1:7" ht="15.75" customHeight="1">
      <c r="A528" s="2">
        <v>92000655</v>
      </c>
      <c r="B528" s="2" t="s">
        <v>1185</v>
      </c>
      <c r="C528" s="5">
        <v>92000655</v>
      </c>
      <c r="D528" s="2" t="s">
        <v>660</v>
      </c>
      <c r="E528" s="2" t="s">
        <v>641</v>
      </c>
      <c r="F528" s="2">
        <v>2</v>
      </c>
      <c r="G528" s="6" t="str">
        <f t="shared" si="0"/>
        <v>https://dto.kemkes.go.id/kfacode/92000655</v>
      </c>
    </row>
    <row r="529" spans="1:7" ht="15.75" customHeight="1">
      <c r="A529" s="2">
        <v>92000412</v>
      </c>
      <c r="B529" s="2" t="s">
        <v>1186</v>
      </c>
      <c r="C529" s="5">
        <v>92000412</v>
      </c>
      <c r="D529" s="2" t="s">
        <v>645</v>
      </c>
      <c r="E529" s="2" t="s">
        <v>641</v>
      </c>
      <c r="F529" s="2">
        <v>2</v>
      </c>
      <c r="G529" s="6" t="str">
        <f t="shared" si="0"/>
        <v>https://dto.kemkes.go.id/kfacode/92000412</v>
      </c>
    </row>
    <row r="530" spans="1:7" ht="15.75" customHeight="1">
      <c r="A530" s="2">
        <v>92000257</v>
      </c>
      <c r="B530" s="2" t="s">
        <v>1187</v>
      </c>
      <c r="C530" s="5">
        <v>92000257</v>
      </c>
      <c r="D530" s="2" t="s">
        <v>640</v>
      </c>
      <c r="E530" s="2" t="s">
        <v>641</v>
      </c>
      <c r="F530" s="2">
        <v>2</v>
      </c>
      <c r="G530" s="6" t="str">
        <f t="shared" si="0"/>
        <v>https://dto.kemkes.go.id/kfacode/92000257</v>
      </c>
    </row>
    <row r="531" spans="1:7" ht="15.75" customHeight="1">
      <c r="A531" s="2">
        <v>92000752</v>
      </c>
      <c r="B531" s="2" t="s">
        <v>1188</v>
      </c>
      <c r="C531" s="5">
        <v>92000752</v>
      </c>
      <c r="D531" s="2" t="s">
        <v>649</v>
      </c>
      <c r="E531" s="2" t="s">
        <v>641</v>
      </c>
      <c r="F531" s="2">
        <v>2</v>
      </c>
      <c r="G531" s="6" t="str">
        <f t="shared" si="0"/>
        <v>https://dto.kemkes.go.id/kfacode/92000752</v>
      </c>
    </row>
    <row r="532" spans="1:7" ht="15.75" customHeight="1">
      <c r="A532" s="2">
        <v>92000750</v>
      </c>
      <c r="B532" s="2" t="s">
        <v>1189</v>
      </c>
      <c r="C532" s="5">
        <v>92000750</v>
      </c>
      <c r="D532" s="2" t="s">
        <v>649</v>
      </c>
      <c r="E532" s="2" t="s">
        <v>641</v>
      </c>
      <c r="F532" s="2">
        <v>2</v>
      </c>
      <c r="G532" s="6" t="str">
        <f t="shared" si="0"/>
        <v>https://dto.kemkes.go.id/kfacode/92000750</v>
      </c>
    </row>
    <row r="533" spans="1:7" ht="15.75" customHeight="1">
      <c r="A533" s="2">
        <v>92000190</v>
      </c>
      <c r="B533" s="2" t="s">
        <v>1190</v>
      </c>
      <c r="C533" s="5">
        <v>92000190</v>
      </c>
      <c r="D533" s="2" t="s">
        <v>653</v>
      </c>
      <c r="E533" s="2" t="s">
        <v>641</v>
      </c>
      <c r="F533" s="2">
        <v>2</v>
      </c>
      <c r="G533" s="6" t="str">
        <f t="shared" si="0"/>
        <v>https://dto.kemkes.go.id/kfacode/92000190</v>
      </c>
    </row>
    <row r="534" spans="1:7" ht="15.75" customHeight="1">
      <c r="A534" s="2">
        <v>92000688</v>
      </c>
      <c r="B534" s="2" t="s">
        <v>1191</v>
      </c>
      <c r="C534" s="5">
        <v>92000688</v>
      </c>
      <c r="D534" s="2" t="s">
        <v>640</v>
      </c>
      <c r="E534" s="2" t="s">
        <v>641</v>
      </c>
      <c r="F534" s="2">
        <v>2</v>
      </c>
      <c r="G534" s="6" t="str">
        <f t="shared" si="0"/>
        <v>https://dto.kemkes.go.id/kfacode/92000688</v>
      </c>
    </row>
    <row r="535" spans="1:7" ht="15.75" customHeight="1">
      <c r="A535" s="2">
        <v>92000791</v>
      </c>
      <c r="B535" s="2" t="s">
        <v>1192</v>
      </c>
      <c r="C535" s="5">
        <v>92000791</v>
      </c>
      <c r="D535" s="2" t="s">
        <v>645</v>
      </c>
      <c r="E535" s="2" t="s">
        <v>641</v>
      </c>
      <c r="F535" s="2">
        <v>2</v>
      </c>
      <c r="G535" s="6" t="str">
        <f t="shared" si="0"/>
        <v>https://dto.kemkes.go.id/kfacode/92000791</v>
      </c>
    </row>
    <row r="536" spans="1:7" ht="15.75" customHeight="1">
      <c r="A536" s="2">
        <v>92000728</v>
      </c>
      <c r="B536" s="2" t="s">
        <v>1193</v>
      </c>
      <c r="C536" s="5">
        <v>92000728</v>
      </c>
      <c r="D536" s="2" t="s">
        <v>640</v>
      </c>
      <c r="E536" s="2" t="s">
        <v>641</v>
      </c>
      <c r="F536" s="2">
        <v>2</v>
      </c>
      <c r="G536" s="6" t="str">
        <f t="shared" si="0"/>
        <v>https://dto.kemkes.go.id/kfacode/92000728</v>
      </c>
    </row>
    <row r="537" spans="1:7" ht="15.75" customHeight="1">
      <c r="A537" s="2">
        <v>92000662</v>
      </c>
      <c r="B537" s="2" t="s">
        <v>1194</v>
      </c>
      <c r="C537" s="5">
        <v>92000662</v>
      </c>
      <c r="D537" s="2" t="s">
        <v>671</v>
      </c>
      <c r="E537" s="2" t="s">
        <v>641</v>
      </c>
      <c r="F537" s="2">
        <v>3</v>
      </c>
      <c r="G537" s="6" t="str">
        <f t="shared" si="0"/>
        <v>https://dto.kemkes.go.id/kfacode/92000662</v>
      </c>
    </row>
    <row r="538" spans="1:7" ht="15.75" customHeight="1">
      <c r="A538" s="2">
        <v>92000302</v>
      </c>
      <c r="B538" s="2" t="s">
        <v>1195</v>
      </c>
      <c r="C538" s="5">
        <v>92000302</v>
      </c>
      <c r="D538" s="2" t="s">
        <v>658</v>
      </c>
      <c r="E538" s="2" t="s">
        <v>641</v>
      </c>
      <c r="F538" s="2">
        <v>4</v>
      </c>
      <c r="G538" s="6" t="str">
        <f t="shared" si="0"/>
        <v>https://dto.kemkes.go.id/kfacode/92000302</v>
      </c>
    </row>
    <row r="539" spans="1:7" ht="15.75" customHeight="1">
      <c r="A539" s="2">
        <v>92000600</v>
      </c>
      <c r="B539" s="2" t="s">
        <v>1196</v>
      </c>
      <c r="C539" s="5">
        <v>92000600</v>
      </c>
      <c r="D539" s="2" t="s">
        <v>640</v>
      </c>
      <c r="E539" s="2" t="s">
        <v>641</v>
      </c>
      <c r="F539" s="2">
        <v>2</v>
      </c>
      <c r="G539" s="6" t="str">
        <f t="shared" si="0"/>
        <v>https://dto.kemkes.go.id/kfacode/92000600</v>
      </c>
    </row>
    <row r="540" spans="1:7" ht="15.75" customHeight="1">
      <c r="A540" s="2">
        <v>92000521</v>
      </c>
      <c r="B540" s="2" t="s">
        <v>1197</v>
      </c>
      <c r="C540" s="5">
        <v>92000521</v>
      </c>
      <c r="D540" s="2" t="s">
        <v>640</v>
      </c>
      <c r="E540" s="2" t="s">
        <v>641</v>
      </c>
      <c r="F540" s="2">
        <v>2</v>
      </c>
      <c r="G540" s="6" t="str">
        <f t="shared" si="0"/>
        <v>https://dto.kemkes.go.id/kfacode/92000521</v>
      </c>
    </row>
    <row r="541" spans="1:7" ht="15.75" customHeight="1">
      <c r="A541" s="2">
        <v>92000715</v>
      </c>
      <c r="B541" s="2" t="s">
        <v>1198</v>
      </c>
      <c r="C541" s="5">
        <v>92000715</v>
      </c>
      <c r="D541" s="2" t="s">
        <v>640</v>
      </c>
      <c r="E541" s="2" t="s">
        <v>641</v>
      </c>
      <c r="F541" s="2">
        <v>2</v>
      </c>
      <c r="G541" s="6" t="str">
        <f t="shared" si="0"/>
        <v>https://dto.kemkes.go.id/kfacode/92000715</v>
      </c>
    </row>
    <row r="542" spans="1:7" ht="15.75" customHeight="1">
      <c r="A542" s="2">
        <v>92000716</v>
      </c>
      <c r="B542" s="2" t="s">
        <v>1199</v>
      </c>
      <c r="C542" s="5">
        <v>92000716</v>
      </c>
      <c r="D542" s="2" t="s">
        <v>660</v>
      </c>
      <c r="E542" s="2" t="s">
        <v>641</v>
      </c>
      <c r="F542" s="2">
        <v>3</v>
      </c>
      <c r="G542" s="6" t="str">
        <f t="shared" si="0"/>
        <v>https://dto.kemkes.go.id/kfacode/92000716</v>
      </c>
    </row>
    <row r="543" spans="1:7" ht="15.75" customHeight="1">
      <c r="A543" s="2">
        <v>92000710</v>
      </c>
      <c r="B543" s="2" t="s">
        <v>1200</v>
      </c>
      <c r="C543" s="5">
        <v>92000710</v>
      </c>
      <c r="D543" s="2" t="s">
        <v>640</v>
      </c>
      <c r="E543" s="2" t="s">
        <v>641</v>
      </c>
      <c r="F543" s="2">
        <v>4</v>
      </c>
      <c r="G543" s="6" t="str">
        <f t="shared" si="0"/>
        <v>https://dto.kemkes.go.id/kfacode/92000710</v>
      </c>
    </row>
    <row r="544" spans="1:7" ht="15.75" customHeight="1">
      <c r="A544" s="2">
        <v>92000717</v>
      </c>
      <c r="B544" s="2" t="s">
        <v>1201</v>
      </c>
      <c r="C544" s="5">
        <v>92000717</v>
      </c>
      <c r="D544" s="2" t="s">
        <v>640</v>
      </c>
      <c r="E544" s="2" t="s">
        <v>641</v>
      </c>
      <c r="F544" s="2">
        <v>3</v>
      </c>
      <c r="G544" s="6" t="str">
        <f t="shared" si="0"/>
        <v>https://dto.kemkes.go.id/kfacode/92000717</v>
      </c>
    </row>
    <row r="545" spans="1:7" ht="15.75" customHeight="1">
      <c r="A545" s="2">
        <v>92000876</v>
      </c>
      <c r="B545" s="2" t="s">
        <v>1202</v>
      </c>
      <c r="C545" s="5">
        <v>92000876</v>
      </c>
      <c r="D545" s="2" t="s">
        <v>645</v>
      </c>
      <c r="E545" s="2" t="s">
        <v>641</v>
      </c>
      <c r="F545" s="2">
        <v>2</v>
      </c>
      <c r="G545" s="6" t="str">
        <f t="shared" si="0"/>
        <v>https://dto.kemkes.go.id/kfacode/92000876</v>
      </c>
    </row>
    <row r="546" spans="1:7" ht="15.75" customHeight="1">
      <c r="A546" s="2">
        <v>92000557</v>
      </c>
      <c r="B546" s="2" t="s">
        <v>1203</v>
      </c>
      <c r="C546" s="5">
        <v>92000557</v>
      </c>
      <c r="D546" s="2" t="s">
        <v>899</v>
      </c>
      <c r="E546" s="2" t="s">
        <v>641</v>
      </c>
      <c r="F546" s="2">
        <v>2</v>
      </c>
      <c r="G546" s="6" t="str">
        <f t="shared" si="0"/>
        <v>https://dto.kemkes.go.id/kfacode/92000557</v>
      </c>
    </row>
    <row r="547" spans="1:7" ht="15.75" customHeight="1">
      <c r="A547" s="2">
        <v>92000544</v>
      </c>
      <c r="B547" s="2" t="s">
        <v>1204</v>
      </c>
      <c r="C547" s="5">
        <v>92000544</v>
      </c>
      <c r="D547" s="2" t="s">
        <v>653</v>
      </c>
      <c r="E547" s="2" t="s">
        <v>641</v>
      </c>
      <c r="F547" s="2">
        <v>2</v>
      </c>
      <c r="G547" s="6" t="str">
        <f t="shared" si="0"/>
        <v>https://dto.kemkes.go.id/kfacode/92000544</v>
      </c>
    </row>
    <row r="548" spans="1:7" ht="15.75" customHeight="1">
      <c r="A548" s="2">
        <v>92000539</v>
      </c>
      <c r="B548" s="2" t="s">
        <v>1205</v>
      </c>
      <c r="C548" s="5">
        <v>92000539</v>
      </c>
      <c r="D548" s="2" t="s">
        <v>640</v>
      </c>
      <c r="E548" s="2" t="s">
        <v>641</v>
      </c>
      <c r="F548" s="2">
        <v>2</v>
      </c>
      <c r="G548" s="6" t="str">
        <f t="shared" si="0"/>
        <v>https://dto.kemkes.go.id/kfacode/92000539</v>
      </c>
    </row>
    <row r="549" spans="1:7" ht="15.75" customHeight="1">
      <c r="A549" s="2">
        <v>92000333</v>
      </c>
      <c r="B549" s="2" t="s">
        <v>1206</v>
      </c>
      <c r="C549" s="5">
        <v>92000333</v>
      </c>
      <c r="D549" s="2" t="s">
        <v>702</v>
      </c>
      <c r="E549" s="2" t="s">
        <v>641</v>
      </c>
      <c r="F549" s="2">
        <v>3</v>
      </c>
      <c r="G549" s="6" t="str">
        <f t="shared" si="0"/>
        <v>https://dto.kemkes.go.id/kfacode/92000333</v>
      </c>
    </row>
    <row r="550" spans="1:7" ht="15.75" customHeight="1">
      <c r="A550" s="2">
        <v>92000781</v>
      </c>
      <c r="B550" s="2" t="s">
        <v>1207</v>
      </c>
      <c r="C550" s="5">
        <v>92000781</v>
      </c>
      <c r="D550" s="2" t="s">
        <v>640</v>
      </c>
      <c r="E550" s="2" t="s">
        <v>641</v>
      </c>
      <c r="F550" s="2">
        <v>2</v>
      </c>
      <c r="G550" s="6" t="str">
        <f t="shared" si="0"/>
        <v>https://dto.kemkes.go.id/kfacode/92000781</v>
      </c>
    </row>
    <row r="551" spans="1:7" ht="15.75" customHeight="1">
      <c r="A551" s="2">
        <v>92000805</v>
      </c>
      <c r="B551" s="2" t="s">
        <v>1208</v>
      </c>
      <c r="C551" s="5">
        <v>92000805</v>
      </c>
      <c r="D551" s="2" t="s">
        <v>653</v>
      </c>
      <c r="E551" s="2" t="s">
        <v>641</v>
      </c>
      <c r="F551" s="2">
        <v>2</v>
      </c>
      <c r="G551" s="6" t="str">
        <f t="shared" si="0"/>
        <v>https://dto.kemkes.go.id/kfacode/92000805</v>
      </c>
    </row>
    <row r="552" spans="1:7" ht="15.75" customHeight="1">
      <c r="A552" s="2">
        <v>92000776</v>
      </c>
      <c r="B552" s="2" t="s">
        <v>1209</v>
      </c>
      <c r="C552" s="5">
        <v>92000776</v>
      </c>
      <c r="D552" s="2" t="s">
        <v>640</v>
      </c>
      <c r="E552" s="2" t="s">
        <v>641</v>
      </c>
      <c r="F552" s="2">
        <v>2</v>
      </c>
      <c r="G552" s="6" t="str">
        <f t="shared" si="0"/>
        <v>https://dto.kemkes.go.id/kfacode/92000776</v>
      </c>
    </row>
    <row r="553" spans="1:7" ht="15.75" customHeight="1">
      <c r="A553" s="2">
        <v>92000777</v>
      </c>
      <c r="B553" s="2" t="s">
        <v>1210</v>
      </c>
      <c r="C553" s="5">
        <v>92000777</v>
      </c>
      <c r="D553" s="2" t="s">
        <v>640</v>
      </c>
      <c r="E553" s="2" t="s">
        <v>641</v>
      </c>
      <c r="F553" s="2">
        <v>2</v>
      </c>
      <c r="G553" s="6" t="str">
        <f t="shared" si="0"/>
        <v>https://dto.kemkes.go.id/kfacode/92000777</v>
      </c>
    </row>
    <row r="554" spans="1:7" ht="15.75" customHeight="1">
      <c r="A554" s="2">
        <v>92000853</v>
      </c>
      <c r="B554" s="2" t="s">
        <v>1211</v>
      </c>
      <c r="C554" s="5">
        <v>92000853</v>
      </c>
      <c r="D554" s="2" t="s">
        <v>668</v>
      </c>
      <c r="E554" s="2" t="s">
        <v>641</v>
      </c>
      <c r="F554" s="2">
        <v>2</v>
      </c>
      <c r="G554" s="6" t="str">
        <f t="shared" si="0"/>
        <v>https://dto.kemkes.go.id/kfacode/92000853</v>
      </c>
    </row>
    <row r="555" spans="1:7" ht="15.75" customHeight="1">
      <c r="A555" s="2">
        <v>92000863</v>
      </c>
      <c r="B555" s="2" t="s">
        <v>1212</v>
      </c>
      <c r="C555" s="5">
        <v>92000863</v>
      </c>
      <c r="D555" s="2" t="s">
        <v>673</v>
      </c>
      <c r="E555" s="2" t="s">
        <v>641</v>
      </c>
      <c r="F555" s="2">
        <v>2</v>
      </c>
      <c r="G555" s="6" t="str">
        <f t="shared" si="0"/>
        <v>https://dto.kemkes.go.id/kfacode/92000863</v>
      </c>
    </row>
    <row r="556" spans="1:7" ht="15.75" customHeight="1">
      <c r="A556" s="2">
        <v>92000901</v>
      </c>
      <c r="B556" s="2" t="s">
        <v>1213</v>
      </c>
      <c r="C556" s="5">
        <v>92000901</v>
      </c>
      <c r="D556" s="2" t="s">
        <v>1046</v>
      </c>
      <c r="E556" s="2" t="s">
        <v>641</v>
      </c>
      <c r="F556" s="2">
        <v>3</v>
      </c>
      <c r="G556" s="6" t="str">
        <f t="shared" si="0"/>
        <v>https://dto.kemkes.go.id/kfacode/92000901</v>
      </c>
    </row>
    <row r="557" spans="1:7" ht="15.75" customHeight="1">
      <c r="A557" s="2">
        <v>92000579</v>
      </c>
      <c r="B557" s="2" t="s">
        <v>1214</v>
      </c>
      <c r="C557" s="5">
        <v>92000579</v>
      </c>
      <c r="D557" s="2" t="s">
        <v>1046</v>
      </c>
      <c r="E557" s="2" t="s">
        <v>641</v>
      </c>
      <c r="F557" s="2">
        <v>3</v>
      </c>
      <c r="G557" s="6" t="str">
        <f t="shared" si="0"/>
        <v>https://dto.kemkes.go.id/kfacode/92000579</v>
      </c>
    </row>
    <row r="558" spans="1:7" ht="15.75" customHeight="1">
      <c r="A558" s="2">
        <v>92000111</v>
      </c>
      <c r="B558" s="2" t="s">
        <v>1215</v>
      </c>
      <c r="C558" s="5">
        <v>92000111</v>
      </c>
      <c r="D558" s="2" t="s">
        <v>702</v>
      </c>
      <c r="E558" s="2" t="s">
        <v>641</v>
      </c>
      <c r="F558" s="2">
        <v>2</v>
      </c>
      <c r="G558" s="6" t="str">
        <f t="shared" si="0"/>
        <v>https://dto.kemkes.go.id/kfacode/92000111</v>
      </c>
    </row>
    <row r="559" spans="1:7" ht="15.75" customHeight="1">
      <c r="A559" s="2">
        <v>92000938</v>
      </c>
      <c r="B559" s="2" t="s">
        <v>1216</v>
      </c>
      <c r="C559" s="5">
        <v>92000938</v>
      </c>
      <c r="D559" s="2" t="s">
        <v>653</v>
      </c>
      <c r="E559" s="2" t="s">
        <v>641</v>
      </c>
      <c r="F559" s="2">
        <v>2</v>
      </c>
      <c r="G559" s="6" t="str">
        <f t="shared" si="0"/>
        <v>https://dto.kemkes.go.id/kfacode/92000938</v>
      </c>
    </row>
    <row r="560" spans="1:7" ht="15.75" customHeight="1">
      <c r="A560" s="2">
        <v>92000684</v>
      </c>
      <c r="B560" s="2" t="s">
        <v>1217</v>
      </c>
      <c r="C560" s="5">
        <v>92000684</v>
      </c>
      <c r="D560" s="2" t="s">
        <v>649</v>
      </c>
      <c r="E560" s="2" t="s">
        <v>641</v>
      </c>
      <c r="F560" s="2">
        <v>3</v>
      </c>
      <c r="G560" s="6" t="str">
        <f t="shared" si="0"/>
        <v>https://dto.kemkes.go.id/kfacode/92000684</v>
      </c>
    </row>
    <row r="561" spans="1:7" ht="15.75" customHeight="1">
      <c r="A561" s="2">
        <v>92000733</v>
      </c>
      <c r="B561" s="2" t="s">
        <v>1218</v>
      </c>
      <c r="C561" s="5">
        <v>92000733</v>
      </c>
      <c r="D561" s="2" t="s">
        <v>653</v>
      </c>
      <c r="E561" s="2" t="s">
        <v>641</v>
      </c>
      <c r="F561" s="2">
        <v>3</v>
      </c>
      <c r="G561" s="6" t="str">
        <f t="shared" si="0"/>
        <v>https://dto.kemkes.go.id/kfacode/92000733</v>
      </c>
    </row>
    <row r="562" spans="1:7" ht="15.75" customHeight="1">
      <c r="A562" s="2">
        <v>92000485</v>
      </c>
      <c r="B562" s="2" t="s">
        <v>1219</v>
      </c>
      <c r="C562" s="5">
        <v>92000485</v>
      </c>
      <c r="D562" s="2" t="s">
        <v>645</v>
      </c>
      <c r="E562" s="2" t="s">
        <v>641</v>
      </c>
      <c r="F562" s="2">
        <v>3</v>
      </c>
      <c r="G562" s="6" t="str">
        <f t="shared" si="0"/>
        <v>https://dto.kemkes.go.id/kfacode/92000485</v>
      </c>
    </row>
    <row r="563" spans="1:7" ht="15.75" customHeight="1">
      <c r="A563" s="2">
        <v>92000396</v>
      </c>
      <c r="B563" s="2" t="s">
        <v>1220</v>
      </c>
      <c r="C563" s="5">
        <v>92000396</v>
      </c>
      <c r="D563" s="2" t="s">
        <v>660</v>
      </c>
      <c r="E563" s="2" t="s">
        <v>641</v>
      </c>
      <c r="F563" s="2">
        <v>3</v>
      </c>
      <c r="G563" s="6" t="str">
        <f t="shared" si="0"/>
        <v>https://dto.kemkes.go.id/kfacode/92000396</v>
      </c>
    </row>
    <row r="564" spans="1:7" ht="15.75" customHeight="1">
      <c r="A564" s="2">
        <v>92000398</v>
      </c>
      <c r="B564" s="2" t="s">
        <v>1221</v>
      </c>
      <c r="C564" s="5">
        <v>92000398</v>
      </c>
      <c r="D564" s="2" t="s">
        <v>640</v>
      </c>
      <c r="E564" s="2" t="s">
        <v>641</v>
      </c>
      <c r="F564" s="2">
        <v>3</v>
      </c>
      <c r="G564" s="6" t="str">
        <f t="shared" si="0"/>
        <v>https://dto.kemkes.go.id/kfacode/92000398</v>
      </c>
    </row>
    <row r="565" spans="1:7" ht="15.75" customHeight="1">
      <c r="A565" s="2">
        <v>92000222</v>
      </c>
      <c r="B565" s="2" t="s">
        <v>1222</v>
      </c>
      <c r="C565" s="5">
        <v>92000222</v>
      </c>
      <c r="D565" s="2" t="s">
        <v>660</v>
      </c>
      <c r="E565" s="2" t="s">
        <v>641</v>
      </c>
      <c r="F565" s="2">
        <v>1</v>
      </c>
      <c r="G565" s="6" t="str">
        <f t="shared" si="0"/>
        <v>https://dto.kemkes.go.id/kfacode/92000222</v>
      </c>
    </row>
    <row r="566" spans="1:7" ht="15.75" customHeight="1">
      <c r="A566" s="2">
        <v>92000223</v>
      </c>
      <c r="B566" s="2" t="s">
        <v>1223</v>
      </c>
      <c r="C566" s="5">
        <v>92000223</v>
      </c>
      <c r="D566" s="2" t="s">
        <v>660</v>
      </c>
      <c r="E566" s="2" t="s">
        <v>641</v>
      </c>
      <c r="F566" s="2">
        <v>1</v>
      </c>
      <c r="G566" s="6" t="str">
        <f t="shared" si="0"/>
        <v>https://dto.kemkes.go.id/kfacode/92000223</v>
      </c>
    </row>
    <row r="567" spans="1:7" ht="15.75" customHeight="1">
      <c r="A567" s="2">
        <v>92000221</v>
      </c>
      <c r="B567" s="2" t="s">
        <v>1224</v>
      </c>
      <c r="C567" s="5">
        <v>92000221</v>
      </c>
      <c r="D567" s="2" t="s">
        <v>640</v>
      </c>
      <c r="E567" s="2" t="s">
        <v>641</v>
      </c>
      <c r="F567" s="2">
        <v>5</v>
      </c>
      <c r="G567" s="6" t="str">
        <f t="shared" si="0"/>
        <v>https://dto.kemkes.go.id/kfacode/92000221</v>
      </c>
    </row>
    <row r="568" spans="1:7" ht="15.75" customHeight="1">
      <c r="A568" s="2">
        <v>92000188</v>
      </c>
      <c r="B568" s="2" t="s">
        <v>1225</v>
      </c>
      <c r="C568" s="5">
        <v>92000188</v>
      </c>
      <c r="D568" s="2" t="s">
        <v>640</v>
      </c>
      <c r="E568" s="2" t="s">
        <v>641</v>
      </c>
      <c r="F568" s="2">
        <v>5</v>
      </c>
      <c r="G568" s="6" t="str">
        <f t="shared" si="0"/>
        <v>https://dto.kemkes.go.id/kfacode/92000188</v>
      </c>
    </row>
    <row r="569" spans="1:7" ht="15.75" customHeight="1">
      <c r="A569" s="2">
        <v>92000935</v>
      </c>
      <c r="B569" s="2" t="s">
        <v>1226</v>
      </c>
      <c r="C569" s="5">
        <v>92000935</v>
      </c>
      <c r="D569" s="2" t="s">
        <v>702</v>
      </c>
      <c r="E569" s="2" t="s">
        <v>641</v>
      </c>
      <c r="F569" s="2">
        <v>2</v>
      </c>
      <c r="G569" s="6" t="str">
        <f t="shared" si="0"/>
        <v>https://dto.kemkes.go.id/kfacode/92000935</v>
      </c>
    </row>
    <row r="570" spans="1:7" ht="15.75" customHeight="1">
      <c r="A570" s="2">
        <v>92000207</v>
      </c>
      <c r="B570" s="2" t="s">
        <v>1227</v>
      </c>
      <c r="C570" s="5">
        <v>92000207</v>
      </c>
      <c r="D570" s="2" t="s">
        <v>653</v>
      </c>
      <c r="E570" s="2" t="s">
        <v>641</v>
      </c>
      <c r="F570" s="2">
        <v>10</v>
      </c>
      <c r="G570" s="6" t="str">
        <f t="shared" si="0"/>
        <v>https://dto.kemkes.go.id/kfacode/92000207</v>
      </c>
    </row>
    <row r="571" spans="1:7" ht="15.75" customHeight="1">
      <c r="A571" s="2">
        <v>92000206</v>
      </c>
      <c r="B571" s="2" t="s">
        <v>1228</v>
      </c>
      <c r="C571" s="5">
        <v>92000206</v>
      </c>
      <c r="D571" s="2" t="s">
        <v>653</v>
      </c>
      <c r="E571" s="2" t="s">
        <v>641</v>
      </c>
      <c r="F571" s="2">
        <v>10</v>
      </c>
      <c r="G571" s="6" t="str">
        <f t="shared" si="0"/>
        <v>https://dto.kemkes.go.id/kfacode/92000206</v>
      </c>
    </row>
    <row r="572" spans="1:7" ht="15.75" customHeight="1">
      <c r="A572" s="2">
        <v>92000144</v>
      </c>
      <c r="B572" s="2" t="s">
        <v>1229</v>
      </c>
      <c r="C572" s="5">
        <v>92000144</v>
      </c>
      <c r="D572" s="2" t="s">
        <v>658</v>
      </c>
      <c r="E572" s="2" t="s">
        <v>641</v>
      </c>
      <c r="F572" s="2">
        <v>2</v>
      </c>
      <c r="G572" s="6" t="str">
        <f t="shared" si="0"/>
        <v>https://dto.kemkes.go.id/kfacode/92000144</v>
      </c>
    </row>
    <row r="573" spans="1:7" ht="15.75" customHeight="1">
      <c r="A573" s="2">
        <v>92000318</v>
      </c>
      <c r="B573" s="2" t="s">
        <v>1230</v>
      </c>
      <c r="C573" s="5">
        <v>92000318</v>
      </c>
      <c r="D573" s="2" t="s">
        <v>645</v>
      </c>
      <c r="E573" s="2" t="s">
        <v>641</v>
      </c>
      <c r="F573" s="2">
        <v>3</v>
      </c>
      <c r="G573" s="6" t="str">
        <f t="shared" si="0"/>
        <v>https://dto.kemkes.go.id/kfacode/92000318</v>
      </c>
    </row>
    <row r="574" spans="1:7" ht="15.75" customHeight="1">
      <c r="A574" s="2">
        <v>92000588</v>
      </c>
      <c r="B574" s="2" t="s">
        <v>1231</v>
      </c>
      <c r="C574" s="5">
        <v>92000588</v>
      </c>
      <c r="D574" s="2" t="s">
        <v>649</v>
      </c>
      <c r="E574" s="2" t="s">
        <v>641</v>
      </c>
      <c r="F574" s="2">
        <v>2</v>
      </c>
      <c r="G574" s="6" t="str">
        <f t="shared" si="0"/>
        <v>https://dto.kemkes.go.id/kfacode/92000588</v>
      </c>
    </row>
    <row r="575" spans="1:7" ht="15.75" customHeight="1">
      <c r="A575" s="2">
        <v>92000592</v>
      </c>
      <c r="B575" s="2" t="s">
        <v>1232</v>
      </c>
      <c r="C575" s="5">
        <v>92000592</v>
      </c>
      <c r="D575" s="2" t="s">
        <v>640</v>
      </c>
      <c r="E575" s="2" t="s">
        <v>641</v>
      </c>
      <c r="F575" s="2">
        <v>2</v>
      </c>
      <c r="G575" s="6" t="str">
        <f t="shared" si="0"/>
        <v>https://dto.kemkes.go.id/kfacode/92000592</v>
      </c>
    </row>
    <row r="576" spans="1:7" ht="15.75" customHeight="1">
      <c r="A576" s="2">
        <v>92000320</v>
      </c>
      <c r="B576" s="2" t="s">
        <v>1233</v>
      </c>
      <c r="C576" s="5">
        <v>92000320</v>
      </c>
      <c r="D576" s="2" t="s">
        <v>668</v>
      </c>
      <c r="E576" s="2" t="s">
        <v>641</v>
      </c>
      <c r="F576" s="2">
        <v>2</v>
      </c>
      <c r="G576" s="6" t="str">
        <f t="shared" si="0"/>
        <v>https://dto.kemkes.go.id/kfacode/92000320</v>
      </c>
    </row>
    <row r="577" spans="1:7" ht="15.75" customHeight="1">
      <c r="A577" s="2">
        <v>92000590</v>
      </c>
      <c r="B577" s="2" t="s">
        <v>1234</v>
      </c>
      <c r="C577" s="5">
        <v>92000590</v>
      </c>
      <c r="D577" s="2" t="s">
        <v>649</v>
      </c>
      <c r="E577" s="2" t="s">
        <v>641</v>
      </c>
      <c r="F577" s="2">
        <v>2</v>
      </c>
      <c r="G577" s="6" t="str">
        <f t="shared" si="0"/>
        <v>https://dto.kemkes.go.id/kfacode/92000590</v>
      </c>
    </row>
    <row r="578" spans="1:7" ht="15.75" customHeight="1">
      <c r="A578" s="2">
        <v>92000593</v>
      </c>
      <c r="B578" s="2" t="s">
        <v>1235</v>
      </c>
      <c r="C578" s="5">
        <v>92000593</v>
      </c>
      <c r="D578" s="2" t="s">
        <v>640</v>
      </c>
      <c r="E578" s="2" t="s">
        <v>641</v>
      </c>
      <c r="F578" s="2">
        <v>2</v>
      </c>
      <c r="G578" s="6" t="str">
        <f t="shared" si="0"/>
        <v>https://dto.kemkes.go.id/kfacode/92000593</v>
      </c>
    </row>
    <row r="579" spans="1:7" ht="15.75" customHeight="1">
      <c r="A579" s="2">
        <v>92000319</v>
      </c>
      <c r="B579" s="2" t="s">
        <v>1236</v>
      </c>
      <c r="C579" s="5">
        <v>92000319</v>
      </c>
      <c r="D579" s="2" t="s">
        <v>649</v>
      </c>
      <c r="E579" s="2" t="s">
        <v>641</v>
      </c>
      <c r="F579" s="2">
        <v>2</v>
      </c>
      <c r="G579" s="6" t="str">
        <f t="shared" si="0"/>
        <v>https://dto.kemkes.go.id/kfacode/92000319</v>
      </c>
    </row>
    <row r="580" spans="1:7" ht="15.75" customHeight="1">
      <c r="A580" s="2">
        <v>92000844</v>
      </c>
      <c r="B580" s="2" t="s">
        <v>1237</v>
      </c>
      <c r="C580" s="5">
        <v>92000844</v>
      </c>
      <c r="D580" s="2" t="s">
        <v>655</v>
      </c>
      <c r="E580" s="2" t="s">
        <v>641</v>
      </c>
      <c r="F580" s="2">
        <v>2</v>
      </c>
      <c r="G580" s="6" t="str">
        <f t="shared" si="0"/>
        <v>https://dto.kemkes.go.id/kfacode/92000844</v>
      </c>
    </row>
    <row r="581" spans="1:7" ht="15.75" customHeight="1">
      <c r="A581" s="2">
        <v>92000756</v>
      </c>
      <c r="B581" s="2" t="s">
        <v>1238</v>
      </c>
      <c r="C581" s="5">
        <v>92000756</v>
      </c>
      <c r="D581" s="2" t="s">
        <v>645</v>
      </c>
      <c r="E581" s="2" t="s">
        <v>641</v>
      </c>
      <c r="F581" s="2">
        <v>2</v>
      </c>
      <c r="G581" s="6" t="str">
        <f t="shared" si="0"/>
        <v>https://dto.kemkes.go.id/kfacode/92000756</v>
      </c>
    </row>
    <row r="582" spans="1:7" ht="15.75" customHeight="1">
      <c r="A582" s="2">
        <v>92000108</v>
      </c>
      <c r="B582" s="2" t="s">
        <v>1239</v>
      </c>
      <c r="C582" s="5">
        <v>92000108</v>
      </c>
      <c r="D582" s="2" t="s">
        <v>653</v>
      </c>
      <c r="E582" s="2" t="s">
        <v>641</v>
      </c>
      <c r="F582" s="2">
        <v>20</v>
      </c>
      <c r="G582" s="6" t="str">
        <f t="shared" si="0"/>
        <v>https://dto.kemkes.go.id/kfacode/92000108</v>
      </c>
    </row>
    <row r="583" spans="1:7" ht="15.75" customHeight="1">
      <c r="A583" s="2">
        <v>92000182</v>
      </c>
      <c r="B583" s="2" t="s">
        <v>1240</v>
      </c>
      <c r="C583" s="5">
        <v>92000182</v>
      </c>
      <c r="D583" s="2" t="s">
        <v>899</v>
      </c>
      <c r="E583" s="2" t="s">
        <v>641</v>
      </c>
      <c r="F583" s="2">
        <v>4</v>
      </c>
      <c r="G583" s="6" t="str">
        <f t="shared" si="0"/>
        <v>https://dto.kemkes.go.id/kfacode/92000182</v>
      </c>
    </row>
    <row r="584" spans="1:7" ht="15.75" customHeight="1">
      <c r="A584" s="2">
        <v>92000855</v>
      </c>
      <c r="B584" s="2" t="s">
        <v>1241</v>
      </c>
      <c r="C584" s="5">
        <v>92000855</v>
      </c>
      <c r="D584" s="2" t="s">
        <v>658</v>
      </c>
      <c r="E584" s="2" t="s">
        <v>641</v>
      </c>
      <c r="F584" s="2">
        <v>2</v>
      </c>
      <c r="G584" s="6" t="str">
        <f t="shared" si="0"/>
        <v>https://dto.kemkes.go.id/kfacode/92000855</v>
      </c>
    </row>
    <row r="585" spans="1:7" ht="15.75" customHeight="1">
      <c r="A585" s="2">
        <v>92000511</v>
      </c>
      <c r="B585" s="2" t="s">
        <v>62</v>
      </c>
      <c r="C585" s="5">
        <v>92000511</v>
      </c>
      <c r="D585" s="2" t="s">
        <v>702</v>
      </c>
      <c r="E585" s="2" t="s">
        <v>641</v>
      </c>
      <c r="F585" s="2">
        <v>2</v>
      </c>
      <c r="G585" s="6" t="str">
        <f t="shared" si="0"/>
        <v>https://dto.kemkes.go.id/kfacode/92000511</v>
      </c>
    </row>
    <row r="586" spans="1:7" ht="15.75" customHeight="1">
      <c r="A586" s="2">
        <v>92000384</v>
      </c>
      <c r="B586" s="2" t="s">
        <v>1242</v>
      </c>
      <c r="C586" s="5">
        <v>92000384</v>
      </c>
      <c r="D586" s="2" t="s">
        <v>658</v>
      </c>
      <c r="E586" s="2" t="s">
        <v>641</v>
      </c>
      <c r="F586" s="2">
        <v>2</v>
      </c>
      <c r="G586" s="6" t="str">
        <f t="shared" si="0"/>
        <v>https://dto.kemkes.go.id/kfacode/92000384</v>
      </c>
    </row>
    <row r="587" spans="1:7" ht="15.75" customHeight="1">
      <c r="A587" s="2">
        <v>92000919</v>
      </c>
      <c r="B587" s="2" t="s">
        <v>1243</v>
      </c>
      <c r="C587" s="5">
        <v>92000919</v>
      </c>
      <c r="D587" s="2" t="s">
        <v>640</v>
      </c>
      <c r="E587" s="2" t="s">
        <v>641</v>
      </c>
      <c r="F587" s="2">
        <v>2</v>
      </c>
      <c r="G587" s="6" t="str">
        <f t="shared" si="0"/>
        <v>https://dto.kemkes.go.id/kfacode/92000919</v>
      </c>
    </row>
    <row r="588" spans="1:7" ht="15.75" customHeight="1">
      <c r="A588" s="2">
        <v>92000920</v>
      </c>
      <c r="B588" s="2" t="s">
        <v>1244</v>
      </c>
      <c r="C588" s="5">
        <v>92000920</v>
      </c>
      <c r="D588" s="2" t="s">
        <v>640</v>
      </c>
      <c r="E588" s="2" t="s">
        <v>641</v>
      </c>
      <c r="F588" s="2">
        <v>2</v>
      </c>
      <c r="G588" s="6" t="str">
        <f t="shared" si="0"/>
        <v>https://dto.kemkes.go.id/kfacode/92000920</v>
      </c>
    </row>
    <row r="589" spans="1:7" ht="15.75" customHeight="1">
      <c r="A589" s="2">
        <v>92000611</v>
      </c>
      <c r="B589" s="2" t="s">
        <v>1245</v>
      </c>
      <c r="C589" s="5">
        <v>92000611</v>
      </c>
      <c r="D589" s="2" t="s">
        <v>899</v>
      </c>
      <c r="E589" s="2" t="s">
        <v>641</v>
      </c>
      <c r="F589" s="2">
        <v>4</v>
      </c>
      <c r="G589" s="6" t="str">
        <f t="shared" si="0"/>
        <v>https://dto.kemkes.go.id/kfacode/92000611</v>
      </c>
    </row>
    <row r="590" spans="1:7" ht="15.75" customHeight="1">
      <c r="A590" s="2">
        <v>92000382</v>
      </c>
      <c r="B590" s="2" t="s">
        <v>1246</v>
      </c>
      <c r="C590" s="5">
        <v>92000382</v>
      </c>
      <c r="D590" s="2" t="s">
        <v>899</v>
      </c>
      <c r="E590" s="2" t="s">
        <v>641</v>
      </c>
      <c r="F590" s="2">
        <v>3</v>
      </c>
      <c r="G590" s="6" t="str">
        <f t="shared" si="0"/>
        <v>https://dto.kemkes.go.id/kfacode/92000382</v>
      </c>
    </row>
    <row r="591" spans="1:7" ht="15.75" customHeight="1">
      <c r="A591" s="2">
        <v>92000175</v>
      </c>
      <c r="B591" s="2" t="s">
        <v>1247</v>
      </c>
      <c r="C591" s="5">
        <v>92000175</v>
      </c>
      <c r="D591" s="2" t="s">
        <v>653</v>
      </c>
      <c r="E591" s="2" t="s">
        <v>641</v>
      </c>
      <c r="F591" s="2">
        <v>8</v>
      </c>
      <c r="G591" s="6" t="str">
        <f t="shared" si="0"/>
        <v>https://dto.kemkes.go.id/kfacode/92000175</v>
      </c>
    </row>
    <row r="592" spans="1:7" ht="15.75" customHeight="1">
      <c r="A592" s="2">
        <v>92000159</v>
      </c>
      <c r="B592" s="2" t="s">
        <v>1248</v>
      </c>
      <c r="C592" s="5">
        <v>92000159</v>
      </c>
      <c r="D592" s="2" t="s">
        <v>653</v>
      </c>
      <c r="E592" s="2" t="s">
        <v>641</v>
      </c>
      <c r="F592" s="2">
        <v>2</v>
      </c>
      <c r="G592" s="6" t="str">
        <f t="shared" si="0"/>
        <v>https://dto.kemkes.go.id/kfacode/92000159</v>
      </c>
    </row>
    <row r="593" spans="1:7" ht="15.75" customHeight="1">
      <c r="A593" s="2">
        <v>92000440</v>
      </c>
      <c r="B593" s="2" t="s">
        <v>1249</v>
      </c>
      <c r="C593" s="5">
        <v>92000440</v>
      </c>
      <c r="D593" s="2" t="s">
        <v>640</v>
      </c>
      <c r="E593" s="2" t="s">
        <v>641</v>
      </c>
      <c r="F593" s="2">
        <v>2</v>
      </c>
      <c r="G593" s="6" t="str">
        <f t="shared" si="0"/>
        <v>https://dto.kemkes.go.id/kfacode/92000440</v>
      </c>
    </row>
    <row r="594" spans="1:7" ht="15.75" customHeight="1">
      <c r="A594" s="2">
        <v>92000326</v>
      </c>
      <c r="B594" s="2" t="s">
        <v>1250</v>
      </c>
      <c r="C594" s="5">
        <v>92000326</v>
      </c>
      <c r="D594" s="2" t="s">
        <v>655</v>
      </c>
      <c r="E594" s="2" t="s">
        <v>641</v>
      </c>
      <c r="F594" s="2">
        <v>4</v>
      </c>
      <c r="G594" s="6" t="str">
        <f t="shared" si="0"/>
        <v>https://dto.kemkes.go.id/kfacode/92000326</v>
      </c>
    </row>
    <row r="595" spans="1:7" ht="15.75" customHeight="1">
      <c r="A595" s="2">
        <v>92000408</v>
      </c>
      <c r="B595" s="2" t="s">
        <v>1251</v>
      </c>
      <c r="C595" s="5">
        <v>92000408</v>
      </c>
      <c r="D595" s="2" t="s">
        <v>645</v>
      </c>
      <c r="E595" s="2" t="s">
        <v>641</v>
      </c>
      <c r="F595" s="2">
        <v>3</v>
      </c>
      <c r="G595" s="6" t="str">
        <f t="shared" si="0"/>
        <v>https://dto.kemkes.go.id/kfacode/92000408</v>
      </c>
    </row>
    <row r="596" spans="1:7" ht="15.75" customHeight="1">
      <c r="A596" s="2">
        <v>92000374</v>
      </c>
      <c r="B596" s="2" t="s">
        <v>1252</v>
      </c>
      <c r="C596" s="5">
        <v>92000374</v>
      </c>
      <c r="D596" s="2" t="s">
        <v>640</v>
      </c>
      <c r="E596" s="2" t="s">
        <v>641</v>
      </c>
      <c r="F596" s="2">
        <v>2</v>
      </c>
      <c r="G596" s="6" t="str">
        <f t="shared" si="0"/>
        <v>https://dto.kemkes.go.id/kfacode/92000374</v>
      </c>
    </row>
    <row r="597" spans="1:7" ht="15.75" customHeight="1">
      <c r="A597" s="2">
        <v>92000765</v>
      </c>
      <c r="B597" s="2" t="s">
        <v>1253</v>
      </c>
      <c r="C597" s="5">
        <v>92000765</v>
      </c>
      <c r="D597" s="2" t="s">
        <v>645</v>
      </c>
      <c r="E597" s="2" t="s">
        <v>641</v>
      </c>
      <c r="F597" s="2">
        <v>2</v>
      </c>
      <c r="G597" s="6" t="str">
        <f t="shared" si="0"/>
        <v>https://dto.kemkes.go.id/kfacode/92000765</v>
      </c>
    </row>
    <row r="598" spans="1:7" ht="15.75" customHeight="1">
      <c r="A598" s="2">
        <v>92000652</v>
      </c>
      <c r="B598" s="2" t="s">
        <v>1254</v>
      </c>
      <c r="C598" s="5">
        <v>92000652</v>
      </c>
      <c r="D598" s="2" t="s">
        <v>702</v>
      </c>
      <c r="E598" s="2" t="s">
        <v>641</v>
      </c>
      <c r="F598" s="2">
        <v>2</v>
      </c>
      <c r="G598" s="6" t="str">
        <f t="shared" si="0"/>
        <v>https://dto.kemkes.go.id/kfacode/92000652</v>
      </c>
    </row>
    <row r="599" spans="1:7" ht="15.75" customHeight="1">
      <c r="A599" s="2">
        <v>92000531</v>
      </c>
      <c r="B599" s="2" t="s">
        <v>1255</v>
      </c>
      <c r="C599" s="5">
        <v>92000531</v>
      </c>
      <c r="D599" s="2" t="s">
        <v>640</v>
      </c>
      <c r="E599" s="2" t="s">
        <v>641</v>
      </c>
      <c r="F599" s="2">
        <v>2</v>
      </c>
      <c r="G599" s="6" t="str">
        <f t="shared" si="0"/>
        <v>https://dto.kemkes.go.id/kfacode/92000531</v>
      </c>
    </row>
    <row r="600" spans="1:7" ht="15.75" customHeight="1">
      <c r="A600" s="2">
        <v>92000608</v>
      </c>
      <c r="B600" s="2" t="s">
        <v>1256</v>
      </c>
      <c r="C600" s="5">
        <v>92000608</v>
      </c>
      <c r="D600" s="2" t="s">
        <v>702</v>
      </c>
      <c r="E600" s="2" t="s">
        <v>641</v>
      </c>
      <c r="F600" s="2">
        <v>2</v>
      </c>
      <c r="G600" s="6" t="str">
        <f t="shared" si="0"/>
        <v>https://dto.kemkes.go.id/kfacode/92000608</v>
      </c>
    </row>
    <row r="601" spans="1:7" ht="15.75" customHeight="1">
      <c r="A601" s="2">
        <v>92000538</v>
      </c>
      <c r="B601" s="2" t="s">
        <v>1257</v>
      </c>
      <c r="C601" s="5">
        <v>92000538</v>
      </c>
      <c r="D601" s="2" t="s">
        <v>649</v>
      </c>
      <c r="E601" s="2" t="s">
        <v>641</v>
      </c>
      <c r="F601" s="2">
        <v>2</v>
      </c>
      <c r="G601" s="6" t="str">
        <f t="shared" si="0"/>
        <v>https://dto.kemkes.go.id/kfacode/92000538</v>
      </c>
    </row>
    <row r="602" spans="1:7" ht="15.75" customHeight="1">
      <c r="A602" s="2">
        <v>92000633</v>
      </c>
      <c r="B602" s="2" t="s">
        <v>1258</v>
      </c>
      <c r="C602" s="5">
        <v>92000633</v>
      </c>
      <c r="D602" s="2" t="s">
        <v>645</v>
      </c>
      <c r="E602" s="2" t="s">
        <v>641</v>
      </c>
      <c r="F602" s="2">
        <v>3</v>
      </c>
      <c r="G602" s="6" t="str">
        <f t="shared" si="0"/>
        <v>https://dto.kemkes.go.id/kfacode/92000633</v>
      </c>
    </row>
    <row r="603" spans="1:7" ht="15.75" customHeight="1">
      <c r="A603" s="2">
        <v>92000659</v>
      </c>
      <c r="B603" s="2" t="s">
        <v>1259</v>
      </c>
      <c r="C603" s="5">
        <v>92000659</v>
      </c>
      <c r="D603" s="2" t="s">
        <v>645</v>
      </c>
      <c r="E603" s="2" t="s">
        <v>641</v>
      </c>
      <c r="F603" s="2">
        <v>2</v>
      </c>
      <c r="G603" s="6" t="str">
        <f t="shared" si="0"/>
        <v>https://dto.kemkes.go.id/kfacode/92000659</v>
      </c>
    </row>
    <row r="604" spans="1:7" ht="15.75" customHeight="1">
      <c r="A604" s="2">
        <v>92000465</v>
      </c>
      <c r="B604" s="2" t="s">
        <v>1260</v>
      </c>
      <c r="C604" s="5">
        <v>92000465</v>
      </c>
      <c r="D604" s="2" t="s">
        <v>640</v>
      </c>
      <c r="E604" s="2" t="s">
        <v>641</v>
      </c>
      <c r="F604" s="2">
        <v>3</v>
      </c>
      <c r="G604" s="6" t="str">
        <f t="shared" si="0"/>
        <v>https://dto.kemkes.go.id/kfacode/92000465</v>
      </c>
    </row>
    <row r="605" spans="1:7" ht="15.75" customHeight="1">
      <c r="A605" s="2">
        <v>92000270</v>
      </c>
      <c r="B605" s="2" t="s">
        <v>1261</v>
      </c>
      <c r="C605" s="5">
        <v>92000270</v>
      </c>
      <c r="D605" s="2" t="s">
        <v>640</v>
      </c>
      <c r="E605" s="2" t="s">
        <v>641</v>
      </c>
      <c r="F605" s="2">
        <v>2</v>
      </c>
      <c r="G605" s="6" t="str">
        <f t="shared" si="0"/>
        <v>https://dto.kemkes.go.id/kfacode/92000270</v>
      </c>
    </row>
    <row r="606" spans="1:7" ht="15.75" customHeight="1">
      <c r="A606" s="2">
        <v>92000271</v>
      </c>
      <c r="B606" s="2" t="s">
        <v>1262</v>
      </c>
      <c r="C606" s="5">
        <v>92000271</v>
      </c>
      <c r="D606" s="2" t="s">
        <v>640</v>
      </c>
      <c r="E606" s="2" t="s">
        <v>641</v>
      </c>
      <c r="F606" s="2">
        <v>1</v>
      </c>
      <c r="G606" s="6" t="str">
        <f t="shared" si="0"/>
        <v>https://dto.kemkes.go.id/kfacode/92000271</v>
      </c>
    </row>
    <row r="607" spans="1:7" ht="15.75" customHeight="1">
      <c r="A607" s="2">
        <v>92000944</v>
      </c>
      <c r="B607" s="2" t="s">
        <v>1263</v>
      </c>
      <c r="C607" s="5">
        <v>92000944</v>
      </c>
      <c r="D607" s="2" t="s">
        <v>702</v>
      </c>
      <c r="E607" s="2" t="s">
        <v>641</v>
      </c>
      <c r="F607" s="2">
        <v>2</v>
      </c>
      <c r="G607" s="6" t="str">
        <f t="shared" si="0"/>
        <v>https://dto.kemkes.go.id/kfacode/92000944</v>
      </c>
    </row>
    <row r="608" spans="1:7" ht="15.75" customHeight="1">
      <c r="A608" s="2">
        <v>92000721</v>
      </c>
      <c r="B608" s="2" t="s">
        <v>1264</v>
      </c>
      <c r="C608" s="5">
        <v>92000721</v>
      </c>
      <c r="D608" s="2" t="s">
        <v>660</v>
      </c>
      <c r="E608" s="2" t="s">
        <v>641</v>
      </c>
      <c r="F608" s="2">
        <v>2</v>
      </c>
      <c r="G608" s="6" t="str">
        <f t="shared" si="0"/>
        <v>https://dto.kemkes.go.id/kfacode/92000721</v>
      </c>
    </row>
    <row r="609" spans="1:7" ht="15.75" customHeight="1">
      <c r="A609" s="2">
        <v>92000890</v>
      </c>
      <c r="B609" s="2" t="s">
        <v>1265</v>
      </c>
      <c r="C609" s="5">
        <v>92000890</v>
      </c>
      <c r="D609" s="2" t="s">
        <v>702</v>
      </c>
      <c r="E609" s="2" t="s">
        <v>641</v>
      </c>
      <c r="F609" s="2">
        <v>2</v>
      </c>
      <c r="G609" s="6" t="str">
        <f t="shared" si="0"/>
        <v>https://dto.kemkes.go.id/kfacode/92000890</v>
      </c>
    </row>
    <row r="610" spans="1:7" ht="15.75" customHeight="1">
      <c r="A610" s="2">
        <v>92000804</v>
      </c>
      <c r="B610" s="2" t="s">
        <v>1266</v>
      </c>
      <c r="C610" s="5">
        <v>92000804</v>
      </c>
      <c r="D610" s="2" t="s">
        <v>702</v>
      </c>
      <c r="E610" s="2" t="s">
        <v>641</v>
      </c>
      <c r="F610" s="2">
        <v>2</v>
      </c>
      <c r="G610" s="6" t="str">
        <f t="shared" si="0"/>
        <v>https://dto.kemkes.go.id/kfacode/92000804</v>
      </c>
    </row>
    <row r="611" spans="1:7" ht="15.75" customHeight="1">
      <c r="A611" s="2">
        <v>92000397</v>
      </c>
      <c r="B611" s="2" t="s">
        <v>1267</v>
      </c>
      <c r="C611" s="5">
        <v>92000397</v>
      </c>
      <c r="D611" s="2" t="s">
        <v>640</v>
      </c>
      <c r="E611" s="2" t="s">
        <v>641</v>
      </c>
      <c r="F611" s="2">
        <v>2</v>
      </c>
      <c r="G611" s="6" t="str">
        <f t="shared" si="0"/>
        <v>https://dto.kemkes.go.id/kfacode/92000397</v>
      </c>
    </row>
    <row r="612" spans="1:7" ht="15.75" customHeight="1">
      <c r="A612" s="2">
        <v>92000796</v>
      </c>
      <c r="B612" s="2" t="s">
        <v>1268</v>
      </c>
      <c r="C612" s="5">
        <v>92000796</v>
      </c>
      <c r="D612" s="2" t="s">
        <v>645</v>
      </c>
      <c r="E612" s="2" t="s">
        <v>641</v>
      </c>
      <c r="F612" s="2">
        <v>3</v>
      </c>
      <c r="G612" s="6" t="str">
        <f t="shared" si="0"/>
        <v>https://dto.kemkes.go.id/kfacode/92000796</v>
      </c>
    </row>
    <row r="613" spans="1:7" ht="15.75" customHeight="1">
      <c r="A613" s="2">
        <v>92000513</v>
      </c>
      <c r="B613" s="2" t="s">
        <v>1269</v>
      </c>
      <c r="C613" s="5">
        <v>92000513</v>
      </c>
      <c r="D613" s="2" t="s">
        <v>640</v>
      </c>
      <c r="E613" s="2" t="s">
        <v>641</v>
      </c>
      <c r="F613" s="2">
        <v>2</v>
      </c>
      <c r="G613" s="6" t="str">
        <f t="shared" si="0"/>
        <v>https://dto.kemkes.go.id/kfacode/92000513</v>
      </c>
    </row>
    <row r="614" spans="1:7" ht="15.75" customHeight="1">
      <c r="A614" s="2">
        <v>92000424</v>
      </c>
      <c r="B614" s="2" t="s">
        <v>1270</v>
      </c>
      <c r="C614" s="5">
        <v>92000424</v>
      </c>
      <c r="D614" s="2" t="s">
        <v>640</v>
      </c>
      <c r="E614" s="2" t="s">
        <v>641</v>
      </c>
      <c r="F614" s="2">
        <v>3</v>
      </c>
      <c r="G614" s="6" t="str">
        <f t="shared" si="0"/>
        <v>https://dto.kemkes.go.id/kfacode/92000424</v>
      </c>
    </row>
    <row r="615" spans="1:7" ht="15.75" customHeight="1">
      <c r="A615" s="2">
        <v>92000425</v>
      </c>
      <c r="B615" s="2" t="s">
        <v>1271</v>
      </c>
      <c r="C615" s="5">
        <v>92000425</v>
      </c>
      <c r="D615" s="2" t="s">
        <v>640</v>
      </c>
      <c r="E615" s="2" t="s">
        <v>641</v>
      </c>
      <c r="F615" s="2">
        <v>3</v>
      </c>
      <c r="G615" s="6" t="str">
        <f t="shared" si="0"/>
        <v>https://dto.kemkes.go.id/kfacode/92000425</v>
      </c>
    </row>
    <row r="616" spans="1:7" ht="15.75" customHeight="1">
      <c r="A616" s="2">
        <v>92000639</v>
      </c>
      <c r="B616" s="2" t="s">
        <v>1272</v>
      </c>
      <c r="C616" s="5">
        <v>92000639</v>
      </c>
      <c r="D616" s="2" t="s">
        <v>640</v>
      </c>
      <c r="E616" s="2" t="s">
        <v>641</v>
      </c>
      <c r="F616" s="2">
        <v>2</v>
      </c>
      <c r="G616" s="6" t="str">
        <f t="shared" si="0"/>
        <v>https://dto.kemkes.go.id/kfacode/92000639</v>
      </c>
    </row>
    <row r="617" spans="1:7" ht="15.75" customHeight="1">
      <c r="A617" s="2">
        <v>92000657</v>
      </c>
      <c r="B617" s="2" t="s">
        <v>1273</v>
      </c>
      <c r="C617" s="5">
        <v>92000657</v>
      </c>
      <c r="D617" s="2" t="s">
        <v>702</v>
      </c>
      <c r="E617" s="2" t="s">
        <v>641</v>
      </c>
      <c r="F617" s="2">
        <v>3</v>
      </c>
      <c r="G617" s="6" t="str">
        <f t="shared" si="0"/>
        <v>https://dto.kemkes.go.id/kfacode/92000657</v>
      </c>
    </row>
    <row r="618" spans="1:7" ht="15.75" customHeight="1">
      <c r="A618" s="2">
        <v>92000706</v>
      </c>
      <c r="B618" s="2" t="s">
        <v>1274</v>
      </c>
      <c r="C618" s="5">
        <v>92000706</v>
      </c>
      <c r="D618" s="2" t="s">
        <v>640</v>
      </c>
      <c r="E618" s="2" t="s">
        <v>641</v>
      </c>
      <c r="F618" s="2">
        <v>3</v>
      </c>
      <c r="G618" s="6" t="str">
        <f t="shared" si="0"/>
        <v>https://dto.kemkes.go.id/kfacode/92000706</v>
      </c>
    </row>
    <row r="619" spans="1:7" ht="15.75" customHeight="1">
      <c r="A619" s="2">
        <v>92000899</v>
      </c>
      <c r="B619" s="2" t="s">
        <v>1275</v>
      </c>
      <c r="C619" s="5">
        <v>92000899</v>
      </c>
      <c r="D619" s="2" t="s">
        <v>649</v>
      </c>
      <c r="E619" s="2" t="s">
        <v>641</v>
      </c>
      <c r="F619" s="2">
        <v>4</v>
      </c>
      <c r="G619" s="6" t="str">
        <f t="shared" si="0"/>
        <v>https://dto.kemkes.go.id/kfacode/92000899</v>
      </c>
    </row>
    <row r="620" spans="1:7" ht="15.75" customHeight="1">
      <c r="A620" s="2">
        <v>92000624</v>
      </c>
      <c r="B620" s="2" t="s">
        <v>1276</v>
      </c>
      <c r="C620" s="5">
        <v>92000624</v>
      </c>
      <c r="D620" s="2" t="s">
        <v>640</v>
      </c>
      <c r="E620" s="2" t="s">
        <v>641</v>
      </c>
      <c r="F620" s="2">
        <v>2</v>
      </c>
      <c r="G620" s="6" t="str">
        <f t="shared" si="0"/>
        <v>https://dto.kemkes.go.id/kfacode/92000624</v>
      </c>
    </row>
    <row r="621" spans="1:7" ht="15.75" customHeight="1">
      <c r="A621" s="2">
        <v>92000559</v>
      </c>
      <c r="B621" s="2" t="s">
        <v>1277</v>
      </c>
      <c r="C621" s="5">
        <v>92000559</v>
      </c>
      <c r="D621" s="2" t="s">
        <v>653</v>
      </c>
      <c r="E621" s="2" t="s">
        <v>641</v>
      </c>
      <c r="F621" s="2">
        <v>2</v>
      </c>
      <c r="G621" s="6" t="str">
        <f t="shared" si="0"/>
        <v>https://dto.kemkes.go.id/kfacode/92000559</v>
      </c>
    </row>
    <row r="622" spans="1:7" ht="15.75" customHeight="1">
      <c r="A622" s="2">
        <v>92000617</v>
      </c>
      <c r="B622" s="2" t="s">
        <v>1278</v>
      </c>
      <c r="C622" s="5">
        <v>92000617</v>
      </c>
      <c r="D622" s="2" t="s">
        <v>653</v>
      </c>
      <c r="E622" s="2" t="s">
        <v>641</v>
      </c>
      <c r="F622" s="2">
        <v>3</v>
      </c>
      <c r="G622" s="6" t="str">
        <f t="shared" si="0"/>
        <v>https://dto.kemkes.go.id/kfacode/92000617</v>
      </c>
    </row>
    <row r="623" spans="1:7" ht="15.75" customHeight="1">
      <c r="A623" s="2">
        <v>92000833</v>
      </c>
      <c r="B623" s="2" t="s">
        <v>1279</v>
      </c>
      <c r="C623" s="5">
        <v>92000833</v>
      </c>
      <c r="D623" s="2" t="s">
        <v>640</v>
      </c>
      <c r="E623" s="2" t="s">
        <v>641</v>
      </c>
      <c r="F623" s="2">
        <v>2</v>
      </c>
      <c r="G623" s="6" t="str">
        <f t="shared" si="0"/>
        <v>https://dto.kemkes.go.id/kfacode/92000833</v>
      </c>
    </row>
    <row r="624" spans="1:7" ht="15.75" customHeight="1">
      <c r="A624" s="2">
        <v>92000636</v>
      </c>
      <c r="B624" s="2" t="s">
        <v>1280</v>
      </c>
      <c r="C624" s="5">
        <v>92000636</v>
      </c>
      <c r="D624" s="2" t="s">
        <v>653</v>
      </c>
      <c r="E624" s="2" t="s">
        <v>641</v>
      </c>
      <c r="F624" s="2">
        <v>2</v>
      </c>
      <c r="G624" s="6" t="str">
        <f t="shared" si="0"/>
        <v>https://dto.kemkes.go.id/kfacode/92000636</v>
      </c>
    </row>
    <row r="625" spans="1:7" ht="15.75" customHeight="1">
      <c r="A625" s="2">
        <v>92000587</v>
      </c>
      <c r="B625" s="2" t="s">
        <v>1281</v>
      </c>
      <c r="C625" s="5">
        <v>92000587</v>
      </c>
      <c r="D625" s="2" t="s">
        <v>640</v>
      </c>
      <c r="E625" s="2" t="s">
        <v>641</v>
      </c>
      <c r="F625" s="2">
        <v>3</v>
      </c>
      <c r="G625" s="6" t="str">
        <f t="shared" si="0"/>
        <v>https://dto.kemkes.go.id/kfacode/92000587</v>
      </c>
    </row>
    <row r="626" spans="1:7" ht="15.75" customHeight="1">
      <c r="A626" s="2">
        <v>92000585</v>
      </c>
      <c r="B626" s="2" t="s">
        <v>1282</v>
      </c>
      <c r="C626" s="5">
        <v>92000585</v>
      </c>
      <c r="D626" s="2" t="s">
        <v>640</v>
      </c>
      <c r="E626" s="2" t="s">
        <v>641</v>
      </c>
      <c r="F626" s="2">
        <v>3</v>
      </c>
      <c r="G626" s="6" t="str">
        <f t="shared" si="0"/>
        <v>https://dto.kemkes.go.id/kfacode/92000585</v>
      </c>
    </row>
    <row r="627" spans="1:7" ht="15.75" customHeight="1">
      <c r="A627" s="2">
        <v>92000645</v>
      </c>
      <c r="B627" s="2" t="s">
        <v>1283</v>
      </c>
      <c r="C627" s="5">
        <v>92000645</v>
      </c>
      <c r="D627" s="2" t="s">
        <v>658</v>
      </c>
      <c r="E627" s="2" t="s">
        <v>641</v>
      </c>
      <c r="F627" s="2">
        <v>2</v>
      </c>
      <c r="G627" s="6" t="str">
        <f t="shared" si="0"/>
        <v>https://dto.kemkes.go.id/kfacode/92000645</v>
      </c>
    </row>
    <row r="628" spans="1:7" ht="15.75" customHeight="1">
      <c r="A628" s="2">
        <v>92000871</v>
      </c>
      <c r="B628" s="2" t="s">
        <v>1284</v>
      </c>
      <c r="C628" s="5">
        <v>92000871</v>
      </c>
      <c r="D628" s="2" t="s">
        <v>640</v>
      </c>
      <c r="E628" s="2" t="s">
        <v>641</v>
      </c>
      <c r="F628" s="2">
        <v>2</v>
      </c>
      <c r="G628" s="6" t="str">
        <f t="shared" si="0"/>
        <v>https://dto.kemkes.go.id/kfacode/92000871</v>
      </c>
    </row>
    <row r="629" spans="1:7" ht="15.75" customHeight="1">
      <c r="A629" s="2">
        <v>92000459</v>
      </c>
      <c r="B629" s="2" t="s">
        <v>1285</v>
      </c>
      <c r="C629" s="5">
        <v>92000459</v>
      </c>
      <c r="D629" s="2" t="s">
        <v>660</v>
      </c>
      <c r="E629" s="2" t="s">
        <v>641</v>
      </c>
      <c r="F629" s="2">
        <v>2</v>
      </c>
      <c r="G629" s="6" t="str">
        <f t="shared" si="0"/>
        <v>https://dto.kemkes.go.id/kfacode/92000459</v>
      </c>
    </row>
    <row r="630" spans="1:7" ht="15.75" customHeight="1">
      <c r="A630" s="2">
        <v>92000839</v>
      </c>
      <c r="B630" s="2" t="s">
        <v>1286</v>
      </c>
      <c r="C630" s="5">
        <v>92000839</v>
      </c>
      <c r="D630" s="2" t="s">
        <v>660</v>
      </c>
      <c r="E630" s="2" t="s">
        <v>641</v>
      </c>
      <c r="F630" s="2">
        <v>2</v>
      </c>
      <c r="G630" s="6" t="str">
        <f t="shared" si="0"/>
        <v>https://dto.kemkes.go.id/kfacode/92000839</v>
      </c>
    </row>
    <row r="631" spans="1:7" ht="15.75" customHeight="1">
      <c r="A631" s="2">
        <v>92000457</v>
      </c>
      <c r="B631" s="2" t="s">
        <v>1287</v>
      </c>
      <c r="C631" s="5">
        <v>92000457</v>
      </c>
      <c r="D631" s="2" t="s">
        <v>640</v>
      </c>
      <c r="E631" s="2" t="s">
        <v>641</v>
      </c>
      <c r="F631" s="2">
        <v>4</v>
      </c>
      <c r="G631" s="6" t="str">
        <f t="shared" si="0"/>
        <v>https://dto.kemkes.go.id/kfacode/92000457</v>
      </c>
    </row>
    <row r="632" spans="1:7" ht="15.75" customHeight="1">
      <c r="A632" s="2">
        <v>92000347</v>
      </c>
      <c r="B632" s="2" t="s">
        <v>1288</v>
      </c>
      <c r="C632" s="5">
        <v>92000347</v>
      </c>
      <c r="D632" s="2" t="s">
        <v>640</v>
      </c>
      <c r="E632" s="2" t="s">
        <v>641</v>
      </c>
      <c r="F632" s="2">
        <v>2</v>
      </c>
      <c r="G632" s="6" t="str">
        <f t="shared" si="0"/>
        <v>https://dto.kemkes.go.id/kfacode/92000347</v>
      </c>
    </row>
    <row r="633" spans="1:7" ht="15.75" customHeight="1">
      <c r="A633" s="2">
        <v>92000850</v>
      </c>
      <c r="B633" s="2" t="s">
        <v>1289</v>
      </c>
      <c r="C633" s="5">
        <v>92000850</v>
      </c>
      <c r="D633" s="2" t="s">
        <v>640</v>
      </c>
      <c r="E633" s="2" t="s">
        <v>641</v>
      </c>
      <c r="F633" s="2">
        <v>2</v>
      </c>
      <c r="G633" s="6" t="str">
        <f t="shared" si="0"/>
        <v>https://dto.kemkes.go.id/kfacode/92000850</v>
      </c>
    </row>
    <row r="634" spans="1:7" ht="15.75" customHeight="1">
      <c r="A634" s="2">
        <v>92000852</v>
      </c>
      <c r="B634" s="2" t="s">
        <v>1290</v>
      </c>
      <c r="C634" s="5">
        <v>92000852</v>
      </c>
      <c r="D634" s="2" t="s">
        <v>640</v>
      </c>
      <c r="E634" s="2" t="s">
        <v>641</v>
      </c>
      <c r="F634" s="2">
        <v>2</v>
      </c>
      <c r="G634" s="6" t="str">
        <f t="shared" si="0"/>
        <v>https://dto.kemkes.go.id/kfacode/92000852</v>
      </c>
    </row>
    <row r="635" spans="1:7" ht="15.75" customHeight="1">
      <c r="A635" s="2">
        <v>92000849</v>
      </c>
      <c r="B635" s="2" t="s">
        <v>1291</v>
      </c>
      <c r="C635" s="5">
        <v>92000849</v>
      </c>
      <c r="D635" s="2" t="s">
        <v>640</v>
      </c>
      <c r="E635" s="2" t="s">
        <v>641</v>
      </c>
      <c r="F635" s="2">
        <v>2</v>
      </c>
      <c r="G635" s="6" t="str">
        <f t="shared" si="0"/>
        <v>https://dto.kemkes.go.id/kfacode/92000849</v>
      </c>
    </row>
    <row r="636" spans="1:7" ht="15.75" customHeight="1">
      <c r="A636" s="2">
        <v>92000215</v>
      </c>
      <c r="B636" s="2" t="s">
        <v>1292</v>
      </c>
      <c r="C636" s="5">
        <v>92000215</v>
      </c>
      <c r="D636" s="2" t="s">
        <v>640</v>
      </c>
      <c r="E636" s="2" t="s">
        <v>641</v>
      </c>
      <c r="F636" s="2">
        <v>3</v>
      </c>
      <c r="G636" s="6" t="str">
        <f t="shared" si="0"/>
        <v>https://dto.kemkes.go.id/kfacode/92000215</v>
      </c>
    </row>
    <row r="637" spans="1:7" ht="15.75" customHeight="1">
      <c r="A637" s="2">
        <v>92000887</v>
      </c>
      <c r="B637" s="2" t="s">
        <v>1293</v>
      </c>
      <c r="C637" s="5">
        <v>92000887</v>
      </c>
      <c r="D637" s="2" t="s">
        <v>645</v>
      </c>
      <c r="E637" s="2" t="s">
        <v>641</v>
      </c>
      <c r="F637" s="2">
        <v>2</v>
      </c>
      <c r="G637" s="6" t="str">
        <f t="shared" si="0"/>
        <v>https://dto.kemkes.go.id/kfacode/92000887</v>
      </c>
    </row>
    <row r="638" spans="1:7" ht="15.75" customHeight="1">
      <c r="A638" s="2">
        <v>92000626</v>
      </c>
      <c r="B638" s="2" t="s">
        <v>1294</v>
      </c>
      <c r="C638" s="5">
        <v>92000626</v>
      </c>
      <c r="D638" s="2" t="s">
        <v>640</v>
      </c>
      <c r="E638" s="2" t="s">
        <v>641</v>
      </c>
      <c r="F638" s="2">
        <v>2</v>
      </c>
      <c r="G638" s="6" t="str">
        <f t="shared" si="0"/>
        <v>https://dto.kemkes.go.id/kfacode/92000626</v>
      </c>
    </row>
    <row r="639" spans="1:7" ht="15.75" customHeight="1">
      <c r="A639" s="2">
        <v>92000452</v>
      </c>
      <c r="B639" s="2" t="s">
        <v>1295</v>
      </c>
      <c r="C639" s="5">
        <v>92000452</v>
      </c>
      <c r="D639" s="2" t="s">
        <v>640</v>
      </c>
      <c r="E639" s="2" t="s">
        <v>641</v>
      </c>
      <c r="F639" s="2">
        <v>2</v>
      </c>
      <c r="G639" s="6" t="str">
        <f t="shared" si="0"/>
        <v>https://dto.kemkes.go.id/kfacode/92000452</v>
      </c>
    </row>
    <row r="640" spans="1:7" ht="15.75" customHeight="1">
      <c r="A640" s="2">
        <v>92000368</v>
      </c>
      <c r="B640" s="2" t="s">
        <v>1296</v>
      </c>
      <c r="C640" s="5">
        <v>92000368</v>
      </c>
      <c r="D640" s="2" t="s">
        <v>640</v>
      </c>
      <c r="E640" s="2" t="s">
        <v>641</v>
      </c>
      <c r="F640" s="2">
        <v>3</v>
      </c>
      <c r="G640" s="6" t="str">
        <f t="shared" si="0"/>
        <v>https://dto.kemkes.go.id/kfacode/92000368</v>
      </c>
    </row>
    <row r="641" spans="1:7" ht="15.75" customHeight="1">
      <c r="A641" s="2">
        <v>92000837</v>
      </c>
      <c r="B641" s="2" t="s">
        <v>1297</v>
      </c>
      <c r="C641" s="5">
        <v>92000837</v>
      </c>
      <c r="D641" s="2" t="s">
        <v>640</v>
      </c>
      <c r="E641" s="2" t="s">
        <v>641</v>
      </c>
      <c r="F641" s="2">
        <v>2</v>
      </c>
      <c r="G641" s="6" t="str">
        <f t="shared" si="0"/>
        <v>https://dto.kemkes.go.id/kfacode/92000837</v>
      </c>
    </row>
    <row r="642" spans="1:7" ht="15.75" customHeight="1">
      <c r="A642" s="2">
        <v>92000462</v>
      </c>
      <c r="B642" s="2" t="s">
        <v>1298</v>
      </c>
      <c r="C642" s="5">
        <v>92000462</v>
      </c>
      <c r="D642" s="2" t="s">
        <v>653</v>
      </c>
      <c r="E642" s="2" t="s">
        <v>641</v>
      </c>
      <c r="F642" s="2">
        <v>2</v>
      </c>
      <c r="G642" s="6" t="str">
        <f t="shared" si="0"/>
        <v>https://dto.kemkes.go.id/kfacode/92000462</v>
      </c>
    </row>
    <row r="643" spans="1:7" ht="15.75" customHeight="1">
      <c r="A643" s="2">
        <v>92000701</v>
      </c>
      <c r="B643" s="2" t="s">
        <v>1299</v>
      </c>
      <c r="C643" s="5">
        <v>92000701</v>
      </c>
      <c r="D643" s="2" t="s">
        <v>640</v>
      </c>
      <c r="E643" s="2" t="s">
        <v>641</v>
      </c>
      <c r="F643" s="2">
        <v>3</v>
      </c>
      <c r="G643" s="6" t="str">
        <f t="shared" si="0"/>
        <v>https://dto.kemkes.go.id/kfacode/92000701</v>
      </c>
    </row>
    <row r="644" spans="1:7" ht="15.75" customHeight="1">
      <c r="A644" s="2">
        <v>92000390</v>
      </c>
      <c r="B644" s="2" t="s">
        <v>1300</v>
      </c>
      <c r="C644" s="5">
        <v>92000390</v>
      </c>
      <c r="D644" s="2" t="s">
        <v>645</v>
      </c>
      <c r="E644" s="2" t="s">
        <v>641</v>
      </c>
      <c r="F644" s="2">
        <v>2</v>
      </c>
      <c r="G644" s="6" t="str">
        <f t="shared" si="0"/>
        <v>https://dto.kemkes.go.id/kfacode/92000390</v>
      </c>
    </row>
    <row r="645" spans="1:7" ht="15.75" customHeight="1">
      <c r="A645" s="2">
        <v>92000926</v>
      </c>
      <c r="B645" s="2" t="s">
        <v>1301</v>
      </c>
      <c r="C645" s="5">
        <v>92000926</v>
      </c>
      <c r="D645" s="2" t="s">
        <v>653</v>
      </c>
      <c r="E645" s="2" t="s">
        <v>641</v>
      </c>
      <c r="F645" s="2">
        <v>2</v>
      </c>
      <c r="G645" s="6" t="str">
        <f t="shared" si="0"/>
        <v>https://dto.kemkes.go.id/kfacode/92000926</v>
      </c>
    </row>
    <row r="646" spans="1:7" ht="15.75" customHeight="1">
      <c r="A646" s="2">
        <v>92000928</v>
      </c>
      <c r="B646" s="2" t="s">
        <v>1302</v>
      </c>
      <c r="C646" s="5">
        <v>92000928</v>
      </c>
      <c r="D646" s="2" t="s">
        <v>653</v>
      </c>
      <c r="E646" s="2" t="s">
        <v>641</v>
      </c>
      <c r="F646" s="2">
        <v>2</v>
      </c>
      <c r="G646" s="6" t="str">
        <f t="shared" si="0"/>
        <v>https://dto.kemkes.go.id/kfacode/92000928</v>
      </c>
    </row>
    <row r="647" spans="1:7" ht="15.75" customHeight="1">
      <c r="A647" s="2">
        <v>92000927</v>
      </c>
      <c r="B647" s="2" t="s">
        <v>1303</v>
      </c>
      <c r="C647" s="5">
        <v>92000927</v>
      </c>
      <c r="D647" s="2" t="s">
        <v>653</v>
      </c>
      <c r="E647" s="2" t="s">
        <v>641</v>
      </c>
      <c r="F647" s="2">
        <v>2</v>
      </c>
      <c r="G647" s="6" t="str">
        <f t="shared" si="0"/>
        <v>https://dto.kemkes.go.id/kfacode/92000927</v>
      </c>
    </row>
    <row r="648" spans="1:7" ht="15.75" customHeight="1">
      <c r="A648" s="2">
        <v>92000277</v>
      </c>
      <c r="B648" s="2" t="s">
        <v>1304</v>
      </c>
      <c r="C648" s="5">
        <v>92000277</v>
      </c>
      <c r="D648" s="2" t="s">
        <v>671</v>
      </c>
      <c r="E648" s="2" t="s">
        <v>641</v>
      </c>
      <c r="F648" s="2">
        <v>2</v>
      </c>
      <c r="G648" s="6" t="str">
        <f t="shared" si="0"/>
        <v>https://dto.kemkes.go.id/kfacode/92000277</v>
      </c>
    </row>
    <row r="649" spans="1:7" ht="15.75" customHeight="1">
      <c r="A649" s="2">
        <v>92000354</v>
      </c>
      <c r="B649" s="2" t="s">
        <v>1305</v>
      </c>
      <c r="C649" s="5">
        <v>92000354</v>
      </c>
      <c r="D649" s="2" t="s">
        <v>649</v>
      </c>
      <c r="E649" s="2" t="s">
        <v>641</v>
      </c>
      <c r="F649" s="2">
        <v>2</v>
      </c>
      <c r="G649" s="6" t="str">
        <f t="shared" si="0"/>
        <v>https://dto.kemkes.go.id/kfacode/92000354</v>
      </c>
    </row>
    <row r="650" spans="1:7" ht="15.75" customHeight="1">
      <c r="A650" s="2">
        <v>92000809</v>
      </c>
      <c r="B650" s="2" t="s">
        <v>1306</v>
      </c>
      <c r="C650" s="5">
        <v>92000809</v>
      </c>
      <c r="D650" s="2" t="s">
        <v>649</v>
      </c>
      <c r="E650" s="2" t="s">
        <v>641</v>
      </c>
      <c r="F650" s="2">
        <v>2</v>
      </c>
      <c r="G650" s="6" t="str">
        <f t="shared" si="0"/>
        <v>https://dto.kemkes.go.id/kfacode/92000809</v>
      </c>
    </row>
    <row r="651" spans="1:7" ht="15.75" customHeight="1">
      <c r="A651" s="2">
        <v>92000760</v>
      </c>
      <c r="B651" s="2" t="s">
        <v>1307</v>
      </c>
      <c r="C651" s="5">
        <v>92000760</v>
      </c>
      <c r="D651" s="2" t="s">
        <v>660</v>
      </c>
      <c r="E651" s="2" t="s">
        <v>641</v>
      </c>
      <c r="F651" s="2">
        <v>2</v>
      </c>
      <c r="G651" s="6" t="str">
        <f t="shared" si="0"/>
        <v>https://dto.kemkes.go.id/kfacode/92000760</v>
      </c>
    </row>
    <row r="652" spans="1:7" ht="15.75" customHeight="1">
      <c r="A652" s="2">
        <v>92000761</v>
      </c>
      <c r="B652" s="2" t="s">
        <v>1308</v>
      </c>
      <c r="C652" s="5">
        <v>92000761</v>
      </c>
      <c r="D652" s="2" t="s">
        <v>660</v>
      </c>
      <c r="E652" s="2" t="s">
        <v>641</v>
      </c>
      <c r="F652" s="2">
        <v>2</v>
      </c>
      <c r="G652" s="6" t="str">
        <f t="shared" si="0"/>
        <v>https://dto.kemkes.go.id/kfacode/92000761</v>
      </c>
    </row>
    <row r="653" spans="1:7" ht="15.75" customHeight="1">
      <c r="A653" s="2">
        <v>92000801</v>
      </c>
      <c r="B653" s="2" t="s">
        <v>1309</v>
      </c>
      <c r="C653" s="5">
        <v>92000801</v>
      </c>
      <c r="D653" s="2" t="s">
        <v>640</v>
      </c>
      <c r="E653" s="2" t="s">
        <v>641</v>
      </c>
      <c r="F653" s="2">
        <v>2</v>
      </c>
      <c r="G653" s="6" t="str">
        <f t="shared" si="0"/>
        <v>https://dto.kemkes.go.id/kfacode/92000801</v>
      </c>
    </row>
    <row r="654" spans="1:7" ht="15.75" customHeight="1">
      <c r="A654" s="2">
        <v>92000264</v>
      </c>
      <c r="B654" s="2" t="s">
        <v>1310</v>
      </c>
      <c r="C654" s="5">
        <v>92000264</v>
      </c>
      <c r="D654" s="2" t="s">
        <v>640</v>
      </c>
      <c r="E654" s="2" t="s">
        <v>641</v>
      </c>
      <c r="F654" s="2">
        <v>2</v>
      </c>
      <c r="G654" s="6" t="str">
        <f t="shared" si="0"/>
        <v>https://dto.kemkes.go.id/kfacode/92000264</v>
      </c>
    </row>
    <row r="655" spans="1:7" ht="15.75" customHeight="1">
      <c r="A655" s="2">
        <v>92000800</v>
      </c>
      <c r="B655" s="2" t="s">
        <v>1311</v>
      </c>
      <c r="C655" s="5">
        <v>92000800</v>
      </c>
      <c r="D655" s="2" t="s">
        <v>671</v>
      </c>
      <c r="E655" s="2" t="s">
        <v>641</v>
      </c>
      <c r="F655" s="2">
        <v>4</v>
      </c>
      <c r="G655" s="6" t="str">
        <f t="shared" si="0"/>
        <v>https://dto.kemkes.go.id/kfacode/92000800</v>
      </c>
    </row>
    <row r="656" spans="1:7" ht="15.75" customHeight="1">
      <c r="A656" s="2">
        <v>92000275</v>
      </c>
      <c r="B656" s="2" t="s">
        <v>1312</v>
      </c>
      <c r="C656" s="5">
        <v>92000275</v>
      </c>
      <c r="D656" s="2" t="s">
        <v>702</v>
      </c>
      <c r="E656" s="2" t="s">
        <v>641</v>
      </c>
      <c r="F656" s="2">
        <v>6</v>
      </c>
      <c r="G656" s="6" t="str">
        <f t="shared" si="0"/>
        <v>https://dto.kemkes.go.id/kfacode/92000275</v>
      </c>
    </row>
    <row r="657" spans="1:7" ht="15.75" customHeight="1">
      <c r="A657" s="2">
        <v>92000719</v>
      </c>
      <c r="B657" s="2" t="s">
        <v>1313</v>
      </c>
      <c r="C657" s="5">
        <v>92000719</v>
      </c>
      <c r="D657" s="2" t="s">
        <v>640</v>
      </c>
      <c r="E657" s="2" t="s">
        <v>641</v>
      </c>
      <c r="F657" s="2">
        <v>2</v>
      </c>
      <c r="G657" s="6" t="str">
        <f t="shared" si="0"/>
        <v>https://dto.kemkes.go.id/kfacode/92000719</v>
      </c>
    </row>
    <row r="658" spans="1:7" ht="15.75" customHeight="1">
      <c r="A658" s="2">
        <v>92000169</v>
      </c>
      <c r="B658" s="2" t="s">
        <v>1314</v>
      </c>
      <c r="C658" s="5">
        <v>92000169</v>
      </c>
      <c r="D658" s="2" t="s">
        <v>658</v>
      </c>
      <c r="E658" s="2" t="s">
        <v>641</v>
      </c>
      <c r="F658" s="2">
        <v>2</v>
      </c>
      <c r="G658" s="6" t="str">
        <f t="shared" si="0"/>
        <v>https://dto.kemkes.go.id/kfacode/92000169</v>
      </c>
    </row>
    <row r="659" spans="1:7" ht="15.75" customHeight="1">
      <c r="A659" s="2">
        <v>92000704</v>
      </c>
      <c r="B659" s="2" t="s">
        <v>1315</v>
      </c>
      <c r="C659" s="5">
        <v>92000704</v>
      </c>
      <c r="D659" s="2" t="s">
        <v>640</v>
      </c>
      <c r="E659" s="2" t="s">
        <v>641</v>
      </c>
      <c r="F659" s="2">
        <v>2</v>
      </c>
      <c r="G659" s="6" t="str">
        <f t="shared" si="0"/>
        <v>https://dto.kemkes.go.id/kfacode/92000704</v>
      </c>
    </row>
    <row r="660" spans="1:7" ht="15.75" customHeight="1">
      <c r="A660" s="2">
        <v>92000286</v>
      </c>
      <c r="B660" s="2" t="s">
        <v>1316</v>
      </c>
      <c r="C660" s="5">
        <v>92000286</v>
      </c>
      <c r="D660" s="2" t="s">
        <v>640</v>
      </c>
      <c r="E660" s="2" t="s">
        <v>641</v>
      </c>
      <c r="F660" s="2">
        <v>3</v>
      </c>
      <c r="G660" s="6" t="str">
        <f t="shared" si="0"/>
        <v>https://dto.kemkes.go.id/kfacode/92000286</v>
      </c>
    </row>
    <row r="661" spans="1:7" ht="15.75" customHeight="1">
      <c r="A661" s="2">
        <v>92000509</v>
      </c>
      <c r="B661" s="2" t="s">
        <v>1317</v>
      </c>
      <c r="C661" s="5">
        <v>92000509</v>
      </c>
      <c r="D661" s="2" t="s">
        <v>640</v>
      </c>
      <c r="E661" s="2" t="s">
        <v>641</v>
      </c>
      <c r="F661" s="2">
        <v>2</v>
      </c>
      <c r="G661" s="6" t="str">
        <f t="shared" si="0"/>
        <v>https://dto.kemkes.go.id/kfacode/92000509</v>
      </c>
    </row>
    <row r="662" spans="1:7" ht="15.75" customHeight="1">
      <c r="A662" s="2">
        <v>92000186</v>
      </c>
      <c r="B662" s="2" t="s">
        <v>1318</v>
      </c>
      <c r="C662" s="5">
        <v>92000186</v>
      </c>
      <c r="D662" s="2" t="s">
        <v>653</v>
      </c>
      <c r="E662" s="2" t="s">
        <v>641</v>
      </c>
      <c r="F662" s="2">
        <v>9</v>
      </c>
      <c r="G662" s="6" t="str">
        <f t="shared" si="0"/>
        <v>https://dto.kemkes.go.id/kfacode/92000186</v>
      </c>
    </row>
    <row r="663" spans="1:7" ht="15.75" customHeight="1">
      <c r="A663" s="2">
        <v>92000379</v>
      </c>
      <c r="B663" s="2" t="s">
        <v>1319</v>
      </c>
      <c r="C663" s="5">
        <v>92000379</v>
      </c>
      <c r="D663" s="2" t="s">
        <v>640</v>
      </c>
      <c r="E663" s="2" t="s">
        <v>641</v>
      </c>
      <c r="F663" s="2">
        <v>2</v>
      </c>
      <c r="G663" s="6" t="str">
        <f t="shared" si="0"/>
        <v>https://dto.kemkes.go.id/kfacode/92000379</v>
      </c>
    </row>
    <row r="664" spans="1:7" ht="15.75" customHeight="1">
      <c r="A664" s="2">
        <v>92000385</v>
      </c>
      <c r="B664" s="2" t="s">
        <v>1320</v>
      </c>
      <c r="C664" s="5">
        <v>92000385</v>
      </c>
      <c r="D664" s="2" t="s">
        <v>640</v>
      </c>
      <c r="E664" s="2" t="s">
        <v>641</v>
      </c>
      <c r="F664" s="2">
        <v>2</v>
      </c>
      <c r="G664" s="6" t="str">
        <f t="shared" si="0"/>
        <v>https://dto.kemkes.go.id/kfacode/92000385</v>
      </c>
    </row>
    <row r="665" spans="1:7" ht="15.75" customHeight="1">
      <c r="A665" s="2">
        <v>92000845</v>
      </c>
      <c r="B665" s="2" t="s">
        <v>1321</v>
      </c>
      <c r="C665" s="5">
        <v>92000845</v>
      </c>
      <c r="D665" s="2" t="s">
        <v>640</v>
      </c>
      <c r="E665" s="2" t="s">
        <v>641</v>
      </c>
      <c r="F665" s="2">
        <v>5</v>
      </c>
      <c r="G665" s="6" t="str">
        <f t="shared" si="0"/>
        <v>https://dto.kemkes.go.id/kfacode/92000845</v>
      </c>
    </row>
    <row r="666" spans="1:7" ht="15.75" customHeight="1">
      <c r="A666" s="2">
        <v>92000548</v>
      </c>
      <c r="B666" s="2" t="s">
        <v>1322</v>
      </c>
      <c r="C666" s="5">
        <v>92000548</v>
      </c>
      <c r="D666" s="2" t="s">
        <v>640</v>
      </c>
      <c r="E666" s="2" t="s">
        <v>641</v>
      </c>
      <c r="F666" s="2">
        <v>2</v>
      </c>
      <c r="G666" s="6" t="str">
        <f t="shared" si="0"/>
        <v>https://dto.kemkes.go.id/kfacode/92000548</v>
      </c>
    </row>
    <row r="667" spans="1:7" ht="15.75" customHeight="1">
      <c r="A667" s="2">
        <v>92000547</v>
      </c>
      <c r="B667" s="2" t="s">
        <v>1323</v>
      </c>
      <c r="C667" s="5">
        <v>92000547</v>
      </c>
      <c r="D667" s="2" t="s">
        <v>640</v>
      </c>
      <c r="E667" s="2" t="s">
        <v>641</v>
      </c>
      <c r="F667" s="2">
        <v>2</v>
      </c>
      <c r="G667" s="6" t="str">
        <f t="shared" si="0"/>
        <v>https://dto.kemkes.go.id/kfacode/92000547</v>
      </c>
    </row>
    <row r="668" spans="1:7" ht="15.75" customHeight="1">
      <c r="A668" s="2">
        <v>92000842</v>
      </c>
      <c r="B668" s="2" t="s">
        <v>1324</v>
      </c>
      <c r="C668" s="5">
        <v>92000842</v>
      </c>
      <c r="D668" s="2" t="s">
        <v>640</v>
      </c>
      <c r="E668" s="2" t="s">
        <v>641</v>
      </c>
      <c r="F668" s="2">
        <v>2</v>
      </c>
      <c r="G668" s="6" t="str">
        <f t="shared" si="0"/>
        <v>https://dto.kemkes.go.id/kfacode/92000842</v>
      </c>
    </row>
    <row r="669" spans="1:7" ht="15.75" customHeight="1">
      <c r="A669" s="2">
        <v>92000300</v>
      </c>
      <c r="B669" s="2" t="s">
        <v>1325</v>
      </c>
      <c r="C669" s="5">
        <v>92000300</v>
      </c>
      <c r="D669" s="2" t="s">
        <v>645</v>
      </c>
      <c r="E669" s="2" t="s">
        <v>641</v>
      </c>
      <c r="F669" s="2">
        <v>2</v>
      </c>
      <c r="G669" s="6" t="str">
        <f t="shared" si="0"/>
        <v>https://dto.kemkes.go.id/kfacode/92000300</v>
      </c>
    </row>
    <row r="670" spans="1:7" ht="15.75" customHeight="1">
      <c r="A670" s="2">
        <v>92000304</v>
      </c>
      <c r="B670" s="2" t="s">
        <v>1326</v>
      </c>
      <c r="C670" s="5">
        <v>92000304</v>
      </c>
      <c r="D670" s="2" t="s">
        <v>640</v>
      </c>
      <c r="E670" s="2" t="s">
        <v>641</v>
      </c>
      <c r="F670" s="2">
        <v>3</v>
      </c>
      <c r="G670" s="6" t="str">
        <f t="shared" si="0"/>
        <v>https://dto.kemkes.go.id/kfacode/92000304</v>
      </c>
    </row>
    <row r="671" spans="1:7" ht="15.75" customHeight="1">
      <c r="A671" s="2">
        <v>92000921</v>
      </c>
      <c r="B671" s="2" t="s">
        <v>1327</v>
      </c>
      <c r="C671" s="5">
        <v>92000921</v>
      </c>
      <c r="D671" s="2" t="s">
        <v>640</v>
      </c>
      <c r="E671" s="2" t="s">
        <v>641</v>
      </c>
      <c r="F671" s="2">
        <v>2</v>
      </c>
      <c r="G671" s="6" t="str">
        <f t="shared" si="0"/>
        <v>https://dto.kemkes.go.id/kfacode/92000921</v>
      </c>
    </row>
    <row r="672" spans="1:7" ht="15.75" customHeight="1">
      <c r="A672" s="2">
        <v>92000922</v>
      </c>
      <c r="B672" s="2" t="s">
        <v>1328</v>
      </c>
      <c r="C672" s="5">
        <v>92000922</v>
      </c>
      <c r="D672" s="2" t="s">
        <v>640</v>
      </c>
      <c r="E672" s="2" t="s">
        <v>641</v>
      </c>
      <c r="F672" s="2">
        <v>2</v>
      </c>
      <c r="G672" s="6" t="str">
        <f t="shared" si="0"/>
        <v>https://dto.kemkes.go.id/kfacode/92000922</v>
      </c>
    </row>
    <row r="673" spans="1:7" ht="15.75" customHeight="1">
      <c r="A673" s="2">
        <v>92000923</v>
      </c>
      <c r="B673" s="2" t="s">
        <v>1329</v>
      </c>
      <c r="C673" s="5">
        <v>92000923</v>
      </c>
      <c r="D673" s="2" t="s">
        <v>668</v>
      </c>
      <c r="E673" s="2" t="s">
        <v>641</v>
      </c>
      <c r="F673" s="2">
        <v>2</v>
      </c>
      <c r="G673" s="6" t="str">
        <f t="shared" si="0"/>
        <v>https://dto.kemkes.go.id/kfacode/92000923</v>
      </c>
    </row>
    <row r="674" spans="1:7" ht="15.75" customHeight="1">
      <c r="A674" s="2">
        <v>92000327</v>
      </c>
      <c r="B674" s="2" t="s">
        <v>1330</v>
      </c>
      <c r="C674" s="5">
        <v>92000327</v>
      </c>
      <c r="D674" s="2" t="s">
        <v>932</v>
      </c>
      <c r="E674" s="2" t="s">
        <v>641</v>
      </c>
      <c r="F674" s="2">
        <v>2</v>
      </c>
      <c r="G674" s="6" t="str">
        <f t="shared" si="0"/>
        <v>https://dto.kemkes.go.id/kfacode/92000327</v>
      </c>
    </row>
    <row r="675" spans="1:7" ht="15.75" customHeight="1">
      <c r="A675" s="2">
        <v>92000885</v>
      </c>
      <c r="B675" s="2" t="s">
        <v>1331</v>
      </c>
      <c r="C675" s="5">
        <v>92000885</v>
      </c>
      <c r="D675" s="2" t="s">
        <v>658</v>
      </c>
      <c r="E675" s="2" t="s">
        <v>641</v>
      </c>
      <c r="F675" s="2">
        <v>2</v>
      </c>
      <c r="G675" s="6" t="str">
        <f t="shared" si="0"/>
        <v>https://dto.kemkes.go.id/kfacode/92000885</v>
      </c>
    </row>
    <row r="676" spans="1:7" ht="15.75" customHeight="1">
      <c r="A676" s="2">
        <v>92000860</v>
      </c>
      <c r="B676" s="2" t="s">
        <v>1332</v>
      </c>
      <c r="C676" s="5">
        <v>92000860</v>
      </c>
      <c r="D676" s="2" t="s">
        <v>640</v>
      </c>
      <c r="E676" s="2" t="s">
        <v>641</v>
      </c>
      <c r="F676" s="2">
        <v>3</v>
      </c>
      <c r="G676" s="6" t="str">
        <f t="shared" si="0"/>
        <v>https://dto.kemkes.go.id/kfacode/92000860</v>
      </c>
    </row>
    <row r="677" spans="1:7" ht="15.75" customHeight="1">
      <c r="A677" s="2">
        <v>92000749</v>
      </c>
      <c r="B677" s="2" t="s">
        <v>1333</v>
      </c>
      <c r="C677" s="5">
        <v>92000749</v>
      </c>
      <c r="D677" s="2" t="s">
        <v>645</v>
      </c>
      <c r="E677" s="2" t="s">
        <v>641</v>
      </c>
      <c r="F677" s="2">
        <v>2</v>
      </c>
      <c r="G677" s="6" t="str">
        <f t="shared" si="0"/>
        <v>https://dto.kemkes.go.id/kfacode/92000749</v>
      </c>
    </row>
    <row r="678" spans="1:7" ht="15.75" customHeight="1">
      <c r="A678" s="2">
        <v>92000884</v>
      </c>
      <c r="B678" s="2" t="s">
        <v>1334</v>
      </c>
      <c r="C678" s="5">
        <v>92000884</v>
      </c>
      <c r="D678" s="2" t="s">
        <v>640</v>
      </c>
      <c r="E678" s="2" t="s">
        <v>641</v>
      </c>
      <c r="F678" s="2">
        <v>2</v>
      </c>
      <c r="G678" s="6" t="str">
        <f t="shared" si="0"/>
        <v>https://dto.kemkes.go.id/kfacode/92000884</v>
      </c>
    </row>
    <row r="679" spans="1:7" ht="15.75" customHeight="1">
      <c r="A679" s="2">
        <v>92000145</v>
      </c>
      <c r="B679" s="2" t="s">
        <v>1335</v>
      </c>
      <c r="C679" s="5">
        <v>92000145</v>
      </c>
      <c r="D679" s="2" t="s">
        <v>655</v>
      </c>
      <c r="E679" s="2" t="s">
        <v>641</v>
      </c>
      <c r="F679" s="2">
        <v>5</v>
      </c>
      <c r="G679" s="6" t="str">
        <f t="shared" si="0"/>
        <v>https://dto.kemkes.go.id/kfacode/92000145</v>
      </c>
    </row>
    <row r="680" spans="1:7" ht="15.75" customHeight="1">
      <c r="A680" s="2">
        <v>92000416</v>
      </c>
      <c r="B680" s="2" t="s">
        <v>1336</v>
      </c>
      <c r="C680" s="5">
        <v>92000416</v>
      </c>
      <c r="D680" s="2" t="s">
        <v>1337</v>
      </c>
      <c r="E680" s="2" t="s">
        <v>641</v>
      </c>
      <c r="F680" s="2">
        <v>2</v>
      </c>
      <c r="G680" s="6" t="str">
        <f t="shared" si="0"/>
        <v>https://dto.kemkes.go.id/kfacode/92000416</v>
      </c>
    </row>
    <row r="681" spans="1:7" ht="15.75" customHeight="1">
      <c r="A681" s="2">
        <v>92000479</v>
      </c>
      <c r="B681" s="2" t="s">
        <v>1338</v>
      </c>
      <c r="C681" s="5">
        <v>92000479</v>
      </c>
      <c r="D681" s="2" t="s">
        <v>1337</v>
      </c>
      <c r="E681" s="2" t="s">
        <v>641</v>
      </c>
      <c r="F681" s="2">
        <v>2</v>
      </c>
      <c r="G681" s="6" t="str">
        <f t="shared" si="0"/>
        <v>https://dto.kemkes.go.id/kfacode/92000479</v>
      </c>
    </row>
    <row r="682" spans="1:7" ht="15.75" customHeight="1">
      <c r="A682" s="2">
        <v>92000294</v>
      </c>
      <c r="B682" s="2" t="s">
        <v>1339</v>
      </c>
      <c r="C682" s="5">
        <v>92000294</v>
      </c>
      <c r="D682" s="2" t="s">
        <v>1337</v>
      </c>
      <c r="E682" s="2" t="s">
        <v>641</v>
      </c>
      <c r="F682" s="2">
        <v>2</v>
      </c>
      <c r="G682" s="6" t="str">
        <f t="shared" si="0"/>
        <v>https://dto.kemkes.go.id/kfacode/92000294</v>
      </c>
    </row>
    <row r="683" spans="1:7" ht="15.75" customHeight="1">
      <c r="A683" s="2">
        <v>92000427</v>
      </c>
      <c r="B683" s="2" t="s">
        <v>1340</v>
      </c>
      <c r="C683" s="5">
        <v>92000427</v>
      </c>
      <c r="D683" s="2" t="s">
        <v>653</v>
      </c>
      <c r="E683" s="2" t="s">
        <v>641</v>
      </c>
      <c r="F683" s="2">
        <v>2</v>
      </c>
      <c r="G683" s="6" t="str">
        <f t="shared" si="0"/>
        <v>https://dto.kemkes.go.id/kfacode/92000427</v>
      </c>
    </row>
    <row r="684" spans="1:7" ht="15.75" customHeight="1">
      <c r="A684" s="2">
        <v>92000582</v>
      </c>
      <c r="B684" s="2" t="s">
        <v>1341</v>
      </c>
      <c r="C684" s="5">
        <v>92000582</v>
      </c>
      <c r="D684" s="2" t="s">
        <v>640</v>
      </c>
      <c r="E684" s="2" t="s">
        <v>641</v>
      </c>
      <c r="F684" s="2">
        <v>2</v>
      </c>
      <c r="G684" s="6" t="str">
        <f t="shared" si="0"/>
        <v>https://dto.kemkes.go.id/kfacode/92000582</v>
      </c>
    </row>
    <row r="685" spans="1:7" ht="15.75" customHeight="1">
      <c r="A685" s="2">
        <v>92000306</v>
      </c>
      <c r="B685" s="2" t="s">
        <v>1342</v>
      </c>
      <c r="C685" s="5">
        <v>92000306</v>
      </c>
      <c r="D685" s="2" t="s">
        <v>640</v>
      </c>
      <c r="E685" s="2" t="s">
        <v>641</v>
      </c>
      <c r="F685" s="2">
        <v>3</v>
      </c>
      <c r="G685" s="6" t="str">
        <f t="shared" si="0"/>
        <v>https://dto.kemkes.go.id/kfacode/92000306</v>
      </c>
    </row>
    <row r="686" spans="1:7" ht="15.75" customHeight="1">
      <c r="A686" s="2">
        <v>92000686</v>
      </c>
      <c r="B686" s="2" t="s">
        <v>1343</v>
      </c>
      <c r="C686" s="5">
        <v>92000686</v>
      </c>
      <c r="D686" s="2" t="s">
        <v>640</v>
      </c>
      <c r="E686" s="2" t="s">
        <v>641</v>
      </c>
      <c r="F686" s="2">
        <v>3</v>
      </c>
      <c r="G686" s="6" t="str">
        <f t="shared" si="0"/>
        <v>https://dto.kemkes.go.id/kfacode/92000686</v>
      </c>
    </row>
    <row r="687" spans="1:7" ht="15.75" customHeight="1">
      <c r="A687" s="2">
        <v>92000386</v>
      </c>
      <c r="B687" s="2" t="s">
        <v>1344</v>
      </c>
      <c r="C687" s="5">
        <v>92000386</v>
      </c>
      <c r="D687" s="2" t="s">
        <v>658</v>
      </c>
      <c r="E687" s="2" t="s">
        <v>641</v>
      </c>
      <c r="F687" s="2">
        <v>9</v>
      </c>
      <c r="G687" s="6" t="str">
        <f t="shared" si="0"/>
        <v>https://dto.kemkes.go.id/kfacode/92000386</v>
      </c>
    </row>
    <row r="688" spans="1:7" ht="15.75" customHeight="1">
      <c r="A688" s="2">
        <v>92000737</v>
      </c>
      <c r="B688" s="2" t="s">
        <v>1345</v>
      </c>
      <c r="C688" s="5">
        <v>92000737</v>
      </c>
      <c r="D688" s="2" t="s">
        <v>702</v>
      </c>
      <c r="E688" s="2" t="s">
        <v>641</v>
      </c>
      <c r="F688" s="2">
        <v>3</v>
      </c>
      <c r="G688" s="6" t="str">
        <f t="shared" si="0"/>
        <v>https://dto.kemkes.go.id/kfacode/92000737</v>
      </c>
    </row>
    <row r="689" spans="1:7" ht="15.75" customHeight="1">
      <c r="A689" s="2">
        <v>92000911</v>
      </c>
      <c r="B689" s="2" t="s">
        <v>1346</v>
      </c>
      <c r="C689" s="5">
        <v>92000911</v>
      </c>
      <c r="D689" s="2" t="s">
        <v>658</v>
      </c>
      <c r="E689" s="2" t="s">
        <v>641</v>
      </c>
      <c r="F689" s="2">
        <v>2</v>
      </c>
      <c r="G689" s="6" t="str">
        <f t="shared" si="0"/>
        <v>https://dto.kemkes.go.id/kfacode/92000911</v>
      </c>
    </row>
    <row r="690" spans="1:7" ht="15.75" customHeight="1">
      <c r="A690" s="2">
        <v>92000727</v>
      </c>
      <c r="B690" s="2" t="s">
        <v>1347</v>
      </c>
      <c r="C690" s="5">
        <v>92000727</v>
      </c>
      <c r="D690" s="2" t="s">
        <v>640</v>
      </c>
      <c r="E690" s="2" t="s">
        <v>641</v>
      </c>
      <c r="F690" s="2">
        <v>2</v>
      </c>
      <c r="G690" s="6" t="str">
        <f t="shared" si="0"/>
        <v>https://dto.kemkes.go.id/kfacode/92000727</v>
      </c>
    </row>
    <row r="691" spans="1:7" ht="15.75" customHeight="1">
      <c r="A691" s="2">
        <v>92000460</v>
      </c>
      <c r="B691" s="2" t="s">
        <v>1348</v>
      </c>
      <c r="C691" s="5">
        <v>92000460</v>
      </c>
      <c r="D691" s="2" t="s">
        <v>640</v>
      </c>
      <c r="E691" s="2" t="s">
        <v>641</v>
      </c>
      <c r="F691" s="2">
        <v>2</v>
      </c>
      <c r="G691" s="6" t="str">
        <f t="shared" si="0"/>
        <v>https://dto.kemkes.go.id/kfacode/92000460</v>
      </c>
    </row>
    <row r="692" spans="1:7" ht="15.75" customHeight="1">
      <c r="A692" s="2">
        <v>92000391</v>
      </c>
      <c r="B692" s="2" t="s">
        <v>1349</v>
      </c>
      <c r="C692" s="5">
        <v>92000391</v>
      </c>
      <c r="D692" s="2" t="s">
        <v>649</v>
      </c>
      <c r="E692" s="2" t="s">
        <v>641</v>
      </c>
      <c r="F692" s="2">
        <v>3</v>
      </c>
      <c r="G692" s="6" t="str">
        <f t="shared" si="0"/>
        <v>https://dto.kemkes.go.id/kfacode/92000391</v>
      </c>
    </row>
    <row r="693" spans="1:7" ht="15.75" customHeight="1">
      <c r="A693" s="2">
        <v>92000757</v>
      </c>
      <c r="B693" s="2" t="s">
        <v>1350</v>
      </c>
      <c r="C693" s="5">
        <v>92000757</v>
      </c>
      <c r="D693" s="2" t="s">
        <v>640</v>
      </c>
      <c r="E693" s="2" t="s">
        <v>641</v>
      </c>
      <c r="F693" s="2">
        <v>2</v>
      </c>
      <c r="G693" s="6" t="str">
        <f t="shared" si="0"/>
        <v>https://dto.kemkes.go.id/kfacode/92000757</v>
      </c>
    </row>
    <row r="694" spans="1:7" ht="15.75" customHeight="1">
      <c r="A694" s="2">
        <v>92000173</v>
      </c>
      <c r="B694" s="2" t="s">
        <v>1351</v>
      </c>
      <c r="C694" s="5">
        <v>92000173</v>
      </c>
      <c r="D694" s="2" t="s">
        <v>655</v>
      </c>
      <c r="E694" s="2" t="s">
        <v>641</v>
      </c>
      <c r="F694" s="2">
        <v>2</v>
      </c>
      <c r="G694" s="6" t="str">
        <f t="shared" si="0"/>
        <v>https://dto.kemkes.go.id/kfacode/92000173</v>
      </c>
    </row>
    <row r="695" spans="1:7" ht="15.75" customHeight="1">
      <c r="A695" s="2">
        <v>92000366</v>
      </c>
      <c r="B695" s="2" t="s">
        <v>1352</v>
      </c>
      <c r="C695" s="5">
        <v>92000366</v>
      </c>
      <c r="D695" s="2" t="s">
        <v>640</v>
      </c>
      <c r="E695" s="2" t="s">
        <v>641</v>
      </c>
      <c r="F695" s="2">
        <v>2</v>
      </c>
      <c r="G695" s="6" t="str">
        <f t="shared" si="0"/>
        <v>https://dto.kemkes.go.id/kfacode/92000366</v>
      </c>
    </row>
    <row r="696" spans="1:7" ht="15.75" customHeight="1">
      <c r="A696" s="2">
        <v>92000393</v>
      </c>
      <c r="B696" s="2" t="s">
        <v>1353</v>
      </c>
      <c r="C696" s="5">
        <v>92000393</v>
      </c>
      <c r="D696" s="2" t="s">
        <v>640</v>
      </c>
      <c r="E696" s="2" t="s">
        <v>641</v>
      </c>
      <c r="F696" s="2">
        <v>2</v>
      </c>
      <c r="G696" s="6" t="str">
        <f t="shared" si="0"/>
        <v>https://dto.kemkes.go.id/kfacode/92000393</v>
      </c>
    </row>
    <row r="697" spans="1:7" ht="15.75" customHeight="1">
      <c r="A697" s="2">
        <v>92000933</v>
      </c>
      <c r="B697" s="2" t="s">
        <v>1354</v>
      </c>
      <c r="C697" s="5">
        <v>92000933</v>
      </c>
      <c r="D697" s="2" t="s">
        <v>640</v>
      </c>
      <c r="E697" s="2" t="s">
        <v>641</v>
      </c>
      <c r="F697" s="2">
        <v>2</v>
      </c>
      <c r="G697" s="6" t="str">
        <f t="shared" si="0"/>
        <v>https://dto.kemkes.go.id/kfacode/92000933</v>
      </c>
    </row>
    <row r="698" spans="1:7" ht="15.75" customHeight="1">
      <c r="A698" s="2">
        <v>92000823</v>
      </c>
      <c r="B698" s="2" t="s">
        <v>1355</v>
      </c>
      <c r="C698" s="5">
        <v>92000823</v>
      </c>
      <c r="D698" s="2" t="s">
        <v>673</v>
      </c>
      <c r="E698" s="2" t="s">
        <v>641</v>
      </c>
      <c r="F698" s="2">
        <v>2</v>
      </c>
      <c r="G698" s="6" t="str">
        <f t="shared" si="0"/>
        <v>https://dto.kemkes.go.id/kfacode/92000823</v>
      </c>
    </row>
    <row r="699" spans="1:7" ht="15.75" customHeight="1">
      <c r="A699" s="2">
        <v>92000824</v>
      </c>
      <c r="B699" s="2" t="s">
        <v>1356</v>
      </c>
      <c r="C699" s="5">
        <v>92000824</v>
      </c>
      <c r="D699" s="2" t="s">
        <v>673</v>
      </c>
      <c r="E699" s="2" t="s">
        <v>641</v>
      </c>
      <c r="F699" s="2">
        <v>2</v>
      </c>
      <c r="G699" s="6" t="str">
        <f t="shared" si="0"/>
        <v>https://dto.kemkes.go.id/kfacode/92000824</v>
      </c>
    </row>
    <row r="700" spans="1:7" ht="15.75" customHeight="1">
      <c r="A700" s="2">
        <v>92000497</v>
      </c>
      <c r="B700" s="2" t="s">
        <v>1357</v>
      </c>
      <c r="C700" s="5">
        <v>92000497</v>
      </c>
      <c r="D700" s="2" t="s">
        <v>702</v>
      </c>
      <c r="E700" s="2" t="s">
        <v>641</v>
      </c>
      <c r="F700" s="2">
        <v>3</v>
      </c>
      <c r="G700" s="6" t="str">
        <f t="shared" si="0"/>
        <v>https://dto.kemkes.go.id/kfacode/92000497</v>
      </c>
    </row>
    <row r="701" spans="1:7" ht="15.75" customHeight="1">
      <c r="A701" s="2">
        <v>92000488</v>
      </c>
      <c r="B701" s="2" t="s">
        <v>1358</v>
      </c>
      <c r="C701" s="5">
        <v>92000488</v>
      </c>
      <c r="D701" s="2" t="s">
        <v>653</v>
      </c>
      <c r="E701" s="2" t="s">
        <v>641</v>
      </c>
      <c r="F701" s="2">
        <v>3</v>
      </c>
      <c r="G701" s="6" t="str">
        <f t="shared" si="0"/>
        <v>https://dto.kemkes.go.id/kfacode/92000488</v>
      </c>
    </row>
    <row r="702" spans="1:7" ht="15.75" customHeight="1">
      <c r="A702" s="2">
        <v>92000174</v>
      </c>
      <c r="B702" s="2" t="s">
        <v>1359</v>
      </c>
      <c r="C702" s="5">
        <v>92000174</v>
      </c>
      <c r="D702" s="2" t="s">
        <v>702</v>
      </c>
      <c r="E702" s="2" t="s">
        <v>641</v>
      </c>
      <c r="F702" s="2">
        <v>16</v>
      </c>
      <c r="G702" s="6" t="str">
        <f t="shared" si="0"/>
        <v>https://dto.kemkes.go.id/kfacode/92000174</v>
      </c>
    </row>
    <row r="703" spans="1:7" ht="15.75" customHeight="1">
      <c r="A703" s="2">
        <v>92000493</v>
      </c>
      <c r="B703" s="2" t="s">
        <v>1360</v>
      </c>
      <c r="C703" s="5">
        <v>92000493</v>
      </c>
      <c r="D703" s="2" t="s">
        <v>671</v>
      </c>
      <c r="E703" s="2" t="s">
        <v>641</v>
      </c>
      <c r="F703" s="2">
        <v>3</v>
      </c>
      <c r="G703" s="6" t="str">
        <f t="shared" si="0"/>
        <v>https://dto.kemkes.go.id/kfacode/92000493</v>
      </c>
    </row>
    <row r="704" spans="1:7" ht="15.75" customHeight="1">
      <c r="A704" s="2">
        <v>92000498</v>
      </c>
      <c r="B704" s="2" t="s">
        <v>1361</v>
      </c>
      <c r="C704" s="5">
        <v>92000498</v>
      </c>
      <c r="D704" s="2" t="s">
        <v>702</v>
      </c>
      <c r="E704" s="2" t="s">
        <v>641</v>
      </c>
      <c r="F704" s="2">
        <v>2</v>
      </c>
      <c r="G704" s="6" t="str">
        <f t="shared" si="0"/>
        <v>https://dto.kemkes.go.id/kfacode/92000498</v>
      </c>
    </row>
    <row r="705" spans="1:7" ht="15.75" customHeight="1">
      <c r="A705" s="2">
        <v>92000799</v>
      </c>
      <c r="B705" s="2" t="s">
        <v>1362</v>
      </c>
      <c r="C705" s="5">
        <v>92000799</v>
      </c>
      <c r="D705" s="2" t="s">
        <v>645</v>
      </c>
      <c r="E705" s="2" t="s">
        <v>641</v>
      </c>
      <c r="F705" s="2">
        <v>2</v>
      </c>
      <c r="G705" s="6" t="str">
        <f t="shared" si="0"/>
        <v>https://dto.kemkes.go.id/kfacode/92000799</v>
      </c>
    </row>
    <row r="706" spans="1:7" ht="15.75" customHeight="1">
      <c r="A706" s="2">
        <v>92000461</v>
      </c>
      <c r="B706" s="2" t="s">
        <v>1363</v>
      </c>
      <c r="C706" s="5">
        <v>92000461</v>
      </c>
      <c r="D706" s="2" t="s">
        <v>702</v>
      </c>
      <c r="E706" s="2" t="s">
        <v>641</v>
      </c>
      <c r="F706" s="2">
        <v>4</v>
      </c>
      <c r="G706" s="6" t="str">
        <f t="shared" si="0"/>
        <v>https://dto.kemkes.go.id/kfacode/92000461</v>
      </c>
    </row>
    <row r="707" spans="1:7" ht="15.75" customHeight="1">
      <c r="A707" s="2">
        <v>92000915</v>
      </c>
      <c r="B707" s="2" t="s">
        <v>1364</v>
      </c>
      <c r="C707" s="5">
        <v>92000915</v>
      </c>
      <c r="D707" s="2" t="s">
        <v>653</v>
      </c>
      <c r="E707" s="2" t="s">
        <v>641</v>
      </c>
      <c r="F707" s="2">
        <v>2</v>
      </c>
      <c r="G707" s="6" t="str">
        <f t="shared" si="0"/>
        <v>https://dto.kemkes.go.id/kfacode/92000915</v>
      </c>
    </row>
    <row r="708" spans="1:7" ht="15.75" customHeight="1">
      <c r="A708" s="2">
        <v>92000272</v>
      </c>
      <c r="B708" s="2" t="s">
        <v>1365</v>
      </c>
      <c r="C708" s="5">
        <v>92000272</v>
      </c>
      <c r="D708" s="2" t="s">
        <v>658</v>
      </c>
      <c r="E708" s="2" t="s">
        <v>641</v>
      </c>
      <c r="F708" s="2">
        <v>2</v>
      </c>
      <c r="G708" s="6" t="str">
        <f t="shared" si="0"/>
        <v>https://dto.kemkes.go.id/kfacode/92000272</v>
      </c>
    </row>
    <row r="709" spans="1:7" ht="15.75" customHeight="1">
      <c r="A709" s="2">
        <v>92000180</v>
      </c>
      <c r="B709" s="2" t="s">
        <v>1366</v>
      </c>
      <c r="C709" s="5">
        <v>92000180</v>
      </c>
      <c r="D709" s="2" t="s">
        <v>640</v>
      </c>
      <c r="E709" s="2" t="s">
        <v>641</v>
      </c>
      <c r="F709" s="2">
        <v>2</v>
      </c>
      <c r="G709" s="6" t="str">
        <f t="shared" si="0"/>
        <v>https://dto.kemkes.go.id/kfacode/92000180</v>
      </c>
    </row>
    <row r="710" spans="1:7" ht="15.75" customHeight="1">
      <c r="A710" s="2">
        <v>92000444</v>
      </c>
      <c r="B710" s="2" t="s">
        <v>1367</v>
      </c>
      <c r="C710" s="5">
        <v>92000444</v>
      </c>
      <c r="D710" s="2" t="s">
        <v>640</v>
      </c>
      <c r="E710" s="2" t="s">
        <v>641</v>
      </c>
      <c r="F710" s="2">
        <v>2</v>
      </c>
      <c r="G710" s="6" t="str">
        <f t="shared" si="0"/>
        <v>https://dto.kemkes.go.id/kfacode/92000444</v>
      </c>
    </row>
    <row r="711" spans="1:7" ht="15.75" customHeight="1">
      <c r="A711" s="2">
        <v>92000916</v>
      </c>
      <c r="B711" s="2" t="s">
        <v>1368</v>
      </c>
      <c r="C711" s="5">
        <v>92000916</v>
      </c>
      <c r="D711" s="2" t="s">
        <v>653</v>
      </c>
      <c r="E711" s="2" t="s">
        <v>641</v>
      </c>
      <c r="F711" s="2">
        <v>2</v>
      </c>
      <c r="G711" s="6" t="str">
        <f t="shared" si="0"/>
        <v>https://dto.kemkes.go.id/kfacode/92000916</v>
      </c>
    </row>
    <row r="712" spans="1:7" ht="15.75" customHeight="1">
      <c r="A712" s="2">
        <v>92000859</v>
      </c>
      <c r="B712" s="2" t="s">
        <v>1369</v>
      </c>
      <c r="C712" s="5">
        <v>92000859</v>
      </c>
      <c r="D712" s="2" t="s">
        <v>645</v>
      </c>
      <c r="E712" s="2" t="s">
        <v>641</v>
      </c>
      <c r="F712" s="2">
        <v>2</v>
      </c>
      <c r="G712" s="6" t="str">
        <f t="shared" si="0"/>
        <v>https://dto.kemkes.go.id/kfacode/92000859</v>
      </c>
    </row>
    <row r="713" spans="1:7" ht="15.75" customHeight="1">
      <c r="A713" s="2">
        <v>92000110</v>
      </c>
      <c r="B713" s="2" t="s">
        <v>1370</v>
      </c>
      <c r="C713" s="5">
        <v>92000110</v>
      </c>
      <c r="D713" s="2" t="s">
        <v>658</v>
      </c>
      <c r="E713" s="2" t="s">
        <v>641</v>
      </c>
      <c r="F713" s="2">
        <v>5</v>
      </c>
      <c r="G713" s="6" t="str">
        <f t="shared" si="0"/>
        <v>https://dto.kemkes.go.id/kfacode/92000110</v>
      </c>
    </row>
    <row r="714" spans="1:7" ht="15.75" customHeight="1">
      <c r="A714" s="2">
        <v>92000864</v>
      </c>
      <c r="B714" s="2" t="s">
        <v>1371</v>
      </c>
      <c r="C714" s="5">
        <v>92000864</v>
      </c>
      <c r="D714" s="2" t="s">
        <v>671</v>
      </c>
      <c r="E714" s="2" t="s">
        <v>641</v>
      </c>
      <c r="F714" s="2">
        <v>2</v>
      </c>
      <c r="G714" s="6" t="str">
        <f t="shared" si="0"/>
        <v>https://dto.kemkes.go.id/kfacode/92000864</v>
      </c>
    </row>
    <row r="715" spans="1:7" ht="15.75" customHeight="1">
      <c r="A715" s="2">
        <v>92000862</v>
      </c>
      <c r="B715" s="2" t="s">
        <v>1372</v>
      </c>
      <c r="C715" s="5">
        <v>92000862</v>
      </c>
      <c r="D715" s="2" t="s">
        <v>658</v>
      </c>
      <c r="E715" s="2" t="s">
        <v>641</v>
      </c>
      <c r="F715" s="2">
        <v>3</v>
      </c>
      <c r="G715" s="6" t="str">
        <f t="shared" si="0"/>
        <v>https://dto.kemkes.go.id/kfacode/92000862</v>
      </c>
    </row>
    <row r="716" spans="1:7" ht="15.75" customHeight="1">
      <c r="A716" s="2">
        <v>92000273</v>
      </c>
      <c r="B716" s="2" t="s">
        <v>1373</v>
      </c>
      <c r="C716" s="5">
        <v>92000273</v>
      </c>
      <c r="D716" s="2" t="s">
        <v>640</v>
      </c>
      <c r="E716" s="2" t="s">
        <v>641</v>
      </c>
      <c r="F716" s="2">
        <v>2</v>
      </c>
      <c r="G716" s="6" t="str">
        <f t="shared" si="0"/>
        <v>https://dto.kemkes.go.id/kfacode/92000273</v>
      </c>
    </row>
    <row r="717" spans="1:7" ht="15.75" customHeight="1">
      <c r="A717" s="2">
        <v>92000274</v>
      </c>
      <c r="B717" s="2" t="s">
        <v>1374</v>
      </c>
      <c r="C717" s="5">
        <v>92000274</v>
      </c>
      <c r="D717" s="2" t="s">
        <v>640</v>
      </c>
      <c r="E717" s="2" t="s">
        <v>641</v>
      </c>
      <c r="F717" s="2">
        <v>2</v>
      </c>
      <c r="G717" s="6" t="str">
        <f t="shared" si="0"/>
        <v>https://dto.kemkes.go.id/kfacode/92000274</v>
      </c>
    </row>
    <row r="718" spans="1:7" ht="15.75" customHeight="1">
      <c r="A718" s="2">
        <v>92000288</v>
      </c>
      <c r="B718" s="2" t="s">
        <v>1375</v>
      </c>
      <c r="C718" s="5">
        <v>92000288</v>
      </c>
      <c r="D718" s="2" t="s">
        <v>653</v>
      </c>
      <c r="E718" s="2" t="s">
        <v>641</v>
      </c>
      <c r="F718" s="2">
        <v>3</v>
      </c>
      <c r="G718" s="6" t="str">
        <f t="shared" si="0"/>
        <v>https://dto.kemkes.go.id/kfacode/92000288</v>
      </c>
    </row>
    <row r="719" spans="1:7" ht="15.75" customHeight="1">
      <c r="A719" s="2">
        <v>92000104</v>
      </c>
      <c r="B719" s="2" t="s">
        <v>1376</v>
      </c>
      <c r="C719" s="5">
        <v>92000104</v>
      </c>
      <c r="D719" s="2" t="s">
        <v>658</v>
      </c>
      <c r="E719" s="2" t="s">
        <v>641</v>
      </c>
      <c r="F719" s="2">
        <v>13</v>
      </c>
      <c r="G719" s="6" t="str">
        <f t="shared" si="0"/>
        <v>https://dto.kemkes.go.id/kfacode/92000104</v>
      </c>
    </row>
    <row r="720" spans="1:7" ht="15.75" customHeight="1">
      <c r="A720" s="2">
        <v>92000226</v>
      </c>
      <c r="B720" s="2" t="s">
        <v>1377</v>
      </c>
      <c r="C720" s="5">
        <v>92000226</v>
      </c>
      <c r="D720" s="2" t="s">
        <v>660</v>
      </c>
      <c r="E720" s="2" t="s">
        <v>641</v>
      </c>
      <c r="F720" s="2">
        <v>1</v>
      </c>
      <c r="G720" s="6" t="str">
        <f t="shared" si="0"/>
        <v>https://dto.kemkes.go.id/kfacode/92000226</v>
      </c>
    </row>
    <row r="721" spans="1:7" ht="15.75" customHeight="1">
      <c r="A721" s="2">
        <v>92000225</v>
      </c>
      <c r="B721" s="2" t="s">
        <v>1378</v>
      </c>
      <c r="C721" s="5">
        <v>92000225</v>
      </c>
      <c r="D721" s="2" t="s">
        <v>640</v>
      </c>
      <c r="E721" s="2" t="s">
        <v>641</v>
      </c>
      <c r="F721" s="2">
        <v>2</v>
      </c>
      <c r="G721" s="6" t="str">
        <f t="shared" si="0"/>
        <v>https://dto.kemkes.go.id/kfacode/92000225</v>
      </c>
    </row>
    <row r="722" spans="1:7" ht="15.75" customHeight="1">
      <c r="A722" s="2">
        <v>92000580</v>
      </c>
      <c r="B722" s="2" t="s">
        <v>1379</v>
      </c>
      <c r="C722" s="5">
        <v>92000580</v>
      </c>
      <c r="D722" s="2" t="s">
        <v>645</v>
      </c>
      <c r="E722" s="2" t="s">
        <v>641</v>
      </c>
      <c r="F722" s="2">
        <v>2</v>
      </c>
      <c r="G722" s="6" t="str">
        <f t="shared" si="0"/>
        <v>https://dto.kemkes.go.id/kfacode/92000580</v>
      </c>
    </row>
    <row r="723" spans="1:7" ht="15.75" customHeight="1">
      <c r="A723" s="2">
        <v>92000676</v>
      </c>
      <c r="B723" s="2" t="s">
        <v>1380</v>
      </c>
      <c r="C723" s="5">
        <v>92000676</v>
      </c>
      <c r="D723" s="2" t="s">
        <v>653</v>
      </c>
      <c r="E723" s="2" t="s">
        <v>641</v>
      </c>
      <c r="F723" s="2">
        <v>2</v>
      </c>
      <c r="G723" s="6" t="str">
        <f t="shared" si="0"/>
        <v>https://dto.kemkes.go.id/kfacode/92000676</v>
      </c>
    </row>
    <row r="724" spans="1:7" ht="15.75" customHeight="1">
      <c r="A724" s="2">
        <v>92000661</v>
      </c>
      <c r="B724" s="2" t="s">
        <v>1381</v>
      </c>
      <c r="C724" s="5">
        <v>92000661</v>
      </c>
      <c r="D724" s="2" t="s">
        <v>649</v>
      </c>
      <c r="E724" s="2" t="s">
        <v>641</v>
      </c>
      <c r="F724" s="2">
        <v>3</v>
      </c>
      <c r="G724" s="6" t="str">
        <f t="shared" si="0"/>
        <v>https://dto.kemkes.go.id/kfacode/92000661</v>
      </c>
    </row>
    <row r="725" spans="1:7" ht="15.75" customHeight="1">
      <c r="A725" s="2">
        <v>92000329</v>
      </c>
      <c r="B725" s="2" t="s">
        <v>1382</v>
      </c>
      <c r="C725" s="5">
        <v>92000329</v>
      </c>
      <c r="D725" s="2" t="s">
        <v>649</v>
      </c>
      <c r="E725" s="2" t="s">
        <v>641</v>
      </c>
      <c r="F725" s="2">
        <v>2</v>
      </c>
      <c r="G725" s="6" t="str">
        <f t="shared" si="0"/>
        <v>https://dto.kemkes.go.id/kfacode/92000329</v>
      </c>
    </row>
    <row r="726" spans="1:7" ht="15.75" customHeight="1">
      <c r="A726" s="2">
        <v>92000330</v>
      </c>
      <c r="B726" s="2" t="s">
        <v>1383</v>
      </c>
      <c r="C726" s="5">
        <v>92000330</v>
      </c>
      <c r="D726" s="2" t="s">
        <v>649</v>
      </c>
      <c r="E726" s="2" t="s">
        <v>641</v>
      </c>
      <c r="F726" s="2">
        <v>2</v>
      </c>
      <c r="G726" s="6" t="str">
        <f t="shared" si="0"/>
        <v>https://dto.kemkes.go.id/kfacode/92000330</v>
      </c>
    </row>
    <row r="727" spans="1:7" ht="15.75" customHeight="1">
      <c r="A727" s="2">
        <v>92000691</v>
      </c>
      <c r="B727" s="2" t="s">
        <v>1384</v>
      </c>
      <c r="C727" s="5">
        <v>92000691</v>
      </c>
      <c r="D727" s="2" t="s">
        <v>640</v>
      </c>
      <c r="E727" s="2" t="s">
        <v>641</v>
      </c>
      <c r="F727" s="2">
        <v>2</v>
      </c>
      <c r="G727" s="6" t="str">
        <f t="shared" si="0"/>
        <v>https://dto.kemkes.go.id/kfacode/92000691</v>
      </c>
    </row>
    <row r="728" spans="1:7" ht="15.75" customHeight="1">
      <c r="A728" s="2">
        <v>92000325</v>
      </c>
      <c r="B728" s="2" t="s">
        <v>1385</v>
      </c>
      <c r="C728" s="5">
        <v>92000325</v>
      </c>
      <c r="D728" s="2" t="s">
        <v>640</v>
      </c>
      <c r="E728" s="2" t="s">
        <v>641</v>
      </c>
      <c r="F728" s="2">
        <v>2</v>
      </c>
      <c r="G728" s="6" t="str">
        <f t="shared" si="0"/>
        <v>https://dto.kemkes.go.id/kfacode/92000325</v>
      </c>
    </row>
    <row r="729" spans="1:7" ht="15.75" customHeight="1">
      <c r="A729" s="2">
        <v>92000793</v>
      </c>
      <c r="B729" s="2" t="s">
        <v>1386</v>
      </c>
      <c r="C729" s="5">
        <v>92000793</v>
      </c>
      <c r="D729" s="2" t="s">
        <v>640</v>
      </c>
      <c r="E729" s="2" t="s">
        <v>641</v>
      </c>
      <c r="F729" s="2">
        <v>2</v>
      </c>
      <c r="G729" s="6" t="str">
        <f t="shared" si="0"/>
        <v>https://dto.kemkes.go.id/kfacode/92000793</v>
      </c>
    </row>
    <row r="730" spans="1:7" ht="15.75" customHeight="1">
      <c r="A730" s="2">
        <v>92000116</v>
      </c>
      <c r="B730" s="2" t="s">
        <v>1387</v>
      </c>
      <c r="C730" s="5">
        <v>92000116</v>
      </c>
      <c r="D730" s="2" t="s">
        <v>640</v>
      </c>
      <c r="E730" s="2" t="s">
        <v>641</v>
      </c>
      <c r="F730" s="2">
        <v>2</v>
      </c>
      <c r="G730" s="6" t="str">
        <f t="shared" si="0"/>
        <v>https://dto.kemkes.go.id/kfacode/92000116</v>
      </c>
    </row>
    <row r="731" spans="1:7" ht="15.75" customHeight="1">
      <c r="A731" s="2">
        <v>92000117</v>
      </c>
      <c r="B731" s="2" t="s">
        <v>1388</v>
      </c>
      <c r="C731" s="5">
        <v>92000117</v>
      </c>
      <c r="D731" s="2" t="s">
        <v>640</v>
      </c>
      <c r="E731" s="2" t="s">
        <v>641</v>
      </c>
      <c r="F731" s="2">
        <v>2</v>
      </c>
      <c r="G731" s="6" t="str">
        <f t="shared" si="0"/>
        <v>https://dto.kemkes.go.id/kfacode/92000117</v>
      </c>
    </row>
    <row r="732" spans="1:7" ht="15.75" customHeight="1">
      <c r="A732" s="2">
        <v>92000532</v>
      </c>
      <c r="B732" s="2" t="s">
        <v>1389</v>
      </c>
      <c r="C732" s="5">
        <v>92000532</v>
      </c>
      <c r="D732" s="2" t="s">
        <v>649</v>
      </c>
      <c r="E732" s="2" t="s">
        <v>641</v>
      </c>
      <c r="F732" s="2">
        <v>2</v>
      </c>
      <c r="G732" s="6" t="str">
        <f t="shared" si="0"/>
        <v>https://dto.kemkes.go.id/kfacode/92000532</v>
      </c>
    </row>
    <row r="733" spans="1:7" ht="15.75" customHeight="1">
      <c r="A733" s="2">
        <v>92000665</v>
      </c>
      <c r="B733" s="2" t="s">
        <v>1390</v>
      </c>
      <c r="C733" s="5">
        <v>92000665</v>
      </c>
      <c r="D733" s="2" t="s">
        <v>649</v>
      </c>
      <c r="E733" s="2" t="s">
        <v>641</v>
      </c>
      <c r="F733" s="2">
        <v>2</v>
      </c>
      <c r="G733" s="6" t="str">
        <f t="shared" si="0"/>
        <v>https://dto.kemkes.go.id/kfacode/92000665</v>
      </c>
    </row>
    <row r="734" spans="1:7" ht="15.75" customHeight="1">
      <c r="A734" s="2">
        <v>92000161</v>
      </c>
      <c r="B734" s="2" t="s">
        <v>47</v>
      </c>
      <c r="C734" s="5">
        <v>92000161</v>
      </c>
      <c r="D734" s="2" t="s">
        <v>640</v>
      </c>
      <c r="E734" s="2" t="s">
        <v>641</v>
      </c>
      <c r="F734" s="2">
        <v>4</v>
      </c>
      <c r="G734" s="6" t="str">
        <f t="shared" si="0"/>
        <v>https://dto.kemkes.go.id/kfacode/92000161</v>
      </c>
    </row>
    <row r="735" spans="1:7" ht="15.75" customHeight="1">
      <c r="A735" s="2">
        <v>92000340</v>
      </c>
      <c r="B735" s="2" t="s">
        <v>1391</v>
      </c>
      <c r="C735" s="5">
        <v>92000340</v>
      </c>
      <c r="D735" s="2" t="s">
        <v>660</v>
      </c>
      <c r="E735" s="2" t="s">
        <v>641</v>
      </c>
      <c r="F735" s="2">
        <v>1</v>
      </c>
      <c r="G735" s="6" t="str">
        <f t="shared" si="0"/>
        <v>https://dto.kemkes.go.id/kfacode/92000340</v>
      </c>
    </row>
    <row r="736" spans="1:7" ht="15.75" customHeight="1">
      <c r="A736" s="2">
        <v>92000342</v>
      </c>
      <c r="B736" s="2" t="s">
        <v>44</v>
      </c>
      <c r="C736" s="5">
        <v>92000342</v>
      </c>
      <c r="D736" s="2" t="s">
        <v>640</v>
      </c>
      <c r="E736" s="2" t="s">
        <v>641</v>
      </c>
      <c r="F736" s="2">
        <v>2</v>
      </c>
      <c r="G736" s="6" t="str">
        <f t="shared" si="0"/>
        <v>https://dto.kemkes.go.id/kfacode/92000342</v>
      </c>
    </row>
    <row r="737" spans="1:7" ht="15.75" customHeight="1">
      <c r="A737" s="2">
        <v>92000865</v>
      </c>
      <c r="B737" s="2" t="s">
        <v>1392</v>
      </c>
      <c r="C737" s="5">
        <v>92000865</v>
      </c>
      <c r="D737" s="2" t="s">
        <v>640</v>
      </c>
      <c r="E737" s="2" t="s">
        <v>641</v>
      </c>
      <c r="F737" s="2">
        <v>3</v>
      </c>
      <c r="G737" s="6" t="str">
        <f t="shared" si="0"/>
        <v>https://dto.kemkes.go.id/kfacode/92000865</v>
      </c>
    </row>
    <row r="738" spans="1:7" ht="15.75" customHeight="1">
      <c r="A738" s="2">
        <v>92000522</v>
      </c>
      <c r="B738" s="2" t="s">
        <v>1393</v>
      </c>
      <c r="C738" s="5">
        <v>92000522</v>
      </c>
      <c r="D738" s="2" t="s">
        <v>640</v>
      </c>
      <c r="E738" s="2" t="s">
        <v>641</v>
      </c>
      <c r="F738" s="2">
        <v>2</v>
      </c>
      <c r="G738" s="6" t="str">
        <f t="shared" si="0"/>
        <v>https://dto.kemkes.go.id/kfacode/92000522</v>
      </c>
    </row>
    <row r="739" spans="1:7" ht="15.75" customHeight="1">
      <c r="A739" s="2">
        <v>92000349</v>
      </c>
      <c r="B739" s="2" t="s">
        <v>1394</v>
      </c>
      <c r="C739" s="5">
        <v>92000349</v>
      </c>
      <c r="D739" s="2" t="s">
        <v>640</v>
      </c>
      <c r="E739" s="2" t="s">
        <v>641</v>
      </c>
      <c r="F739" s="2">
        <v>2</v>
      </c>
      <c r="G739" s="6" t="str">
        <f t="shared" si="0"/>
        <v>https://dto.kemkes.go.id/kfacode/92000349</v>
      </c>
    </row>
    <row r="740" spans="1:7" ht="15.75" customHeight="1">
      <c r="A740" s="2">
        <v>92000619</v>
      </c>
      <c r="B740" s="2" t="s">
        <v>1395</v>
      </c>
      <c r="C740" s="5">
        <v>92000619</v>
      </c>
      <c r="D740" s="2" t="s">
        <v>658</v>
      </c>
      <c r="E740" s="2" t="s">
        <v>641</v>
      </c>
      <c r="F740" s="2">
        <v>2</v>
      </c>
      <c r="G740" s="6" t="str">
        <f t="shared" si="0"/>
        <v>https://dto.kemkes.go.id/kfacode/92000619</v>
      </c>
    </row>
    <row r="741" spans="1:7" ht="15.75" customHeight="1">
      <c r="A741" s="2">
        <v>92000202</v>
      </c>
      <c r="B741" s="2" t="s">
        <v>1396</v>
      </c>
      <c r="C741" s="5">
        <v>92000202</v>
      </c>
      <c r="D741" s="2" t="s">
        <v>741</v>
      </c>
      <c r="E741" s="2" t="s">
        <v>641</v>
      </c>
      <c r="F741" s="2">
        <v>2</v>
      </c>
      <c r="G741" s="6" t="str">
        <f t="shared" si="0"/>
        <v>https://dto.kemkes.go.id/kfacode/92000202</v>
      </c>
    </row>
    <row r="742" spans="1:7" ht="15.75" customHeight="1">
      <c r="A742" s="2">
        <v>92000635</v>
      </c>
      <c r="B742" s="2" t="s">
        <v>1397</v>
      </c>
      <c r="C742" s="5">
        <v>92000635</v>
      </c>
      <c r="D742" s="2" t="s">
        <v>660</v>
      </c>
      <c r="E742" s="2" t="s">
        <v>641</v>
      </c>
      <c r="F742" s="2">
        <v>3</v>
      </c>
      <c r="G742" s="6" t="str">
        <f t="shared" si="0"/>
        <v>https://dto.kemkes.go.id/kfacode/92000635</v>
      </c>
    </row>
    <row r="743" spans="1:7" ht="15.75" customHeight="1">
      <c r="A743" s="2">
        <v>92000332</v>
      </c>
      <c r="B743" s="2" t="s">
        <v>1398</v>
      </c>
      <c r="C743" s="5">
        <v>92000332</v>
      </c>
      <c r="D743" s="2" t="s">
        <v>645</v>
      </c>
      <c r="E743" s="2" t="s">
        <v>641</v>
      </c>
      <c r="F743" s="2">
        <v>3</v>
      </c>
      <c r="G743" s="6" t="str">
        <f t="shared" si="0"/>
        <v>https://dto.kemkes.go.id/kfacode/92000332</v>
      </c>
    </row>
    <row r="744" spans="1:7" ht="15.75" customHeight="1">
      <c r="A744" s="2">
        <v>92000335</v>
      </c>
      <c r="B744" s="2" t="s">
        <v>1399</v>
      </c>
      <c r="C744" s="5">
        <v>92000335</v>
      </c>
      <c r="D744" s="2" t="s">
        <v>640</v>
      </c>
      <c r="E744" s="2" t="s">
        <v>641</v>
      </c>
      <c r="F744" s="2">
        <v>2</v>
      </c>
      <c r="G744" s="6" t="str">
        <f t="shared" si="0"/>
        <v>https://dto.kemkes.go.id/kfacode/92000335</v>
      </c>
    </row>
    <row r="745" spans="1:7" ht="15.75" customHeight="1">
      <c r="A745" s="2">
        <v>92000373</v>
      </c>
      <c r="B745" s="2" t="s">
        <v>1400</v>
      </c>
      <c r="C745" s="5">
        <v>92000373</v>
      </c>
      <c r="D745" s="2" t="s">
        <v>640</v>
      </c>
      <c r="E745" s="2" t="s">
        <v>641</v>
      </c>
      <c r="F745" s="2">
        <v>2</v>
      </c>
      <c r="G745" s="6" t="str">
        <f t="shared" si="0"/>
        <v>https://dto.kemkes.go.id/kfacode/92000373</v>
      </c>
    </row>
    <row r="746" spans="1:7" ht="15.75" customHeight="1">
      <c r="A746" s="2">
        <v>92000724</v>
      </c>
      <c r="B746" s="2" t="s">
        <v>1401</v>
      </c>
      <c r="C746" s="5">
        <v>92000724</v>
      </c>
      <c r="D746" s="2" t="s">
        <v>653</v>
      </c>
      <c r="E746" s="2" t="s">
        <v>641</v>
      </c>
      <c r="F746" s="2">
        <v>2</v>
      </c>
      <c r="G746" s="6" t="str">
        <f t="shared" si="0"/>
        <v>https://dto.kemkes.go.id/kfacode/92000724</v>
      </c>
    </row>
    <row r="747" spans="1:7" ht="15.75" customHeight="1">
      <c r="A747" s="2">
        <v>92000725</v>
      </c>
      <c r="B747" s="2" t="s">
        <v>1402</v>
      </c>
      <c r="C747" s="5">
        <v>92000725</v>
      </c>
      <c r="D747" s="2" t="s">
        <v>653</v>
      </c>
      <c r="E747" s="2" t="s">
        <v>641</v>
      </c>
      <c r="F747" s="2">
        <v>2</v>
      </c>
      <c r="G747" s="6" t="str">
        <f t="shared" si="0"/>
        <v>https://dto.kemkes.go.id/kfacode/92000725</v>
      </c>
    </row>
    <row r="748" spans="1:7" ht="15.75" customHeight="1">
      <c r="A748" s="2">
        <v>92000168</v>
      </c>
      <c r="B748" s="2" t="s">
        <v>1403</v>
      </c>
      <c r="C748" s="5">
        <v>92000168</v>
      </c>
      <c r="D748" s="2" t="s">
        <v>640</v>
      </c>
      <c r="E748" s="2" t="s">
        <v>641</v>
      </c>
      <c r="F748" s="2">
        <v>2</v>
      </c>
      <c r="G748" s="6" t="str">
        <f t="shared" si="0"/>
        <v>https://dto.kemkes.go.id/kfacode/92000168</v>
      </c>
    </row>
    <row r="749" spans="1:7" ht="15.75" customHeight="1">
      <c r="A749" s="2">
        <v>92000574</v>
      </c>
      <c r="B749" s="2" t="s">
        <v>1404</v>
      </c>
      <c r="C749" s="5">
        <v>92000574</v>
      </c>
      <c r="D749" s="2" t="s">
        <v>640</v>
      </c>
      <c r="E749" s="2" t="s">
        <v>641</v>
      </c>
      <c r="F749" s="2">
        <v>2</v>
      </c>
      <c r="G749" s="6" t="str">
        <f t="shared" si="0"/>
        <v>https://dto.kemkes.go.id/kfacode/92000574</v>
      </c>
    </row>
    <row r="750" spans="1:7" ht="15.75" customHeight="1">
      <c r="A750" s="2">
        <v>92000322</v>
      </c>
      <c r="B750" s="2" t="s">
        <v>1405</v>
      </c>
      <c r="C750" s="5">
        <v>92000322</v>
      </c>
      <c r="D750" s="2" t="s">
        <v>640</v>
      </c>
      <c r="E750" s="2" t="s">
        <v>641</v>
      </c>
      <c r="F750" s="2">
        <v>2</v>
      </c>
      <c r="G750" s="6" t="str">
        <f t="shared" si="0"/>
        <v>https://dto.kemkes.go.id/kfacode/92000322</v>
      </c>
    </row>
    <row r="751" spans="1:7" ht="15.75" customHeight="1">
      <c r="A751" s="2">
        <v>92000556</v>
      </c>
      <c r="B751" s="2" t="s">
        <v>1406</v>
      </c>
      <c r="C751" s="5">
        <v>92000556</v>
      </c>
      <c r="D751" s="2" t="s">
        <v>702</v>
      </c>
      <c r="E751" s="2" t="s">
        <v>641</v>
      </c>
      <c r="F751" s="2">
        <v>2</v>
      </c>
      <c r="G751" s="6" t="str">
        <f t="shared" si="0"/>
        <v>https://dto.kemkes.go.id/kfacode/92000556</v>
      </c>
    </row>
    <row r="752" spans="1:7" ht="15.75" customHeight="1">
      <c r="A752" s="2">
        <v>92000303</v>
      </c>
      <c r="B752" s="2" t="s">
        <v>1407</v>
      </c>
      <c r="C752" s="5">
        <v>92000303</v>
      </c>
      <c r="D752" s="2" t="s">
        <v>702</v>
      </c>
      <c r="E752" s="2" t="s">
        <v>641</v>
      </c>
      <c r="F752" s="2">
        <v>2</v>
      </c>
      <c r="G752" s="6" t="str">
        <f t="shared" si="0"/>
        <v>https://dto.kemkes.go.id/kfacode/92000303</v>
      </c>
    </row>
    <row r="753" spans="1:7" ht="15.75" customHeight="1">
      <c r="A753" s="2">
        <v>92000698</v>
      </c>
      <c r="B753" s="2" t="s">
        <v>1408</v>
      </c>
      <c r="C753" s="5">
        <v>92000698</v>
      </c>
      <c r="D753" s="2" t="s">
        <v>1046</v>
      </c>
      <c r="E753" s="2" t="s">
        <v>641</v>
      </c>
      <c r="F753" s="2">
        <v>2</v>
      </c>
      <c r="G753" s="6" t="str">
        <f t="shared" si="0"/>
        <v>https://dto.kemkes.go.id/kfacode/92000698</v>
      </c>
    </row>
    <row r="754" spans="1:7" ht="15.75" customHeight="1">
      <c r="A754" s="2">
        <v>92000709</v>
      </c>
      <c r="B754" s="2" t="s">
        <v>1409</v>
      </c>
      <c r="C754" s="5">
        <v>92000709</v>
      </c>
      <c r="D754" s="2" t="s">
        <v>1046</v>
      </c>
      <c r="E754" s="2" t="s">
        <v>641</v>
      </c>
      <c r="F754" s="2">
        <v>2</v>
      </c>
      <c r="G754" s="6" t="str">
        <f t="shared" si="0"/>
        <v>https://dto.kemkes.go.id/kfacode/92000709</v>
      </c>
    </row>
    <row r="755" spans="1:7" ht="15.75" customHeight="1">
      <c r="A755" s="2">
        <v>92000345</v>
      </c>
      <c r="B755" s="2" t="s">
        <v>1410</v>
      </c>
      <c r="C755" s="5">
        <v>92000345</v>
      </c>
      <c r="D755" s="2" t="s">
        <v>702</v>
      </c>
      <c r="E755" s="2" t="s">
        <v>641</v>
      </c>
      <c r="F755" s="2">
        <v>3</v>
      </c>
      <c r="G755" s="6" t="str">
        <f t="shared" si="0"/>
        <v>https://dto.kemkes.go.id/kfacode/92000345</v>
      </c>
    </row>
    <row r="756" spans="1:7" ht="15.75" customHeight="1">
      <c r="A756" s="2">
        <v>92000266</v>
      </c>
      <c r="B756" s="2" t="s">
        <v>1411</v>
      </c>
      <c r="C756" s="5">
        <v>92000266</v>
      </c>
      <c r="D756" s="2" t="s">
        <v>653</v>
      </c>
      <c r="E756" s="2" t="s">
        <v>641</v>
      </c>
      <c r="F756" s="2">
        <v>4</v>
      </c>
      <c r="G756" s="6" t="str">
        <f t="shared" si="0"/>
        <v>https://dto.kemkes.go.id/kfacode/92000266</v>
      </c>
    </row>
    <row r="757" spans="1:7" ht="15.75" customHeight="1">
      <c r="A757" s="2">
        <v>92000866</v>
      </c>
      <c r="B757" s="2" t="s">
        <v>1412</v>
      </c>
      <c r="C757" s="5">
        <v>92000866</v>
      </c>
      <c r="D757" s="2" t="s">
        <v>640</v>
      </c>
      <c r="E757" s="2" t="s">
        <v>641</v>
      </c>
      <c r="F757" s="2">
        <v>2</v>
      </c>
      <c r="G757" s="6" t="str">
        <f t="shared" si="0"/>
        <v>https://dto.kemkes.go.id/kfacode/92000866</v>
      </c>
    </row>
    <row r="758" spans="1:7" ht="15.75" customHeight="1">
      <c r="A758" s="2">
        <v>92000840</v>
      </c>
      <c r="B758" s="2" t="s">
        <v>1413</v>
      </c>
      <c r="C758" s="5">
        <v>92000840</v>
      </c>
      <c r="D758" s="2" t="s">
        <v>640</v>
      </c>
      <c r="E758" s="2" t="s">
        <v>641</v>
      </c>
      <c r="F758" s="2">
        <v>2</v>
      </c>
      <c r="G758" s="6" t="str">
        <f t="shared" si="0"/>
        <v>https://dto.kemkes.go.id/kfacode/92000840</v>
      </c>
    </row>
    <row r="759" spans="1:7" ht="15.75" customHeight="1">
      <c r="A759" s="2">
        <v>92000843</v>
      </c>
      <c r="B759" s="2" t="s">
        <v>1414</v>
      </c>
      <c r="C759" s="5">
        <v>92000843</v>
      </c>
      <c r="D759" s="2" t="s">
        <v>640</v>
      </c>
      <c r="E759" s="2" t="s">
        <v>641</v>
      </c>
      <c r="F759" s="2">
        <v>4</v>
      </c>
      <c r="G759" s="6" t="str">
        <f t="shared" si="0"/>
        <v>https://dto.kemkes.go.id/kfacode/92000843</v>
      </c>
    </row>
    <row r="760" spans="1:7" ht="15.75" customHeight="1">
      <c r="A760" s="2">
        <v>92000898</v>
      </c>
      <c r="B760" s="2" t="s">
        <v>1415</v>
      </c>
      <c r="C760" s="5">
        <v>92000898</v>
      </c>
      <c r="D760" s="2" t="s">
        <v>645</v>
      </c>
      <c r="E760" s="2" t="s">
        <v>641</v>
      </c>
      <c r="F760" s="2">
        <v>3</v>
      </c>
      <c r="G760" s="6" t="str">
        <f t="shared" si="0"/>
        <v>https://dto.kemkes.go.id/kfacode/92000898</v>
      </c>
    </row>
    <row r="761" spans="1:7" ht="15.75" customHeight="1">
      <c r="A761" s="2">
        <v>92000439</v>
      </c>
      <c r="B761" s="2" t="s">
        <v>1416</v>
      </c>
      <c r="C761" s="5">
        <v>92000439</v>
      </c>
      <c r="D761" s="2" t="s">
        <v>645</v>
      </c>
      <c r="E761" s="2" t="s">
        <v>641</v>
      </c>
      <c r="F761" s="2">
        <v>3</v>
      </c>
      <c r="G761" s="6" t="str">
        <f t="shared" si="0"/>
        <v>https://dto.kemkes.go.id/kfacode/92000439</v>
      </c>
    </row>
    <row r="762" spans="1:7" ht="15.75" customHeight="1">
      <c r="A762" s="2">
        <v>92000744</v>
      </c>
      <c r="B762" s="2" t="s">
        <v>1417</v>
      </c>
      <c r="C762" s="5">
        <v>92000744</v>
      </c>
      <c r="D762" s="2" t="s">
        <v>645</v>
      </c>
      <c r="E762" s="2" t="s">
        <v>641</v>
      </c>
      <c r="F762" s="2">
        <v>2</v>
      </c>
      <c r="G762" s="6" t="str">
        <f t="shared" si="0"/>
        <v>https://dto.kemkes.go.id/kfacode/92000744</v>
      </c>
    </row>
    <row r="763" spans="1:7" ht="15.75" customHeight="1">
      <c r="A763" s="2">
        <v>92000235</v>
      </c>
      <c r="B763" s="2" t="s">
        <v>1418</v>
      </c>
      <c r="C763" s="5">
        <v>92000235</v>
      </c>
      <c r="D763" s="2" t="s">
        <v>640</v>
      </c>
      <c r="E763" s="2" t="s">
        <v>641</v>
      </c>
      <c r="F763" s="2">
        <v>2</v>
      </c>
      <c r="G763" s="6" t="str">
        <f t="shared" si="0"/>
        <v>https://dto.kemkes.go.id/kfacode/92000235</v>
      </c>
    </row>
    <row r="764" spans="1:7" ht="15.75" customHeight="1">
      <c r="A764" s="2">
        <v>92000313</v>
      </c>
      <c r="B764" s="2" t="s">
        <v>1419</v>
      </c>
      <c r="C764" s="5">
        <v>92000313</v>
      </c>
      <c r="D764" s="2" t="s">
        <v>653</v>
      </c>
      <c r="E764" s="2" t="s">
        <v>641</v>
      </c>
      <c r="F764" s="2">
        <v>6</v>
      </c>
      <c r="G764" s="6" t="str">
        <f t="shared" si="0"/>
        <v>https://dto.kemkes.go.id/kfacode/92000313</v>
      </c>
    </row>
    <row r="765" spans="1:7" ht="15.75" customHeight="1">
      <c r="A765" s="2">
        <v>92000420</v>
      </c>
      <c r="B765" s="2" t="s">
        <v>1420</v>
      </c>
      <c r="C765" s="5">
        <v>92000420</v>
      </c>
      <c r="D765" s="2" t="s">
        <v>653</v>
      </c>
      <c r="E765" s="2" t="s">
        <v>641</v>
      </c>
      <c r="F765" s="2">
        <v>4</v>
      </c>
      <c r="G765" s="6" t="str">
        <f t="shared" si="0"/>
        <v>https://dto.kemkes.go.id/kfacode/92000420</v>
      </c>
    </row>
    <row r="766" spans="1:7" ht="15.75" customHeight="1">
      <c r="A766" s="2">
        <v>92000455</v>
      </c>
      <c r="B766" s="2" t="s">
        <v>1421</v>
      </c>
      <c r="C766" s="5">
        <v>92000455</v>
      </c>
      <c r="D766" s="2" t="s">
        <v>658</v>
      </c>
      <c r="E766" s="2" t="s">
        <v>641</v>
      </c>
      <c r="F766" s="2">
        <v>2</v>
      </c>
      <c r="G766" s="6" t="str">
        <f t="shared" si="0"/>
        <v>https://dto.kemkes.go.id/kfacode/92000455</v>
      </c>
    </row>
    <row r="767" spans="1:7" ht="15.75" customHeight="1">
      <c r="A767" s="2">
        <v>92000629</v>
      </c>
      <c r="B767" s="2" t="s">
        <v>1422</v>
      </c>
      <c r="C767" s="5">
        <v>92000629</v>
      </c>
      <c r="D767" s="2" t="s">
        <v>640</v>
      </c>
      <c r="E767" s="2" t="s">
        <v>641</v>
      </c>
      <c r="F767" s="2">
        <v>2</v>
      </c>
      <c r="G767" s="6" t="str">
        <f t="shared" si="0"/>
        <v>https://dto.kemkes.go.id/kfacode/92000629</v>
      </c>
    </row>
    <row r="768" spans="1:7" ht="15.75" customHeight="1">
      <c r="A768" s="2">
        <v>92000436</v>
      </c>
      <c r="B768" s="2" t="s">
        <v>1423</v>
      </c>
      <c r="C768" s="5">
        <v>92000436</v>
      </c>
      <c r="D768" s="2" t="s">
        <v>640</v>
      </c>
      <c r="E768" s="2" t="s">
        <v>641</v>
      </c>
      <c r="F768" s="2">
        <v>2</v>
      </c>
      <c r="G768" s="6" t="str">
        <f t="shared" si="0"/>
        <v>https://dto.kemkes.go.id/kfacode/92000436</v>
      </c>
    </row>
    <row r="769" spans="1:7" ht="15.75" customHeight="1">
      <c r="A769" s="2">
        <v>92000334</v>
      </c>
      <c r="B769" s="2" t="s">
        <v>1424</v>
      </c>
      <c r="C769" s="5">
        <v>92000334</v>
      </c>
      <c r="D769" s="2" t="s">
        <v>702</v>
      </c>
      <c r="E769" s="2" t="s">
        <v>641</v>
      </c>
      <c r="F769" s="2">
        <v>2</v>
      </c>
      <c r="G769" s="6" t="str">
        <f t="shared" si="0"/>
        <v>https://dto.kemkes.go.id/kfacode/92000334</v>
      </c>
    </row>
    <row r="770" spans="1:7" ht="15.75" customHeight="1">
      <c r="A770" s="2">
        <v>92000903</v>
      </c>
      <c r="B770" s="2" t="s">
        <v>1425</v>
      </c>
      <c r="C770" s="5">
        <v>92000903</v>
      </c>
      <c r="D770" s="2" t="s">
        <v>702</v>
      </c>
      <c r="E770" s="2" t="s">
        <v>641</v>
      </c>
      <c r="F770" s="2">
        <v>4</v>
      </c>
      <c r="G770" s="6" t="str">
        <f t="shared" si="0"/>
        <v>https://dto.kemkes.go.id/kfacode/92000903</v>
      </c>
    </row>
    <row r="771" spans="1:7" ht="15.75" customHeight="1">
      <c r="A771" s="2">
        <v>92000789</v>
      </c>
      <c r="B771" s="2" t="s">
        <v>1426</v>
      </c>
      <c r="C771" s="5">
        <v>92000789</v>
      </c>
      <c r="D771" s="2" t="s">
        <v>824</v>
      </c>
      <c r="E771" s="2" t="s">
        <v>641</v>
      </c>
      <c r="F771" s="2">
        <v>2</v>
      </c>
      <c r="G771" s="6" t="str">
        <f t="shared" si="0"/>
        <v>https://dto.kemkes.go.id/kfacode/92000789</v>
      </c>
    </row>
    <row r="772" spans="1:7" ht="15.75" customHeight="1">
      <c r="A772" s="2">
        <v>92000790</v>
      </c>
      <c r="B772" s="2" t="s">
        <v>1427</v>
      </c>
      <c r="C772" s="5">
        <v>92000790</v>
      </c>
      <c r="D772" s="2" t="s">
        <v>824</v>
      </c>
      <c r="E772" s="2" t="s">
        <v>641</v>
      </c>
      <c r="F772" s="2">
        <v>2</v>
      </c>
      <c r="G772" s="6" t="str">
        <f t="shared" si="0"/>
        <v>https://dto.kemkes.go.id/kfacode/92000790</v>
      </c>
    </row>
    <row r="773" spans="1:7" ht="15.75" customHeight="1">
      <c r="A773" s="2">
        <v>92000747</v>
      </c>
      <c r="B773" s="2" t="s">
        <v>1428</v>
      </c>
      <c r="C773" s="5">
        <v>92000747</v>
      </c>
      <c r="D773" s="2" t="s">
        <v>649</v>
      </c>
      <c r="E773" s="2" t="s">
        <v>641</v>
      </c>
      <c r="F773" s="2">
        <v>3</v>
      </c>
      <c r="G773" s="6" t="str">
        <f t="shared" si="0"/>
        <v>https://dto.kemkes.go.id/kfacode/92000747</v>
      </c>
    </row>
    <row r="774" spans="1:7" ht="15.75" customHeight="1">
      <c r="A774" s="2">
        <v>92000314</v>
      </c>
      <c r="B774" s="2" t="s">
        <v>1429</v>
      </c>
      <c r="C774" s="5">
        <v>92000314</v>
      </c>
      <c r="D774" s="2" t="s">
        <v>640</v>
      </c>
      <c r="E774" s="2" t="s">
        <v>641</v>
      </c>
      <c r="F774" s="2">
        <v>2</v>
      </c>
      <c r="G774" s="6" t="str">
        <f t="shared" si="0"/>
        <v>https://dto.kemkes.go.id/kfacode/92000314</v>
      </c>
    </row>
    <row r="775" spans="1:7" ht="15.75" customHeight="1">
      <c r="A775" s="2">
        <v>92000474</v>
      </c>
      <c r="B775" s="2" t="s">
        <v>1430</v>
      </c>
      <c r="C775" s="5">
        <v>92000474</v>
      </c>
      <c r="D775" s="2" t="s">
        <v>660</v>
      </c>
      <c r="E775" s="2" t="s">
        <v>641</v>
      </c>
      <c r="F775" s="2">
        <v>3</v>
      </c>
      <c r="G775" s="6" t="str">
        <f t="shared" si="0"/>
        <v>https://dto.kemkes.go.id/kfacode/92000474</v>
      </c>
    </row>
    <row r="776" spans="1:7" ht="15.75" customHeight="1">
      <c r="A776" s="2">
        <v>92000475</v>
      </c>
      <c r="B776" s="2" t="s">
        <v>1431</v>
      </c>
      <c r="C776" s="5">
        <v>92000475</v>
      </c>
      <c r="D776" s="2" t="s">
        <v>640</v>
      </c>
      <c r="E776" s="2" t="s">
        <v>641</v>
      </c>
      <c r="F776" s="2">
        <v>6</v>
      </c>
      <c r="G776" s="6" t="str">
        <f t="shared" si="0"/>
        <v>https://dto.kemkes.go.id/kfacode/92000475</v>
      </c>
    </row>
    <row r="777" spans="1:7" ht="15.75" customHeight="1">
      <c r="A777" s="2">
        <v>92000301</v>
      </c>
      <c r="B777" s="2" t="s">
        <v>1432</v>
      </c>
      <c r="C777" s="5">
        <v>92000301</v>
      </c>
      <c r="D777" s="2" t="s">
        <v>653</v>
      </c>
      <c r="E777" s="2" t="s">
        <v>641</v>
      </c>
      <c r="F777" s="2">
        <v>6</v>
      </c>
      <c r="G777" s="6" t="str">
        <f t="shared" si="0"/>
        <v>https://dto.kemkes.go.id/kfacode/92000301</v>
      </c>
    </row>
    <row r="778" spans="1:7" ht="15.75" customHeight="1">
      <c r="A778" s="2">
        <v>92000187</v>
      </c>
      <c r="B778" s="2" t="s">
        <v>1433</v>
      </c>
      <c r="C778" s="5">
        <v>92000187</v>
      </c>
      <c r="D778" s="2" t="s">
        <v>660</v>
      </c>
      <c r="E778" s="2" t="s">
        <v>641</v>
      </c>
      <c r="F778" s="2">
        <v>2</v>
      </c>
      <c r="G778" s="6" t="str">
        <f t="shared" si="0"/>
        <v>https://dto.kemkes.go.id/kfacode/92000187</v>
      </c>
    </row>
    <row r="779" spans="1:7" ht="15.75" customHeight="1">
      <c r="A779" s="2">
        <v>92000924</v>
      </c>
      <c r="B779" s="2" t="s">
        <v>1434</v>
      </c>
      <c r="C779" s="5">
        <v>92000924</v>
      </c>
      <c r="D779" s="2" t="s">
        <v>640</v>
      </c>
      <c r="E779" s="2" t="s">
        <v>641</v>
      </c>
      <c r="F779" s="2">
        <v>2</v>
      </c>
      <c r="G779" s="6" t="str">
        <f t="shared" si="0"/>
        <v>https://dto.kemkes.go.id/kfacode/92000924</v>
      </c>
    </row>
    <row r="780" spans="1:7" ht="15.75" customHeight="1">
      <c r="A780" s="2">
        <v>92000504</v>
      </c>
      <c r="B780" s="2" t="s">
        <v>1435</v>
      </c>
      <c r="C780" s="5">
        <v>92000504</v>
      </c>
      <c r="D780" s="2" t="s">
        <v>653</v>
      </c>
      <c r="E780" s="2" t="s">
        <v>641</v>
      </c>
      <c r="F780" s="2">
        <v>3</v>
      </c>
      <c r="G780" s="6" t="str">
        <f t="shared" si="0"/>
        <v>https://dto.kemkes.go.id/kfacode/92000504</v>
      </c>
    </row>
    <row r="781" spans="1:7" ht="15.75" customHeight="1">
      <c r="A781" s="2">
        <v>92000321</v>
      </c>
      <c r="B781" s="2" t="s">
        <v>1436</v>
      </c>
      <c r="C781" s="5">
        <v>92000321</v>
      </c>
      <c r="D781" s="2" t="s">
        <v>653</v>
      </c>
      <c r="E781" s="2" t="s">
        <v>641</v>
      </c>
      <c r="F781" s="2">
        <v>7</v>
      </c>
      <c r="G781" s="6" t="str">
        <f t="shared" si="0"/>
        <v>https://dto.kemkes.go.id/kfacode/92000321</v>
      </c>
    </row>
    <row r="782" spans="1:7" ht="15.75" customHeight="1">
      <c r="A782" s="2">
        <v>92000543</v>
      </c>
      <c r="B782" s="2" t="s">
        <v>1437</v>
      </c>
      <c r="C782" s="5">
        <v>92000543</v>
      </c>
      <c r="D782" s="2" t="s">
        <v>653</v>
      </c>
      <c r="E782" s="2" t="s">
        <v>641</v>
      </c>
      <c r="F782" s="2">
        <v>2</v>
      </c>
      <c r="G782" s="6" t="str">
        <f t="shared" si="0"/>
        <v>https://dto.kemkes.go.id/kfacode/92000543</v>
      </c>
    </row>
    <row r="783" spans="1:7" ht="15.75" customHeight="1">
      <c r="A783" s="2">
        <v>92000541</v>
      </c>
      <c r="B783" s="2" t="s">
        <v>1438</v>
      </c>
      <c r="C783" s="5">
        <v>92000541</v>
      </c>
      <c r="D783" s="2" t="s">
        <v>640</v>
      </c>
      <c r="E783" s="2" t="s">
        <v>641</v>
      </c>
      <c r="F783" s="2">
        <v>2</v>
      </c>
      <c r="G783" s="6" t="str">
        <f t="shared" si="0"/>
        <v>https://dto.kemkes.go.id/kfacode/92000541</v>
      </c>
    </row>
    <row r="784" spans="1:7" ht="15.75" customHeight="1">
      <c r="A784" s="2">
        <v>92000578</v>
      </c>
      <c r="B784" s="2" t="s">
        <v>1439</v>
      </c>
      <c r="C784" s="5">
        <v>92000578</v>
      </c>
      <c r="D784" s="2" t="s">
        <v>640</v>
      </c>
      <c r="E784" s="2" t="s">
        <v>641</v>
      </c>
      <c r="F784" s="2">
        <v>3</v>
      </c>
      <c r="G784" s="6" t="str">
        <f t="shared" si="0"/>
        <v>https://dto.kemkes.go.id/kfacode/92000578</v>
      </c>
    </row>
    <row r="785" spans="1:7" ht="15.75" customHeight="1">
      <c r="A785" s="2">
        <v>92000437</v>
      </c>
      <c r="B785" s="2" t="s">
        <v>1440</v>
      </c>
      <c r="C785" s="5">
        <v>92000437</v>
      </c>
      <c r="D785" s="2" t="s">
        <v>702</v>
      </c>
      <c r="E785" s="2" t="s">
        <v>641</v>
      </c>
      <c r="F785" s="2">
        <v>3</v>
      </c>
      <c r="G785" s="6" t="str">
        <f t="shared" si="0"/>
        <v>https://dto.kemkes.go.id/kfacode/92000437</v>
      </c>
    </row>
    <row r="786" spans="1:7" ht="15.75" customHeight="1">
      <c r="A786" s="2">
        <v>92000575</v>
      </c>
      <c r="B786" s="2" t="s">
        <v>1441</v>
      </c>
      <c r="C786" s="5">
        <v>92000575</v>
      </c>
      <c r="D786" s="2" t="s">
        <v>653</v>
      </c>
      <c r="E786" s="2" t="s">
        <v>641</v>
      </c>
      <c r="F786" s="2">
        <v>2</v>
      </c>
      <c r="G786" s="6" t="str">
        <f t="shared" si="0"/>
        <v>https://dto.kemkes.go.id/kfacode/92000575</v>
      </c>
    </row>
    <row r="787" spans="1:7" ht="15.75" customHeight="1">
      <c r="A787" s="2">
        <v>92000656</v>
      </c>
      <c r="B787" s="2" t="s">
        <v>1442</v>
      </c>
      <c r="C787" s="5">
        <v>92000656</v>
      </c>
      <c r="D787" s="2" t="s">
        <v>660</v>
      </c>
      <c r="E787" s="2" t="s">
        <v>641</v>
      </c>
      <c r="F787" s="2">
        <v>2</v>
      </c>
      <c r="G787" s="6" t="str">
        <f t="shared" si="0"/>
        <v>https://dto.kemkes.go.id/kfacode/92000656</v>
      </c>
    </row>
    <row r="788" spans="1:7" ht="15.75" customHeight="1">
      <c r="A788" s="2">
        <v>92000711</v>
      </c>
      <c r="B788" s="2" t="s">
        <v>1443</v>
      </c>
      <c r="C788" s="5">
        <v>92000711</v>
      </c>
      <c r="D788" s="2" t="s">
        <v>649</v>
      </c>
      <c r="E788" s="2" t="s">
        <v>641</v>
      </c>
      <c r="F788" s="2">
        <v>2</v>
      </c>
      <c r="G788" s="6" t="str">
        <f t="shared" si="0"/>
        <v>https://dto.kemkes.go.id/kfacode/92000711</v>
      </c>
    </row>
    <row r="789" spans="1:7" ht="15.75" customHeight="1">
      <c r="A789" s="2">
        <v>92000609</v>
      </c>
      <c r="B789" s="2" t="s">
        <v>1444</v>
      </c>
      <c r="C789" s="5">
        <v>92000609</v>
      </c>
      <c r="D789" s="2" t="s">
        <v>658</v>
      </c>
      <c r="E789" s="2" t="s">
        <v>641</v>
      </c>
      <c r="F789" s="2">
        <v>3</v>
      </c>
      <c r="G789" s="6" t="str">
        <f t="shared" si="0"/>
        <v>https://dto.kemkes.go.id/kfacode/92000609</v>
      </c>
    </row>
    <row r="790" spans="1:7" ht="15.75" customHeight="1">
      <c r="A790" s="2">
        <v>92000679</v>
      </c>
      <c r="B790" s="2" t="s">
        <v>1445</v>
      </c>
      <c r="C790" s="5">
        <v>92000679</v>
      </c>
      <c r="D790" s="2" t="s">
        <v>658</v>
      </c>
      <c r="E790" s="2" t="s">
        <v>641</v>
      </c>
      <c r="F790" s="2">
        <v>3</v>
      </c>
      <c r="G790" s="6" t="str">
        <f t="shared" si="0"/>
        <v>https://dto.kemkes.go.id/kfacode/92000679</v>
      </c>
    </row>
    <row r="791" spans="1:7" ht="15.75" customHeight="1">
      <c r="A791" s="2">
        <v>92000201</v>
      </c>
      <c r="B791" s="2" t="s">
        <v>1446</v>
      </c>
      <c r="C791" s="5">
        <v>92000201</v>
      </c>
      <c r="D791" s="2" t="s">
        <v>640</v>
      </c>
      <c r="E791" s="2" t="s">
        <v>641</v>
      </c>
      <c r="F791" s="2">
        <v>4</v>
      </c>
      <c r="G791" s="6" t="str">
        <f t="shared" si="0"/>
        <v>https://dto.kemkes.go.id/kfacode/92000201</v>
      </c>
    </row>
    <row r="792" spans="1:7" ht="15.75" customHeight="1">
      <c r="A792" s="2">
        <v>92000483</v>
      </c>
      <c r="B792" s="2" t="s">
        <v>1447</v>
      </c>
      <c r="C792" s="5">
        <v>92000483</v>
      </c>
      <c r="D792" s="2" t="s">
        <v>702</v>
      </c>
      <c r="E792" s="2" t="s">
        <v>641</v>
      </c>
      <c r="F792" s="2">
        <v>4</v>
      </c>
      <c r="G792" s="6" t="str">
        <f t="shared" si="0"/>
        <v>https://dto.kemkes.go.id/kfacode/92000483</v>
      </c>
    </row>
    <row r="793" spans="1:7" ht="15.75" customHeight="1">
      <c r="A793" s="2">
        <v>92000240</v>
      </c>
      <c r="B793" s="2" t="s">
        <v>1448</v>
      </c>
      <c r="C793" s="5">
        <v>92000240</v>
      </c>
      <c r="D793" s="2" t="s">
        <v>658</v>
      </c>
      <c r="E793" s="2" t="s">
        <v>641</v>
      </c>
      <c r="F793" s="2">
        <v>2</v>
      </c>
      <c r="G793" s="6" t="str">
        <f t="shared" si="0"/>
        <v>https://dto.kemkes.go.id/kfacode/92000240</v>
      </c>
    </row>
    <row r="794" spans="1:7" ht="15.75" customHeight="1">
      <c r="A794" s="2">
        <v>92000625</v>
      </c>
      <c r="B794" s="2" t="s">
        <v>1449</v>
      </c>
      <c r="C794" s="5">
        <v>92000625</v>
      </c>
      <c r="D794" s="2" t="s">
        <v>658</v>
      </c>
      <c r="E794" s="2" t="s">
        <v>641</v>
      </c>
      <c r="F794" s="2">
        <v>2</v>
      </c>
      <c r="G794" s="6" t="str">
        <f t="shared" si="0"/>
        <v>https://dto.kemkes.go.id/kfacode/92000625</v>
      </c>
    </row>
    <row r="795" spans="1:7" ht="15.75" customHeight="1">
      <c r="A795" s="2">
        <v>92000929</v>
      </c>
      <c r="B795" s="2" t="s">
        <v>1450</v>
      </c>
      <c r="C795" s="5">
        <v>92000929</v>
      </c>
      <c r="D795" s="2" t="s">
        <v>640</v>
      </c>
      <c r="E795" s="2" t="s">
        <v>641</v>
      </c>
      <c r="F795" s="2">
        <v>2</v>
      </c>
      <c r="G795" s="6" t="str">
        <f t="shared" si="0"/>
        <v>https://dto.kemkes.go.id/kfacode/92000929</v>
      </c>
    </row>
    <row r="796" spans="1:7" ht="15.75" customHeight="1">
      <c r="C796" s="7"/>
    </row>
    <row r="797" spans="1:7" ht="15.75" customHeight="1">
      <c r="C797" s="7"/>
    </row>
    <row r="798" spans="1:7" ht="15.75" customHeight="1">
      <c r="C798" s="7"/>
    </row>
    <row r="799" spans="1:7" ht="15.75" customHeight="1">
      <c r="C799" s="7"/>
    </row>
    <row r="800" spans="1:7" ht="15.75" customHeight="1">
      <c r="C800" s="7"/>
    </row>
    <row r="801" spans="3:3" ht="15.75" customHeight="1">
      <c r="C801" s="7"/>
    </row>
    <row r="802" spans="3:3" ht="15.75" customHeight="1">
      <c r="C802" s="7"/>
    </row>
    <row r="803" spans="3:3" ht="15.75" customHeight="1">
      <c r="C803" s="7"/>
    </row>
    <row r="804" spans="3:3" ht="15.75" customHeight="1">
      <c r="C804" s="7"/>
    </row>
    <row r="805" spans="3:3" ht="15.75" customHeight="1">
      <c r="C805" s="7"/>
    </row>
    <row r="806" spans="3:3" ht="15.75" customHeight="1">
      <c r="C806" s="7"/>
    </row>
    <row r="807" spans="3:3" ht="15.75" customHeight="1">
      <c r="C807" s="7"/>
    </row>
    <row r="808" spans="3:3" ht="15.75" customHeight="1">
      <c r="C808" s="7"/>
    </row>
    <row r="809" spans="3:3" ht="15.75" customHeight="1">
      <c r="C809" s="7"/>
    </row>
    <row r="810" spans="3:3" ht="15.75" customHeight="1">
      <c r="C810" s="7"/>
    </row>
    <row r="811" spans="3:3" ht="15.75" customHeight="1">
      <c r="C811" s="7"/>
    </row>
    <row r="812" spans="3:3" ht="15.75" customHeight="1">
      <c r="C812" s="7"/>
    </row>
    <row r="813" spans="3:3" ht="15.75" customHeight="1">
      <c r="C813" s="7"/>
    </row>
    <row r="814" spans="3:3" ht="15.75" customHeight="1">
      <c r="C814" s="7"/>
    </row>
    <row r="815" spans="3:3" ht="15.75" customHeight="1">
      <c r="C815" s="7"/>
    </row>
    <row r="816" spans="3:3" ht="15.75" customHeight="1">
      <c r="C816" s="7"/>
    </row>
    <row r="817" spans="3:3" ht="15.75" customHeight="1">
      <c r="C817" s="7"/>
    </row>
    <row r="818" spans="3:3" ht="15.75" customHeight="1">
      <c r="C818" s="7"/>
    </row>
    <row r="819" spans="3:3" ht="15.75" customHeight="1">
      <c r="C819" s="7"/>
    </row>
    <row r="820" spans="3:3" ht="15.75" customHeight="1">
      <c r="C820" s="7"/>
    </row>
    <row r="821" spans="3:3" ht="15.75" customHeight="1">
      <c r="C821" s="7"/>
    </row>
    <row r="822" spans="3:3" ht="15.75" customHeight="1">
      <c r="C822" s="7"/>
    </row>
    <row r="823" spans="3:3" ht="15.75" customHeight="1">
      <c r="C823" s="7"/>
    </row>
    <row r="824" spans="3:3" ht="15.75" customHeight="1">
      <c r="C824" s="7"/>
    </row>
    <row r="825" spans="3:3" ht="15.75" customHeight="1">
      <c r="C825" s="7"/>
    </row>
    <row r="826" spans="3:3" ht="15.75" customHeight="1">
      <c r="C826" s="7"/>
    </row>
    <row r="827" spans="3:3" ht="15.75" customHeight="1">
      <c r="C827" s="7"/>
    </row>
    <row r="828" spans="3:3" ht="15.75" customHeight="1">
      <c r="C828" s="7"/>
    </row>
    <row r="829" spans="3:3" ht="15.75" customHeight="1">
      <c r="C829" s="7"/>
    </row>
    <row r="830" spans="3:3" ht="15.75" customHeight="1">
      <c r="C830" s="7"/>
    </row>
    <row r="831" spans="3:3" ht="15.75" customHeight="1">
      <c r="C831" s="7"/>
    </row>
    <row r="832" spans="3:3" ht="15.75" customHeight="1">
      <c r="C832" s="7"/>
    </row>
    <row r="833" spans="3:3" ht="15.75" customHeight="1">
      <c r="C833" s="7"/>
    </row>
    <row r="834" spans="3:3" ht="15.75" customHeight="1">
      <c r="C834" s="7"/>
    </row>
    <row r="835" spans="3:3" ht="15.75" customHeight="1">
      <c r="C835" s="7"/>
    </row>
    <row r="836" spans="3:3" ht="15.75" customHeight="1">
      <c r="C836" s="7"/>
    </row>
    <row r="837" spans="3:3" ht="15.75" customHeight="1">
      <c r="C837" s="7"/>
    </row>
    <row r="838" spans="3:3" ht="15.75" customHeight="1">
      <c r="C838" s="7"/>
    </row>
    <row r="839" spans="3:3" ht="15.75" customHeight="1">
      <c r="C839" s="7"/>
    </row>
    <row r="840" spans="3:3" ht="15.75" customHeight="1">
      <c r="C840" s="7"/>
    </row>
    <row r="841" spans="3:3" ht="15.75" customHeight="1">
      <c r="C841" s="7"/>
    </row>
    <row r="842" spans="3:3" ht="15.75" customHeight="1">
      <c r="C842" s="7"/>
    </row>
    <row r="843" spans="3:3" ht="15.75" customHeight="1">
      <c r="C843" s="7"/>
    </row>
    <row r="844" spans="3:3" ht="15.75" customHeight="1">
      <c r="C844" s="7"/>
    </row>
    <row r="845" spans="3:3" ht="15.75" customHeight="1">
      <c r="C845" s="7"/>
    </row>
    <row r="846" spans="3:3" ht="15.75" customHeight="1">
      <c r="C846" s="7"/>
    </row>
    <row r="847" spans="3:3" ht="15.75" customHeight="1">
      <c r="C847" s="7"/>
    </row>
    <row r="848" spans="3:3" ht="15.75" customHeight="1">
      <c r="C848" s="7"/>
    </row>
    <row r="849" spans="3:3" ht="15.75" customHeight="1">
      <c r="C849" s="7"/>
    </row>
    <row r="850" spans="3:3" ht="15.75" customHeight="1">
      <c r="C850" s="7"/>
    </row>
    <row r="851" spans="3:3" ht="15.75" customHeight="1">
      <c r="C851" s="7"/>
    </row>
    <row r="852" spans="3:3" ht="15.75" customHeight="1">
      <c r="C852" s="7"/>
    </row>
    <row r="853" spans="3:3" ht="15.75" customHeight="1">
      <c r="C853" s="7"/>
    </row>
    <row r="854" spans="3:3" ht="15.75" customHeight="1">
      <c r="C854" s="7"/>
    </row>
    <row r="855" spans="3:3" ht="15.75" customHeight="1">
      <c r="C855" s="7"/>
    </row>
    <row r="856" spans="3:3" ht="15.75" customHeight="1">
      <c r="C856" s="7"/>
    </row>
    <row r="857" spans="3:3" ht="15.75" customHeight="1">
      <c r="C857" s="7"/>
    </row>
    <row r="858" spans="3:3" ht="15.75" customHeight="1">
      <c r="C858" s="7"/>
    </row>
    <row r="859" spans="3:3" ht="15.75" customHeight="1">
      <c r="C859" s="7"/>
    </row>
    <row r="860" spans="3:3" ht="15.75" customHeight="1">
      <c r="C860" s="7"/>
    </row>
    <row r="861" spans="3:3" ht="15.75" customHeight="1">
      <c r="C861" s="7"/>
    </row>
    <row r="862" spans="3:3" ht="15.75" customHeight="1">
      <c r="C862" s="7"/>
    </row>
    <row r="863" spans="3:3" ht="15.75" customHeight="1">
      <c r="C863" s="7"/>
    </row>
    <row r="864" spans="3:3" ht="15.75" customHeight="1">
      <c r="C864" s="7"/>
    </row>
    <row r="865" spans="3:3" ht="15.75" customHeight="1">
      <c r="C865" s="7"/>
    </row>
    <row r="866" spans="3:3" ht="15.75" customHeight="1">
      <c r="C866" s="7"/>
    </row>
    <row r="867" spans="3:3" ht="15.75" customHeight="1">
      <c r="C867" s="7"/>
    </row>
    <row r="868" spans="3:3" ht="15.75" customHeight="1">
      <c r="C868" s="7"/>
    </row>
    <row r="869" spans="3:3" ht="15.75" customHeight="1">
      <c r="C869" s="7"/>
    </row>
    <row r="870" spans="3:3" ht="15.75" customHeight="1">
      <c r="C870" s="7"/>
    </row>
    <row r="871" spans="3:3" ht="15.75" customHeight="1">
      <c r="C871" s="7"/>
    </row>
    <row r="872" spans="3:3" ht="15.75" customHeight="1">
      <c r="C872" s="7"/>
    </row>
    <row r="873" spans="3:3" ht="15.75" customHeight="1">
      <c r="C873" s="7"/>
    </row>
    <row r="874" spans="3:3" ht="15.75" customHeight="1">
      <c r="C874" s="7"/>
    </row>
    <row r="875" spans="3:3" ht="15.75" customHeight="1">
      <c r="C875" s="7"/>
    </row>
    <row r="876" spans="3:3" ht="15.75" customHeight="1">
      <c r="C876" s="7"/>
    </row>
    <row r="877" spans="3:3" ht="15.75" customHeight="1">
      <c r="C877" s="7"/>
    </row>
    <row r="878" spans="3:3" ht="15.75" customHeight="1">
      <c r="C878" s="7"/>
    </row>
    <row r="879" spans="3:3" ht="15.75" customHeight="1">
      <c r="C879" s="7"/>
    </row>
    <row r="880" spans="3:3" ht="15.75" customHeight="1">
      <c r="C880" s="7"/>
    </row>
    <row r="881" spans="3:3" ht="15.75" customHeight="1">
      <c r="C881" s="7"/>
    </row>
    <row r="882" spans="3:3" ht="15.75" customHeight="1">
      <c r="C882" s="7"/>
    </row>
    <row r="883" spans="3:3" ht="15.75" customHeight="1">
      <c r="C883" s="7"/>
    </row>
    <row r="884" spans="3:3" ht="15.75" customHeight="1">
      <c r="C884" s="7"/>
    </row>
    <row r="885" spans="3:3" ht="15.75" customHeight="1">
      <c r="C885" s="7"/>
    </row>
    <row r="886" spans="3:3" ht="15.75" customHeight="1">
      <c r="C886" s="7"/>
    </row>
    <row r="887" spans="3:3" ht="15.75" customHeight="1">
      <c r="C887" s="7"/>
    </row>
    <row r="888" spans="3:3" ht="15.75" customHeight="1">
      <c r="C888" s="7"/>
    </row>
    <row r="889" spans="3:3" ht="15.75" customHeight="1">
      <c r="C889" s="7"/>
    </row>
    <row r="890" spans="3:3" ht="15.75" customHeight="1">
      <c r="C890" s="7"/>
    </row>
    <row r="891" spans="3:3" ht="15.75" customHeight="1">
      <c r="C891" s="7"/>
    </row>
    <row r="892" spans="3:3" ht="15.75" customHeight="1">
      <c r="C892" s="7"/>
    </row>
    <row r="893" spans="3:3" ht="15.75" customHeight="1">
      <c r="C893" s="7"/>
    </row>
    <row r="894" spans="3:3" ht="15.75" customHeight="1">
      <c r="C894" s="7"/>
    </row>
    <row r="895" spans="3:3" ht="15.75" customHeight="1">
      <c r="C895" s="7"/>
    </row>
    <row r="896" spans="3:3" ht="15.75" customHeight="1">
      <c r="C896" s="7"/>
    </row>
    <row r="897" spans="3:3" ht="15.75" customHeight="1">
      <c r="C897" s="7"/>
    </row>
    <row r="898" spans="3:3" ht="15.75" customHeight="1">
      <c r="C898" s="7"/>
    </row>
    <row r="899" spans="3:3" ht="15.75" customHeight="1">
      <c r="C899" s="7"/>
    </row>
    <row r="900" spans="3:3" ht="15.75" customHeight="1">
      <c r="C900" s="7"/>
    </row>
    <row r="901" spans="3:3" ht="15.75" customHeight="1">
      <c r="C901" s="7"/>
    </row>
    <row r="902" spans="3:3" ht="15.75" customHeight="1">
      <c r="C902" s="7"/>
    </row>
    <row r="903" spans="3:3" ht="15.75" customHeight="1">
      <c r="C903" s="7"/>
    </row>
    <row r="904" spans="3:3" ht="15.75" customHeight="1">
      <c r="C904" s="7"/>
    </row>
    <row r="905" spans="3:3" ht="15.75" customHeight="1">
      <c r="C905" s="7"/>
    </row>
    <row r="906" spans="3:3" ht="15.75" customHeight="1">
      <c r="C906" s="7"/>
    </row>
    <row r="907" spans="3:3" ht="15.75" customHeight="1">
      <c r="C907" s="7"/>
    </row>
    <row r="908" spans="3:3" ht="15.75" customHeight="1">
      <c r="C908" s="7"/>
    </row>
    <row r="909" spans="3:3" ht="15.75" customHeight="1">
      <c r="C909" s="7"/>
    </row>
    <row r="910" spans="3:3" ht="15.75" customHeight="1">
      <c r="C910" s="7"/>
    </row>
    <row r="911" spans="3:3" ht="15.75" customHeight="1">
      <c r="C911" s="7"/>
    </row>
    <row r="912" spans="3:3" ht="15.75" customHeight="1">
      <c r="C912" s="7"/>
    </row>
    <row r="913" spans="3:3" ht="15.75" customHeight="1">
      <c r="C913" s="7"/>
    </row>
    <row r="914" spans="3:3" ht="15.75" customHeight="1">
      <c r="C914" s="7"/>
    </row>
    <row r="915" spans="3:3" ht="15.75" customHeight="1">
      <c r="C915" s="7"/>
    </row>
    <row r="916" spans="3:3" ht="15.75" customHeight="1">
      <c r="C916" s="7"/>
    </row>
    <row r="917" spans="3:3" ht="15.75" customHeight="1">
      <c r="C917" s="7"/>
    </row>
    <row r="918" spans="3:3" ht="15.75" customHeight="1">
      <c r="C918" s="7"/>
    </row>
    <row r="919" spans="3:3" ht="15.75" customHeight="1">
      <c r="C919" s="7"/>
    </row>
    <row r="920" spans="3:3" ht="15.75" customHeight="1">
      <c r="C920" s="7"/>
    </row>
    <row r="921" spans="3:3" ht="15.75" customHeight="1">
      <c r="C921" s="7"/>
    </row>
    <row r="922" spans="3:3" ht="15.75" customHeight="1">
      <c r="C922" s="7"/>
    </row>
    <row r="923" spans="3:3" ht="15.75" customHeight="1">
      <c r="C923" s="7"/>
    </row>
    <row r="924" spans="3:3" ht="15.75" customHeight="1">
      <c r="C924" s="7"/>
    </row>
    <row r="925" spans="3:3" ht="15.75" customHeight="1">
      <c r="C925" s="7"/>
    </row>
    <row r="926" spans="3:3" ht="15.75" customHeight="1">
      <c r="C926" s="7"/>
    </row>
    <row r="927" spans="3:3" ht="15.75" customHeight="1">
      <c r="C927" s="7"/>
    </row>
    <row r="928" spans="3:3" ht="15.75" customHeight="1">
      <c r="C928" s="7"/>
    </row>
    <row r="929" spans="3:3" ht="15.75" customHeight="1">
      <c r="C929" s="7"/>
    </row>
    <row r="930" spans="3:3" ht="15.75" customHeight="1">
      <c r="C930" s="7"/>
    </row>
    <row r="931" spans="3:3" ht="15.75" customHeight="1">
      <c r="C931" s="7"/>
    </row>
    <row r="932" spans="3:3" ht="15.75" customHeight="1">
      <c r="C932" s="7"/>
    </row>
    <row r="933" spans="3:3" ht="15.75" customHeight="1">
      <c r="C933" s="7"/>
    </row>
    <row r="934" spans="3:3" ht="15.75" customHeight="1">
      <c r="C934" s="7"/>
    </row>
    <row r="935" spans="3:3" ht="15.75" customHeight="1">
      <c r="C935" s="7"/>
    </row>
    <row r="936" spans="3:3" ht="15.75" customHeight="1">
      <c r="C936" s="7"/>
    </row>
    <row r="937" spans="3:3" ht="15.75" customHeight="1">
      <c r="C937" s="7"/>
    </row>
    <row r="938" spans="3:3" ht="15.75" customHeight="1">
      <c r="C938" s="7"/>
    </row>
    <row r="939" spans="3:3" ht="15.75" customHeight="1">
      <c r="C939" s="7"/>
    </row>
    <row r="940" spans="3:3" ht="15.75" customHeight="1">
      <c r="C940" s="7"/>
    </row>
    <row r="941" spans="3:3" ht="15.75" customHeight="1">
      <c r="C941" s="7"/>
    </row>
    <row r="942" spans="3:3" ht="15.75" customHeight="1">
      <c r="C942" s="7"/>
    </row>
    <row r="943" spans="3:3" ht="15.75" customHeight="1">
      <c r="C943" s="7"/>
    </row>
    <row r="944" spans="3:3" ht="15.75" customHeight="1">
      <c r="C944" s="7"/>
    </row>
    <row r="945" spans="3:3" ht="15.75" customHeight="1">
      <c r="C945" s="7"/>
    </row>
    <row r="946" spans="3:3" ht="15.75" customHeight="1">
      <c r="C946" s="7"/>
    </row>
    <row r="947" spans="3:3" ht="15.75" customHeight="1">
      <c r="C947" s="7"/>
    </row>
    <row r="948" spans="3:3" ht="15.75" customHeight="1">
      <c r="C948" s="7"/>
    </row>
    <row r="949" spans="3:3" ht="15.75" customHeight="1">
      <c r="C949" s="7"/>
    </row>
    <row r="950" spans="3:3" ht="15.75" customHeight="1">
      <c r="C950" s="7"/>
    </row>
    <row r="951" spans="3:3" ht="15.75" customHeight="1">
      <c r="C951" s="7"/>
    </row>
    <row r="952" spans="3:3" ht="15.75" customHeight="1">
      <c r="C952" s="7"/>
    </row>
    <row r="953" spans="3:3" ht="15.75" customHeight="1">
      <c r="C953" s="7"/>
    </row>
    <row r="954" spans="3:3" ht="15.75" customHeight="1">
      <c r="C954" s="7"/>
    </row>
    <row r="955" spans="3:3" ht="15.75" customHeight="1">
      <c r="C955" s="7"/>
    </row>
    <row r="956" spans="3:3" ht="15.75" customHeight="1">
      <c r="C956" s="7"/>
    </row>
    <row r="957" spans="3:3" ht="15.75" customHeight="1">
      <c r="C957" s="7"/>
    </row>
    <row r="958" spans="3:3" ht="15.75" customHeight="1">
      <c r="C958" s="7"/>
    </row>
    <row r="959" spans="3:3" ht="15.75" customHeight="1">
      <c r="C959" s="7"/>
    </row>
    <row r="960" spans="3:3" ht="15.75" customHeight="1">
      <c r="C960" s="7"/>
    </row>
    <row r="961" spans="3:3" ht="15.75" customHeight="1">
      <c r="C961" s="7"/>
    </row>
    <row r="962" spans="3:3" ht="15.75" customHeight="1">
      <c r="C962" s="7"/>
    </row>
    <row r="963" spans="3:3" ht="15.75" customHeight="1">
      <c r="C963" s="7"/>
    </row>
    <row r="964" spans="3:3" ht="15.75" customHeight="1">
      <c r="C964" s="7"/>
    </row>
    <row r="965" spans="3:3" ht="15.75" customHeight="1">
      <c r="C965" s="7"/>
    </row>
    <row r="966" spans="3:3" ht="15.75" customHeight="1">
      <c r="C966" s="7"/>
    </row>
    <row r="967" spans="3:3" ht="15.75" customHeight="1">
      <c r="C967" s="7"/>
    </row>
    <row r="968" spans="3:3" ht="15.75" customHeight="1">
      <c r="C968" s="7"/>
    </row>
    <row r="969" spans="3:3" ht="15.75" customHeight="1">
      <c r="C969" s="7"/>
    </row>
    <row r="970" spans="3:3" ht="15.75" customHeight="1">
      <c r="C970" s="7"/>
    </row>
    <row r="971" spans="3:3" ht="15.75" customHeight="1">
      <c r="C971" s="7"/>
    </row>
    <row r="972" spans="3:3" ht="15.75" customHeight="1">
      <c r="C972" s="7"/>
    </row>
    <row r="973" spans="3:3" ht="15.75" customHeight="1">
      <c r="C973" s="7"/>
    </row>
    <row r="974" spans="3:3" ht="15.75" customHeight="1">
      <c r="C974" s="7"/>
    </row>
    <row r="975" spans="3:3" ht="15.75" customHeight="1">
      <c r="C975" s="7"/>
    </row>
    <row r="976" spans="3:3" ht="15.75" customHeight="1">
      <c r="C976" s="7"/>
    </row>
    <row r="977" spans="3:3" ht="15.75" customHeight="1">
      <c r="C977" s="7"/>
    </row>
    <row r="978" spans="3:3" ht="15.75" customHeight="1">
      <c r="C978" s="7"/>
    </row>
    <row r="979" spans="3:3" ht="15.75" customHeight="1">
      <c r="C979" s="7"/>
    </row>
    <row r="980" spans="3:3" ht="15.75" customHeight="1">
      <c r="C980" s="7"/>
    </row>
    <row r="981" spans="3:3" ht="15.75" customHeight="1">
      <c r="C981" s="7"/>
    </row>
    <row r="982" spans="3:3" ht="15.75" customHeight="1">
      <c r="C982" s="7"/>
    </row>
    <row r="983" spans="3:3" ht="15.75" customHeight="1">
      <c r="C983" s="7"/>
    </row>
    <row r="984" spans="3:3" ht="15.75" customHeight="1">
      <c r="C984" s="7"/>
    </row>
    <row r="985" spans="3:3" ht="15.75" customHeight="1">
      <c r="C985" s="7"/>
    </row>
    <row r="986" spans="3:3" ht="15.75" customHeight="1">
      <c r="C986" s="7"/>
    </row>
    <row r="987" spans="3:3" ht="15.75" customHeight="1">
      <c r="C987" s="7"/>
    </row>
    <row r="988" spans="3:3" ht="15.75" customHeight="1">
      <c r="C988" s="7"/>
    </row>
  </sheetData>
  <autoFilter ref="A1:G988">
    <extLst/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049"/>
  <sheetViews>
    <sheetView tabSelected="1" topLeftCell="E1" workbookViewId="0">
      <selection activeCell="K2" sqref="K2:K1380"/>
    </sheetView>
  </sheetViews>
  <sheetFormatPr defaultColWidth="12.6328125" defaultRowHeight="15.75" customHeight="1"/>
  <cols>
    <col min="1" max="1" width="21.26953125" customWidth="1"/>
    <col min="2" max="2" width="53" customWidth="1"/>
    <col min="3" max="3" width="26.7265625" customWidth="1"/>
    <col min="4" max="4" width="39.26953125" customWidth="1"/>
    <col min="5" max="5" width="26" customWidth="1"/>
    <col min="6" max="6" width="20.26953125" customWidth="1"/>
    <col min="7" max="7" width="25.54296875" customWidth="1"/>
    <col min="8" max="8" width="16.6328125" customWidth="1"/>
    <col min="9" max="9" width="37.90625" customWidth="1"/>
  </cols>
  <sheetData>
    <row r="1" spans="1:11" ht="15.7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1451</v>
      </c>
      <c r="F1" s="1" t="s">
        <v>1452</v>
      </c>
      <c r="G1" s="1" t="s">
        <v>1453</v>
      </c>
      <c r="H1" s="1" t="s">
        <v>1454</v>
      </c>
      <c r="I1" s="1" t="s">
        <v>64</v>
      </c>
    </row>
    <row r="2" spans="1:11" ht="15.75" customHeight="1">
      <c r="A2" s="2">
        <v>93001546</v>
      </c>
      <c r="B2" s="2" t="s">
        <v>1455</v>
      </c>
      <c r="C2" s="2">
        <f t="array" ref="C2:C2049">IF(A2:A2049&lt;&gt;"",VLOOKUP(D2:D2049,'92. POV (Update 06 Sep)'!$B$1:$C2049,2,0),"")</f>
        <v>92000888</v>
      </c>
      <c r="D2" s="2" t="s">
        <v>639</v>
      </c>
      <c r="E2" s="2" t="s">
        <v>1456</v>
      </c>
      <c r="F2" s="2" t="s">
        <v>640</v>
      </c>
      <c r="G2" s="2" t="s">
        <v>1457</v>
      </c>
      <c r="H2" s="2" t="s">
        <v>1458</v>
      </c>
      <c r="I2" s="3" t="str">
        <f t="shared" ref="I2:I1380" si="0">_xlfn.TEXTJOIN("/",,"https://dto.kemkes.go.id/kfacode",A2)</f>
        <v>https://dto.kemkes.go.id/kfacode/93001546</v>
      </c>
      <c r="J2" s="34" t="s">
        <v>3768</v>
      </c>
      <c r="K2" t="str">
        <f>CONCATENATE(J2,"('",A2,"','",B2,"','",C2,"','",D2,"','",E2,"','",F2,"','",G2,"','",H2,"','",I2,"',0,'2023-05-01');")</f>
        <v>insert into mkatalog_kfa93 (kode, uraian, kode_92, uraian_92, nama_dagang, satuan_kecil, sediaan, golongan, url, userid_updt, sysdate_updt) values ('93001546','Abacavir Sulfate 300 mg Tablet Salut Selaput (KIMIA FARMA Tbk.)','92000888','Abacavir Sulfate 300 mg Tablet Salut Selaput','ABACAVIR SULFATE','Tablet','Tablet Salut Selaput','Obat Keras','https://dto.kemkes.go.id/kfacode/93001546',0,'2023-05-01');</v>
      </c>
    </row>
    <row r="3" spans="1:11" ht="15.75" customHeight="1">
      <c r="A3" s="2">
        <v>93000502</v>
      </c>
      <c r="B3" s="2" t="s">
        <v>1459</v>
      </c>
      <c r="C3" s="2">
        <v>92000372</v>
      </c>
      <c r="D3" s="2" t="s">
        <v>40</v>
      </c>
      <c r="E3" s="2" t="s">
        <v>1460</v>
      </c>
      <c r="F3" s="2" t="s">
        <v>640</v>
      </c>
      <c r="G3" s="2" t="s">
        <v>640</v>
      </c>
      <c r="H3" s="2" t="s">
        <v>1458</v>
      </c>
      <c r="I3" s="3" t="str">
        <f t="shared" si="0"/>
        <v>https://dto.kemkes.go.id/kfacode/93000502</v>
      </c>
      <c r="J3" s="34" t="s">
        <v>3768</v>
      </c>
      <c r="K3" t="str">
        <f t="shared" ref="K3:K66" si="1">CONCATENATE(J3,"('",A3,"','",B3,"','",C3,"','",D3,"','",E3,"','",F3,"','",G3,"','",H3,"','",I3,"',0,'2023-05-01');")</f>
        <v>insert into mkatalog_kfa93 (kode, uraian, kode_92, uraian_92, nama_dagang, satuan_kecil, sediaan, golongan, url, userid_updt, sysdate_updt) values ('93000502','Acarbose 100 mg Tablet (ACRIOS)','92000372','Acarbose 100 mg Tablet','ACRIOS','Tablet','Tablet','Obat Keras','https://dto.kemkes.go.id/kfacode/93000502',0,'2023-05-01');</v>
      </c>
    </row>
    <row r="4" spans="1:11" ht="15.75" customHeight="1">
      <c r="A4" s="2">
        <v>93000490</v>
      </c>
      <c r="B4" s="2" t="s">
        <v>1461</v>
      </c>
      <c r="C4" s="2">
        <v>92000372</v>
      </c>
      <c r="D4" s="2" t="s">
        <v>40</v>
      </c>
      <c r="E4" s="2" t="s">
        <v>39</v>
      </c>
      <c r="F4" s="2" t="s">
        <v>640</v>
      </c>
      <c r="G4" s="2" t="s">
        <v>640</v>
      </c>
      <c r="H4" s="2" t="s">
        <v>1458</v>
      </c>
      <c r="I4" s="3" t="str">
        <f t="shared" si="0"/>
        <v>https://dto.kemkes.go.id/kfacode/93000490</v>
      </c>
      <c r="J4" s="34" t="s">
        <v>3768</v>
      </c>
      <c r="K4" t="str">
        <f t="shared" si="1"/>
        <v>insert into mkatalog_kfa93 (kode, uraian, kode_92, uraian_92, nama_dagang, satuan_kecil, sediaan, golongan, url, userid_updt, sysdate_updt) values ('93000490','Acarbose 100 mg Tablet (BETA PHARMACON)','92000372','Acarbose 100 mg Tablet','ACARBOSE','Tablet','Tablet','Obat Keras','https://dto.kemkes.go.id/kfacode/93000490',0,'2023-05-01');</v>
      </c>
    </row>
    <row r="5" spans="1:11" ht="15.75" customHeight="1">
      <c r="A5" s="2">
        <v>93000503</v>
      </c>
      <c r="B5" s="2" t="s">
        <v>1462</v>
      </c>
      <c r="C5" s="2">
        <v>92000372</v>
      </c>
      <c r="D5" s="2" t="s">
        <v>40</v>
      </c>
      <c r="E5" s="2" t="s">
        <v>1463</v>
      </c>
      <c r="F5" s="2" t="s">
        <v>640</v>
      </c>
      <c r="G5" s="2" t="s">
        <v>640</v>
      </c>
      <c r="H5" s="2" t="s">
        <v>1458</v>
      </c>
      <c r="I5" s="3" t="str">
        <f t="shared" si="0"/>
        <v>https://dto.kemkes.go.id/kfacode/93000503</v>
      </c>
      <c r="J5" s="34" t="s">
        <v>3768</v>
      </c>
      <c r="K5" t="str">
        <f t="shared" si="1"/>
        <v>insert into mkatalog_kfa93 (kode, uraian, kode_92, uraian_92, nama_dagang, satuan_kecil, sediaan, golongan, url, userid_updt, sysdate_updt) values ('93000503','Acarbose 100 mg Tablet (CAPRIBOSE 100)','92000372','Acarbose 100 mg Tablet','CAPRIBOSE','Tablet','Tablet','Obat Keras','https://dto.kemkes.go.id/kfacode/93000503',0,'2023-05-01');</v>
      </c>
    </row>
    <row r="6" spans="1:11" ht="15.75" customHeight="1">
      <c r="A6" s="2">
        <v>93000465</v>
      </c>
      <c r="B6" s="2" t="s">
        <v>1464</v>
      </c>
      <c r="C6" s="2">
        <v>92000372</v>
      </c>
      <c r="D6" s="2" t="s">
        <v>40</v>
      </c>
      <c r="E6" s="2" t="s">
        <v>39</v>
      </c>
      <c r="F6" s="2" t="s">
        <v>640</v>
      </c>
      <c r="G6" s="2" t="s">
        <v>640</v>
      </c>
      <c r="H6" s="2" t="s">
        <v>1458</v>
      </c>
      <c r="I6" s="3" t="str">
        <f t="shared" si="0"/>
        <v>https://dto.kemkes.go.id/kfacode/93000465</v>
      </c>
      <c r="J6" s="34" t="s">
        <v>3768</v>
      </c>
      <c r="K6" t="str">
        <f t="shared" si="1"/>
        <v>insert into mkatalog_kfa93 (kode, uraian, kode_92, uraian_92, nama_dagang, satuan_kecil, sediaan, golongan, url, userid_updt, sysdate_updt) values ('93000465','Acarbose 100 mg Tablet (DEXA MEDICA)','92000372','Acarbose 100 mg Tablet','ACARBOSE','Tablet','Tablet','Obat Keras','https://dto.kemkes.go.id/kfacode/93000465',0,'2023-05-01');</v>
      </c>
    </row>
    <row r="7" spans="1:11" ht="15.75" customHeight="1">
      <c r="A7" s="2">
        <v>93000506</v>
      </c>
      <c r="B7" s="2" t="s">
        <v>1465</v>
      </c>
      <c r="C7" s="2">
        <v>92000372</v>
      </c>
      <c r="D7" s="2" t="s">
        <v>40</v>
      </c>
      <c r="E7" s="2" t="s">
        <v>1466</v>
      </c>
      <c r="F7" s="2" t="s">
        <v>640</v>
      </c>
      <c r="G7" s="2" t="s">
        <v>640</v>
      </c>
      <c r="H7" s="2" t="s">
        <v>1458</v>
      </c>
      <c r="I7" s="3" t="str">
        <f t="shared" si="0"/>
        <v>https://dto.kemkes.go.id/kfacode/93000506</v>
      </c>
      <c r="J7" s="34" t="s">
        <v>3768</v>
      </c>
      <c r="K7" t="str">
        <f t="shared" si="1"/>
        <v>insert into mkatalog_kfa93 (kode, uraian, kode_92, uraian_92, nama_dagang, satuan_kecil, sediaan, golongan, url, userid_updt, sysdate_updt) values ('93000506','Acarbose 100 mg Tablet (DITRIUM 100)','92000372','Acarbose 100 mg Tablet','DITRIUM 100','Tablet','Tablet','Obat Keras','https://dto.kemkes.go.id/kfacode/93000506',0,'2023-05-01');</v>
      </c>
    </row>
    <row r="8" spans="1:11" ht="15.75" customHeight="1">
      <c r="A8" s="2">
        <v>93000487</v>
      </c>
      <c r="B8" s="2" t="s">
        <v>1467</v>
      </c>
      <c r="C8" s="2">
        <v>92000372</v>
      </c>
      <c r="D8" s="2" t="s">
        <v>40</v>
      </c>
      <c r="E8" s="2" t="s">
        <v>1468</v>
      </c>
      <c r="F8" s="2" t="s">
        <v>640</v>
      </c>
      <c r="G8" s="2" t="s">
        <v>640</v>
      </c>
      <c r="H8" s="2" t="s">
        <v>1458</v>
      </c>
      <c r="I8" s="3" t="str">
        <f t="shared" si="0"/>
        <v>https://dto.kemkes.go.id/kfacode/93000487</v>
      </c>
      <c r="J8" s="34" t="s">
        <v>3768</v>
      </c>
      <c r="K8" t="str">
        <f t="shared" si="1"/>
        <v>insert into mkatalog_kfa93 (kode, uraian, kode_92, uraian_92, nama_dagang, satuan_kecil, sediaan, golongan, url, userid_updt, sysdate_updt) values ('93000487','Acarbose 100 mg Tablet (ECLID)','92000372','Acarbose 100 mg Tablet','ECLID','Tablet','Tablet','Obat Keras','https://dto.kemkes.go.id/kfacode/93000487',0,'2023-05-01');</v>
      </c>
    </row>
    <row r="9" spans="1:11" ht="15.75" customHeight="1">
      <c r="A9" s="2">
        <v>93000494</v>
      </c>
      <c r="B9" s="2" t="s">
        <v>1469</v>
      </c>
      <c r="C9" s="2">
        <v>92000372</v>
      </c>
      <c r="D9" s="2" t="s">
        <v>40</v>
      </c>
      <c r="E9" s="2" t="s">
        <v>1470</v>
      </c>
      <c r="F9" s="2" t="s">
        <v>640</v>
      </c>
      <c r="G9" s="2" t="s">
        <v>640</v>
      </c>
      <c r="H9" s="2" t="s">
        <v>1458</v>
      </c>
      <c r="I9" s="3" t="str">
        <f t="shared" si="0"/>
        <v>https://dto.kemkes.go.id/kfacode/93000494</v>
      </c>
      <c r="J9" s="34" t="s">
        <v>3768</v>
      </c>
      <c r="K9" t="str">
        <f t="shared" si="1"/>
        <v>insert into mkatalog_kfa93 (kode, uraian, kode_92, uraian_92, nama_dagang, satuan_kecil, sediaan, golongan, url, userid_updt, sysdate_updt) values ('93000494','Acarbose 100 mg Tablet (GLUBOSE)','92000372','Acarbose 100 mg Tablet','GLUBOSE','Tablet','Tablet','Obat Keras','https://dto.kemkes.go.id/kfacode/93000494',0,'2023-05-01');</v>
      </c>
    </row>
    <row r="10" spans="1:11" ht="15.75" customHeight="1">
      <c r="A10" s="2">
        <v>93000505</v>
      </c>
      <c r="B10" s="2" t="s">
        <v>1471</v>
      </c>
      <c r="C10" s="2">
        <v>92000372</v>
      </c>
      <c r="D10" s="2" t="s">
        <v>40</v>
      </c>
      <c r="E10" s="2" t="s">
        <v>1472</v>
      </c>
      <c r="F10" s="2" t="s">
        <v>640</v>
      </c>
      <c r="G10" s="2" t="s">
        <v>640</v>
      </c>
      <c r="H10" s="2" t="s">
        <v>1458</v>
      </c>
      <c r="I10" s="3" t="str">
        <f t="shared" si="0"/>
        <v>https://dto.kemkes.go.id/kfacode/93000505</v>
      </c>
      <c r="J10" s="34" t="s">
        <v>3768</v>
      </c>
      <c r="K10" t="str">
        <f t="shared" si="1"/>
        <v>insert into mkatalog_kfa93 (kode, uraian, kode_92, uraian_92, nama_dagang, satuan_kecil, sediaan, golongan, url, userid_updt, sysdate_updt) values ('93000505','Acarbose 100 mg Tablet (GLUCOBAY 100)','92000372','Acarbose 100 mg Tablet','GLUCOBAY 100','Tablet','Tablet','Obat Keras','https://dto.kemkes.go.id/kfacode/93000505',0,'2023-05-01');</v>
      </c>
    </row>
    <row r="11" spans="1:11" ht="15.75" customHeight="1">
      <c r="A11" s="2">
        <v>93000485</v>
      </c>
      <c r="B11" s="2" t="s">
        <v>1473</v>
      </c>
      <c r="C11" s="2">
        <v>92000372</v>
      </c>
      <c r="D11" s="2" t="s">
        <v>40</v>
      </c>
      <c r="E11" s="2" t="s">
        <v>39</v>
      </c>
      <c r="F11" s="2" t="s">
        <v>640</v>
      </c>
      <c r="G11" s="2" t="s">
        <v>640</v>
      </c>
      <c r="H11" s="2" t="s">
        <v>1458</v>
      </c>
      <c r="I11" s="3" t="str">
        <f t="shared" si="0"/>
        <v>https://dto.kemkes.go.id/kfacode/93000485</v>
      </c>
      <c r="J11" s="34" t="s">
        <v>3768</v>
      </c>
      <c r="K11" t="str">
        <f t="shared" si="1"/>
        <v>insert into mkatalog_kfa93 (kode, uraian, kode_92, uraian_92, nama_dagang, satuan_kecil, sediaan, golongan, url, userid_updt, sysdate_updt) values ('93000485','Acarbose 100 mg Tablet (PRATAPA NIRMALA)','92000372','Acarbose 100 mg Tablet','ACARBOSE','Tablet','Tablet','Obat Keras','https://dto.kemkes.go.id/kfacode/93000485',0,'2023-05-01');</v>
      </c>
    </row>
    <row r="12" spans="1:11" ht="15.75" customHeight="1">
      <c r="A12" s="2">
        <v>93000548</v>
      </c>
      <c r="B12" s="2" t="s">
        <v>1474</v>
      </c>
      <c r="C12" s="2">
        <v>92000371</v>
      </c>
      <c r="D12" s="2" t="s">
        <v>642</v>
      </c>
      <c r="E12" s="2" t="s">
        <v>1460</v>
      </c>
      <c r="F12" s="2" t="s">
        <v>640</v>
      </c>
      <c r="G12" s="2" t="s">
        <v>640</v>
      </c>
      <c r="H12" s="2" t="s">
        <v>1458</v>
      </c>
      <c r="I12" s="3" t="str">
        <f t="shared" si="0"/>
        <v>https://dto.kemkes.go.id/kfacode/93000548</v>
      </c>
      <c r="J12" s="34" t="s">
        <v>3768</v>
      </c>
      <c r="K12" t="str">
        <f t="shared" si="1"/>
        <v>insert into mkatalog_kfa93 (kode, uraian, kode_92, uraian_92, nama_dagang, satuan_kecil, sediaan, golongan, url, userid_updt, sysdate_updt) values ('93000548','Acarbose 50 mg Tablet (ACRIOS)','92000371','Acarbose 50 mg Tablet','ACRIOS','Tablet','Tablet','Obat Keras','https://dto.kemkes.go.id/kfacode/93000548',0,'2023-05-01');</v>
      </c>
    </row>
    <row r="13" spans="1:11" ht="15.75" customHeight="1">
      <c r="A13" s="2">
        <v>93000546</v>
      </c>
      <c r="B13" s="2" t="s">
        <v>1475</v>
      </c>
      <c r="C13" s="2">
        <v>92000371</v>
      </c>
      <c r="D13" s="2" t="s">
        <v>642</v>
      </c>
      <c r="E13" s="2" t="s">
        <v>39</v>
      </c>
      <c r="F13" s="2" t="s">
        <v>640</v>
      </c>
      <c r="G13" s="2" t="s">
        <v>640</v>
      </c>
      <c r="H13" s="2" t="s">
        <v>1458</v>
      </c>
      <c r="I13" s="3" t="str">
        <f t="shared" si="0"/>
        <v>https://dto.kemkes.go.id/kfacode/93000546</v>
      </c>
      <c r="J13" s="34" t="s">
        <v>3768</v>
      </c>
      <c r="K13" t="str">
        <f t="shared" si="1"/>
        <v>insert into mkatalog_kfa93 (kode, uraian, kode_92, uraian_92, nama_dagang, satuan_kecil, sediaan, golongan, url, userid_updt, sysdate_updt) values ('93000546','Acarbose 50 mg Tablet (BETA PHARMACON)','92000371','Acarbose 50 mg Tablet','ACARBOSE','Tablet','Tablet','Obat Keras','https://dto.kemkes.go.id/kfacode/93000546',0,'2023-05-01');</v>
      </c>
    </row>
    <row r="14" spans="1:11" ht="15.75" customHeight="1">
      <c r="A14" s="2">
        <v>93000549</v>
      </c>
      <c r="B14" s="2" t="s">
        <v>1476</v>
      </c>
      <c r="C14" s="2">
        <v>92000371</v>
      </c>
      <c r="D14" s="2" t="s">
        <v>642</v>
      </c>
      <c r="E14" s="2" t="s">
        <v>1463</v>
      </c>
      <c r="F14" s="2" t="s">
        <v>640</v>
      </c>
      <c r="G14" s="2" t="s">
        <v>640</v>
      </c>
      <c r="H14" s="2" t="s">
        <v>1458</v>
      </c>
      <c r="I14" s="3" t="str">
        <f t="shared" si="0"/>
        <v>https://dto.kemkes.go.id/kfacode/93000549</v>
      </c>
      <c r="J14" s="34" t="s">
        <v>3768</v>
      </c>
      <c r="K14" t="str">
        <f t="shared" si="1"/>
        <v>insert into mkatalog_kfa93 (kode, uraian, kode_92, uraian_92, nama_dagang, satuan_kecil, sediaan, golongan, url, userid_updt, sysdate_updt) values ('93000549','Acarbose 50 mg Tablet (CAPRIBOSE)','92000371','Acarbose 50 mg Tablet','CAPRIBOSE','Tablet','Tablet','Obat Keras','https://dto.kemkes.go.id/kfacode/93000549',0,'2023-05-01');</v>
      </c>
    </row>
    <row r="15" spans="1:11" ht="15.75" customHeight="1">
      <c r="A15" s="2">
        <v>93000510</v>
      </c>
      <c r="B15" s="2" t="s">
        <v>1477</v>
      </c>
      <c r="C15" s="2">
        <v>92000371</v>
      </c>
      <c r="D15" s="2" t="s">
        <v>642</v>
      </c>
      <c r="E15" s="2" t="s">
        <v>39</v>
      </c>
      <c r="F15" s="2" t="s">
        <v>640</v>
      </c>
      <c r="G15" s="2" t="s">
        <v>640</v>
      </c>
      <c r="H15" s="2" t="s">
        <v>1458</v>
      </c>
      <c r="I15" s="3" t="str">
        <f t="shared" si="0"/>
        <v>https://dto.kemkes.go.id/kfacode/93000510</v>
      </c>
      <c r="J15" s="34" t="s">
        <v>3768</v>
      </c>
      <c r="K15" t="str">
        <f t="shared" si="1"/>
        <v>insert into mkatalog_kfa93 (kode, uraian, kode_92, uraian_92, nama_dagang, satuan_kecil, sediaan, golongan, url, userid_updt, sysdate_updt) values ('93000510','Acarbose 50 mg Tablet (DEXA MEDICA)','92000371','Acarbose 50 mg Tablet','ACARBOSE','Tablet','Tablet','Obat Keras','https://dto.kemkes.go.id/kfacode/93000510',0,'2023-05-01');</v>
      </c>
    </row>
    <row r="16" spans="1:11" ht="15.75" customHeight="1">
      <c r="A16" s="2">
        <v>93000543</v>
      </c>
      <c r="B16" s="2" t="s">
        <v>1478</v>
      </c>
      <c r="C16" s="2">
        <v>92000371</v>
      </c>
      <c r="D16" s="2" t="s">
        <v>642</v>
      </c>
      <c r="E16" s="2" t="s">
        <v>1479</v>
      </c>
      <c r="F16" s="2" t="s">
        <v>640</v>
      </c>
      <c r="G16" s="2" t="s">
        <v>640</v>
      </c>
      <c r="H16" s="2" t="s">
        <v>1458</v>
      </c>
      <c r="I16" s="3" t="str">
        <f t="shared" si="0"/>
        <v>https://dto.kemkes.go.id/kfacode/93000543</v>
      </c>
      <c r="J16" s="34" t="s">
        <v>3768</v>
      </c>
      <c r="K16" t="str">
        <f t="shared" si="1"/>
        <v>insert into mkatalog_kfa93 (kode, uraian, kode_92, uraian_92, nama_dagang, satuan_kecil, sediaan, golongan, url, userid_updt, sysdate_updt) values ('93000543','Acarbose 50 mg Tablet (DITRIUM 50)','92000371','Acarbose 50 mg Tablet','DITRIUM 50','Tablet','Tablet','Obat Keras','https://dto.kemkes.go.id/kfacode/93000543',0,'2023-05-01');</v>
      </c>
    </row>
    <row r="17" spans="1:11" ht="15.75" customHeight="1">
      <c r="A17" s="2">
        <v>93000545</v>
      </c>
      <c r="B17" s="2" t="s">
        <v>1480</v>
      </c>
      <c r="C17" s="2">
        <v>92000371</v>
      </c>
      <c r="D17" s="2" t="s">
        <v>642</v>
      </c>
      <c r="E17" s="2" t="s">
        <v>1468</v>
      </c>
      <c r="F17" s="2" t="s">
        <v>640</v>
      </c>
      <c r="G17" s="2" t="s">
        <v>640</v>
      </c>
      <c r="H17" s="2" t="s">
        <v>1458</v>
      </c>
      <c r="I17" s="3" t="str">
        <f t="shared" si="0"/>
        <v>https://dto.kemkes.go.id/kfacode/93000545</v>
      </c>
      <c r="J17" s="34" t="s">
        <v>3768</v>
      </c>
      <c r="K17" t="str">
        <f t="shared" si="1"/>
        <v>insert into mkatalog_kfa93 (kode, uraian, kode_92, uraian_92, nama_dagang, satuan_kecil, sediaan, golongan, url, userid_updt, sysdate_updt) values ('93000545','Acarbose 50 mg Tablet (ECLID)','92000371','Acarbose 50 mg Tablet','ECLID','Tablet','Tablet','Obat Keras','https://dto.kemkes.go.id/kfacode/93000545',0,'2023-05-01');</v>
      </c>
    </row>
    <row r="18" spans="1:11" ht="15.75" customHeight="1">
      <c r="A18" s="2">
        <v>93000547</v>
      </c>
      <c r="B18" s="2" t="s">
        <v>1481</v>
      </c>
      <c r="C18" s="2">
        <v>92000371</v>
      </c>
      <c r="D18" s="2" t="s">
        <v>642</v>
      </c>
      <c r="E18" s="2" t="s">
        <v>1470</v>
      </c>
      <c r="F18" s="2" t="s">
        <v>640</v>
      </c>
      <c r="G18" s="2" t="s">
        <v>640</v>
      </c>
      <c r="H18" s="2" t="s">
        <v>1458</v>
      </c>
      <c r="I18" s="3" t="str">
        <f t="shared" si="0"/>
        <v>https://dto.kemkes.go.id/kfacode/93000547</v>
      </c>
      <c r="J18" s="34" t="s">
        <v>3768</v>
      </c>
      <c r="K18" t="str">
        <f t="shared" si="1"/>
        <v>insert into mkatalog_kfa93 (kode, uraian, kode_92, uraian_92, nama_dagang, satuan_kecil, sediaan, golongan, url, userid_updt, sysdate_updt) values ('93000547','Acarbose 50 mg Tablet (GLUBOSE)','92000371','Acarbose 50 mg Tablet','GLUBOSE','Tablet','Tablet','Obat Keras','https://dto.kemkes.go.id/kfacode/93000547',0,'2023-05-01');</v>
      </c>
    </row>
    <row r="19" spans="1:11" ht="15.75" customHeight="1">
      <c r="A19" s="2">
        <v>93000544</v>
      </c>
      <c r="B19" s="2" t="s">
        <v>1482</v>
      </c>
      <c r="C19" s="2">
        <v>92000371</v>
      </c>
      <c r="D19" s="2" t="s">
        <v>642</v>
      </c>
      <c r="E19" s="2" t="s">
        <v>1483</v>
      </c>
      <c r="F19" s="2" t="s">
        <v>640</v>
      </c>
      <c r="G19" s="2" t="s">
        <v>640</v>
      </c>
      <c r="H19" s="2" t="s">
        <v>1458</v>
      </c>
      <c r="I19" s="3" t="str">
        <f t="shared" si="0"/>
        <v>https://dto.kemkes.go.id/kfacode/93000544</v>
      </c>
      <c r="J19" s="34" t="s">
        <v>3768</v>
      </c>
      <c r="K19" t="str">
        <f t="shared" si="1"/>
        <v>insert into mkatalog_kfa93 (kode, uraian, kode_92, uraian_92, nama_dagang, satuan_kecil, sediaan, golongan, url, userid_updt, sysdate_updt) values ('93000544','Acarbose 50 mg Tablet (GLUCOBAY 50)','92000371','Acarbose 50 mg Tablet','GLUCOBAY 50','Tablet','Tablet','Obat Keras','https://dto.kemkes.go.id/kfacode/93000544',0,'2023-05-01');</v>
      </c>
    </row>
    <row r="20" spans="1:11" ht="15.75" customHeight="1">
      <c r="A20" s="2">
        <v>93000542</v>
      </c>
      <c r="B20" s="2" t="s">
        <v>1484</v>
      </c>
      <c r="C20" s="2">
        <v>92000371</v>
      </c>
      <c r="D20" s="2" t="s">
        <v>642</v>
      </c>
      <c r="E20" s="2" t="s">
        <v>39</v>
      </c>
      <c r="F20" s="2" t="s">
        <v>640</v>
      </c>
      <c r="G20" s="2" t="s">
        <v>640</v>
      </c>
      <c r="H20" s="2" t="s">
        <v>1458</v>
      </c>
      <c r="I20" s="3" t="str">
        <f t="shared" si="0"/>
        <v>https://dto.kemkes.go.id/kfacode/93000542</v>
      </c>
      <c r="J20" s="34" t="s">
        <v>3768</v>
      </c>
      <c r="K20" t="str">
        <f t="shared" si="1"/>
        <v>insert into mkatalog_kfa93 (kode, uraian, kode_92, uraian_92, nama_dagang, satuan_kecil, sediaan, golongan, url, userid_updt, sysdate_updt) values ('93000542','Acarbose 50 mg Tablet (PRATAPA NIRMALA)','92000371','Acarbose 50 mg Tablet','ACARBOSE','Tablet','Tablet','Obat Keras','https://dto.kemkes.go.id/kfacode/93000542',0,'2023-05-01');</v>
      </c>
    </row>
    <row r="21" spans="1:11" ht="15.75" customHeight="1">
      <c r="A21" s="2">
        <v>93000392</v>
      </c>
      <c r="B21" s="2" t="s">
        <v>1485</v>
      </c>
      <c r="C21" s="2">
        <v>92000283</v>
      </c>
      <c r="D21" s="2" t="s">
        <v>643</v>
      </c>
      <c r="E21" s="2" t="s">
        <v>1486</v>
      </c>
      <c r="F21" s="2" t="s">
        <v>640</v>
      </c>
      <c r="G21" s="2" t="s">
        <v>640</v>
      </c>
      <c r="H21" s="2" t="s">
        <v>1458</v>
      </c>
      <c r="I21" s="3" t="str">
        <f t="shared" si="0"/>
        <v>https://dto.kemkes.go.id/kfacode/93000392</v>
      </c>
      <c r="J21" s="34" t="s">
        <v>3768</v>
      </c>
      <c r="K21" t="str">
        <f t="shared" si="1"/>
        <v>insert into mkatalog_kfa93 (kode, uraian, kode_92, uraian_92, nama_dagang, satuan_kecil, sediaan, golongan, url, userid_updt, sysdate_updt) values ('93000392','Acetazolamide 250 mg Tablet (GLAUSETA)','92000283','Acetazolamide 250 mg Tablet','GLAUSETA','Tablet','Tablet','Obat Keras','https://dto.kemkes.go.id/kfacode/93000392',0,'2023-05-01');</v>
      </c>
    </row>
    <row r="22" spans="1:11" ht="15.75" customHeight="1">
      <c r="A22" s="2">
        <v>93001520</v>
      </c>
      <c r="B22" s="2" t="s">
        <v>1487</v>
      </c>
      <c r="C22" s="2">
        <v>92000867</v>
      </c>
      <c r="D22" s="2" t="s">
        <v>644</v>
      </c>
      <c r="E22" s="2" t="s">
        <v>1488</v>
      </c>
      <c r="F22" s="2" t="s">
        <v>645</v>
      </c>
      <c r="G22" s="2" t="s">
        <v>1489</v>
      </c>
      <c r="H22" s="2" t="s">
        <v>1458</v>
      </c>
      <c r="I22" s="3" t="str">
        <f t="shared" si="0"/>
        <v>https://dto.kemkes.go.id/kfacode/93001520</v>
      </c>
      <c r="J22" s="34" t="s">
        <v>3768</v>
      </c>
      <c r="K22" t="str">
        <f t="shared" si="1"/>
        <v>insert into mkatalog_kfa93 (kode, uraian, kode_92, uraian_92, nama_dagang, satuan_kecil, sediaan, golongan, url, userid_updt, sysdate_updt) values ('93001520','Acetylcysteine 100 mg / mL Cairan Inhalasi (DEXA MEDICA)','92000867','Acetylcysteine 100 mg / mL Cairan Inhalasi','N-ACETYLCYSTEINE','Ampul','Larutan Inhalasi','Obat Keras','https://dto.kemkes.go.id/kfacode/93001520',0,'2023-05-01');</v>
      </c>
    </row>
    <row r="23" spans="1:11" ht="15.75" customHeight="1">
      <c r="A23" s="2">
        <v>93001521</v>
      </c>
      <c r="B23" s="2" t="s">
        <v>1490</v>
      </c>
      <c r="C23" s="2">
        <v>92000868</v>
      </c>
      <c r="D23" s="2" t="s">
        <v>646</v>
      </c>
      <c r="E23" s="2" t="s">
        <v>1491</v>
      </c>
      <c r="F23" s="2" t="s">
        <v>647</v>
      </c>
      <c r="G23" s="2" t="s">
        <v>1492</v>
      </c>
      <c r="H23" s="2" t="s">
        <v>1458</v>
      </c>
      <c r="I23" s="3" t="str">
        <f t="shared" si="0"/>
        <v>https://dto.kemkes.go.id/kfacode/93001521</v>
      </c>
      <c r="J23" s="34" t="s">
        <v>3768</v>
      </c>
      <c r="K23" t="str">
        <f t="shared" si="1"/>
        <v>insert into mkatalog_kfa93 (kode, uraian, kode_92, uraian_92, nama_dagang, satuan_kecil, sediaan, golongan, url, userid_updt, sysdate_updt) values ('93001521','Acetylcysteine 200 mg Granule (FLUIMUCIL)','92000868','Acetylcysteine 200 mg Granule','FLUIMUCIL','Sachet','Granula','Obat Keras','https://dto.kemkes.go.id/kfacode/93001521',0,'2023-05-01');</v>
      </c>
    </row>
    <row r="24" spans="1:11" ht="15.75" customHeight="1">
      <c r="A24" s="2">
        <v>93000858</v>
      </c>
      <c r="B24" s="2" t="s">
        <v>1493</v>
      </c>
      <c r="C24" s="2">
        <v>92000610</v>
      </c>
      <c r="D24" s="2" t="s">
        <v>648</v>
      </c>
      <c r="E24" s="2" t="s">
        <v>1494</v>
      </c>
      <c r="F24" s="2" t="s">
        <v>649</v>
      </c>
      <c r="G24" s="2" t="s">
        <v>649</v>
      </c>
      <c r="H24" s="2" t="s">
        <v>1458</v>
      </c>
      <c r="I24" s="3" t="str">
        <f t="shared" si="0"/>
        <v>https://dto.kemkes.go.id/kfacode/93000858</v>
      </c>
      <c r="J24" s="34" t="s">
        <v>3768</v>
      </c>
      <c r="K24" t="str">
        <f t="shared" si="1"/>
        <v>insert into mkatalog_kfa93 (kode, uraian, kode_92, uraian_92, nama_dagang, satuan_kecil, sediaan, golongan, url, userid_updt, sysdate_updt) values ('93000858','Acetylcysteine 200 mg Kapsul (INDOFARMA)','92000610','Acetylcysteine 200 mg Kapsul','ACETYLCYSTEINE','Kapsul','Kapsul','Obat Keras','https://dto.kemkes.go.id/kfacode/93000858',0,'2023-05-01');</v>
      </c>
    </row>
    <row r="25" spans="1:11" ht="15.75" customHeight="1">
      <c r="A25" s="2">
        <v>93001088</v>
      </c>
      <c r="B25" s="2" t="s">
        <v>1495</v>
      </c>
      <c r="C25" s="2">
        <v>92000472</v>
      </c>
      <c r="D25" s="2" t="s">
        <v>650</v>
      </c>
      <c r="E25" s="2" t="s">
        <v>1496</v>
      </c>
      <c r="F25" s="2" t="s">
        <v>640</v>
      </c>
      <c r="G25" s="2" t="s">
        <v>640</v>
      </c>
      <c r="H25" s="2" t="s">
        <v>1458</v>
      </c>
      <c r="I25" s="3" t="str">
        <f t="shared" si="0"/>
        <v>https://dto.kemkes.go.id/kfacode/93001088</v>
      </c>
      <c r="J25" s="34" t="s">
        <v>3768</v>
      </c>
      <c r="K25" t="str">
        <f t="shared" si="1"/>
        <v>insert into mkatalog_kfa93 (kode, uraian, kode_92, uraian_92, nama_dagang, satuan_kecil, sediaan, golongan, url, userid_updt, sysdate_updt) values ('93001088','Aciclovir 200 mg Tablet (KIMIA FARMA)','92000472','Aciclovir 200 mg Tablet','ACICLOVIR','Tablet','Tablet','Obat Keras','https://dto.kemkes.go.id/kfacode/93001088',0,'2023-05-01');</v>
      </c>
    </row>
    <row r="26" spans="1:11" ht="15.75" customHeight="1">
      <c r="A26" s="2">
        <v>93001087</v>
      </c>
      <c r="B26" s="2" t="s">
        <v>1497</v>
      </c>
      <c r="C26" s="2">
        <v>92000472</v>
      </c>
      <c r="D26" s="2" t="s">
        <v>650</v>
      </c>
      <c r="E26" s="2" t="s">
        <v>1496</v>
      </c>
      <c r="F26" s="2" t="s">
        <v>640</v>
      </c>
      <c r="G26" s="2" t="s">
        <v>640</v>
      </c>
      <c r="H26" s="2" t="s">
        <v>1458</v>
      </c>
      <c r="I26" s="3" t="str">
        <f t="shared" si="0"/>
        <v>https://dto.kemkes.go.id/kfacode/93001087</v>
      </c>
      <c r="J26" s="34" t="s">
        <v>3768</v>
      </c>
      <c r="K26" t="str">
        <f t="shared" si="1"/>
        <v>insert into mkatalog_kfa93 (kode, uraian, kode_92, uraian_92, nama_dagang, satuan_kecil, sediaan, golongan, url, userid_updt, sysdate_updt) values ('93001087','Aciclovir 200 mg Tablet (YARINDO FARMATAMA)','92000472','Aciclovir 200 mg Tablet','ACICLOVIR','Tablet','Tablet','Obat Keras','https://dto.kemkes.go.id/kfacode/93001087',0,'2023-05-01');</v>
      </c>
    </row>
    <row r="27" spans="1:11" ht="15.75" customHeight="1">
      <c r="A27" s="2">
        <v>93000157</v>
      </c>
      <c r="B27" s="2" t="s">
        <v>1498</v>
      </c>
      <c r="C27" s="2">
        <v>92000160</v>
      </c>
      <c r="D27" s="2" t="s">
        <v>652</v>
      </c>
      <c r="E27" s="2" t="s">
        <v>1499</v>
      </c>
      <c r="F27" s="2" t="s">
        <v>653</v>
      </c>
      <c r="G27" s="2" t="s">
        <v>1500</v>
      </c>
      <c r="H27" s="2" t="s">
        <v>1458</v>
      </c>
      <c r="I27" s="3" t="str">
        <f t="shared" si="0"/>
        <v>https://dto.kemkes.go.id/kfacode/93000157</v>
      </c>
      <c r="J27" s="34" t="s">
        <v>3768</v>
      </c>
      <c r="K27" t="str">
        <f t="shared" si="1"/>
        <v>insert into mkatalog_kfa93 (kode, uraian, kode_92, uraian_92, nama_dagang, satuan_kecil, sediaan, golongan, url, userid_updt, sysdate_updt) values ('93000157','Acidum Methylen Disphosponicum 10 mg / Stannous Chloride Dihydrate 0.238 mg / Acidum Ascorbicum 2 mg Serbuk Injeksi (BONESCAN KaeF)','92000160','Acidum Methylen Disphosponicum 10 mg / Stannous Chloride Dihydrate 0.238 mg / Acidum Ascorbicum 2 mg Serbuk Injeksi','BONESCAN KaeF','Vial','Serbuk Injeksi','Obat Keras','https://dto.kemkes.go.id/kfacode/93000157',0,'2023-05-01');</v>
      </c>
    </row>
    <row r="28" spans="1:11" ht="15.75" customHeight="1">
      <c r="A28" s="2">
        <v>93000917</v>
      </c>
      <c r="B28" s="2" t="s">
        <v>1501</v>
      </c>
      <c r="C28" s="2">
        <v>92000640</v>
      </c>
      <c r="D28" s="2" t="s">
        <v>654</v>
      </c>
      <c r="E28" s="2" t="s">
        <v>1502</v>
      </c>
      <c r="F28" s="2" t="s">
        <v>655</v>
      </c>
      <c r="G28" s="2" t="s">
        <v>1503</v>
      </c>
      <c r="H28" s="2" t="s">
        <v>1458</v>
      </c>
      <c r="I28" s="3" t="str">
        <f t="shared" si="0"/>
        <v>https://dto.kemkes.go.id/kfacode/93000917</v>
      </c>
      <c r="J28" s="34" t="s">
        <v>3768</v>
      </c>
      <c r="K28" t="str">
        <f t="shared" si="1"/>
        <v>insert into mkatalog_kfa93 (kode, uraian, kode_92, uraian_92, nama_dagang, satuan_kecil, sediaan, golongan, url, userid_updt, sysdate_updt) values ('93000917','Acyclovir 3% Salep Mata (LACYVIR)','92000640','Acyclovir 3% Salep Mata','LACYVIR','Tube','Salep Mata','Obat Keras','https://dto.kemkes.go.id/kfacode/93000917',0,'2023-05-01');</v>
      </c>
    </row>
    <row r="29" spans="1:11" ht="15.75" customHeight="1">
      <c r="A29" s="2">
        <v>93000288</v>
      </c>
      <c r="B29" s="2" t="s">
        <v>1504</v>
      </c>
      <c r="C29" s="2">
        <v>92000248</v>
      </c>
      <c r="D29" s="2" t="s">
        <v>656</v>
      </c>
      <c r="E29" s="2" t="s">
        <v>1505</v>
      </c>
      <c r="F29" s="2" t="s">
        <v>645</v>
      </c>
      <c r="G29" s="2" t="s">
        <v>1506</v>
      </c>
      <c r="H29" s="2" t="s">
        <v>1458</v>
      </c>
      <c r="I29" s="3" t="str">
        <f t="shared" si="0"/>
        <v>https://dto.kemkes.go.id/kfacode/93000288</v>
      </c>
      <c r="J29" s="34" t="s">
        <v>3768</v>
      </c>
      <c r="K29" t="str">
        <f t="shared" si="1"/>
        <v>insert into mkatalog_kfa93 (kode, uraian, kode_92, uraian_92, nama_dagang, satuan_kecil, sediaan, golongan, url, userid_updt, sysdate_updt) values ('93000288','Air Untuk Injeksi / Aqua Pro Injection / Water For Injection 10 ml (BERNOFARM)','92000248','Air Untuk Injeksi / Aqua Pro Injection / Water For Injection 10 ml','WATER FOR INJECTION','Ampul','Larutan Injeksi','Obat Keras','https://dto.kemkes.go.id/kfacode/93000288',0,'2023-05-01');</v>
      </c>
    </row>
    <row r="30" spans="1:11" ht="15.75" customHeight="1">
      <c r="A30" s="2">
        <v>93000914</v>
      </c>
      <c r="B30" s="2" t="s">
        <v>1507</v>
      </c>
      <c r="C30" s="2">
        <v>92000637</v>
      </c>
      <c r="D30" s="2" t="s">
        <v>657</v>
      </c>
      <c r="E30" s="2" t="s">
        <v>1508</v>
      </c>
      <c r="F30" s="2" t="s">
        <v>658</v>
      </c>
      <c r="G30" s="2" t="s">
        <v>1509</v>
      </c>
      <c r="H30" s="2" t="s">
        <v>1458</v>
      </c>
      <c r="I30" s="3" t="str">
        <f t="shared" si="0"/>
        <v>https://dto.kemkes.go.id/kfacode/93000914</v>
      </c>
      <c r="J30" s="34" t="s">
        <v>3768</v>
      </c>
      <c r="K30" t="str">
        <f t="shared" si="1"/>
        <v>insert into mkatalog_kfa93 (kode, uraian, kode_92, uraian_92, nama_dagang, satuan_kecil, sediaan, golongan, url, userid_updt, sysdate_updt) values ('93000914','Albendazole 200 mg / 5 mL Suspensi (INDOFARMA, 10 mL)','92000637','Albendazole 200 mg / 5 mL Suspensi','ALBENDAZOLE','Botol','Suspensi','Obat Keras','https://dto.kemkes.go.id/kfacode/93000914',0,'2023-05-01');</v>
      </c>
    </row>
    <row r="31" spans="1:11" ht="15.75" customHeight="1">
      <c r="A31" s="2">
        <v>93000143</v>
      </c>
      <c r="B31" s="2" t="s">
        <v>1510</v>
      </c>
      <c r="C31" s="2">
        <v>92000146</v>
      </c>
      <c r="D31" s="2" t="s">
        <v>659</v>
      </c>
      <c r="E31" s="2" t="s">
        <v>1508</v>
      </c>
      <c r="F31" s="2" t="s">
        <v>660</v>
      </c>
      <c r="G31" s="2" t="s">
        <v>1511</v>
      </c>
      <c r="H31" s="2" t="s">
        <v>1458</v>
      </c>
      <c r="I31" s="3" t="str">
        <f t="shared" si="0"/>
        <v>https://dto.kemkes.go.id/kfacode/93000143</v>
      </c>
      <c r="J31" s="34" t="s">
        <v>3768</v>
      </c>
      <c r="K31" t="str">
        <f t="shared" si="1"/>
        <v>insert into mkatalog_kfa93 (kode, uraian, kode_92, uraian_92, nama_dagang, satuan_kecil, sediaan, golongan, url, userid_updt, sysdate_updt) values ('93000143','Albendazole 400 mg Kaplet Kunyah (HOLI PHARMA)','92000146','Albendazole 400 mg Kaplet Kunyah','ALBENDAZOLE','Kaplet','Kaplet Kunyah','Obat Keras','https://dto.kemkes.go.id/kfacode/93000143',0,'2023-05-01');</v>
      </c>
    </row>
    <row r="32" spans="1:11" ht="15.75" customHeight="1">
      <c r="A32" s="2">
        <v>93001059</v>
      </c>
      <c r="B32" s="2" t="s">
        <v>1512</v>
      </c>
      <c r="C32" s="2">
        <v>92000281</v>
      </c>
      <c r="D32" s="2" t="s">
        <v>661</v>
      </c>
      <c r="E32" s="2" t="s">
        <v>1513</v>
      </c>
      <c r="F32" s="2" t="s">
        <v>640</v>
      </c>
      <c r="G32" s="2" t="s">
        <v>640</v>
      </c>
      <c r="H32" s="2" t="s">
        <v>1458</v>
      </c>
      <c r="I32" s="3" t="str">
        <f t="shared" si="0"/>
        <v>https://dto.kemkes.go.id/kfacode/93001059</v>
      </c>
      <c r="J32" s="34" t="s">
        <v>3768</v>
      </c>
      <c r="K32" t="str">
        <f t="shared" si="1"/>
        <v>insert into mkatalog_kfa93 (kode, uraian, kode_92, uraian_92, nama_dagang, satuan_kecil, sediaan, golongan, url, userid_updt, sysdate_updt) values ('93001059','Allopurinol 100 mg Tablet (HEXPHARM JAYA LABORATORIES)','92000281','Allopurinol 100 mg Tablet','ALLOPURINOL','Tablet','Tablet','Obat Keras','https://dto.kemkes.go.id/kfacode/93001059',0,'2023-05-01');</v>
      </c>
    </row>
    <row r="33" spans="1:11" ht="15.75" customHeight="1">
      <c r="A33" s="2">
        <v>93001111</v>
      </c>
      <c r="B33" s="2" t="s">
        <v>1514</v>
      </c>
      <c r="C33" s="2">
        <v>92000124</v>
      </c>
      <c r="D33" s="2" t="s">
        <v>663</v>
      </c>
      <c r="E33" s="2" t="s">
        <v>1513</v>
      </c>
      <c r="F33" s="2" t="s">
        <v>640</v>
      </c>
      <c r="G33" s="2" t="s">
        <v>640</v>
      </c>
      <c r="H33" s="2" t="s">
        <v>1458</v>
      </c>
      <c r="I33" s="3" t="str">
        <f t="shared" si="0"/>
        <v>https://dto.kemkes.go.id/kfacode/93001111</v>
      </c>
      <c r="J33" s="34" t="s">
        <v>3768</v>
      </c>
      <c r="K33" t="str">
        <f t="shared" si="1"/>
        <v>insert into mkatalog_kfa93 (kode, uraian, kode_92, uraian_92, nama_dagang, satuan_kecil, sediaan, golongan, url, userid_updt, sysdate_updt) values ('93001111','Allopurinol 300 mg Tablet (HEXPHARM JAYA LABORATORIES)','92000124','Allopurinol 300 mg Tablet','ALLOPURINOL','Tablet','Tablet','Obat Keras','https://dto.kemkes.go.id/kfacode/93001111',0,'2023-05-01');</v>
      </c>
    </row>
    <row r="34" spans="1:11" ht="15.75" customHeight="1">
      <c r="A34" s="2">
        <v>93000514</v>
      </c>
      <c r="B34" s="2" t="s">
        <v>1515</v>
      </c>
      <c r="C34" s="2">
        <v>92000434</v>
      </c>
      <c r="D34" s="2" t="s">
        <v>664</v>
      </c>
      <c r="E34" s="2" t="s">
        <v>1516</v>
      </c>
      <c r="F34" s="2" t="s">
        <v>640</v>
      </c>
      <c r="G34" s="2" t="s">
        <v>640</v>
      </c>
      <c r="H34" s="2" t="s">
        <v>1517</v>
      </c>
      <c r="I34" s="3" t="str">
        <f t="shared" si="0"/>
        <v>https://dto.kemkes.go.id/kfacode/93000514</v>
      </c>
      <c r="J34" s="34" t="s">
        <v>3768</v>
      </c>
      <c r="K34" t="str">
        <f t="shared" si="1"/>
        <v>insert into mkatalog_kfa93 (kode, uraian, kode_92, uraian_92, nama_dagang, satuan_kecil, sediaan, golongan, url, userid_updt, sysdate_updt) values ('93000514','Alprazolam 0,5 mg Tablet (MERSIFARMA TIRMAKU MERCUSANA)','92000434','Alprazolam 0,5 mg Tablet','ALPRAZOLAM 0.5','Tablet','Tablet','Obat Psikotropika','https://dto.kemkes.go.id/kfacode/93000514',0,'2023-05-01');</v>
      </c>
    </row>
    <row r="35" spans="1:11" ht="15.75" customHeight="1">
      <c r="A35" s="2">
        <v>93001225</v>
      </c>
      <c r="B35" s="2" t="s">
        <v>1518</v>
      </c>
      <c r="C35" s="2">
        <v>92000697</v>
      </c>
      <c r="D35" s="2" t="s">
        <v>665</v>
      </c>
      <c r="E35" s="2" t="s">
        <v>1519</v>
      </c>
      <c r="F35" s="2" t="s">
        <v>640</v>
      </c>
      <c r="G35" s="2" t="s">
        <v>640</v>
      </c>
      <c r="H35" s="2" t="s">
        <v>1517</v>
      </c>
      <c r="I35" s="3" t="str">
        <f t="shared" si="0"/>
        <v>https://dto.kemkes.go.id/kfacode/93001225</v>
      </c>
      <c r="J35" s="34" t="s">
        <v>3768</v>
      </c>
      <c r="K35" t="str">
        <f t="shared" si="1"/>
        <v>insert into mkatalog_kfa93 (kode, uraian, kode_92, uraian_92, nama_dagang, satuan_kecil, sediaan, golongan, url, userid_updt, sysdate_updt) values ('93001225','Alprazolam 1 mg Tablet (MERSIFARMA TIRMAKU MERCUSANA)','92000697','Alprazolam 1 mg Tablet','ALPRAZOLAM','Tablet','Tablet','Obat Psikotropika','https://dto.kemkes.go.id/kfacode/93001225',0,'2023-05-01');</v>
      </c>
    </row>
    <row r="36" spans="1:11" ht="15.75" customHeight="1">
      <c r="A36" s="2">
        <v>93001229</v>
      </c>
      <c r="B36" s="2" t="s">
        <v>1520</v>
      </c>
      <c r="C36" s="2">
        <v>92000703</v>
      </c>
      <c r="D36" s="2" t="s">
        <v>666</v>
      </c>
      <c r="E36" s="2" t="s">
        <v>1521</v>
      </c>
      <c r="F36" s="2" t="s">
        <v>653</v>
      </c>
      <c r="G36" s="2" t="s">
        <v>1500</v>
      </c>
      <c r="H36" s="2" t="s">
        <v>1458</v>
      </c>
      <c r="I36" s="3" t="str">
        <f t="shared" si="0"/>
        <v>https://dto.kemkes.go.id/kfacode/93001229</v>
      </c>
      <c r="J36" s="34" t="s">
        <v>3768</v>
      </c>
      <c r="K36" t="str">
        <f t="shared" si="1"/>
        <v>insert into mkatalog_kfa93 (kode, uraian, kode_92, uraian_92, nama_dagang, satuan_kecil, sediaan, golongan, url, userid_updt, sysdate_updt) values ('93001229','Alteplase 50 mg Serbuk Injeksi (ACTILYSE)','92000703','Alteplase 50 mg Serbuk Injeksi','ACTILYSE','Vial','Serbuk Injeksi','Obat Keras','https://dto.kemkes.go.id/kfacode/93001229',0,'2023-05-01');</v>
      </c>
    </row>
    <row r="37" spans="1:11" ht="15.75" customHeight="1">
      <c r="A37" s="2">
        <v>93001123</v>
      </c>
      <c r="B37" s="2" t="s">
        <v>1522</v>
      </c>
      <c r="C37" s="2">
        <v>92000798</v>
      </c>
      <c r="D37" s="2" t="s">
        <v>667</v>
      </c>
      <c r="E37" s="2" t="s">
        <v>1523</v>
      </c>
      <c r="F37" s="2" t="s">
        <v>668</v>
      </c>
      <c r="G37" s="2" t="s">
        <v>1524</v>
      </c>
      <c r="H37" s="2" t="s">
        <v>1525</v>
      </c>
      <c r="I37" s="3" t="str">
        <f t="shared" si="0"/>
        <v>https://dto.kemkes.go.id/kfacode/93001123</v>
      </c>
      <c r="J37" s="34" t="s">
        <v>3768</v>
      </c>
      <c r="K37" t="str">
        <f t="shared" si="1"/>
        <v>insert into mkatalog_kfa93 (kode, uraian, kode_92, uraian_92, nama_dagang, satuan_kecil, sediaan, golongan, url, userid_updt, sysdate_updt) values ('93001123','Aluminium Hydroxide 200 mg / Magnesium Hydroxide 200 mg Tablet Kunyah (MERSIFARMA TIRMAKU MERCUSANA)','92000798','Aluminium Hydroxide 200 mg / Magnesium Hydroxide 200 mg Tablet Kunyah','ANTASIDA DOEN','Units','Tablet Kunyah','Obat Bebas','https://dto.kemkes.go.id/kfacode/93001123',0,'2023-05-01');</v>
      </c>
    </row>
    <row r="38" spans="1:11" ht="15.75" customHeight="1">
      <c r="A38" s="2">
        <v>93000761</v>
      </c>
      <c r="B38" s="2" t="s">
        <v>1526</v>
      </c>
      <c r="C38" s="2">
        <v>92000423</v>
      </c>
      <c r="D38" s="2" t="s">
        <v>669</v>
      </c>
      <c r="E38" s="2" t="s">
        <v>1527</v>
      </c>
      <c r="F38" s="2" t="s">
        <v>653</v>
      </c>
      <c r="G38" s="2" t="s">
        <v>1506</v>
      </c>
      <c r="H38" s="2" t="s">
        <v>1458</v>
      </c>
      <c r="I38" s="3" t="str">
        <f t="shared" si="0"/>
        <v>https://dto.kemkes.go.id/kfacode/93000761</v>
      </c>
      <c r="J38" s="34" t="s">
        <v>3768</v>
      </c>
      <c r="K38" t="str">
        <f t="shared" si="1"/>
        <v>insert into mkatalog_kfa93 (kode, uraian, kode_92, uraian_92, nama_dagang, satuan_kecil, sediaan, golongan, url, userid_updt, sysdate_updt) values ('93000761','Amikacin 250 mg/ml Injeksi (DEXA MEDICA)','92000423','Amikacin 250 mg/ml Injeksi','AMIKACIN SULFATE','Vial','Larutan Injeksi','Obat Keras','https://dto.kemkes.go.id/kfacode/93000761',0,'2023-05-01');</v>
      </c>
    </row>
    <row r="39" spans="1:11" ht="15.75" customHeight="1">
      <c r="A39" s="2">
        <v>93000280</v>
      </c>
      <c r="B39" s="2" t="s">
        <v>1528</v>
      </c>
      <c r="C39" s="2">
        <v>92000179</v>
      </c>
      <c r="D39" s="2" t="s">
        <v>670</v>
      </c>
      <c r="E39" s="2" t="s">
        <v>1529</v>
      </c>
      <c r="F39" s="2" t="s">
        <v>671</v>
      </c>
      <c r="G39" s="2" t="s">
        <v>1530</v>
      </c>
      <c r="H39" s="2" t="s">
        <v>1458</v>
      </c>
      <c r="I39" s="3" t="str">
        <f t="shared" si="0"/>
        <v>https://dto.kemkes.go.id/kfacode/93000280</v>
      </c>
      <c r="J39" s="34" t="s">
        <v>3768</v>
      </c>
      <c r="K39" t="str">
        <f t="shared" si="1"/>
        <v>insert into mkatalog_kfa93 (kode, uraian, kode_92, uraian_92, nama_dagang, satuan_kecil, sediaan, golongan, url, userid_updt, sysdate_updt) values ('93000280','Amino acid Solution with Electrolyte 250mL / Glucose 149 mL / Lipid Emulsion 94 mL Larutan Infus (SMOFKABIVEN)','92000179','Amino acid Solution with Electrolyte 250mL / Glucose 149 mL / Lipid Emulsion 94 mL Larutan Infus','SMOFKABIVEN','Kantong','Infus','Obat Keras','https://dto.kemkes.go.id/kfacode/93000280',0,'2023-05-01');</v>
      </c>
    </row>
    <row r="40" spans="1:11" ht="15.75" customHeight="1">
      <c r="A40" s="2">
        <v>93000380</v>
      </c>
      <c r="B40" s="2" t="s">
        <v>1531</v>
      </c>
      <c r="C40" s="2">
        <v>92000278</v>
      </c>
      <c r="D40" s="2" t="s">
        <v>672</v>
      </c>
      <c r="E40" s="2" t="s">
        <v>1532</v>
      </c>
      <c r="F40" s="2" t="s">
        <v>673</v>
      </c>
      <c r="G40" s="2" t="s">
        <v>1530</v>
      </c>
      <c r="H40" s="2" t="s">
        <v>1458</v>
      </c>
      <c r="I40" s="3" t="str">
        <f t="shared" si="0"/>
        <v>https://dto.kemkes.go.id/kfacode/93000380</v>
      </c>
      <c r="J40" s="34" t="s">
        <v>3768</v>
      </c>
      <c r="K40" t="str">
        <f t="shared" si="1"/>
        <v>insert into mkatalog_kfa93 (kode, uraian, kode_92, uraian_92, nama_dagang, satuan_kecil, sediaan, golongan, url, userid_updt, sysdate_updt) values ('93000380','AminoAcids 5.1% / Lipids 3.8%, Glucose 12.7% Infus (SMOFKABIVEN ELECTROLYTE FREE, 493 mL)','92000278','AminoAcids 5.1% / Lipids 3.8%, Glucose 12.7% Infus','SMOFKABIVEN ELECTROLYTE FREE','Flexy Bag','Infus','Obat Keras','https://dto.kemkes.go.id/kfacode/93000380',0,'2023-05-01');</v>
      </c>
    </row>
    <row r="41" spans="1:11" ht="15.75" customHeight="1">
      <c r="A41" s="2">
        <v>93000381</v>
      </c>
      <c r="B41" s="2" t="s">
        <v>1533</v>
      </c>
      <c r="C41" s="2">
        <v>92000251</v>
      </c>
      <c r="D41" s="2" t="s">
        <v>674</v>
      </c>
      <c r="E41" s="2" t="s">
        <v>1534</v>
      </c>
      <c r="F41" s="2" t="s">
        <v>671</v>
      </c>
      <c r="G41" s="2" t="s">
        <v>1530</v>
      </c>
      <c r="H41" s="2" t="s">
        <v>1458</v>
      </c>
      <c r="I41" s="3" t="str">
        <f t="shared" si="0"/>
        <v>https://dto.kemkes.go.id/kfacode/93000381</v>
      </c>
      <c r="J41" s="34" t="s">
        <v>3768</v>
      </c>
      <c r="K41" t="str">
        <f t="shared" si="1"/>
        <v>insert into mkatalog_kfa93 (kode, uraian, kode_92, uraian_92, nama_dagang, satuan_kecil, sediaan, golongan, url, userid_updt, sysdate_updt) values ('93000381','Aminofusin PAED Infus (AMINOFUSIN PAED, 250 mL)','92000251','Aminofusin PAED Infus','AMINOFUSIN PAED','Kantong','Infus','Obat Keras','https://dto.kemkes.go.id/kfacode/93000381',0,'2023-05-01');</v>
      </c>
    </row>
    <row r="42" spans="1:11" ht="15.75" customHeight="1">
      <c r="A42" s="2">
        <v>93001094</v>
      </c>
      <c r="B42" s="2" t="s">
        <v>1535</v>
      </c>
      <c r="C42" s="2">
        <v>92000500</v>
      </c>
      <c r="D42" s="2" t="s">
        <v>675</v>
      </c>
      <c r="E42" s="2" t="s">
        <v>1536</v>
      </c>
      <c r="F42" s="2" t="s">
        <v>640</v>
      </c>
      <c r="G42" s="2" t="s">
        <v>640</v>
      </c>
      <c r="H42" s="2" t="s">
        <v>1458</v>
      </c>
      <c r="I42" s="3" t="str">
        <f t="shared" si="0"/>
        <v>https://dto.kemkes.go.id/kfacode/93001094</v>
      </c>
      <c r="J42" s="34" t="s">
        <v>3768</v>
      </c>
      <c r="K42" t="str">
        <f t="shared" si="1"/>
        <v>insert into mkatalog_kfa93 (kode, uraian, kode_92, uraian_92, nama_dagang, satuan_kecil, sediaan, golongan, url, userid_updt, sysdate_updt) values ('93001094','Aminophylline 200 mg Tablet (MARIN LIZA FARMASI)','92000500','Aminophylline 200 mg Tablet','AMINOPHYLLINE','Tablet','Tablet','Obat Keras','https://dto.kemkes.go.id/kfacode/93001094',0,'2023-05-01');</v>
      </c>
    </row>
    <row r="43" spans="1:11" ht="15.75" customHeight="1">
      <c r="A43" s="2">
        <v>93001480</v>
      </c>
      <c r="B43" s="2" t="s">
        <v>1537</v>
      </c>
      <c r="C43" s="2">
        <v>92000857</v>
      </c>
      <c r="D43" s="2" t="s">
        <v>676</v>
      </c>
      <c r="E43" s="2" t="s">
        <v>1536</v>
      </c>
      <c r="F43" s="2" t="s">
        <v>645</v>
      </c>
      <c r="G43" s="2" t="s">
        <v>1506</v>
      </c>
      <c r="H43" s="2" t="s">
        <v>1458</v>
      </c>
      <c r="I43" s="3" t="str">
        <f t="shared" si="0"/>
        <v>https://dto.kemkes.go.id/kfacode/93001480</v>
      </c>
      <c r="J43" s="34" t="s">
        <v>3768</v>
      </c>
      <c r="K43" t="str">
        <f t="shared" si="1"/>
        <v>insert into mkatalog_kfa93 (kode, uraian, kode_92, uraian_92, nama_dagang, satuan_kecil, sediaan, golongan, url, userid_updt, sysdate_updt) values ('93001480','Aminophylline 24 mg / mL Injeksi (PHAPROS Tbk)','92000857','Aminophylline 24 mg / mL Injeksi','AMINOPHYLLINE','Ampul','Larutan Injeksi','Obat Keras','https://dto.kemkes.go.id/kfacode/93001480',0,'2023-05-01');</v>
      </c>
    </row>
    <row r="44" spans="1:11" ht="15.75" customHeight="1">
      <c r="A44" s="2">
        <v>93001140</v>
      </c>
      <c r="B44" s="2" t="s">
        <v>1538</v>
      </c>
      <c r="C44" s="2">
        <v>92000740</v>
      </c>
      <c r="D44" s="2" t="s">
        <v>677</v>
      </c>
      <c r="E44" s="2" t="s">
        <v>1539</v>
      </c>
      <c r="F44" s="2" t="s">
        <v>645</v>
      </c>
      <c r="G44" s="2" t="s">
        <v>1506</v>
      </c>
      <c r="H44" s="2" t="s">
        <v>1458</v>
      </c>
      <c r="I44" s="3" t="str">
        <f t="shared" si="0"/>
        <v>https://dto.kemkes.go.id/kfacode/93001140</v>
      </c>
      <c r="J44" s="34" t="s">
        <v>3768</v>
      </c>
      <c r="K44" t="str">
        <f t="shared" si="1"/>
        <v>insert into mkatalog_kfa93 (kode, uraian, kode_92, uraian_92, nama_dagang, satuan_kecil, sediaan, golongan, url, userid_updt, sysdate_updt) values ('93001140','Amiodarone 50 mg / mL Injeksi (DARYA-VARIA LABORATORIA TBK)','92000740','Amiodarone 50 mg / mL Injeksi','AMIODARONE HCL','Ampul','Larutan Injeksi','Obat Keras','https://dto.kemkes.go.id/kfacode/93001140',0,'2023-05-01');</v>
      </c>
    </row>
    <row r="45" spans="1:11" ht="15.75" customHeight="1">
      <c r="A45" s="2">
        <v>93001398</v>
      </c>
      <c r="B45" s="2" t="s">
        <v>1540</v>
      </c>
      <c r="C45" s="2">
        <v>92000740</v>
      </c>
      <c r="D45" s="2" t="s">
        <v>677</v>
      </c>
      <c r="E45" s="2" t="s">
        <v>1541</v>
      </c>
      <c r="F45" s="2" t="s">
        <v>645</v>
      </c>
      <c r="G45" s="2" t="s">
        <v>1506</v>
      </c>
      <c r="H45" s="2" t="s">
        <v>1458</v>
      </c>
      <c r="I45" s="3" t="str">
        <f t="shared" si="0"/>
        <v>https://dto.kemkes.go.id/kfacode/93001398</v>
      </c>
      <c r="J45" s="34" t="s">
        <v>3768</v>
      </c>
      <c r="K45" t="str">
        <f t="shared" si="1"/>
        <v>insert into mkatalog_kfa93 (kode, uraian, kode_92, uraian_92, nama_dagang, satuan_kecil, sediaan, golongan, url, userid_updt, sysdate_updt) values ('93001398','Amiodarone 50 mg / mL Injeksi (ETHICA)','92000740','Amiodarone 50 mg / mL Injeksi','AMIODARONE HYDROCHLORIDE','Ampul','Larutan Injeksi','Obat Keras','https://dto.kemkes.go.id/kfacode/93001398',0,'2023-05-01');</v>
      </c>
    </row>
    <row r="46" spans="1:11" ht="15.75" customHeight="1">
      <c r="A46" s="2">
        <v>93000234</v>
      </c>
      <c r="B46" s="2" t="s">
        <v>1542</v>
      </c>
      <c r="C46" s="2">
        <v>92000233</v>
      </c>
      <c r="D46" s="2" t="s">
        <v>678</v>
      </c>
      <c r="E46" s="2" t="s">
        <v>1543</v>
      </c>
      <c r="F46" s="2" t="s">
        <v>640</v>
      </c>
      <c r="G46" s="2" t="s">
        <v>1457</v>
      </c>
      <c r="H46" s="2" t="s">
        <v>1458</v>
      </c>
      <c r="I46" s="3" t="str">
        <f t="shared" si="0"/>
        <v>https://dto.kemkes.go.id/kfacode/93000234</v>
      </c>
      <c r="J46" s="34" t="s">
        <v>3768</v>
      </c>
      <c r="K46" t="str">
        <f t="shared" si="1"/>
        <v>insert into mkatalog_kfa93 (kode, uraian, kode_92, uraian_92, nama_dagang, satuan_kecil, sediaan, golongan, url, userid_updt, sysdate_updt) values ('93000234','Amitriptyline Hydrochloride 25 mg Tablet Salut Selaput (INDOFARMA)','92000233','Amitriptyline Hydrochloride 25 mg Tablet Salut Selaput','AMITRIPTYLINE HCL','Tablet','Tablet Salut Selaput','Obat Keras','https://dto.kemkes.go.id/kfacode/93000234',0,'2023-05-01');</v>
      </c>
    </row>
    <row r="47" spans="1:11" ht="15.75" customHeight="1">
      <c r="A47" s="2">
        <v>93000233</v>
      </c>
      <c r="B47" s="2" t="s">
        <v>1544</v>
      </c>
      <c r="C47" s="2">
        <v>92000233</v>
      </c>
      <c r="D47" s="2" t="s">
        <v>678</v>
      </c>
      <c r="E47" s="2" t="s">
        <v>1545</v>
      </c>
      <c r="F47" s="2" t="s">
        <v>640</v>
      </c>
      <c r="G47" s="2" t="s">
        <v>1457</v>
      </c>
      <c r="H47" s="2" t="s">
        <v>1458</v>
      </c>
      <c r="I47" s="3" t="str">
        <f t="shared" si="0"/>
        <v>https://dto.kemkes.go.id/kfacode/93000233</v>
      </c>
      <c r="J47" s="34" t="s">
        <v>3768</v>
      </c>
      <c r="K47" t="str">
        <f t="shared" si="1"/>
        <v>insert into mkatalog_kfa93 (kode, uraian, kode_92, uraian_92, nama_dagang, satuan_kecil, sediaan, golongan, url, userid_updt, sysdate_updt) values ('93000233','Amitriptyline Hydrochloride 25 mg Tablet Salut Selaput (YARINDO FARMATAMA)','92000233','Amitriptyline Hydrochloride 25 mg Tablet Salut Selaput','AMITRIPTYLINE HYDROCHLORIDE','Tablet','Tablet Salut Selaput','Obat Keras','https://dto.kemkes.go.id/kfacode/93000233',0,'2023-05-01');</v>
      </c>
    </row>
    <row r="48" spans="1:11" ht="15.75" customHeight="1">
      <c r="A48" s="2">
        <v>93000483</v>
      </c>
      <c r="B48" s="2" t="s">
        <v>1546</v>
      </c>
      <c r="C48" s="2">
        <v>92000407</v>
      </c>
      <c r="D48" s="2" t="s">
        <v>679</v>
      </c>
      <c r="E48" s="2" t="s">
        <v>1547</v>
      </c>
      <c r="F48" s="2" t="s">
        <v>660</v>
      </c>
      <c r="G48" s="2" t="s">
        <v>660</v>
      </c>
      <c r="H48" s="2" t="s">
        <v>1458</v>
      </c>
      <c r="I48" s="3" t="str">
        <f t="shared" si="0"/>
        <v>https://dto.kemkes.go.id/kfacode/93000483</v>
      </c>
      <c r="J48" s="34" t="s">
        <v>3768</v>
      </c>
      <c r="K48" t="str">
        <f t="shared" si="1"/>
        <v>insert into mkatalog_kfa93 (kode, uraian, kode_92, uraian_92, nama_dagang, satuan_kecil, sediaan, golongan, url, userid_updt, sysdate_updt) values ('93000483','Amlodipine Besilate 10 mg Kaplet (SAMPHARINDO PERDANA)','92000407','Amlodipine Besilate 10 mg Kaplet','AMLODIPINE BESILATE','Kaplet','Kaplet','Obat Keras','https://dto.kemkes.go.id/kfacode/93000483',0,'2023-05-01');</v>
      </c>
    </row>
    <row r="49" spans="1:11" ht="15.75" customHeight="1">
      <c r="A49" s="2">
        <v>93001357</v>
      </c>
      <c r="B49" s="2" t="s">
        <v>1548</v>
      </c>
      <c r="C49" s="2">
        <v>92000454</v>
      </c>
      <c r="D49" s="2" t="s">
        <v>680</v>
      </c>
      <c r="E49" s="2" t="s">
        <v>1547</v>
      </c>
      <c r="F49" s="2" t="s">
        <v>640</v>
      </c>
      <c r="G49" s="2" t="s">
        <v>640</v>
      </c>
      <c r="H49" s="2" t="s">
        <v>1458</v>
      </c>
      <c r="I49" s="3" t="str">
        <f t="shared" si="0"/>
        <v>https://dto.kemkes.go.id/kfacode/93001357</v>
      </c>
      <c r="J49" s="34" t="s">
        <v>3768</v>
      </c>
      <c r="K49" t="str">
        <f t="shared" si="1"/>
        <v>insert into mkatalog_kfa93 (kode, uraian, kode_92, uraian_92, nama_dagang, satuan_kecil, sediaan, golongan, url, userid_updt, sysdate_updt) values ('93001357','Amlodipine Besilate 5 mg Tablet (KIMIA FARMA)','92000454','Amlodipine Besilate 5 mg Tablet','AMLODIPINE BESILATE','Tablet','Tablet','Obat Keras','https://dto.kemkes.go.id/kfacode/93001357',0,'2023-05-01');</v>
      </c>
    </row>
    <row r="50" spans="1:11" ht="15.75" customHeight="1">
      <c r="A50" s="2">
        <v>93000896</v>
      </c>
      <c r="B50" s="2" t="s">
        <v>1549</v>
      </c>
      <c r="C50" s="2">
        <v>92000454</v>
      </c>
      <c r="D50" s="2" t="s">
        <v>680</v>
      </c>
      <c r="E50" s="2" t="s">
        <v>1547</v>
      </c>
      <c r="F50" s="2" t="s">
        <v>640</v>
      </c>
      <c r="G50" s="2" t="s">
        <v>640</v>
      </c>
      <c r="H50" s="2" t="s">
        <v>1458</v>
      </c>
      <c r="I50" s="3" t="str">
        <f t="shared" si="0"/>
        <v>https://dto.kemkes.go.id/kfacode/93000896</v>
      </c>
      <c r="J50" s="34" t="s">
        <v>3768</v>
      </c>
      <c r="K50" t="str">
        <f t="shared" si="1"/>
        <v>insert into mkatalog_kfa93 (kode, uraian, kode_92, uraian_92, nama_dagang, satuan_kecil, sediaan, golongan, url, userid_updt, sysdate_updt) values ('93000896','Amlodipine Besilate 5 mg Tablet (MERSIFARMA TIRMAKU MERCUSANA)','92000454','Amlodipine Besilate 5 mg Tablet','AMLODIPINE BESILATE','Tablet','Tablet','Obat Keras','https://dto.kemkes.go.id/kfacode/93000896',0,'2023-05-01');</v>
      </c>
    </row>
    <row r="51" spans="1:11" ht="15.75" customHeight="1">
      <c r="A51" s="2">
        <v>93000702</v>
      </c>
      <c r="B51" s="2" t="s">
        <v>1550</v>
      </c>
      <c r="C51" s="2">
        <v>92000454</v>
      </c>
      <c r="D51" s="2" t="s">
        <v>680</v>
      </c>
      <c r="E51" s="2" t="s">
        <v>1547</v>
      </c>
      <c r="F51" s="2" t="s">
        <v>640</v>
      </c>
      <c r="G51" s="2" t="s">
        <v>640</v>
      </c>
      <c r="H51" s="2" t="s">
        <v>1458</v>
      </c>
      <c r="I51" s="3" t="str">
        <f t="shared" si="0"/>
        <v>https://dto.kemkes.go.id/kfacode/93000702</v>
      </c>
      <c r="J51" s="34" t="s">
        <v>3768</v>
      </c>
      <c r="K51" t="str">
        <f t="shared" si="1"/>
        <v>insert into mkatalog_kfa93 (kode, uraian, kode_92, uraian_92, nama_dagang, satuan_kecil, sediaan, golongan, url, userid_updt, sysdate_updt) values ('93000702','Amlodipine Besilate 5 mg Tablet (TEMPO SCAN PACIFIC Tbk)','92000454','Amlodipine Besilate 5 mg Tablet','AMLODIPINE BESILATE','Tablet','Tablet','Obat Keras','https://dto.kemkes.go.id/kfacode/93000702',0,'2023-05-01');</v>
      </c>
    </row>
    <row r="52" spans="1:11" ht="15.75" customHeight="1">
      <c r="A52" s="2">
        <v>93000633</v>
      </c>
      <c r="B52" s="2" t="s">
        <v>1551</v>
      </c>
      <c r="C52" s="2">
        <v>92000486</v>
      </c>
      <c r="D52" s="2" t="s">
        <v>681</v>
      </c>
      <c r="E52" s="2" t="s">
        <v>1552</v>
      </c>
      <c r="F52" s="2" t="s">
        <v>658</v>
      </c>
      <c r="G52" s="2" t="s">
        <v>1553</v>
      </c>
      <c r="H52" s="2" t="s">
        <v>1458</v>
      </c>
      <c r="I52" s="3" t="str">
        <f t="shared" si="0"/>
        <v>https://dto.kemkes.go.id/kfacode/93000633</v>
      </c>
      <c r="J52" s="34" t="s">
        <v>3768</v>
      </c>
      <c r="K52" t="str">
        <f t="shared" si="1"/>
        <v>insert into mkatalog_kfa93 (kode, uraian, kode_92, uraian_92, nama_dagang, satuan_kecil, sediaan, golongan, url, userid_updt, sysdate_updt) values ('93000633','Amoxicillin 125 mg / 5 mL Sirup Kering (CAMOKSIL DS)','92000486','Amoxicillin 125 mg / 5 mL Sirup Kering','CAMOKSIL DS','Botol','Sirup Kering','Obat Keras','https://dto.kemkes.go.id/kfacode/93000633',0,'2023-05-01');</v>
      </c>
    </row>
    <row r="53" spans="1:11" ht="15.75" customHeight="1">
      <c r="A53" s="2">
        <v>93001055</v>
      </c>
      <c r="B53" s="2" t="s">
        <v>1554</v>
      </c>
      <c r="C53" s="2">
        <v>92000486</v>
      </c>
      <c r="D53" s="2" t="s">
        <v>681</v>
      </c>
      <c r="E53" s="2" t="s">
        <v>1555</v>
      </c>
      <c r="F53" s="2" t="s">
        <v>658</v>
      </c>
      <c r="G53" s="2" t="s">
        <v>1553</v>
      </c>
      <c r="H53" s="2" t="s">
        <v>1458</v>
      </c>
      <c r="I53" s="3" t="str">
        <f t="shared" si="0"/>
        <v>https://dto.kemkes.go.id/kfacode/93001055</v>
      </c>
      <c r="J53" s="34" t="s">
        <v>3768</v>
      </c>
      <c r="K53" t="str">
        <f t="shared" si="1"/>
        <v>insert into mkatalog_kfa93 (kode, uraian, kode_92, uraian_92, nama_dagang, satuan_kecil, sediaan, golongan, url, userid_updt, sysdate_updt) values ('93001055','Amoxicillin 125 mg / 5 mL Sirup Kering (MERSIFARMA TIRMAKU MERCUSANA)','92000486','Amoxicillin 125 mg / 5 mL Sirup Kering','AMOXICILLIN TRIHYDRATE','Botol','Sirup Kering','Obat Keras','https://dto.kemkes.go.id/kfacode/93001055',0,'2023-05-01');</v>
      </c>
    </row>
    <row r="54" spans="1:11" ht="15.75" customHeight="1">
      <c r="A54" s="2">
        <v>93001617</v>
      </c>
      <c r="B54" s="2" t="s">
        <v>1556</v>
      </c>
      <c r="C54" s="2">
        <v>92000486</v>
      </c>
      <c r="D54" s="2" t="s">
        <v>681</v>
      </c>
      <c r="E54" s="2" t="s">
        <v>1557</v>
      </c>
      <c r="F54" s="2" t="s">
        <v>658</v>
      </c>
      <c r="G54" s="2" t="s">
        <v>1553</v>
      </c>
      <c r="H54" s="2" t="s">
        <v>1458</v>
      </c>
      <c r="I54" s="3" t="str">
        <f t="shared" si="0"/>
        <v>https://dto.kemkes.go.id/kfacode/93001617</v>
      </c>
      <c r="J54" s="34" t="s">
        <v>3768</v>
      </c>
      <c r="K54" t="str">
        <f t="shared" si="1"/>
        <v>insert into mkatalog_kfa93 (kode, uraian, kode_92, uraian_92, nama_dagang, satuan_kecil, sediaan, golongan, url, userid_updt, sysdate_updt) values ('93001617','Amoxicillin 125 mg / 5 mL Sirup Kering (SAMPHARINDO PERDANA)','92000486','Amoxicillin 125 mg / 5 mL Sirup Kering','AMOXICILLIN','Botol','Sirup Kering','Obat Keras','https://dto.kemkes.go.id/kfacode/93001617',0,'2023-05-01');</v>
      </c>
    </row>
    <row r="55" spans="1:11" ht="15.75" customHeight="1">
      <c r="A55" s="2">
        <v>93000393</v>
      </c>
      <c r="B55" s="2" t="s">
        <v>1558</v>
      </c>
      <c r="C55" s="2">
        <v>92000284</v>
      </c>
      <c r="D55" s="2" t="s">
        <v>682</v>
      </c>
      <c r="E55" s="2" t="s">
        <v>1555</v>
      </c>
      <c r="F55" s="2" t="s">
        <v>660</v>
      </c>
      <c r="G55" s="2" t="s">
        <v>660</v>
      </c>
      <c r="H55" s="2" t="s">
        <v>1458</v>
      </c>
      <c r="I55" s="3" t="str">
        <f t="shared" si="0"/>
        <v>https://dto.kemkes.go.id/kfacode/93000393</v>
      </c>
      <c r="J55" s="34" t="s">
        <v>3768</v>
      </c>
      <c r="K55" t="str">
        <f t="shared" si="1"/>
        <v>insert into mkatalog_kfa93 (kode, uraian, kode_92, uraian_92, nama_dagang, satuan_kecil, sediaan, golongan, url, userid_updt, sysdate_updt) values ('93000393','Amoxicillin 250 mg Kaplet (PHARMA LABORATORIES)','92000284','Amoxicillin 250 mg Kaplet','AMOXICILLIN TRIHYDRATE','Kaplet','Kaplet','Obat Keras','https://dto.kemkes.go.id/kfacode/93000393',0,'2023-05-01');</v>
      </c>
    </row>
    <row r="56" spans="1:11" ht="15.75" customHeight="1">
      <c r="A56" s="2">
        <v>93001535</v>
      </c>
      <c r="B56" s="2" t="s">
        <v>1559</v>
      </c>
      <c r="C56" s="2">
        <v>92000881</v>
      </c>
      <c r="D56" s="2" t="s">
        <v>683</v>
      </c>
      <c r="E56" s="2" t="s">
        <v>1555</v>
      </c>
      <c r="F56" s="2" t="s">
        <v>660</v>
      </c>
      <c r="G56" s="2" t="s">
        <v>660</v>
      </c>
      <c r="H56" s="2" t="s">
        <v>1458</v>
      </c>
      <c r="I56" s="3" t="str">
        <f t="shared" si="0"/>
        <v>https://dto.kemkes.go.id/kfacode/93001535</v>
      </c>
      <c r="J56" s="34" t="s">
        <v>3768</v>
      </c>
      <c r="K56" t="str">
        <f t="shared" si="1"/>
        <v>insert into mkatalog_kfa93 (kode, uraian, kode_92, uraian_92, nama_dagang, satuan_kecil, sediaan, golongan, url, userid_updt, sysdate_updt) values ('93001535','Amoxicillin 500 mg Kaplet (HEXPHARM JAYA LABORATORIES)','92000881','Amoxicillin 500 mg Kaplet','AMOXICILLIN TRIHYDRATE','Kaplet','Kaplet','Obat Keras','https://dto.kemkes.go.id/kfacode/93001535',0,'2023-05-01');</v>
      </c>
    </row>
    <row r="57" spans="1:11" ht="15.75" customHeight="1">
      <c r="A57" s="2">
        <v>93000256</v>
      </c>
      <c r="B57" s="2" t="s">
        <v>1560</v>
      </c>
      <c r="C57" s="2">
        <v>92000234</v>
      </c>
      <c r="D57" s="2" t="s">
        <v>684</v>
      </c>
      <c r="E57" s="2" t="s">
        <v>1555</v>
      </c>
      <c r="F57" s="2" t="s">
        <v>658</v>
      </c>
      <c r="G57" s="2" t="s">
        <v>1553</v>
      </c>
      <c r="H57" s="2" t="s">
        <v>1458</v>
      </c>
      <c r="I57" s="3" t="str">
        <f t="shared" si="0"/>
        <v>https://dto.kemkes.go.id/kfacode/93000256</v>
      </c>
      <c r="J57" s="34" t="s">
        <v>3768</v>
      </c>
      <c r="K57" t="str">
        <f t="shared" si="1"/>
        <v>insert into mkatalog_kfa93 (kode, uraian, kode_92, uraian_92, nama_dagang, satuan_kecil, sediaan, golongan, url, userid_updt, sysdate_updt) values ('93000256','Amoxicillin Trihydrate 100 mg / mL Sirup Kering (PHARMA LABORATORIES)','92000234','Amoxicillin Trihydrate 100 mg / mL Sirup Kering','AMOXICILLIN TRIHYDRATE','Botol','Sirup Kering','Obat Keras','https://dto.kemkes.go.id/kfacode/93000256',0,'2023-05-01');</v>
      </c>
    </row>
    <row r="58" spans="1:11" ht="15.75" customHeight="1">
      <c r="A58" s="2">
        <v>93000818</v>
      </c>
      <c r="B58" s="2" t="s">
        <v>1561</v>
      </c>
      <c r="C58" s="2">
        <v>92000570</v>
      </c>
      <c r="D58" s="2" t="s">
        <v>685</v>
      </c>
      <c r="E58" s="2" t="s">
        <v>1555</v>
      </c>
      <c r="F58" s="2" t="s">
        <v>658</v>
      </c>
      <c r="G58" s="2" t="s">
        <v>1562</v>
      </c>
      <c r="H58" s="2" t="s">
        <v>1458</v>
      </c>
      <c r="I58" s="3" t="str">
        <f t="shared" si="0"/>
        <v>https://dto.kemkes.go.id/kfacode/93000818</v>
      </c>
      <c r="J58" s="34" t="s">
        <v>3768</v>
      </c>
      <c r="K58" t="str">
        <f t="shared" si="1"/>
        <v>insert into mkatalog_kfa93 (kode, uraian, kode_92, uraian_92, nama_dagang, satuan_kecil, sediaan, golongan, url, userid_updt, sysdate_updt) values ('93000818','Amoxicillin Trihydrate 100 mg/mL Tetes Oral (MEPROFARM)','92000570','Amoxicillin Trihydrate 100 mg/mL Tetes Oral','AMOXICILLIN TRIHYDRATE','Botol','Tetes Oral (Oral Drops)','Obat Keras','https://dto.kemkes.go.id/kfacode/93000818',0,'2023-05-01');</v>
      </c>
    </row>
    <row r="59" spans="1:11" ht="15.75" customHeight="1">
      <c r="A59" s="2">
        <v>93000488</v>
      </c>
      <c r="B59" s="2" t="s">
        <v>1563</v>
      </c>
      <c r="C59" s="2">
        <v>92000406</v>
      </c>
      <c r="D59" s="2" t="s">
        <v>686</v>
      </c>
      <c r="E59" s="2" t="s">
        <v>1555</v>
      </c>
      <c r="F59" s="2" t="s">
        <v>658</v>
      </c>
      <c r="G59" s="2" t="s">
        <v>1553</v>
      </c>
      <c r="H59" s="2" t="s">
        <v>1458</v>
      </c>
      <c r="I59" s="3" t="str">
        <f t="shared" si="0"/>
        <v>https://dto.kemkes.go.id/kfacode/93000488</v>
      </c>
      <c r="J59" s="34" t="s">
        <v>3768</v>
      </c>
      <c r="K59" t="str">
        <f t="shared" si="1"/>
        <v>insert into mkatalog_kfa93 (kode, uraian, kode_92, uraian_92, nama_dagang, satuan_kecil, sediaan, golongan, url, userid_updt, sysdate_updt) values ('93000488','Amoxicillin Trihydrate 250 mg / 5 mL Sirup Kering (IFARS)','92000406','Amoxicillin Trihydrate 250 mg / 5 mL Sirup Kering','AMOXICILLIN TRIHYDRATE','Botol','Sirup Kering','Obat Keras','https://dto.kemkes.go.id/kfacode/93000488',0,'2023-05-01');</v>
      </c>
    </row>
    <row r="60" spans="1:11" ht="15.75" customHeight="1">
      <c r="A60" s="2">
        <v>93001463</v>
      </c>
      <c r="B60" s="2" t="s">
        <v>1564</v>
      </c>
      <c r="C60" s="2">
        <v>92000406</v>
      </c>
      <c r="D60" s="2" t="s">
        <v>686</v>
      </c>
      <c r="E60" s="2" t="s">
        <v>1555</v>
      </c>
      <c r="F60" s="2" t="s">
        <v>658</v>
      </c>
      <c r="G60" s="2" t="s">
        <v>1553</v>
      </c>
      <c r="H60" s="2" t="s">
        <v>1458</v>
      </c>
      <c r="I60" s="3" t="str">
        <f t="shared" si="0"/>
        <v>https://dto.kemkes.go.id/kfacode/93001463</v>
      </c>
      <c r="J60" s="34" t="s">
        <v>3768</v>
      </c>
      <c r="K60" t="str">
        <f t="shared" si="1"/>
        <v>insert into mkatalog_kfa93 (kode, uraian, kode_92, uraian_92, nama_dagang, satuan_kecil, sediaan, golongan, url, userid_updt, sysdate_updt) values ('93001463','Amoxicillin Trihydrate 250 mg / 5 mL Sirup Kering (MERSIFARMA TIRMAKU MERCUSANA, 60 mL)','92000406','Amoxicillin Trihydrate 250 mg / 5 mL Sirup Kering','AMOXICILLIN TRIHYDRATE','Botol','Sirup Kering','Obat Keras','https://dto.kemkes.go.id/kfacode/93001463',0,'2023-05-01');</v>
      </c>
    </row>
    <row r="61" spans="1:11" ht="15.75" customHeight="1">
      <c r="A61" s="2">
        <v>93001321</v>
      </c>
      <c r="B61" s="2" t="s">
        <v>1565</v>
      </c>
      <c r="C61" s="2">
        <v>92000811</v>
      </c>
      <c r="D61" s="2" t="s">
        <v>687</v>
      </c>
      <c r="E61" s="2" t="s">
        <v>1566</v>
      </c>
      <c r="F61" s="2" t="s">
        <v>653</v>
      </c>
      <c r="G61" s="2" t="s">
        <v>1500</v>
      </c>
      <c r="H61" s="2" t="s">
        <v>1458</v>
      </c>
      <c r="I61" s="3" t="str">
        <f t="shared" si="0"/>
        <v>https://dto.kemkes.go.id/kfacode/93001321</v>
      </c>
      <c r="J61" s="34" t="s">
        <v>3768</v>
      </c>
      <c r="K61" t="str">
        <f t="shared" si="1"/>
        <v>insert into mkatalog_kfa93 (kode, uraian, kode_92, uraian_92, nama_dagang, satuan_kecil, sediaan, golongan, url, userid_updt, sysdate_updt) values ('93001321','Ampicillin 500 mg / Sulbactam 250 mg Serbuk Injeksi (BACTESYN)','92000811','Ampicillin 500 mg / Sulbactam 250 mg Serbuk Injeksi','BACTESYN','Vial','Serbuk Injeksi','Obat Keras','https://dto.kemkes.go.id/kfacode/93001321',0,'2023-05-01');</v>
      </c>
    </row>
    <row r="62" spans="1:11" ht="15.75" customHeight="1">
      <c r="A62" s="2">
        <v>93001317</v>
      </c>
      <c r="B62" s="2" t="s">
        <v>1567</v>
      </c>
      <c r="C62" s="2">
        <v>92000631</v>
      </c>
      <c r="D62" s="2" t="s">
        <v>688</v>
      </c>
      <c r="E62" s="2" t="s">
        <v>1568</v>
      </c>
      <c r="F62" s="2" t="s">
        <v>653</v>
      </c>
      <c r="G62" s="2" t="s">
        <v>1500</v>
      </c>
      <c r="H62" s="2" t="s">
        <v>1458</v>
      </c>
      <c r="I62" s="3" t="str">
        <f t="shared" si="0"/>
        <v>https://dto.kemkes.go.id/kfacode/93001317</v>
      </c>
      <c r="J62" s="34" t="s">
        <v>3768</v>
      </c>
      <c r="K62" t="str">
        <f t="shared" si="1"/>
        <v>insert into mkatalog_kfa93 (kode, uraian, kode_92, uraian_92, nama_dagang, satuan_kecil, sediaan, golongan, url, userid_updt, sysdate_updt) values ('93001317','Ampicillin Sodium 1000 mg Serbuk Injeksi (BERNOFARM)','92000631','Ampicillin Sodium 1000 mg Serbuk Injeksi','AMPICILLIN SODIUM','Vial','Serbuk Injeksi','Obat Keras','https://dto.kemkes.go.id/kfacode/93001317',0,'2023-05-01');</v>
      </c>
    </row>
    <row r="63" spans="1:11" ht="15.75" customHeight="1">
      <c r="A63" s="2">
        <v>93001215</v>
      </c>
      <c r="B63" s="2" t="s">
        <v>1569</v>
      </c>
      <c r="C63" s="2">
        <v>92000631</v>
      </c>
      <c r="D63" s="2" t="s">
        <v>688</v>
      </c>
      <c r="E63" s="2" t="s">
        <v>1568</v>
      </c>
      <c r="F63" s="2" t="s">
        <v>653</v>
      </c>
      <c r="G63" s="2" t="s">
        <v>1500</v>
      </c>
      <c r="H63" s="2" t="s">
        <v>1458</v>
      </c>
      <c r="I63" s="3" t="str">
        <f t="shared" si="0"/>
        <v>https://dto.kemkes.go.id/kfacode/93001215</v>
      </c>
      <c r="J63" s="34" t="s">
        <v>3768</v>
      </c>
      <c r="K63" t="str">
        <f t="shared" si="1"/>
        <v>insert into mkatalog_kfa93 (kode, uraian, kode_92, uraian_92, nama_dagang, satuan_kecil, sediaan, golongan, url, userid_updt, sysdate_updt) values ('93001215','Ampicillin Sodium 1000 mg Serbuk Injeksi (PHAPROS Tbk)','92000631','Ampicillin Sodium 1000 mg Serbuk Injeksi','AMPICILLIN SODIUM','Vial','Serbuk Injeksi','Obat Keras','https://dto.kemkes.go.id/kfacode/93001215',0,'2023-05-01');</v>
      </c>
    </row>
    <row r="64" spans="1:11" ht="15.75" customHeight="1">
      <c r="A64" s="2">
        <v>93000870</v>
      </c>
      <c r="B64" s="2" t="s">
        <v>1570</v>
      </c>
      <c r="C64" s="2">
        <v>92000566</v>
      </c>
      <c r="D64" s="2" t="s">
        <v>689</v>
      </c>
      <c r="E64" s="2" t="s">
        <v>1571</v>
      </c>
      <c r="F64" s="2" t="s">
        <v>653</v>
      </c>
      <c r="G64" s="2" t="s">
        <v>1500</v>
      </c>
      <c r="H64" s="2" t="s">
        <v>1458</v>
      </c>
      <c r="I64" s="3" t="str">
        <f t="shared" si="0"/>
        <v>https://dto.kemkes.go.id/kfacode/93000870</v>
      </c>
      <c r="J64" s="34" t="s">
        <v>3768</v>
      </c>
      <c r="K64" t="str">
        <f t="shared" si="1"/>
        <v>insert into mkatalog_kfa93 (kode, uraian, kode_92, uraian_92, nama_dagang, satuan_kecil, sediaan, golongan, url, userid_updt, sysdate_updt) values ('93000870','Ampicillin Sodium 250 mg Serbuk Injeksi (VICCILLIN)','92000566','Ampicillin Sodium 250 mg Serbuk Injeksi','VICCILLIN','Vial','Serbuk Injeksi','Obat Keras','https://dto.kemkes.go.id/kfacode/93000870',0,'2023-05-01');</v>
      </c>
    </row>
    <row r="65" spans="1:11" ht="15.75" customHeight="1">
      <c r="A65" s="2">
        <v>93001471</v>
      </c>
      <c r="B65" s="2" t="s">
        <v>1572</v>
      </c>
      <c r="C65" s="2">
        <v>92000394</v>
      </c>
      <c r="D65" s="2" t="s">
        <v>690</v>
      </c>
      <c r="E65" s="2" t="s">
        <v>1573</v>
      </c>
      <c r="F65" s="2" t="s">
        <v>640</v>
      </c>
      <c r="G65" s="2" t="s">
        <v>1457</v>
      </c>
      <c r="H65" s="2" t="s">
        <v>1458</v>
      </c>
      <c r="I65" s="3" t="str">
        <f t="shared" si="0"/>
        <v>https://dto.kemkes.go.id/kfacode/93001471</v>
      </c>
      <c r="J65" s="34" t="s">
        <v>3768</v>
      </c>
      <c r="K65" t="str">
        <f t="shared" si="1"/>
        <v>insert into mkatalog_kfa93 (kode, uraian, kode_92, uraian_92, nama_dagang, satuan_kecil, sediaan, golongan, url, userid_updt, sysdate_updt) values ('93001471','Anastrozole 1 mg Tablet Salut Selaput (BRACER)','92000394','Anastrozole 1 mg Tablet Salut Selaput','BRACER','Tablet','Tablet Salut Selaput','Obat Keras','https://dto.kemkes.go.id/kfacode/93001471',0,'2023-05-01');</v>
      </c>
    </row>
    <row r="66" spans="1:11" ht="15.75" customHeight="1">
      <c r="A66" s="2">
        <v>93000457</v>
      </c>
      <c r="B66" s="2" t="s">
        <v>1574</v>
      </c>
      <c r="C66" s="2">
        <v>92000196</v>
      </c>
      <c r="D66" s="2" t="s">
        <v>691</v>
      </c>
      <c r="E66" s="2" t="s">
        <v>1575</v>
      </c>
      <c r="F66" s="2" t="s">
        <v>645</v>
      </c>
      <c r="G66" s="2" t="s">
        <v>1506</v>
      </c>
      <c r="H66" s="2" t="s">
        <v>1458</v>
      </c>
      <c r="I66" s="3" t="str">
        <f t="shared" si="0"/>
        <v>https://dto.kemkes.go.id/kfacode/93000457</v>
      </c>
      <c r="J66" s="34" t="s">
        <v>3768</v>
      </c>
      <c r="K66" t="str">
        <f t="shared" si="1"/>
        <v>insert into mkatalog_kfa93 (kode, uraian, kode_92, uraian_92, nama_dagang, satuan_kecil, sediaan, golongan, url, userid_updt, sysdate_updt) values ('93000457','Anhydrous Dextrose 40% Infus (OTSU - D40)','92000196','Anhydrous Dextrose 40% Infus','OTSU - D40','Ampul','Larutan Injeksi','Obat Keras','https://dto.kemkes.go.id/kfacode/93000457',0,'2023-05-01');</v>
      </c>
    </row>
    <row r="67" spans="1:11" ht="15.75" customHeight="1">
      <c r="A67" s="2">
        <v>93001314</v>
      </c>
      <c r="B67" s="2" t="s">
        <v>1576</v>
      </c>
      <c r="C67" s="2">
        <v>92000828</v>
      </c>
      <c r="D67" s="2" t="s">
        <v>692</v>
      </c>
      <c r="E67" s="2" t="s">
        <v>1577</v>
      </c>
      <c r="F67" s="2" t="s">
        <v>658</v>
      </c>
      <c r="G67" s="2" t="s">
        <v>1562</v>
      </c>
      <c r="H67" s="2" t="s">
        <v>1458</v>
      </c>
      <c r="I67" s="3" t="str">
        <f t="shared" si="0"/>
        <v>https://dto.kemkes.go.id/kfacode/93001314</v>
      </c>
      <c r="J67" s="34" t="s">
        <v>3768</v>
      </c>
      <c r="K67" t="str">
        <f t="shared" ref="K67:K130" si="2">CONCATENATE(J67,"('",A67,"','",B67,"','",C67,"','",D67,"','",E67,"','",F67,"','",G67,"','",H67,"','",I67,"',0,'2023-05-01');")</f>
        <v>insert into mkatalog_kfa93 (kode, uraian, kode_92, uraian_92, nama_dagang, satuan_kecil, sediaan, golongan, url, userid_updt, sysdate_updt) values ('93001314','Aripiprazole 1 mg / mL Cairan Oral (ABILIFY, 150 mL)','92000828','Aripiprazole 1 mg / mL Cairan Oral','ABILIFY','Botol','Tetes Oral (Oral Drops)','Obat Keras','https://dto.kemkes.go.id/kfacode/93001314',0,'2023-05-01');</v>
      </c>
    </row>
    <row r="68" spans="1:11" ht="15.75" customHeight="1">
      <c r="A68" s="2">
        <v>93001313</v>
      </c>
      <c r="B68" s="2" t="s">
        <v>1578</v>
      </c>
      <c r="C68" s="2">
        <v>92000828</v>
      </c>
      <c r="D68" s="2" t="s">
        <v>692</v>
      </c>
      <c r="E68" s="2" t="s">
        <v>1577</v>
      </c>
      <c r="F68" s="2" t="s">
        <v>658</v>
      </c>
      <c r="G68" s="2" t="s">
        <v>1562</v>
      </c>
      <c r="H68" s="2" t="s">
        <v>1458</v>
      </c>
      <c r="I68" s="3" t="str">
        <f t="shared" si="0"/>
        <v>https://dto.kemkes.go.id/kfacode/93001313</v>
      </c>
      <c r="J68" s="34" t="s">
        <v>3768</v>
      </c>
      <c r="K68" t="str">
        <f t="shared" si="2"/>
        <v>insert into mkatalog_kfa93 (kode, uraian, kode_92, uraian_92, nama_dagang, satuan_kecil, sediaan, golongan, url, userid_updt, sysdate_updt) values ('93001313','Aripiprazole 1 mg / mL Cairan Oral (ABILIFY, 60 mL)','92000828','Aripiprazole 1 mg / mL Cairan Oral','ABILIFY','Botol','Tetes Oral (Oral Drops)','Obat Keras','https://dto.kemkes.go.id/kfacode/93001313',0,'2023-05-01');</v>
      </c>
    </row>
    <row r="69" spans="1:11" ht="15.75" customHeight="1">
      <c r="A69" s="2">
        <v>93001444</v>
      </c>
      <c r="B69" s="2" t="s">
        <v>1579</v>
      </c>
      <c r="C69" s="2">
        <v>92000810</v>
      </c>
      <c r="D69" s="2" t="s">
        <v>693</v>
      </c>
      <c r="E69" s="2" t="s">
        <v>1580</v>
      </c>
      <c r="F69" s="2" t="s">
        <v>640</v>
      </c>
      <c r="G69" s="2" t="s">
        <v>1581</v>
      </c>
      <c r="H69" s="2" t="s">
        <v>1458</v>
      </c>
      <c r="I69" s="3" t="str">
        <f t="shared" si="0"/>
        <v>https://dto.kemkes.go.id/kfacode/93001444</v>
      </c>
      <c r="J69" s="34" t="s">
        <v>3768</v>
      </c>
      <c r="K69" t="str">
        <f t="shared" si="2"/>
        <v>insert into mkatalog_kfa93 (kode, uraian, kode_92, uraian_92, nama_dagang, satuan_kecil, sediaan, golongan, url, userid_updt, sysdate_updt) values ('93001444','Aripiprazole 10 mg Tablet Cepat Larut (DEXA MEDICA)','92000810','Aripiprazole 10 mg Tablet Cepat Larut','ARIPIPRAZOLE','Tablet','Tablet Cepat Larut','Obat Keras','https://dto.kemkes.go.id/kfacode/93001444',0,'2023-05-01');</v>
      </c>
    </row>
    <row r="70" spans="1:11" ht="15.75" customHeight="1">
      <c r="A70" s="2">
        <v>93000390</v>
      </c>
      <c r="B70" s="2" t="s">
        <v>1582</v>
      </c>
      <c r="C70" s="2">
        <v>92000228</v>
      </c>
      <c r="D70" s="2" t="s">
        <v>694</v>
      </c>
      <c r="E70" s="2" t="s">
        <v>1583</v>
      </c>
      <c r="F70" s="2" t="s">
        <v>640</v>
      </c>
      <c r="G70" s="2" t="s">
        <v>640</v>
      </c>
      <c r="H70" s="2" t="s">
        <v>1458</v>
      </c>
      <c r="I70" s="3" t="str">
        <f t="shared" si="0"/>
        <v>https://dto.kemkes.go.id/kfacode/93000390</v>
      </c>
      <c r="J70" s="34" t="s">
        <v>3768</v>
      </c>
      <c r="K70" t="str">
        <f t="shared" si="2"/>
        <v>insert into mkatalog_kfa93 (kode, uraian, kode_92, uraian_92, nama_dagang, satuan_kecil, sediaan, golongan, url, userid_updt, sysdate_updt) values ('93000390','Aripiprazole 15 mg Tablet (ARISKI)','92000228','Aripiprazole 15 mg Tablet','ARISKI','Tablet','Tablet','Obat Keras','https://dto.kemkes.go.id/kfacode/93000390',0,'2023-05-01');</v>
      </c>
    </row>
    <row r="71" spans="1:11" ht="15.75" customHeight="1">
      <c r="A71" s="2">
        <v>93000391</v>
      </c>
      <c r="B71" s="2" t="s">
        <v>1584</v>
      </c>
      <c r="C71" s="2">
        <v>92000229</v>
      </c>
      <c r="D71" s="2" t="s">
        <v>695</v>
      </c>
      <c r="E71" s="2" t="s">
        <v>1580</v>
      </c>
      <c r="F71" s="2" t="s">
        <v>640</v>
      </c>
      <c r="G71" s="2" t="s">
        <v>1581</v>
      </c>
      <c r="H71" s="2" t="s">
        <v>1458</v>
      </c>
      <c r="I71" s="3" t="str">
        <f t="shared" si="0"/>
        <v>https://dto.kemkes.go.id/kfacode/93000391</v>
      </c>
      <c r="J71" s="34" t="s">
        <v>3768</v>
      </c>
      <c r="K71" t="str">
        <f t="shared" si="2"/>
        <v>insert into mkatalog_kfa93 (kode, uraian, kode_92, uraian_92, nama_dagang, satuan_kecil, sediaan, golongan, url, userid_updt, sysdate_updt) values ('93000391','Aripiprazole 15 mg Tablet Cepat Larut (DEXA MEDICA)','92000229','Aripiprazole 15 mg Tablet Cepat Larut','ARIPIPRAZOLE','Tablet','Tablet Cepat Larut','Obat Keras','https://dto.kemkes.go.id/kfacode/93000391',0,'2023-05-01');</v>
      </c>
    </row>
    <row r="72" spans="1:11" ht="15.75" customHeight="1">
      <c r="A72" s="2">
        <v>93000966</v>
      </c>
      <c r="B72" s="2" t="s">
        <v>1585</v>
      </c>
      <c r="C72" s="2">
        <v>92000533</v>
      </c>
      <c r="D72" s="2" t="s">
        <v>697</v>
      </c>
      <c r="E72" s="2" t="s">
        <v>1586</v>
      </c>
      <c r="F72" s="2" t="s">
        <v>640</v>
      </c>
      <c r="G72" s="2" t="s">
        <v>640</v>
      </c>
      <c r="H72" s="2" t="s">
        <v>1458</v>
      </c>
      <c r="I72" s="3" t="str">
        <f t="shared" si="0"/>
        <v>https://dto.kemkes.go.id/kfacode/93000966</v>
      </c>
      <c r="J72" s="34" t="s">
        <v>3768</v>
      </c>
      <c r="K72" t="str">
        <f t="shared" si="2"/>
        <v>insert into mkatalog_kfa93 (kode, uraian, kode_92, uraian_92, nama_dagang, satuan_kecil, sediaan, golongan, url, userid_updt, sysdate_updt) values ('93000966','Aripiprazole 5 mg Tablet (ARINIA - 5)','92000533','Aripiprazole 5 mg Tablet','ARINIA - 5','Tablet','Tablet','Obat Keras','https://dto.kemkes.go.id/kfacode/93000966',0,'2023-05-01');</v>
      </c>
    </row>
    <row r="73" spans="1:11" ht="15.75" customHeight="1">
      <c r="A73" s="2">
        <v>93001070</v>
      </c>
      <c r="B73" s="2" t="s">
        <v>1587</v>
      </c>
      <c r="C73" s="2">
        <v>92000787</v>
      </c>
      <c r="D73" s="2" t="s">
        <v>698</v>
      </c>
      <c r="E73" s="2" t="s">
        <v>26</v>
      </c>
      <c r="F73" s="2" t="s">
        <v>640</v>
      </c>
      <c r="G73" s="2" t="s">
        <v>1588</v>
      </c>
      <c r="H73" s="2" t="s">
        <v>1458</v>
      </c>
      <c r="I73" s="3" t="str">
        <f t="shared" si="0"/>
        <v>https://dto.kemkes.go.id/kfacode/93001070</v>
      </c>
      <c r="J73" s="34" t="s">
        <v>3768</v>
      </c>
      <c r="K73" t="str">
        <f t="shared" si="2"/>
        <v>insert into mkatalog_kfa93 (kode, uraian, kode_92, uraian_92, nama_dagang, satuan_kecil, sediaan, golongan, url, userid_updt, sysdate_updt) values ('93001070','Asam Asetilsalisilat / Acetylsalicylic Acid 100 mg Tablet Salut Enterik (PHAPROS Tbk)','92000787','Asam Asetilsalisilat / Acetylsalicylic Acid 100 mg Tablet Salut Enterik','ACETYLSALICYLIC ACID','Tablet','Tablet Salut Enterik','Obat Keras','https://dto.kemkes.go.id/kfacode/93001070',0,'2023-05-01');</v>
      </c>
    </row>
    <row r="74" spans="1:11" ht="15.75" customHeight="1">
      <c r="A74" s="2">
        <v>93000407</v>
      </c>
      <c r="B74" s="2" t="s">
        <v>1589</v>
      </c>
      <c r="C74" s="2">
        <v>92000293</v>
      </c>
      <c r="D74" s="2" t="s">
        <v>27</v>
      </c>
      <c r="E74" s="2" t="s">
        <v>1590</v>
      </c>
      <c r="F74" s="2" t="s">
        <v>640</v>
      </c>
      <c r="G74" s="2" t="s">
        <v>1588</v>
      </c>
      <c r="H74" s="2" t="s">
        <v>1458</v>
      </c>
      <c r="I74" s="3" t="str">
        <f t="shared" si="0"/>
        <v>https://dto.kemkes.go.id/kfacode/93000407</v>
      </c>
      <c r="J74" s="34" t="s">
        <v>3768</v>
      </c>
      <c r="K74" t="str">
        <f t="shared" si="2"/>
        <v>insert into mkatalog_kfa93 (kode, uraian, kode_92, uraian_92, nama_dagang, satuan_kecil, sediaan, golongan, url, userid_updt, sysdate_updt) values ('93000407','Asam Asetilsalisilat 80 mg Tablet Salut Enterik (ASCARDIA)','92000293','Asam Asetilsalisilat 80 mg Tablet Salut Enterik','ASCARDIA','Tablet','Tablet Salut Enterik','Obat Keras','https://dto.kemkes.go.id/kfacode/93000407',0,'2023-05-01');</v>
      </c>
    </row>
    <row r="75" spans="1:11" ht="15.75" customHeight="1">
      <c r="A75" s="2">
        <v>93000409</v>
      </c>
      <c r="B75" s="2" t="s">
        <v>1591</v>
      </c>
      <c r="C75" s="2">
        <v>92000293</v>
      </c>
      <c r="D75" s="2" t="s">
        <v>27</v>
      </c>
      <c r="E75" s="2" t="s">
        <v>1592</v>
      </c>
      <c r="F75" s="2" t="s">
        <v>640</v>
      </c>
      <c r="G75" s="2" t="s">
        <v>1588</v>
      </c>
      <c r="H75" s="2" t="s">
        <v>1458</v>
      </c>
      <c r="I75" s="3" t="str">
        <f t="shared" si="0"/>
        <v>https://dto.kemkes.go.id/kfacode/93000409</v>
      </c>
      <c r="J75" s="34" t="s">
        <v>3768</v>
      </c>
      <c r="K75" t="str">
        <f t="shared" si="2"/>
        <v>insert into mkatalog_kfa93 (kode, uraian, kode_92, uraian_92, nama_dagang, satuan_kecil, sediaan, golongan, url, userid_updt, sysdate_updt) values ('93000409','Asam Asetilsalisilat 80 mg Tablet Salut Enterik (CARTYLO)','92000293','Asam Asetilsalisilat 80 mg Tablet Salut Enterik','CARTYLO','Tablet','Tablet Salut Enterik','Obat Keras','https://dto.kemkes.go.id/kfacode/93000409',0,'2023-05-01');</v>
      </c>
    </row>
    <row r="76" spans="1:11" ht="15.75" customHeight="1">
      <c r="A76" s="2">
        <v>93000408</v>
      </c>
      <c r="B76" s="2" t="s">
        <v>1593</v>
      </c>
      <c r="C76" s="2">
        <v>92000293</v>
      </c>
      <c r="D76" s="2" t="s">
        <v>27</v>
      </c>
      <c r="E76" s="2" t="s">
        <v>1594</v>
      </c>
      <c r="F76" s="2" t="s">
        <v>640</v>
      </c>
      <c r="G76" s="2" t="s">
        <v>1588</v>
      </c>
      <c r="H76" s="2" t="s">
        <v>1458</v>
      </c>
      <c r="I76" s="3" t="str">
        <f t="shared" si="0"/>
        <v>https://dto.kemkes.go.id/kfacode/93000408</v>
      </c>
      <c r="J76" s="34" t="s">
        <v>3768</v>
      </c>
      <c r="K76" t="str">
        <f t="shared" si="2"/>
        <v>insert into mkatalog_kfa93 (kode, uraian, kode_92, uraian_92, nama_dagang, satuan_kecil, sediaan, golongan, url, userid_updt, sysdate_updt) values ('93000408','Asam Asetilsalisilat 80 mg Tablet Salut Enterik (MINIASPI 80)','92000293','Asam Asetilsalisilat 80 mg Tablet Salut Enterik','MINIASPI 80','Tablet','Tablet Salut Enterik','Obat Keras','https://dto.kemkes.go.id/kfacode/93000408',0,'2023-05-01');</v>
      </c>
    </row>
    <row r="77" spans="1:11" ht="15.75" customHeight="1">
      <c r="A77" s="2">
        <v>93000410</v>
      </c>
      <c r="B77" s="2" t="s">
        <v>1595</v>
      </c>
      <c r="C77" s="2">
        <v>92000293</v>
      </c>
      <c r="D77" s="2" t="s">
        <v>27</v>
      </c>
      <c r="E77" s="2" t="s">
        <v>1596</v>
      </c>
      <c r="F77" s="2" t="s">
        <v>640</v>
      </c>
      <c r="G77" s="2" t="s">
        <v>1588</v>
      </c>
      <c r="H77" s="2" t="s">
        <v>1458</v>
      </c>
      <c r="I77" s="3" t="str">
        <f t="shared" si="0"/>
        <v>https://dto.kemkes.go.id/kfacode/93000410</v>
      </c>
      <c r="J77" s="34" t="s">
        <v>3768</v>
      </c>
      <c r="K77" t="str">
        <f t="shared" si="2"/>
        <v>insert into mkatalog_kfa93 (kode, uraian, kode_92, uraian_92, nama_dagang, satuan_kecil, sediaan, golongan, url, userid_updt, sysdate_updt) values ('93000410','Asam Asetilsalisilat 80 mg Tablet Salut Enterik (THROMBO ASPILETS)','92000293','Asam Asetilsalisilat 80 mg Tablet Salut Enterik','THROMBO ASPILETS','Tablet','Tablet Salut Enterik','Obat Keras','https://dto.kemkes.go.id/kfacode/93000410',0,'2023-05-01');</v>
      </c>
    </row>
    <row r="78" spans="1:11" ht="15.75" customHeight="1">
      <c r="A78" s="2">
        <v>93000946</v>
      </c>
      <c r="B78" s="2" t="s">
        <v>1597</v>
      </c>
      <c r="C78" s="2">
        <v>92000129</v>
      </c>
      <c r="D78" s="2" t="s">
        <v>699</v>
      </c>
      <c r="F78" s="2" t="s">
        <v>640</v>
      </c>
      <c r="G78" s="2" t="s">
        <v>640</v>
      </c>
      <c r="H78" s="2" t="s">
        <v>1525</v>
      </c>
      <c r="I78" s="3" t="str">
        <f t="shared" si="0"/>
        <v>https://dto.kemkes.go.id/kfacode/93000946</v>
      </c>
      <c r="J78" s="34" t="s">
        <v>3768</v>
      </c>
      <c r="K78" t="str">
        <f t="shared" si="2"/>
        <v>insert into mkatalog_kfa93 (kode, uraian, kode_92, uraian_92, nama_dagang, satuan_kecil, sediaan, golongan, url, userid_updt, sysdate_updt) values ('93000946','Ascorbic Acid / Asam Askorbat / Vitamin C 250 mg Tablet (AFIFARMA)','92000129','Ascorbic Acid / Asam Askorbat / Vitamin C 250 mg Tablet','','Tablet','Tablet','Obat Bebas','https://dto.kemkes.go.id/kfacode/93000946',0,'2023-05-01');</v>
      </c>
    </row>
    <row r="79" spans="1:11" ht="15.75" customHeight="1">
      <c r="A79" s="2">
        <v>93000139</v>
      </c>
      <c r="B79" s="2" t="s">
        <v>1598</v>
      </c>
      <c r="C79" s="2">
        <v>92000129</v>
      </c>
      <c r="D79" s="2" t="s">
        <v>699</v>
      </c>
      <c r="E79" s="2" t="s">
        <v>1599</v>
      </c>
      <c r="F79" s="2" t="s">
        <v>640</v>
      </c>
      <c r="G79" s="2" t="s">
        <v>640</v>
      </c>
      <c r="H79" s="2" t="s">
        <v>1525</v>
      </c>
      <c r="I79" s="3" t="str">
        <f t="shared" si="0"/>
        <v>https://dto.kemkes.go.id/kfacode/93000139</v>
      </c>
      <c r="J79" s="34" t="s">
        <v>3768</v>
      </c>
      <c r="K79" t="str">
        <f t="shared" si="2"/>
        <v>insert into mkatalog_kfa93 (kode, uraian, kode_92, uraian_92, nama_dagang, satuan_kecil, sediaan, golongan, url, userid_updt, sysdate_updt) values ('93000139','Ascorbic Acid / Asam Askorbat / Vitamin C 250 mg Tablet (IMFARMIND)','92000129','Ascorbic Acid / Asam Askorbat / Vitamin C 250 mg Tablet','VITAMIN C 250 MG','Tablet','Tablet','Obat Bebas','https://dto.kemkes.go.id/kfacode/93000139',0,'2023-05-01');</v>
      </c>
    </row>
    <row r="80" spans="1:11" ht="15.75" customHeight="1">
      <c r="A80" s="2">
        <v>93000716</v>
      </c>
      <c r="B80" s="2" t="s">
        <v>1600</v>
      </c>
      <c r="C80" s="2">
        <v>92000517</v>
      </c>
      <c r="D80" s="2" t="s">
        <v>700</v>
      </c>
      <c r="E80" s="2" t="s">
        <v>1601</v>
      </c>
      <c r="F80" s="2" t="s">
        <v>640</v>
      </c>
      <c r="G80" s="2" t="s">
        <v>640</v>
      </c>
      <c r="H80" s="2" t="s">
        <v>1525</v>
      </c>
      <c r="I80" s="3" t="str">
        <f t="shared" si="0"/>
        <v>https://dto.kemkes.go.id/kfacode/93000716</v>
      </c>
      <c r="J80" s="34" t="s">
        <v>3768</v>
      </c>
      <c r="K80" t="str">
        <f t="shared" si="2"/>
        <v>insert into mkatalog_kfa93 (kode, uraian, kode_92, uraian_92, nama_dagang, satuan_kecil, sediaan, golongan, url, userid_updt, sysdate_updt) values ('93000716','Ascorbic Acid / Asam Askorbat / Vitamin C 50 mg Tablet (IMFARMIND FARMASI INDUSTRI)','92000517','Ascorbic Acid / Asam Askorbat / Vitamin C 50 mg Tablet','VITAMIN C 50 MG','Tablet','Tablet','Obat Bebas','https://dto.kemkes.go.id/kfacode/93000716',0,'2023-05-01');</v>
      </c>
    </row>
    <row r="81" spans="1:11" ht="15.75" customHeight="1">
      <c r="A81" s="2">
        <v>93001648</v>
      </c>
      <c r="B81" s="2" t="s">
        <v>1602</v>
      </c>
      <c r="C81" s="2">
        <v>92000943</v>
      </c>
      <c r="D81" s="2" t="s">
        <v>701</v>
      </c>
      <c r="E81" s="2" t="s">
        <v>1603</v>
      </c>
      <c r="F81" s="2" t="s">
        <v>702</v>
      </c>
      <c r="G81" s="2" t="s">
        <v>1530</v>
      </c>
      <c r="H81" s="2" t="s">
        <v>1458</v>
      </c>
      <c r="I81" s="3" t="str">
        <f t="shared" si="0"/>
        <v>https://dto.kemkes.go.id/kfacode/93001648</v>
      </c>
      <c r="J81" s="34" t="s">
        <v>3768</v>
      </c>
      <c r="K81" t="str">
        <f t="shared" si="2"/>
        <v>insert into mkatalog_kfa93 (kode, uraian, kode_92, uraian_92, nama_dagang, satuan_kecil, sediaan, golongan, url, userid_updt, sysdate_updt) values ('93001648','ASERING-5 Infus (ASERING-5)','92000943','ASERING-5 Infus','ASERING-5','Botol Plastik','Infus','Obat Keras','https://dto.kemkes.go.id/kfacode/93001648',0,'2023-05-01');</v>
      </c>
    </row>
    <row r="82" spans="1:11" ht="15.75" customHeight="1">
      <c r="A82" s="2">
        <v>93000310</v>
      </c>
      <c r="B82" s="2" t="s">
        <v>1604</v>
      </c>
      <c r="C82" s="2">
        <v>92000208</v>
      </c>
      <c r="D82" s="2" t="s">
        <v>703</v>
      </c>
      <c r="E82" s="2" t="s">
        <v>1605</v>
      </c>
      <c r="F82" s="2" t="s">
        <v>653</v>
      </c>
      <c r="G82" s="2" t="s">
        <v>1500</v>
      </c>
      <c r="H82" s="2" t="s">
        <v>1458</v>
      </c>
      <c r="I82" s="3" t="str">
        <f t="shared" si="0"/>
        <v>https://dto.kemkes.go.id/kfacode/93000310</v>
      </c>
      <c r="J82" s="34" t="s">
        <v>3768</v>
      </c>
      <c r="K82" t="str">
        <f t="shared" si="2"/>
        <v>insert into mkatalog_kfa93 (kode, uraian, kode_92, uraian_92, nama_dagang, satuan_kecil, sediaan, golongan, url, userid_updt, sysdate_updt) values ('93000310','Asparaginase 10.000 IU Serbuk Injeksi (LEUNASE)','92000208','Asparaginase 10.000 IU Serbuk Injeksi','LEUNASE','Vial','Serbuk Injeksi','Obat Keras','https://dto.kemkes.go.id/kfacode/93000310',0,'2023-05-01');</v>
      </c>
    </row>
    <row r="83" spans="1:11" ht="15.75" customHeight="1">
      <c r="A83" s="2">
        <v>93000731</v>
      </c>
      <c r="B83" s="2" t="s">
        <v>1606</v>
      </c>
      <c r="C83" s="2">
        <v>92000524</v>
      </c>
      <c r="D83" s="2" t="s">
        <v>704</v>
      </c>
      <c r="E83" s="2" t="s">
        <v>1607</v>
      </c>
      <c r="F83" s="2" t="s">
        <v>640</v>
      </c>
      <c r="G83" s="2" t="s">
        <v>1608</v>
      </c>
      <c r="H83" s="2" t="s">
        <v>1458</v>
      </c>
      <c r="I83" s="3" t="str">
        <f t="shared" si="0"/>
        <v>https://dto.kemkes.go.id/kfacode/93000731</v>
      </c>
      <c r="J83" s="34" t="s">
        <v>3768</v>
      </c>
      <c r="K83" t="str">
        <f t="shared" si="2"/>
        <v>insert into mkatalog_kfa93 (kode, uraian, kode_92, uraian_92, nama_dagang, satuan_kecil, sediaan, golongan, url, userid_updt, sysdate_updt) values ('93000731','Atorvastatin 20 mg Tablet (DEXA MEDICA - Indonesia - -)','92000524','Atorvastatin 20 mg Tablet','ATORVASTATIN CALCIUM TRIHYDRATE','Tablet','Tablet Pelepasan Lambat','Obat Keras','https://dto.kemkes.go.id/kfacode/93000731',0,'2023-05-01');</v>
      </c>
    </row>
    <row r="84" spans="1:11" ht="15.75" customHeight="1">
      <c r="A84" s="2">
        <v>93001127</v>
      </c>
      <c r="B84" s="2" t="s">
        <v>1609</v>
      </c>
      <c r="C84" s="2">
        <v>92000355</v>
      </c>
      <c r="D84" s="2" t="s">
        <v>706</v>
      </c>
      <c r="E84" s="2" t="s">
        <v>1607</v>
      </c>
      <c r="F84" s="2" t="s">
        <v>640</v>
      </c>
      <c r="G84" s="2" t="s">
        <v>1457</v>
      </c>
      <c r="H84" s="2" t="s">
        <v>1458</v>
      </c>
      <c r="I84" s="3" t="str">
        <f t="shared" si="0"/>
        <v>https://dto.kemkes.go.id/kfacode/93001127</v>
      </c>
      <c r="J84" s="34" t="s">
        <v>3768</v>
      </c>
      <c r="K84" t="str">
        <f t="shared" si="2"/>
        <v>insert into mkatalog_kfa93 (kode, uraian, kode_92, uraian_92, nama_dagang, satuan_kecil, sediaan, golongan, url, userid_updt, sysdate_updt) values ('93001127','Atorvastatin Calcium Trihydrate 10 mg Tablet Salut Selaput (DEXA MEDICA)','92000355','Atorvastatin Calcium Trihydrate 10 mg Tablet Salut Selaput','ATORVASTATIN CALCIUM TRIHYDRATE','Tablet','Tablet Salut Selaput','Obat Keras','https://dto.kemkes.go.id/kfacode/93001127',0,'2023-05-01');</v>
      </c>
    </row>
    <row r="85" spans="1:11" ht="15.75" customHeight="1">
      <c r="A85" s="2">
        <v>93001397</v>
      </c>
      <c r="B85" s="2" t="s">
        <v>1610</v>
      </c>
      <c r="C85" s="2">
        <v>92000742</v>
      </c>
      <c r="D85" s="2" t="s">
        <v>707</v>
      </c>
      <c r="E85" s="2" t="s">
        <v>1611</v>
      </c>
      <c r="F85" s="2" t="s">
        <v>645</v>
      </c>
      <c r="G85" s="2" t="s">
        <v>1506</v>
      </c>
      <c r="H85" s="2" t="s">
        <v>1458</v>
      </c>
      <c r="I85" s="3" t="str">
        <f t="shared" si="0"/>
        <v>https://dto.kemkes.go.id/kfacode/93001397</v>
      </c>
      <c r="J85" s="34" t="s">
        <v>3768</v>
      </c>
      <c r="K85" t="str">
        <f t="shared" si="2"/>
        <v>insert into mkatalog_kfa93 (kode, uraian, kode_92, uraian_92, nama_dagang, satuan_kecil, sediaan, golongan, url, userid_updt, sysdate_updt) values ('93001397','Atracurium Besilate 10 mg / mL Injeksi (ETHICA, 2,5 mL)','92000742','Atracurium Besilate 10 mg / mL Injeksi','ATRACURIUM BESILATE','Ampul','Larutan Injeksi','Obat Keras','https://dto.kemkes.go.id/kfacode/93001397',0,'2023-05-01');</v>
      </c>
    </row>
    <row r="86" spans="1:11" ht="15.75" customHeight="1">
      <c r="A86" s="2">
        <v>93001396</v>
      </c>
      <c r="B86" s="2" t="s">
        <v>1612</v>
      </c>
      <c r="C86" s="2">
        <v>92000742</v>
      </c>
      <c r="D86" s="2" t="s">
        <v>707</v>
      </c>
      <c r="E86" s="2" t="s">
        <v>1611</v>
      </c>
      <c r="F86" s="2" t="s">
        <v>645</v>
      </c>
      <c r="G86" s="2" t="s">
        <v>1506</v>
      </c>
      <c r="H86" s="2" t="s">
        <v>1458</v>
      </c>
      <c r="I86" s="3" t="str">
        <f t="shared" si="0"/>
        <v>https://dto.kemkes.go.id/kfacode/93001396</v>
      </c>
      <c r="J86" s="34" t="s">
        <v>3768</v>
      </c>
      <c r="K86" t="str">
        <f t="shared" si="2"/>
        <v>insert into mkatalog_kfa93 (kode, uraian, kode_92, uraian_92, nama_dagang, satuan_kecil, sediaan, golongan, url, userid_updt, sysdate_updt) values ('93001396','Atracurium Besilate 10 mg / mL Injeksi (ETHICA, 5 mL)','92000742','Atracurium Besilate 10 mg / mL Injeksi','ATRACURIUM BESILATE','Ampul','Larutan Injeksi','Obat Keras','https://dto.kemkes.go.id/kfacode/93001396',0,'2023-05-01');</v>
      </c>
    </row>
    <row r="87" spans="1:11" ht="15.75" customHeight="1">
      <c r="A87" s="2">
        <v>93000658</v>
      </c>
      <c r="B87" s="2" t="s">
        <v>1613</v>
      </c>
      <c r="C87" s="2">
        <v>92000114</v>
      </c>
      <c r="D87" s="2" t="s">
        <v>708</v>
      </c>
      <c r="E87" s="2" t="s">
        <v>1614</v>
      </c>
      <c r="F87" s="2" t="s">
        <v>645</v>
      </c>
      <c r="G87" s="2" t="s">
        <v>1506</v>
      </c>
      <c r="H87" s="2" t="s">
        <v>1458</v>
      </c>
      <c r="I87" s="3" t="str">
        <f t="shared" si="0"/>
        <v>https://dto.kemkes.go.id/kfacode/93000658</v>
      </c>
      <c r="J87" s="34" t="s">
        <v>3768</v>
      </c>
      <c r="K87" t="str">
        <f t="shared" si="2"/>
        <v>insert into mkatalog_kfa93 (kode, uraian, kode_92, uraian_92, nama_dagang, satuan_kecil, sediaan, golongan, url, userid_updt, sysdate_updt) values ('93000658','Atropine Sulfate 0,25 mg / mL Injeksi (ETHICA)','92000114','Atropine Sulfate 0,25 mg / mL Injeksi','ATROPINE SULFATE','Ampul','Larutan Injeksi','Obat Keras','https://dto.kemkes.go.id/kfacode/93000658',0,'2023-05-01');</v>
      </c>
    </row>
    <row r="88" spans="1:11" ht="15.75" customHeight="1">
      <c r="A88" s="2">
        <v>93000777</v>
      </c>
      <c r="B88" s="2" t="s">
        <v>1615</v>
      </c>
      <c r="C88" s="2">
        <v>92000549</v>
      </c>
      <c r="D88" s="2" t="s">
        <v>709</v>
      </c>
      <c r="E88" s="2" t="s">
        <v>1616</v>
      </c>
      <c r="F88" s="2" t="s">
        <v>640</v>
      </c>
      <c r="G88" s="2" t="s">
        <v>1457</v>
      </c>
      <c r="H88" s="2" t="s">
        <v>1458</v>
      </c>
      <c r="I88" s="3" t="str">
        <f t="shared" si="0"/>
        <v>https://dto.kemkes.go.id/kfacode/93000777</v>
      </c>
      <c r="J88" s="34" t="s">
        <v>3768</v>
      </c>
      <c r="K88" t="str">
        <f t="shared" si="2"/>
        <v>insert into mkatalog_kfa93 (kode, uraian, kode_92, uraian_92, nama_dagang, satuan_kecil, sediaan, golongan, url, userid_updt, sysdate_updt) values ('93000777','Azathioprine 50 mg Tablet Salut Selaput (IMURAN)','92000549','Azathioprine 50 mg Tablet Salut Selaput','IMURAN','Tablet','Tablet Salut Selaput','Obat Keras','https://dto.kemkes.go.id/kfacode/93000777',0,'2023-05-01');</v>
      </c>
    </row>
    <row r="89" spans="1:11" ht="15.75" customHeight="1">
      <c r="A89" s="2">
        <v>93000357</v>
      </c>
      <c r="B89" s="2" t="s">
        <v>1617</v>
      </c>
      <c r="C89" s="2">
        <v>92000230</v>
      </c>
      <c r="D89" s="2" t="s">
        <v>710</v>
      </c>
      <c r="E89" s="2" t="s">
        <v>1618</v>
      </c>
      <c r="F89" s="2" t="s">
        <v>660</v>
      </c>
      <c r="G89" s="2" t="s">
        <v>1619</v>
      </c>
      <c r="H89" s="2" t="s">
        <v>1458</v>
      </c>
      <c r="I89" s="3" t="str">
        <f t="shared" si="0"/>
        <v>https://dto.kemkes.go.id/kfacode/93000357</v>
      </c>
      <c r="J89" s="34" t="s">
        <v>3768</v>
      </c>
      <c r="K89" t="str">
        <f t="shared" si="2"/>
        <v>insert into mkatalog_kfa93 (kode, uraian, kode_92, uraian_92, nama_dagang, satuan_kecil, sediaan, golongan, url, userid_updt, sysdate_updt) values ('93000357','Azithromycin 500 mg Kaplet Salut Selaput (HEXPHARM JAYA LABORATORIES)','92000230','Azithromycin 500 mg Kaplet Salut Selaput','AZITHROMYCIN DIHYDRATE','Kaplet','Kaplet Salut Selaput','Obat Keras','https://dto.kemkes.go.id/kfacode/93000357',0,'2023-05-01');</v>
      </c>
    </row>
    <row r="90" spans="1:11" ht="15.75" customHeight="1">
      <c r="A90" s="2">
        <v>93000359</v>
      </c>
      <c r="B90" s="2" t="s">
        <v>1620</v>
      </c>
      <c r="C90" s="2">
        <v>92000230</v>
      </c>
      <c r="D90" s="2" t="s">
        <v>710</v>
      </c>
      <c r="E90" s="2" t="s">
        <v>1621</v>
      </c>
      <c r="F90" s="2" t="s">
        <v>660</v>
      </c>
      <c r="G90" s="2" t="s">
        <v>1619</v>
      </c>
      <c r="H90" s="2" t="s">
        <v>1458</v>
      </c>
      <c r="I90" s="3" t="str">
        <f t="shared" si="0"/>
        <v>https://dto.kemkes.go.id/kfacode/93000359</v>
      </c>
      <c r="J90" s="34" t="s">
        <v>3768</v>
      </c>
      <c r="K90" t="str">
        <f t="shared" si="2"/>
        <v>insert into mkatalog_kfa93 (kode, uraian, kode_92, uraian_92, nama_dagang, satuan_kecil, sediaan, golongan, url, userid_updt, sysdate_updt) values ('93000359','Azithromycin 500 mg Kaplet Salut Selaput (KIMIA FARMA)','92000230','Azithromycin 500 mg Kaplet Salut Selaput','AZITHROMYCIN','Kaplet','Kaplet Salut Selaput','Obat Keras','https://dto.kemkes.go.id/kfacode/93000359',0,'2023-05-01');</v>
      </c>
    </row>
    <row r="91" spans="1:11" ht="15.75" customHeight="1">
      <c r="A91" s="2">
        <v>93000813</v>
      </c>
      <c r="B91" s="2" t="s">
        <v>1622</v>
      </c>
      <c r="C91" s="2">
        <v>92000338</v>
      </c>
      <c r="D91" s="2" t="s">
        <v>711</v>
      </c>
      <c r="E91" s="2" t="s">
        <v>1618</v>
      </c>
      <c r="F91" s="2" t="s">
        <v>653</v>
      </c>
      <c r="G91" s="2" t="s">
        <v>1500</v>
      </c>
      <c r="H91" s="2" t="s">
        <v>1458</v>
      </c>
      <c r="I91" s="3" t="str">
        <f t="shared" si="0"/>
        <v>https://dto.kemkes.go.id/kfacode/93000813</v>
      </c>
      <c r="J91" s="34" t="s">
        <v>3768</v>
      </c>
      <c r="K91" t="str">
        <f t="shared" si="2"/>
        <v>insert into mkatalog_kfa93 (kode, uraian, kode_92, uraian_92, nama_dagang, satuan_kecil, sediaan, golongan, url, userid_updt, sysdate_updt) values ('93000813','Azithromycin 500 mg Serbuk Injeksi (BERNOFARM)','92000338','Azithromycin 500 mg Serbuk Injeksi','AZITHROMYCIN DIHYDRATE','Vial','Serbuk Injeksi','Obat Keras','https://dto.kemkes.go.id/kfacode/93000813',0,'2023-05-01');</v>
      </c>
    </row>
    <row r="92" spans="1:11" ht="15.75" customHeight="1">
      <c r="A92" s="2">
        <v>93001034</v>
      </c>
      <c r="B92" s="2" t="s">
        <v>1623</v>
      </c>
      <c r="C92" s="2">
        <v>92000338</v>
      </c>
      <c r="D92" s="2" t="s">
        <v>711</v>
      </c>
      <c r="E92" s="2" t="s">
        <v>1618</v>
      </c>
      <c r="F92" s="2" t="s">
        <v>653</v>
      </c>
      <c r="G92" s="2" t="s">
        <v>1500</v>
      </c>
      <c r="H92" s="2" t="s">
        <v>1458</v>
      </c>
      <c r="I92" s="3" t="str">
        <f t="shared" si="0"/>
        <v>https://dto.kemkes.go.id/kfacode/93001034</v>
      </c>
      <c r="J92" s="34" t="s">
        <v>3768</v>
      </c>
      <c r="K92" t="str">
        <f t="shared" si="2"/>
        <v>insert into mkatalog_kfa93 (kode, uraian, kode_92, uraian_92, nama_dagang, satuan_kecil, sediaan, golongan, url, userid_updt, sysdate_updt) values ('93001034','Azithromycin 500 mg Serbuk Injeksi (NATURA LABORATORIA PRIMA)','92000338','Azithromycin 500 mg Serbuk Injeksi','AZITHROMYCIN DIHYDRATE','Vial','Serbuk Injeksi','Obat Keras','https://dto.kemkes.go.id/kfacode/93001034',0,'2023-05-01');</v>
      </c>
    </row>
    <row r="93" spans="1:11" ht="15.75" customHeight="1">
      <c r="A93" s="2">
        <v>93001005</v>
      </c>
      <c r="B93" s="2" t="s">
        <v>1624</v>
      </c>
      <c r="C93" s="2">
        <v>92000702</v>
      </c>
      <c r="D93" s="2" t="s">
        <v>712</v>
      </c>
      <c r="E93" s="2" t="s">
        <v>1625</v>
      </c>
      <c r="F93" s="2" t="s">
        <v>713</v>
      </c>
      <c r="G93" s="2" t="s">
        <v>1457</v>
      </c>
      <c r="H93" s="2" t="s">
        <v>1458</v>
      </c>
      <c r="I93" s="3" t="str">
        <f t="shared" si="0"/>
        <v>https://dto.kemkes.go.id/kfacode/93001005</v>
      </c>
      <c r="J93" s="34" t="s">
        <v>3768</v>
      </c>
      <c r="K93" t="str">
        <f t="shared" si="2"/>
        <v>insert into mkatalog_kfa93 (kode, uraian, kode_92, uraian_92, nama_dagang, satuan_kecil, sediaan, golongan, url, userid_updt, sysdate_updt) values ('93001005','Azithromycin Dihydrate 500 mg / Cefixime Trihydrate 200 mg Tablet Salut Selaput (KIMIA FARMA)','92000702','Azithromycin Dihydrate 500 mg / Cefixime Trihydrate 200 mg Tablet Salut Selaput','KOMBIPAK AZITHROMYCIN - CEFIXIME','Pasang','Tablet Salut Selaput','Obat Keras','https://dto.kemkes.go.id/kfacode/93001005',0,'2023-05-01');</v>
      </c>
    </row>
    <row r="94" spans="1:11" ht="15.75" customHeight="1">
      <c r="A94" s="2">
        <v>93000414</v>
      </c>
      <c r="B94" s="2" t="s">
        <v>1626</v>
      </c>
      <c r="C94" s="2">
        <v>92000297</v>
      </c>
      <c r="D94" s="2" t="s">
        <v>714</v>
      </c>
      <c r="E94" s="2" t="s">
        <v>1627</v>
      </c>
      <c r="F94" s="2" t="s">
        <v>655</v>
      </c>
      <c r="G94" s="2" t="s">
        <v>1628</v>
      </c>
      <c r="H94" s="2" t="s">
        <v>1458</v>
      </c>
      <c r="I94" s="3" t="str">
        <f t="shared" si="0"/>
        <v>https://dto.kemkes.go.id/kfacode/93000414</v>
      </c>
      <c r="J94" s="34" t="s">
        <v>3768</v>
      </c>
      <c r="K94" t="str">
        <f t="shared" si="2"/>
        <v>insert into mkatalog_kfa93 (kode, uraian, kode_92, uraian_92, nama_dagang, satuan_kecil, sediaan, golongan, url, userid_updt, sysdate_updt) values ('93000414','Bacitracin 500 IU / Polymyxin B 10.000 IU Salep (INDOFARMA)','92000297','Bacitracin 500 IU / Polymyxin B 10.000 IU Salep','BACITRACIN - POLYMYXIN B','Tube','Salep','Obat Keras','https://dto.kemkes.go.id/kfacode/93000414',0,'2023-05-01');</v>
      </c>
    </row>
    <row r="95" spans="1:11" ht="15.75" customHeight="1">
      <c r="A95" s="2">
        <v>93000918</v>
      </c>
      <c r="B95" s="2" t="s">
        <v>1629</v>
      </c>
      <c r="C95" s="2">
        <v>92000641</v>
      </c>
      <c r="D95" s="2" t="s">
        <v>715</v>
      </c>
      <c r="E95" s="2" t="s">
        <v>1630</v>
      </c>
      <c r="F95" s="2" t="s">
        <v>653</v>
      </c>
      <c r="G95" s="2" t="s">
        <v>1500</v>
      </c>
      <c r="H95" s="2" t="s">
        <v>1458</v>
      </c>
      <c r="I95" s="3" t="str">
        <f t="shared" si="0"/>
        <v>https://dto.kemkes.go.id/kfacode/93000918</v>
      </c>
      <c r="J95" s="34" t="s">
        <v>3768</v>
      </c>
      <c r="K95" t="str">
        <f t="shared" si="2"/>
        <v>insert into mkatalog_kfa93 (kode, uraian, kode_92, uraian_92, nama_dagang, satuan_kecil, sediaan, golongan, url, userid_updt, sysdate_updt) values ('93000918','Basiliximab 20 mg Serbuk Injeksi (SIMULECT)','92000641','Basiliximab 20 mg Serbuk Injeksi','SIMULECT','Vial','Serbuk Injeksi','Obat Keras','https://dto.kemkes.go.id/kfacode/93000918',0,'2023-05-01');</v>
      </c>
    </row>
    <row r="96" spans="1:11" ht="15.75" customHeight="1">
      <c r="A96" s="2">
        <v>93000402</v>
      </c>
      <c r="B96" s="2" t="s">
        <v>1631</v>
      </c>
      <c r="C96" s="2">
        <v>92000290</v>
      </c>
      <c r="D96" s="2" t="s">
        <v>716</v>
      </c>
      <c r="E96" s="2" t="s">
        <v>1632</v>
      </c>
      <c r="F96" s="2" t="s">
        <v>640</v>
      </c>
      <c r="G96" s="2" t="s">
        <v>640</v>
      </c>
      <c r="H96" s="2" t="s">
        <v>1458</v>
      </c>
      <c r="I96" s="3" t="str">
        <f t="shared" si="0"/>
        <v>https://dto.kemkes.go.id/kfacode/93000402</v>
      </c>
      <c r="J96" s="34" t="s">
        <v>3768</v>
      </c>
      <c r="K96" t="str">
        <f t="shared" si="2"/>
        <v>insert into mkatalog_kfa93 (kode, uraian, kode_92, uraian_92, nama_dagang, satuan_kecil, sediaan, golongan, url, userid_updt, sysdate_updt) values ('93000402','Bedaquiline Fumarate 100 mg Tablet (SIRTURO)','92000290','Bedaquiline Fumarate 100 mg Tablet','SIRTURO','Tablet','Tablet','Obat Keras','https://dto.kemkes.go.id/kfacode/93000402',0,'2023-05-01');</v>
      </c>
    </row>
    <row r="97" spans="1:11" ht="15.75" customHeight="1">
      <c r="A97" s="2">
        <v>93000229</v>
      </c>
      <c r="B97" s="2" t="s">
        <v>1633</v>
      </c>
      <c r="C97" s="2">
        <v>92000232</v>
      </c>
      <c r="D97" s="2" t="s">
        <v>717</v>
      </c>
      <c r="E97" s="2" t="s">
        <v>1634</v>
      </c>
      <c r="F97" s="2" t="s">
        <v>653</v>
      </c>
      <c r="G97" s="2" t="s">
        <v>1500</v>
      </c>
      <c r="H97" s="2" t="s">
        <v>1458</v>
      </c>
      <c r="I97" s="3" t="str">
        <f t="shared" si="0"/>
        <v>https://dto.kemkes.go.id/kfacode/93000229</v>
      </c>
      <c r="J97" s="34" t="s">
        <v>3768</v>
      </c>
      <c r="K97" t="str">
        <f t="shared" si="2"/>
        <v>insert into mkatalog_kfa93 (kode, uraian, kode_92, uraian_92, nama_dagang, satuan_kecil, sediaan, golongan, url, userid_updt, sysdate_updt) values ('93000229','Bendamustine Hydrochloride Monohydrate 5 mg / mL Serbuk Injeksi (BENTERO, 100 mg)','92000232','Bendamustine Hydrochloride Monohydrate 5 mg / mL Serbuk Injeksi','BENTERO 100','Vial','Serbuk Injeksi','Obat Keras','https://dto.kemkes.go.id/kfacode/93000229',0,'2023-05-01');</v>
      </c>
    </row>
    <row r="98" spans="1:11" ht="15.75" customHeight="1">
      <c r="A98" s="2">
        <v>93000230</v>
      </c>
      <c r="B98" s="2" t="s">
        <v>1635</v>
      </c>
      <c r="C98" s="2">
        <v>92000232</v>
      </c>
      <c r="D98" s="2" t="s">
        <v>717</v>
      </c>
      <c r="E98" s="2" t="s">
        <v>1636</v>
      </c>
      <c r="F98" s="2" t="s">
        <v>653</v>
      </c>
      <c r="G98" s="2" t="s">
        <v>1500</v>
      </c>
      <c r="H98" s="2" t="s">
        <v>1458</v>
      </c>
      <c r="I98" s="3" t="str">
        <f t="shared" si="0"/>
        <v>https://dto.kemkes.go.id/kfacode/93000230</v>
      </c>
      <c r="J98" s="34" t="s">
        <v>3768</v>
      </c>
      <c r="K98" t="str">
        <f t="shared" si="2"/>
        <v>insert into mkatalog_kfa93 (kode, uraian, kode_92, uraian_92, nama_dagang, satuan_kecil, sediaan, golongan, url, userid_updt, sysdate_updt) values ('93000230','Bendamustine Hydrochloride Monohydrate 5 mg / mL Serbuk Injeksi (BENTERO, 25 mg)','92000232','Bendamustine Hydrochloride Monohydrate 5 mg / mL Serbuk Injeksi','BENTERO 25','Vial','Serbuk Injeksi','Obat Keras','https://dto.kemkes.go.id/kfacode/93000230',0,'2023-05-01');</v>
      </c>
    </row>
    <row r="99" spans="1:11" ht="15.75" customHeight="1">
      <c r="A99" s="2">
        <v>93000232</v>
      </c>
      <c r="B99" s="2" t="s">
        <v>1637</v>
      </c>
      <c r="C99" s="2">
        <v>92000232</v>
      </c>
      <c r="D99" s="2" t="s">
        <v>717</v>
      </c>
      <c r="E99" s="2" t="s">
        <v>1638</v>
      </c>
      <c r="F99" s="2" t="s">
        <v>653</v>
      </c>
      <c r="G99" s="2" t="s">
        <v>1500</v>
      </c>
      <c r="H99" s="2" t="s">
        <v>1458</v>
      </c>
      <c r="I99" s="3" t="str">
        <f t="shared" si="0"/>
        <v>https://dto.kemkes.go.id/kfacode/93000232</v>
      </c>
      <c r="J99" s="34" t="s">
        <v>3768</v>
      </c>
      <c r="K99" t="str">
        <f t="shared" si="2"/>
        <v>insert into mkatalog_kfa93 (kode, uraian, kode_92, uraian_92, nama_dagang, satuan_kecil, sediaan, golongan, url, userid_updt, sysdate_updt) values ('93000232','Bendamustine Hydrochloride Monohydrate 5 mg / mL Serbuk Injeksi (DENBAMUS, 100 mg)','92000232','Bendamustine Hydrochloride Monohydrate 5 mg / mL Serbuk Injeksi','DENBAMUS','Vial','Serbuk Injeksi','Obat Keras','https://dto.kemkes.go.id/kfacode/93000232',0,'2023-05-01');</v>
      </c>
    </row>
    <row r="100" spans="1:11" ht="15.75" customHeight="1">
      <c r="A100" s="2">
        <v>93000227</v>
      </c>
      <c r="B100" s="2" t="s">
        <v>1639</v>
      </c>
      <c r="C100" s="2">
        <v>92000232</v>
      </c>
      <c r="D100" s="2" t="s">
        <v>717</v>
      </c>
      <c r="E100" s="2" t="s">
        <v>1640</v>
      </c>
      <c r="F100" s="2" t="s">
        <v>653</v>
      </c>
      <c r="G100" s="2" t="s">
        <v>1500</v>
      </c>
      <c r="H100" s="2" t="s">
        <v>1458</v>
      </c>
      <c r="I100" s="3" t="str">
        <f t="shared" si="0"/>
        <v>https://dto.kemkes.go.id/kfacode/93000227</v>
      </c>
      <c r="J100" s="34" t="s">
        <v>3768</v>
      </c>
      <c r="K100" t="str">
        <f t="shared" si="2"/>
        <v>insert into mkatalog_kfa93 (kode, uraian, kode_92, uraian_92, nama_dagang, satuan_kecil, sediaan, golongan, url, userid_updt, sysdate_updt) values ('93000227','Bendamustine Hydrochloride Monohydrate 5 mg / mL Serbuk Injeksi (FONKOMUSTIN, 100 mg)','92000232','Bendamustine Hydrochloride Monohydrate 5 mg / mL Serbuk Injeksi','FONKOMUSTIN','Vial','Serbuk Injeksi','Obat Keras','https://dto.kemkes.go.id/kfacode/93000227',0,'2023-05-01');</v>
      </c>
    </row>
    <row r="101" spans="1:11" ht="15.75" customHeight="1">
      <c r="A101" s="2">
        <v>93000228</v>
      </c>
      <c r="B101" s="2" t="s">
        <v>1641</v>
      </c>
      <c r="C101" s="2">
        <v>92000232</v>
      </c>
      <c r="D101" s="2" t="s">
        <v>717</v>
      </c>
      <c r="E101" s="2" t="s">
        <v>1640</v>
      </c>
      <c r="F101" s="2" t="s">
        <v>653</v>
      </c>
      <c r="G101" s="2" t="s">
        <v>1500</v>
      </c>
      <c r="H101" s="2" t="s">
        <v>1458</v>
      </c>
      <c r="I101" s="3" t="str">
        <f t="shared" si="0"/>
        <v>https://dto.kemkes.go.id/kfacode/93000228</v>
      </c>
      <c r="J101" s="34" t="s">
        <v>3768</v>
      </c>
      <c r="K101" t="str">
        <f t="shared" si="2"/>
        <v>insert into mkatalog_kfa93 (kode, uraian, kode_92, uraian_92, nama_dagang, satuan_kecil, sediaan, golongan, url, userid_updt, sysdate_updt) values ('93000228','Bendamustine Hydrochloride Monohydrate 5 mg / mL Serbuk Injeksi (FONKOMUSTIN, 25 mg)','92000232','Bendamustine Hydrochloride Monohydrate 5 mg / mL Serbuk Injeksi','FONKOMUSTIN','Vial','Serbuk Injeksi','Obat Keras','https://dto.kemkes.go.id/kfacode/93000228',0,'2023-05-01');</v>
      </c>
    </row>
    <row r="102" spans="1:11" ht="15.75" customHeight="1">
      <c r="A102" s="2">
        <v>93001564</v>
      </c>
      <c r="B102" s="2" t="s">
        <v>1642</v>
      </c>
      <c r="C102" s="2">
        <v>92000897</v>
      </c>
      <c r="D102" s="2" t="s">
        <v>718</v>
      </c>
      <c r="E102" s="2" t="s">
        <v>1643</v>
      </c>
      <c r="F102" s="2" t="s">
        <v>640</v>
      </c>
      <c r="G102" s="2" t="s">
        <v>640</v>
      </c>
      <c r="H102" s="2" t="s">
        <v>1458</v>
      </c>
      <c r="I102" s="3" t="str">
        <f t="shared" si="0"/>
        <v>https://dto.kemkes.go.id/kfacode/93001564</v>
      </c>
      <c r="J102" s="34" t="s">
        <v>3768</v>
      </c>
      <c r="K102" t="str">
        <f t="shared" si="2"/>
        <v>insert into mkatalog_kfa93 (kode, uraian, kode_92, uraian_92, nama_dagang, satuan_kecil, sediaan, golongan, url, userid_updt, sysdate_updt) values ('93001564','Benserazide 25 mg / Levodopa 100 mg Tablet (LEVOBEN)','92000897','Benserazide 25 mg / Levodopa 100 mg Tablet','LEVOBEN','Tablet','Tablet','Obat Keras','https://dto.kemkes.go.id/kfacode/93001564',0,'2023-05-01');</v>
      </c>
    </row>
    <row r="103" spans="1:11" ht="15.75" customHeight="1">
      <c r="A103" s="2">
        <v>93001632</v>
      </c>
      <c r="B103" s="2" t="s">
        <v>1644</v>
      </c>
      <c r="C103" s="2">
        <v>92000897</v>
      </c>
      <c r="D103" s="2" t="s">
        <v>718</v>
      </c>
      <c r="E103" s="2" t="s">
        <v>1645</v>
      </c>
      <c r="F103" s="2" t="s">
        <v>640</v>
      </c>
      <c r="G103" s="2" t="s">
        <v>640</v>
      </c>
      <c r="H103" s="2" t="s">
        <v>1458</v>
      </c>
      <c r="I103" s="3" t="str">
        <f t="shared" si="0"/>
        <v>https://dto.kemkes.go.id/kfacode/93001632</v>
      </c>
      <c r="J103" s="34" t="s">
        <v>3768</v>
      </c>
      <c r="K103" t="str">
        <f t="shared" si="2"/>
        <v>insert into mkatalog_kfa93 (kode, uraian, kode_92, uraian_92, nama_dagang, satuan_kecil, sediaan, golongan, url, userid_updt, sysdate_updt) values ('93001632','Benserazide 25 mg / Levodopa 100 mg Tablet (LEVOPAR)','92000897','Benserazide 25 mg / Levodopa 100 mg Tablet','LEVOPAR','Tablet','Tablet','Obat Keras','https://dto.kemkes.go.id/kfacode/93001632',0,'2023-05-01');</v>
      </c>
    </row>
    <row r="104" spans="1:11" ht="15.75" customHeight="1">
      <c r="A104" s="2">
        <v>93000278</v>
      </c>
      <c r="B104" s="2" t="s">
        <v>1646</v>
      </c>
      <c r="C104" s="2">
        <v>92000241</v>
      </c>
      <c r="D104" s="2" t="s">
        <v>719</v>
      </c>
      <c r="E104" s="2" t="s">
        <v>1647</v>
      </c>
      <c r="F104" s="2" t="s">
        <v>640</v>
      </c>
      <c r="G104" s="2" t="s">
        <v>1648</v>
      </c>
      <c r="H104" s="2" t="s">
        <v>1458</v>
      </c>
      <c r="I104" s="3" t="str">
        <f t="shared" si="0"/>
        <v>https://dto.kemkes.go.id/kfacode/93000278</v>
      </c>
      <c r="J104" s="34" t="s">
        <v>3768</v>
      </c>
      <c r="K104" t="str">
        <f t="shared" si="2"/>
        <v>insert into mkatalog_kfa93 (kode, uraian, kode_92, uraian_92, nama_dagang, satuan_kecil, sediaan, golongan, url, userid_updt, sysdate_updt) values ('93000278','Benserazide 25 mg / Levodopa 100 mg Tablet Dispersible (MADOPAR)','92000241','Benserazide 25 mg / Levodopa 100 mg Tablet Dispersible','MADOPAR','Tablet','Tablet Dispersibel','Obat Keras','https://dto.kemkes.go.id/kfacode/93000278',0,'2023-05-01');</v>
      </c>
    </row>
    <row r="105" spans="1:11" ht="15.75" customHeight="1">
      <c r="A105" s="2">
        <v>93000306</v>
      </c>
      <c r="B105" s="2" t="s">
        <v>1649</v>
      </c>
      <c r="C105" s="2">
        <v>92000204</v>
      </c>
      <c r="D105" s="2" t="s">
        <v>720</v>
      </c>
      <c r="E105" s="2" t="s">
        <v>1650</v>
      </c>
      <c r="F105" s="2" t="s">
        <v>653</v>
      </c>
      <c r="G105" s="2" t="s">
        <v>1500</v>
      </c>
      <c r="H105" s="2" t="s">
        <v>1458</v>
      </c>
      <c r="I105" s="3" t="str">
        <f t="shared" si="0"/>
        <v>https://dto.kemkes.go.id/kfacode/93000306</v>
      </c>
      <c r="J105" s="34" t="s">
        <v>3768</v>
      </c>
      <c r="K105" t="str">
        <f t="shared" si="2"/>
        <v>insert into mkatalog_kfa93 (kode, uraian, kode_92, uraian_92, nama_dagang, satuan_kecil, sediaan, golongan, url, userid_updt, sysdate_updt) values ('93000306','Benzathine Benzilpenicillin 1.200.000 IU Serbuk Injeksi (PHAPROS Tbk)','92000204','Benzathine Benzilpenicillin 1.200.000 IU Serbuk Injeksi','BENZATHINE BENZILPENICILLIN','Vial','Serbuk Injeksi','Obat Keras','https://dto.kemkes.go.id/kfacode/93000306',0,'2023-05-01');</v>
      </c>
    </row>
    <row r="106" spans="1:11" ht="15.75" customHeight="1">
      <c r="A106" s="2">
        <v>93000884</v>
      </c>
      <c r="B106" s="2" t="s">
        <v>1651</v>
      </c>
      <c r="C106" s="2">
        <v>92000623</v>
      </c>
      <c r="D106" s="2" t="s">
        <v>721</v>
      </c>
      <c r="E106" s="2" t="s">
        <v>1652</v>
      </c>
      <c r="F106" s="2" t="s">
        <v>653</v>
      </c>
      <c r="G106" s="2" t="s">
        <v>1500</v>
      </c>
      <c r="H106" s="2" t="s">
        <v>1458</v>
      </c>
      <c r="I106" s="3" t="str">
        <f t="shared" si="0"/>
        <v>https://dto.kemkes.go.id/kfacode/93000884</v>
      </c>
      <c r="J106" s="34" t="s">
        <v>3768</v>
      </c>
      <c r="K106" t="str">
        <f t="shared" si="2"/>
        <v>insert into mkatalog_kfa93 (kode, uraian, kode_92, uraian_92, nama_dagang, satuan_kecil, sediaan, golongan, url, userid_updt, sysdate_updt) values ('93000884','Benzathine Benzilpenicillin 2.400.000 IU Serbuk Injeksi (PHAPROS Tbk)','92000623','Benzathine Benzilpenicillin 2.400.000 IU Serbuk Injeksi','BENZATHINE BENZYLPENICILLIN','Vial','Serbuk Injeksi','Obat Keras','https://dto.kemkes.go.id/kfacode/93000884',0,'2023-05-01');</v>
      </c>
    </row>
    <row r="107" spans="1:11" ht="15.75" customHeight="1">
      <c r="A107" s="2">
        <v>93000967</v>
      </c>
      <c r="B107" s="2" t="s">
        <v>1653</v>
      </c>
      <c r="C107" s="2">
        <v>92000669</v>
      </c>
      <c r="D107" s="2" t="s">
        <v>722</v>
      </c>
      <c r="E107" s="2" t="s">
        <v>1654</v>
      </c>
      <c r="F107" s="2" t="s">
        <v>640</v>
      </c>
      <c r="G107" s="2" t="s">
        <v>640</v>
      </c>
      <c r="H107" s="2" t="s">
        <v>1458</v>
      </c>
      <c r="I107" s="3" t="str">
        <f t="shared" si="0"/>
        <v>https://dto.kemkes.go.id/kfacode/93000967</v>
      </c>
      <c r="J107" s="34" t="s">
        <v>3768</v>
      </c>
      <c r="K107" t="str">
        <f t="shared" si="2"/>
        <v>insert into mkatalog_kfa93 (kode, uraian, kode_92, uraian_92, nama_dagang, satuan_kecil, sediaan, golongan, url, userid_updt, sysdate_updt) values ('93000967','Beraprost Sodium 20 mcg Tablet (EG10021712000020 Nama ObatDORNER)','92000669','Beraprost Sodium 20 mcg Tablet','DORNER','Tablet','Tablet','Obat Keras','https://dto.kemkes.go.id/kfacode/93000967',0,'2023-05-01');</v>
      </c>
    </row>
    <row r="108" spans="1:11" ht="15.75" customHeight="1">
      <c r="A108" s="2">
        <v>93000841</v>
      </c>
      <c r="B108" s="2" t="s">
        <v>1655</v>
      </c>
      <c r="C108" s="2">
        <v>92000451</v>
      </c>
      <c r="D108" s="2" t="s">
        <v>36</v>
      </c>
      <c r="E108" s="2" t="s">
        <v>1656</v>
      </c>
      <c r="F108" s="2" t="s">
        <v>640</v>
      </c>
      <c r="G108" s="2" t="s">
        <v>640</v>
      </c>
      <c r="H108" s="2" t="s">
        <v>1458</v>
      </c>
      <c r="I108" s="3" t="str">
        <f t="shared" si="0"/>
        <v>https://dto.kemkes.go.id/kfacode/93000841</v>
      </c>
      <c r="J108" s="34" t="s">
        <v>3768</v>
      </c>
      <c r="K108" t="str">
        <f t="shared" si="2"/>
        <v>insert into mkatalog_kfa93 (kode, uraian, kode_92, uraian_92, nama_dagang, satuan_kecil, sediaan, golongan, url, userid_updt, sysdate_updt) values ('93000841','Betahistine Hydrochloride 24 mg Tablet (YARINDO FARMATAMA)','92000451','Betahistine Hydrochloride 24 mg Tablet','BETAHISTINE HYDROCHLORIDE','Tablet','Tablet','Obat Keras','https://dto.kemkes.go.id/kfacode/93000841',0,'2023-05-01');</v>
      </c>
    </row>
    <row r="109" spans="1:11" ht="15.75" customHeight="1">
      <c r="A109" s="2">
        <v>93001416</v>
      </c>
      <c r="B109" s="2" t="s">
        <v>1657</v>
      </c>
      <c r="C109" s="2">
        <v>92000832</v>
      </c>
      <c r="D109" s="2" t="s">
        <v>723</v>
      </c>
      <c r="E109" s="2" t="s">
        <v>1658</v>
      </c>
      <c r="F109" s="2" t="s">
        <v>640</v>
      </c>
      <c r="G109" s="2" t="s">
        <v>640</v>
      </c>
      <c r="H109" s="2" t="s">
        <v>1458</v>
      </c>
      <c r="I109" s="3" t="str">
        <f t="shared" si="0"/>
        <v>https://dto.kemkes.go.id/kfacode/93001416</v>
      </c>
      <c r="J109" s="34" t="s">
        <v>3768</v>
      </c>
      <c r="K109" t="str">
        <f t="shared" si="2"/>
        <v>insert into mkatalog_kfa93 (kode, uraian, kode_92, uraian_92, nama_dagang, satuan_kecil, sediaan, golongan, url, userid_updt, sysdate_updt) values ('93001416','Betahistine Mesilate 6 mg Tablet (DEXA MEDICA)','92000832','Betahistine Mesilate 6 mg Tablet','BETAHISTINE MESILATE','Tablet','Tablet','Obat Keras','https://dto.kemkes.go.id/kfacode/93001416',0,'2023-05-01');</v>
      </c>
    </row>
    <row r="110" spans="1:11" ht="15.75" customHeight="1">
      <c r="A110" s="2">
        <v>93000810</v>
      </c>
      <c r="B110" s="2" t="s">
        <v>1659</v>
      </c>
      <c r="C110" s="2">
        <v>92000572</v>
      </c>
      <c r="D110" s="2" t="s">
        <v>724</v>
      </c>
      <c r="E110" s="2" t="s">
        <v>1660</v>
      </c>
      <c r="F110" s="2" t="s">
        <v>655</v>
      </c>
      <c r="G110" s="2" t="s">
        <v>1661</v>
      </c>
      <c r="H110" s="2" t="s">
        <v>1458</v>
      </c>
      <c r="I110" s="3" t="str">
        <f t="shared" si="0"/>
        <v>https://dto.kemkes.go.id/kfacode/93000810</v>
      </c>
      <c r="J110" s="34" t="s">
        <v>3768</v>
      </c>
      <c r="K110" t="str">
        <f t="shared" si="2"/>
        <v>insert into mkatalog_kfa93 (kode, uraian, kode_92, uraian_92, nama_dagang, satuan_kecil, sediaan, golongan, url, userid_updt, sysdate_updt) values ('93000810','Betamethasone 0,1% Krim (KIMIA FARMA Tbk.)','92000572','Betamethasone 0,1% Krim','BETAMETHASONE VALERATE','Tube','Krim','Obat Keras','https://dto.kemkes.go.id/kfacode/93000810',0,'2023-05-01');</v>
      </c>
    </row>
    <row r="111" spans="1:11" ht="15.75" customHeight="1">
      <c r="A111" s="2">
        <v>93000902</v>
      </c>
      <c r="B111" s="2" t="s">
        <v>1662</v>
      </c>
      <c r="C111" s="2">
        <v>92000542</v>
      </c>
      <c r="D111" s="2" t="s">
        <v>725</v>
      </c>
      <c r="E111" s="2" t="s">
        <v>1663</v>
      </c>
      <c r="F111" s="2" t="s">
        <v>655</v>
      </c>
      <c r="G111" s="2" t="s">
        <v>1661</v>
      </c>
      <c r="H111" s="2" t="s">
        <v>1458</v>
      </c>
      <c r="I111" s="3" t="str">
        <f t="shared" si="0"/>
        <v>https://dto.kemkes.go.id/kfacode/93000902</v>
      </c>
      <c r="J111" s="34" t="s">
        <v>3768</v>
      </c>
      <c r="K111" t="str">
        <f t="shared" si="2"/>
        <v>insert into mkatalog_kfa93 (kode, uraian, kode_92, uraian_92, nama_dagang, satuan_kecil, sediaan, golongan, url, userid_updt, sysdate_updt) values ('93000902','Betamethasone 0.05% Krim (TEMPO SCAN PACIFIC Tbk)','92000542','Betamethasone 0.05% Krim','BETAMETHASONE DIPROPIONATE','Tube','Krim','Obat Keras','https://dto.kemkes.go.id/kfacode/93000902',0,'2023-05-01');</v>
      </c>
    </row>
    <row r="112" spans="1:11" ht="15.75" customHeight="1">
      <c r="A112" s="2">
        <v>93000696</v>
      </c>
      <c r="B112" s="2" t="s">
        <v>1664</v>
      </c>
      <c r="C112" s="2">
        <v>92000501</v>
      </c>
      <c r="D112" s="2" t="s">
        <v>726</v>
      </c>
      <c r="E112" s="2" t="s">
        <v>1665</v>
      </c>
      <c r="F112" s="2" t="s">
        <v>671</v>
      </c>
      <c r="G112" s="2" t="s">
        <v>1530</v>
      </c>
      <c r="H112" s="2" t="s">
        <v>1458</v>
      </c>
      <c r="I112" s="3" t="str">
        <f t="shared" si="0"/>
        <v>https://dto.kemkes.go.id/kfacode/93000696</v>
      </c>
      <c r="J112" s="34" t="s">
        <v>3768</v>
      </c>
      <c r="K112" t="str">
        <f t="shared" si="2"/>
        <v>insert into mkatalog_kfa93 (kode, uraian, kode_92, uraian_92, nama_dagang, satuan_kecil, sediaan, golongan, url, userid_updt, sysdate_updt) values ('93000696','Bfluid Infus (BFLUID, 1000 mL)','92000501','Bfluid Infus','BFLUID','Kantong','Infus','Obat Keras','https://dto.kemkes.go.id/kfacode/93000696',0,'2023-05-01');</v>
      </c>
    </row>
    <row r="113" spans="1:11" ht="15.75" customHeight="1">
      <c r="A113" s="2">
        <v>93000695</v>
      </c>
      <c r="B113" s="2" t="s">
        <v>1666</v>
      </c>
      <c r="C113" s="2">
        <v>92000501</v>
      </c>
      <c r="D113" s="2" t="s">
        <v>726</v>
      </c>
      <c r="E113" s="2" t="s">
        <v>1665</v>
      </c>
      <c r="F113" s="2" t="s">
        <v>671</v>
      </c>
      <c r="G113" s="2" t="s">
        <v>1530</v>
      </c>
      <c r="H113" s="2" t="s">
        <v>1458</v>
      </c>
      <c r="I113" s="3" t="str">
        <f t="shared" si="0"/>
        <v>https://dto.kemkes.go.id/kfacode/93000695</v>
      </c>
      <c r="J113" s="34" t="s">
        <v>3768</v>
      </c>
      <c r="K113" t="str">
        <f t="shared" si="2"/>
        <v>insert into mkatalog_kfa93 (kode, uraian, kode_92, uraian_92, nama_dagang, satuan_kecil, sediaan, golongan, url, userid_updt, sysdate_updt) values ('93000695','Bfluid Infus (BFLUID, 500 mL)','92000501','Bfluid Infus','BFLUID','Kantong','Infus','Obat Keras','https://dto.kemkes.go.id/kfacode/93000695',0,'2023-05-01');</v>
      </c>
    </row>
    <row r="114" spans="1:11" ht="15.75" customHeight="1">
      <c r="A114" s="2">
        <v>93001386</v>
      </c>
      <c r="B114" s="2" t="s">
        <v>1667</v>
      </c>
      <c r="C114" s="2">
        <v>92000753</v>
      </c>
      <c r="D114" s="2" t="s">
        <v>728</v>
      </c>
      <c r="E114" s="2" t="s">
        <v>1668</v>
      </c>
      <c r="F114" s="2" t="s">
        <v>640</v>
      </c>
      <c r="G114" s="2" t="s">
        <v>1457</v>
      </c>
      <c r="H114" s="2" t="s">
        <v>1458</v>
      </c>
      <c r="I114" s="3" t="str">
        <f t="shared" si="0"/>
        <v>https://dto.kemkes.go.id/kfacode/93001386</v>
      </c>
      <c r="J114" s="34" t="s">
        <v>3768</v>
      </c>
      <c r="K114" t="str">
        <f t="shared" si="2"/>
        <v>insert into mkatalog_kfa93 (kode, uraian, kode_92, uraian_92, nama_dagang, satuan_kecil, sediaan, golongan, url, userid_updt, sysdate_updt) values ('93001386','Bicalutamide 50 mg Tablet Salut Selaput (BICASTRA)','92000753','Bicalutamide 50 mg Tablet Salut Selaput','BICASTRA','Tablet','Tablet Salut Selaput','Obat Keras','https://dto.kemkes.go.id/kfacode/93001386',0,'2023-05-01');</v>
      </c>
    </row>
    <row r="115" spans="1:11" ht="15.75" customHeight="1">
      <c r="A115" s="2">
        <v>93000683</v>
      </c>
      <c r="B115" s="2" t="s">
        <v>1669</v>
      </c>
      <c r="C115" s="2">
        <v>92000389</v>
      </c>
      <c r="D115" s="2" t="s">
        <v>729</v>
      </c>
      <c r="E115" s="2" t="s">
        <v>1670</v>
      </c>
      <c r="F115" s="2" t="s">
        <v>730</v>
      </c>
      <c r="G115" s="2" t="s">
        <v>1671</v>
      </c>
      <c r="H115" s="2" t="s">
        <v>1672</v>
      </c>
      <c r="I115" s="3" t="str">
        <f t="shared" si="0"/>
        <v>https://dto.kemkes.go.id/kfacode/93000683</v>
      </c>
      <c r="J115" s="34" t="s">
        <v>3768</v>
      </c>
      <c r="K115" t="str">
        <f t="shared" si="2"/>
        <v>insert into mkatalog_kfa93 (kode, uraian, kode_92, uraian_92, nama_dagang, satuan_kecil, sediaan, golongan, url, userid_updt, sysdate_updt) values ('93000683','Bisacodyl 10 mg Suppositoria (DULCOLAX)','92000389','Bisacodyl 10 mg Suppositoria','DULCOLAX','Suppositoria','Supositoria','Obat Bebas Terbatas','https://dto.kemkes.go.id/kfacode/93000683',0,'2023-05-01');</v>
      </c>
    </row>
    <row r="116" spans="1:11" ht="15.75" customHeight="1">
      <c r="A116" s="2">
        <v>93000684</v>
      </c>
      <c r="B116" s="2" t="s">
        <v>1673</v>
      </c>
      <c r="C116" s="2">
        <v>92000389</v>
      </c>
      <c r="D116" s="2" t="s">
        <v>729</v>
      </c>
      <c r="E116" s="2" t="s">
        <v>1674</v>
      </c>
      <c r="F116" s="2" t="s">
        <v>730</v>
      </c>
      <c r="G116" s="2" t="s">
        <v>1671</v>
      </c>
      <c r="H116" s="2" t="s">
        <v>1672</v>
      </c>
      <c r="I116" s="3" t="str">
        <f t="shared" si="0"/>
        <v>https://dto.kemkes.go.id/kfacode/93000684</v>
      </c>
      <c r="J116" s="34" t="s">
        <v>3768</v>
      </c>
      <c r="K116" t="str">
        <f t="shared" si="2"/>
        <v>insert into mkatalog_kfa93 (kode, uraian, kode_92, uraian_92, nama_dagang, satuan_kecil, sediaan, golongan, url, userid_updt, sysdate_updt) values ('93000684','Bisacodyl 10 mg Suppositoria (STOLAX)','92000389','Bisacodyl 10 mg Suppositoria','STOLAX','Suppositoria','Supositoria','Obat Bebas Terbatas','https://dto.kemkes.go.id/kfacode/93000684',0,'2023-05-01');</v>
      </c>
    </row>
    <row r="117" spans="1:11" ht="15.75" customHeight="1">
      <c r="A117" s="2">
        <v>93000591</v>
      </c>
      <c r="B117" s="2" t="s">
        <v>1675</v>
      </c>
      <c r="C117" s="2">
        <v>92000387</v>
      </c>
      <c r="D117" s="2" t="s">
        <v>731</v>
      </c>
      <c r="E117" s="2" t="s">
        <v>1670</v>
      </c>
      <c r="F117" s="2" t="s">
        <v>730</v>
      </c>
      <c r="G117" s="2" t="s">
        <v>1671</v>
      </c>
      <c r="H117" s="2" t="s">
        <v>1672</v>
      </c>
      <c r="I117" s="3" t="str">
        <f t="shared" si="0"/>
        <v>https://dto.kemkes.go.id/kfacode/93000591</v>
      </c>
      <c r="J117" s="34" t="s">
        <v>3768</v>
      </c>
      <c r="K117" t="str">
        <f t="shared" si="2"/>
        <v>insert into mkatalog_kfa93 (kode, uraian, kode_92, uraian_92, nama_dagang, satuan_kecil, sediaan, golongan, url, userid_updt, sysdate_updt) values ('93000591','Bisacodyl 5 mg Suppositoria (DULCOLAX)','92000387','Bisacodyl 5 mg Suppositoria','DULCOLAX','Suppositoria','Supositoria','Obat Bebas Terbatas','https://dto.kemkes.go.id/kfacode/93000591',0,'2023-05-01');</v>
      </c>
    </row>
    <row r="118" spans="1:11" ht="15.75" customHeight="1">
      <c r="A118" s="2">
        <v>93000497</v>
      </c>
      <c r="B118" s="2" t="s">
        <v>1676</v>
      </c>
      <c r="C118" s="2">
        <v>92000413</v>
      </c>
      <c r="D118" s="2" t="s">
        <v>732</v>
      </c>
      <c r="E118" s="2" t="s">
        <v>1677</v>
      </c>
      <c r="F118" s="2" t="s">
        <v>640</v>
      </c>
      <c r="G118" s="2" t="s">
        <v>1588</v>
      </c>
      <c r="H118" s="2" t="s">
        <v>1672</v>
      </c>
      <c r="I118" s="3" t="str">
        <f t="shared" si="0"/>
        <v>https://dto.kemkes.go.id/kfacode/93000497</v>
      </c>
      <c r="J118" s="34" t="s">
        <v>3768</v>
      </c>
      <c r="K118" t="str">
        <f t="shared" si="2"/>
        <v>insert into mkatalog_kfa93 (kode, uraian, kode_92, uraian_92, nama_dagang, satuan_kecil, sediaan, golongan, url, userid_updt, sysdate_updt) values ('93000497','Bisacodyl 5 mg Tablet Salut Enterik (HARSEN)','92000413','Bisacodyl 5 mg Tablet Salut Enterik','BISACODYL','Tablet','Tablet Salut Enterik','Obat Bebas Terbatas','https://dto.kemkes.go.id/kfacode/93000497',0,'2023-05-01');</v>
      </c>
    </row>
    <row r="119" spans="1:11" ht="15.75" customHeight="1">
      <c r="A119" s="2">
        <v>93001345</v>
      </c>
      <c r="B119" s="2" t="s">
        <v>1678</v>
      </c>
      <c r="C119" s="2">
        <v>92000780</v>
      </c>
      <c r="D119" s="2" t="s">
        <v>32</v>
      </c>
      <c r="E119" s="2" t="s">
        <v>1679</v>
      </c>
      <c r="F119" s="2" t="s">
        <v>640</v>
      </c>
      <c r="G119" s="2" t="s">
        <v>1457</v>
      </c>
      <c r="H119" s="2" t="s">
        <v>1458</v>
      </c>
      <c r="I119" s="3" t="str">
        <f t="shared" si="0"/>
        <v>https://dto.kemkes.go.id/kfacode/93001345</v>
      </c>
      <c r="J119" s="34" t="s">
        <v>3768</v>
      </c>
      <c r="K119" t="str">
        <f t="shared" si="2"/>
        <v>insert into mkatalog_kfa93 (kode, uraian, kode_92, uraian_92, nama_dagang, satuan_kecil, sediaan, golongan, url, userid_updt, sysdate_updt) values ('93001345','Bisoprolol Fumarate 1,25 mg Tablet Salut Selaput (CONCOR)','92000780','Bisoprolol Fumarate 1,25 mg Tablet Salut Selaput','CONCOR','Tablet','Tablet Salut Selaput','Obat Keras','https://dto.kemkes.go.id/kfacode/93001345',0,'2023-05-01');</v>
      </c>
    </row>
    <row r="120" spans="1:11" ht="15.75" customHeight="1">
      <c r="A120" s="2">
        <v>93000461</v>
      </c>
      <c r="B120" s="2" t="s">
        <v>1680</v>
      </c>
      <c r="C120" s="2">
        <v>92000383</v>
      </c>
      <c r="D120" s="2" t="s">
        <v>733</v>
      </c>
      <c r="E120" s="2" t="s">
        <v>1679</v>
      </c>
      <c r="F120" s="2" t="s">
        <v>640</v>
      </c>
      <c r="G120" s="2" t="s">
        <v>1457</v>
      </c>
      <c r="H120" s="2" t="s">
        <v>1458</v>
      </c>
      <c r="I120" s="3" t="str">
        <f t="shared" si="0"/>
        <v>https://dto.kemkes.go.id/kfacode/93000461</v>
      </c>
      <c r="J120" s="34" t="s">
        <v>3768</v>
      </c>
      <c r="K120" t="str">
        <f t="shared" si="2"/>
        <v>insert into mkatalog_kfa93 (kode, uraian, kode_92, uraian_92, nama_dagang, satuan_kecil, sediaan, golongan, url, userid_updt, sysdate_updt) values ('93000461','Bisoprolol Fumarate 10 mg Tablet Salut Selaput (Concor)','92000383','Bisoprolol Fumarate 10 mg Tablet Salut Selaput','CONCOR','Tablet','Tablet Salut Selaput','Obat Keras','https://dto.kemkes.go.id/kfacode/93000461',0,'2023-05-01');</v>
      </c>
    </row>
    <row r="121" spans="1:11" ht="15.75" customHeight="1">
      <c r="A121" s="2">
        <v>93001323</v>
      </c>
      <c r="B121" s="2" t="s">
        <v>1681</v>
      </c>
      <c r="C121" s="2">
        <v>92000581</v>
      </c>
      <c r="D121" s="2" t="s">
        <v>734</v>
      </c>
      <c r="E121" s="2" t="s">
        <v>31</v>
      </c>
      <c r="F121" s="2" t="s">
        <v>640</v>
      </c>
      <c r="G121" s="2" t="s">
        <v>640</v>
      </c>
      <c r="H121" s="2" t="s">
        <v>1458</v>
      </c>
      <c r="I121" s="3" t="str">
        <f t="shared" si="0"/>
        <v>https://dto.kemkes.go.id/kfacode/93001323</v>
      </c>
      <c r="J121" s="34" t="s">
        <v>3768</v>
      </c>
      <c r="K121" t="str">
        <f t="shared" si="2"/>
        <v>insert into mkatalog_kfa93 (kode, uraian, kode_92, uraian_92, nama_dagang, satuan_kecil, sediaan, golongan, url, userid_updt, sysdate_updt) values ('93001323','Bisoprolol Fumarate 2.5 mg Tablet (DEXA MEDICA)','92000581','Bisoprolol Fumarate 2.5 mg Tablet','BISOPROLOL FUMARATE','Tablet','Tablet','Obat Keras','https://dto.kemkes.go.id/kfacode/93001323',0,'2023-05-01');</v>
      </c>
    </row>
    <row r="122" spans="1:11" ht="15.75" customHeight="1">
      <c r="A122" s="2">
        <v>93000733</v>
      </c>
      <c r="B122" s="2" t="s">
        <v>1682</v>
      </c>
      <c r="C122" s="2">
        <v>92000526</v>
      </c>
      <c r="D122" s="2" t="s">
        <v>735</v>
      </c>
      <c r="E122" s="2" t="s">
        <v>1683</v>
      </c>
      <c r="F122" s="2" t="s">
        <v>640</v>
      </c>
      <c r="G122" s="2" t="s">
        <v>1608</v>
      </c>
      <c r="H122" s="2" t="s">
        <v>1458</v>
      </c>
      <c r="I122" s="3" t="str">
        <f t="shared" si="0"/>
        <v>https://dto.kemkes.go.id/kfacode/93000733</v>
      </c>
      <c r="J122" s="34" t="s">
        <v>3768</v>
      </c>
      <c r="K122" t="str">
        <f t="shared" si="2"/>
        <v>insert into mkatalog_kfa93 (kode, uraian, kode_92, uraian_92, nama_dagang, satuan_kecil, sediaan, golongan, url, userid_updt, sysdate_updt) values ('93000733','Bisoprolol Fumarate 5 mg Tablet (B-BETA)','92000526','Bisoprolol Fumarate 5 mg Tablet','B-BETA','Tablet','Tablet Pelepasan Lambat','Obat Keras','https://dto.kemkes.go.id/kfacode/93000733',0,'2023-05-01');</v>
      </c>
    </row>
    <row r="123" spans="1:11" ht="15.75" customHeight="1">
      <c r="A123" s="2">
        <v>93000750</v>
      </c>
      <c r="B123" s="2" t="s">
        <v>1684</v>
      </c>
      <c r="C123" s="2">
        <v>92000526</v>
      </c>
      <c r="D123" s="2" t="s">
        <v>735</v>
      </c>
      <c r="E123" s="2" t="s">
        <v>31</v>
      </c>
      <c r="F123" s="2" t="s">
        <v>640</v>
      </c>
      <c r="G123" s="2" t="s">
        <v>1608</v>
      </c>
      <c r="H123" s="2" t="s">
        <v>1458</v>
      </c>
      <c r="I123" s="3" t="str">
        <f t="shared" si="0"/>
        <v>https://dto.kemkes.go.id/kfacode/93000750</v>
      </c>
      <c r="J123" s="34" t="s">
        <v>3768</v>
      </c>
      <c r="K123" t="str">
        <f t="shared" si="2"/>
        <v>insert into mkatalog_kfa93 (kode, uraian, kode_92, uraian_92, nama_dagang, satuan_kecil, sediaan, golongan, url, userid_updt, sysdate_updt) values ('93000750','Bisoprolol Fumarate 5 mg Tablet (BETA PHARMACON - Indonesia - -)','92000526','Bisoprolol Fumarate 5 mg Tablet','BISOPROLOL FUMARATE','Tablet','Tablet Pelepasan Lambat','Obat Keras','https://dto.kemkes.go.id/kfacode/93000750',0,'2023-05-01');</v>
      </c>
    </row>
    <row r="124" spans="1:11" ht="15.75" customHeight="1">
      <c r="A124" s="2">
        <v>93000734</v>
      </c>
      <c r="B124" s="2" t="s">
        <v>1685</v>
      </c>
      <c r="C124" s="2">
        <v>92000526</v>
      </c>
      <c r="D124" s="2" t="s">
        <v>735</v>
      </c>
      <c r="E124" s="2" t="s">
        <v>1686</v>
      </c>
      <c r="F124" s="2" t="s">
        <v>640</v>
      </c>
      <c r="G124" s="2" t="s">
        <v>1608</v>
      </c>
      <c r="H124" s="2" t="s">
        <v>1458</v>
      </c>
      <c r="I124" s="3" t="str">
        <f t="shared" si="0"/>
        <v>https://dto.kemkes.go.id/kfacode/93000734</v>
      </c>
      <c r="J124" s="34" t="s">
        <v>3768</v>
      </c>
      <c r="K124" t="str">
        <f t="shared" si="2"/>
        <v>insert into mkatalog_kfa93 (kode, uraian, kode_92, uraian_92, nama_dagang, satuan_kecil, sediaan, golongan, url, userid_updt, sysdate_updt) values ('93000734','Bisoprolol Fumarate 5 mg Tablet (BETA-ONE)','92000526','Bisoprolol Fumarate 5 mg Tablet','BETA-ONE','Tablet','Tablet Pelepasan Lambat','Obat Keras','https://dto.kemkes.go.id/kfacode/93000734',0,'2023-05-01');</v>
      </c>
    </row>
    <row r="125" spans="1:11" ht="15.75" customHeight="1">
      <c r="A125" s="2">
        <v>93000743</v>
      </c>
      <c r="B125" s="2" t="s">
        <v>1687</v>
      </c>
      <c r="C125" s="2">
        <v>92000526</v>
      </c>
      <c r="D125" s="2" t="s">
        <v>735</v>
      </c>
      <c r="E125" s="2" t="s">
        <v>1688</v>
      </c>
      <c r="F125" s="2" t="s">
        <v>640</v>
      </c>
      <c r="G125" s="2" t="s">
        <v>1608</v>
      </c>
      <c r="H125" s="2" t="s">
        <v>1458</v>
      </c>
      <c r="I125" s="3" t="str">
        <f t="shared" si="0"/>
        <v>https://dto.kemkes.go.id/kfacode/93000743</v>
      </c>
      <c r="J125" s="34" t="s">
        <v>3768</v>
      </c>
      <c r="K125" t="str">
        <f t="shared" si="2"/>
        <v>insert into mkatalog_kfa93 (kode, uraian, kode_92, uraian_92, nama_dagang, satuan_kecil, sediaan, golongan, url, userid_updt, sysdate_updt) values ('93000743','Bisoprolol Fumarate 5 mg Tablet (BIOFIN)','92000526','Bisoprolol Fumarate 5 mg Tablet','BIOFIN','Tablet','Tablet Pelepasan Lambat','Obat Keras','https://dto.kemkes.go.id/kfacode/93000743',0,'2023-05-01');</v>
      </c>
    </row>
    <row r="126" spans="1:11" ht="15.75" customHeight="1">
      <c r="A126" s="2">
        <v>93000737</v>
      </c>
      <c r="B126" s="2" t="s">
        <v>1689</v>
      </c>
      <c r="C126" s="2">
        <v>92000526</v>
      </c>
      <c r="D126" s="2" t="s">
        <v>735</v>
      </c>
      <c r="E126" s="2" t="s">
        <v>1690</v>
      </c>
      <c r="F126" s="2" t="s">
        <v>640</v>
      </c>
      <c r="G126" s="2" t="s">
        <v>1608</v>
      </c>
      <c r="H126" s="2" t="s">
        <v>1458</v>
      </c>
      <c r="I126" s="3" t="str">
        <f t="shared" si="0"/>
        <v>https://dto.kemkes.go.id/kfacode/93000737</v>
      </c>
      <c r="J126" s="34" t="s">
        <v>3768</v>
      </c>
      <c r="K126" t="str">
        <f t="shared" si="2"/>
        <v>insert into mkatalog_kfa93 (kode, uraian, kode_92, uraian_92, nama_dagang, satuan_kecil, sediaan, golongan, url, userid_updt, sysdate_updt) values ('93000737','Bisoprolol Fumarate 5 mg Tablet (BIPRO)','92000526','Bisoprolol Fumarate 5 mg Tablet','BIPRO','Tablet','Tablet Pelepasan Lambat','Obat Keras','https://dto.kemkes.go.id/kfacode/93000737',0,'2023-05-01');</v>
      </c>
    </row>
    <row r="127" spans="1:11" ht="15.75" customHeight="1">
      <c r="A127" s="2">
        <v>93000735</v>
      </c>
      <c r="B127" s="2" t="s">
        <v>1691</v>
      </c>
      <c r="C127" s="2">
        <v>92000526</v>
      </c>
      <c r="D127" s="2" t="s">
        <v>735</v>
      </c>
      <c r="E127" s="2" t="s">
        <v>1692</v>
      </c>
      <c r="F127" s="2" t="s">
        <v>640</v>
      </c>
      <c r="G127" s="2" t="s">
        <v>1608</v>
      </c>
      <c r="H127" s="2" t="s">
        <v>1458</v>
      </c>
      <c r="I127" s="3" t="str">
        <f t="shared" si="0"/>
        <v>https://dto.kemkes.go.id/kfacode/93000735</v>
      </c>
      <c r="J127" s="34" t="s">
        <v>3768</v>
      </c>
      <c r="K127" t="str">
        <f t="shared" si="2"/>
        <v>insert into mkatalog_kfa93 (kode, uraian, kode_92, uraian_92, nama_dagang, satuan_kecil, sediaan, golongan, url, userid_updt, sysdate_updt) values ('93000735','Bisoprolol Fumarate 5 mg Tablet (BISCOR)','92000526','Bisoprolol Fumarate 5 mg Tablet','BISCOR','Tablet','Tablet Pelepasan Lambat','Obat Keras','https://dto.kemkes.go.id/kfacode/93000735',0,'2023-05-01');</v>
      </c>
    </row>
    <row r="128" spans="1:11" ht="15.75" customHeight="1">
      <c r="A128" s="2">
        <v>93000736</v>
      </c>
      <c r="B128" s="2" t="s">
        <v>1693</v>
      </c>
      <c r="C128" s="2">
        <v>92000526</v>
      </c>
      <c r="D128" s="2" t="s">
        <v>735</v>
      </c>
      <c r="E128" s="2" t="s">
        <v>1694</v>
      </c>
      <c r="F128" s="2" t="s">
        <v>640</v>
      </c>
      <c r="G128" s="2" t="s">
        <v>1608</v>
      </c>
      <c r="H128" s="2" t="s">
        <v>1458</v>
      </c>
      <c r="I128" s="3" t="str">
        <f t="shared" si="0"/>
        <v>https://dto.kemkes.go.id/kfacode/93000736</v>
      </c>
      <c r="J128" s="34" t="s">
        <v>3768</v>
      </c>
      <c r="K128" t="str">
        <f t="shared" si="2"/>
        <v>insert into mkatalog_kfa93 (kode, uraian, kode_92, uraian_92, nama_dagang, satuan_kecil, sediaan, golongan, url, userid_updt, sysdate_updt) values ('93000736','Bisoprolol Fumarate 5 mg Tablet (BISOVELL)','92000526','Bisoprolol Fumarate 5 mg Tablet','BISOVELL','Tablet','Tablet Pelepasan Lambat','Obat Keras','https://dto.kemkes.go.id/kfacode/93000736',0,'2023-05-01');</v>
      </c>
    </row>
    <row r="129" spans="1:11" ht="15.75" customHeight="1">
      <c r="A129" s="2">
        <v>93000738</v>
      </c>
      <c r="B129" s="2" t="s">
        <v>1695</v>
      </c>
      <c r="C129" s="2">
        <v>92000526</v>
      </c>
      <c r="D129" s="2" t="s">
        <v>735</v>
      </c>
      <c r="E129" s="2" t="s">
        <v>1696</v>
      </c>
      <c r="F129" s="2" t="s">
        <v>640</v>
      </c>
      <c r="G129" s="2" t="s">
        <v>1608</v>
      </c>
      <c r="H129" s="2" t="s">
        <v>1458</v>
      </c>
      <c r="I129" s="3" t="str">
        <f t="shared" si="0"/>
        <v>https://dto.kemkes.go.id/kfacode/93000738</v>
      </c>
      <c r="J129" s="34" t="s">
        <v>3768</v>
      </c>
      <c r="K129" t="str">
        <f t="shared" si="2"/>
        <v>insert into mkatalog_kfa93 (kode, uraian, kode_92, uraian_92, nama_dagang, satuan_kecil, sediaan, golongan, url, userid_updt, sysdate_updt) values ('93000738','Bisoprolol Fumarate 5 mg Tablet (CARBISOL)','92000526','Bisoprolol Fumarate 5 mg Tablet','CARBISOL','Tablet','Tablet Pelepasan Lambat','Obat Keras','https://dto.kemkes.go.id/kfacode/93000738',0,'2023-05-01');</v>
      </c>
    </row>
    <row r="130" spans="1:11" ht="15.75" customHeight="1">
      <c r="A130" s="2">
        <v>93000746</v>
      </c>
      <c r="B130" s="2" t="s">
        <v>1697</v>
      </c>
      <c r="C130" s="2">
        <v>92000526</v>
      </c>
      <c r="D130" s="2" t="s">
        <v>735</v>
      </c>
      <c r="E130" s="2" t="s">
        <v>1679</v>
      </c>
      <c r="F130" s="2" t="s">
        <v>640</v>
      </c>
      <c r="G130" s="2" t="s">
        <v>1608</v>
      </c>
      <c r="H130" s="2" t="s">
        <v>1458</v>
      </c>
      <c r="I130" s="3" t="str">
        <f t="shared" si="0"/>
        <v>https://dto.kemkes.go.id/kfacode/93000746</v>
      </c>
      <c r="J130" s="34" t="s">
        <v>3768</v>
      </c>
      <c r="K130" t="str">
        <f t="shared" si="2"/>
        <v>insert into mkatalog_kfa93 (kode, uraian, kode_92, uraian_92, nama_dagang, satuan_kecil, sediaan, golongan, url, userid_updt, sysdate_updt) values ('93000746','Bisoprolol Fumarate 5 mg Tablet (CONCOR)','92000526','Bisoprolol Fumarate 5 mg Tablet','CONCOR','Tablet','Tablet Pelepasan Lambat','Obat Keras','https://dto.kemkes.go.id/kfacode/93000746',0,'2023-05-01');</v>
      </c>
    </row>
    <row r="131" spans="1:11" ht="15.75" customHeight="1">
      <c r="A131" s="2">
        <v>93000732</v>
      </c>
      <c r="B131" s="2" t="s">
        <v>1698</v>
      </c>
      <c r="C131" s="2">
        <v>92000526</v>
      </c>
      <c r="D131" s="2" t="s">
        <v>735</v>
      </c>
      <c r="E131" s="2" t="s">
        <v>31</v>
      </c>
      <c r="F131" s="2" t="s">
        <v>640</v>
      </c>
      <c r="G131" s="2" t="s">
        <v>1608</v>
      </c>
      <c r="H131" s="2" t="s">
        <v>1458</v>
      </c>
      <c r="I131" s="3" t="str">
        <f t="shared" si="0"/>
        <v>https://dto.kemkes.go.id/kfacode/93000732</v>
      </c>
      <c r="J131" s="34" t="s">
        <v>3768</v>
      </c>
      <c r="K131" t="str">
        <f t="shared" ref="K131:K194" si="3">CONCATENATE(J131,"('",A131,"','",B131,"','",C131,"','",D131,"','",E131,"','",F131,"','",G131,"','",H131,"','",I131,"',0,'2023-05-01');")</f>
        <v>insert into mkatalog_kfa93 (kode, uraian, kode_92, uraian_92, nama_dagang, satuan_kecil, sediaan, golongan, url, userid_updt, sysdate_updt) values ('93000732','Bisoprolol Fumarate 5 mg Tablet (DEXA MEDICA - Indonesia - -)','92000526','Bisoprolol Fumarate 5 mg Tablet','BISOPROLOL FUMARATE','Tablet','Tablet Pelepasan Lambat','Obat Keras','https://dto.kemkes.go.id/kfacode/93000732',0,'2023-05-01');</v>
      </c>
    </row>
    <row r="132" spans="1:11" ht="15.75" customHeight="1">
      <c r="A132" s="2">
        <v>93000744</v>
      </c>
      <c r="B132" s="2" t="s">
        <v>1699</v>
      </c>
      <c r="C132" s="2">
        <v>92000526</v>
      </c>
      <c r="D132" s="2" t="s">
        <v>735</v>
      </c>
      <c r="E132" s="2" t="s">
        <v>1700</v>
      </c>
      <c r="F132" s="2" t="s">
        <v>640</v>
      </c>
      <c r="G132" s="2" t="s">
        <v>1608</v>
      </c>
      <c r="H132" s="2" t="s">
        <v>1458</v>
      </c>
      <c r="I132" s="3" t="str">
        <f t="shared" si="0"/>
        <v>https://dto.kemkes.go.id/kfacode/93000744</v>
      </c>
      <c r="J132" s="34" t="s">
        <v>3768</v>
      </c>
      <c r="K132" t="str">
        <f t="shared" si="3"/>
        <v>insert into mkatalog_kfa93 (kode, uraian, kode_92, uraian_92, nama_dagang, satuan_kecil, sediaan, golongan, url, userid_updt, sysdate_updt) values ('93000744','Bisoprolol Fumarate 5 mg Tablet (HAPSEN)','92000526','Bisoprolol Fumarate 5 mg Tablet','HAPSEN','Tablet','Tablet Pelepasan Lambat','Obat Keras','https://dto.kemkes.go.id/kfacode/93000744',0,'2023-05-01');</v>
      </c>
    </row>
    <row r="133" spans="1:11" ht="15.75" customHeight="1">
      <c r="A133" s="2">
        <v>93000748</v>
      </c>
      <c r="B133" s="2" t="s">
        <v>1701</v>
      </c>
      <c r="C133" s="2">
        <v>92000526</v>
      </c>
      <c r="D133" s="2" t="s">
        <v>735</v>
      </c>
      <c r="E133" s="2" t="s">
        <v>31</v>
      </c>
      <c r="F133" s="2" t="s">
        <v>640</v>
      </c>
      <c r="G133" s="2" t="s">
        <v>1608</v>
      </c>
      <c r="H133" s="2" t="s">
        <v>1458</v>
      </c>
      <c r="I133" s="3" t="str">
        <f t="shared" si="0"/>
        <v>https://dto.kemkes.go.id/kfacode/93000748</v>
      </c>
      <c r="J133" s="34" t="s">
        <v>3768</v>
      </c>
      <c r="K133" t="str">
        <f t="shared" si="3"/>
        <v>insert into mkatalog_kfa93 (kode, uraian, kode_92, uraian_92, nama_dagang, satuan_kecil, sediaan, golongan, url, userid_updt, sysdate_updt) values ('93000748','Bisoprolol Fumarate 5 mg Tablet (HEXPHARM JAYA LABORATORIES - Indonesia - -)','92000526','Bisoprolol Fumarate 5 mg Tablet','BISOPROLOL FUMARATE','Tablet','Tablet Pelepasan Lambat','Obat Keras','https://dto.kemkes.go.id/kfacode/93000748',0,'2023-05-01');</v>
      </c>
    </row>
    <row r="134" spans="1:11" ht="15.75" customHeight="1">
      <c r="A134" s="2">
        <v>93000751</v>
      </c>
      <c r="B134" s="2" t="s">
        <v>1702</v>
      </c>
      <c r="C134" s="2">
        <v>92000526</v>
      </c>
      <c r="D134" s="2" t="s">
        <v>735</v>
      </c>
      <c r="E134" s="2" t="s">
        <v>31</v>
      </c>
      <c r="F134" s="2" t="s">
        <v>640</v>
      </c>
      <c r="G134" s="2" t="s">
        <v>1608</v>
      </c>
      <c r="H134" s="2" t="s">
        <v>1458</v>
      </c>
      <c r="I134" s="3" t="str">
        <f t="shared" si="0"/>
        <v>https://dto.kemkes.go.id/kfacode/93000751</v>
      </c>
      <c r="J134" s="34" t="s">
        <v>3768</v>
      </c>
      <c r="K134" t="str">
        <f t="shared" si="3"/>
        <v>insert into mkatalog_kfa93 (kode, uraian, kode_92, uraian_92, nama_dagang, satuan_kecil, sediaan, golongan, url, userid_updt, sysdate_updt) values ('93000751','Bisoprolol Fumarate 5 mg Tablet (KIMIA FARMA Tbk. - Indonesia - -)','92000526','Bisoprolol Fumarate 5 mg Tablet','BISOPROLOL FUMARATE','Tablet','Tablet Pelepasan Lambat','Obat Keras','https://dto.kemkes.go.id/kfacode/93000751',0,'2023-05-01');</v>
      </c>
    </row>
    <row r="135" spans="1:11" ht="15.75" customHeight="1">
      <c r="A135" s="2">
        <v>93000747</v>
      </c>
      <c r="B135" s="2" t="s">
        <v>1703</v>
      </c>
      <c r="C135" s="2">
        <v>92000526</v>
      </c>
      <c r="D135" s="2" t="s">
        <v>735</v>
      </c>
      <c r="E135" s="2" t="s">
        <v>1704</v>
      </c>
      <c r="F135" s="2" t="s">
        <v>640</v>
      </c>
      <c r="G135" s="2" t="s">
        <v>1608</v>
      </c>
      <c r="H135" s="2" t="s">
        <v>1458</v>
      </c>
      <c r="I135" s="3" t="str">
        <f t="shared" si="0"/>
        <v>https://dto.kemkes.go.id/kfacode/93000747</v>
      </c>
      <c r="J135" s="34" t="s">
        <v>3768</v>
      </c>
      <c r="K135" t="str">
        <f t="shared" si="3"/>
        <v>insert into mkatalog_kfa93 (kode, uraian, kode_92, uraian_92, nama_dagang, satuan_kecil, sediaan, golongan, url, userid_updt, sysdate_updt) values ('93000747','Bisoprolol Fumarate 5 mg Tablet (KONBLOBET)','92000526','Bisoprolol Fumarate 5 mg Tablet','KONBLOBET','Tablet','Tablet Pelepasan Lambat','Obat Keras','https://dto.kemkes.go.id/kfacode/93000747',0,'2023-05-01');</v>
      </c>
    </row>
    <row r="136" spans="1:11" ht="15.75" customHeight="1">
      <c r="A136" s="2">
        <v>93000740</v>
      </c>
      <c r="B136" s="2" t="s">
        <v>1705</v>
      </c>
      <c r="C136" s="2">
        <v>92000526</v>
      </c>
      <c r="D136" s="2" t="s">
        <v>735</v>
      </c>
      <c r="E136" s="2" t="s">
        <v>1706</v>
      </c>
      <c r="F136" s="2" t="s">
        <v>640</v>
      </c>
      <c r="G136" s="2" t="s">
        <v>1608</v>
      </c>
      <c r="H136" s="2" t="s">
        <v>1458</v>
      </c>
      <c r="I136" s="3" t="str">
        <f t="shared" si="0"/>
        <v>https://dto.kemkes.go.id/kfacode/93000740</v>
      </c>
      <c r="J136" s="34" t="s">
        <v>3768</v>
      </c>
      <c r="K136" t="str">
        <f t="shared" si="3"/>
        <v>insert into mkatalog_kfa93 (kode, uraian, kode_92, uraian_92, nama_dagang, satuan_kecil, sediaan, golongan, url, userid_updt, sysdate_updt) values ('93000740','Bisoprolol Fumarate 5 mg Tablet (MAINTATE 5)','92000526','Bisoprolol Fumarate 5 mg Tablet','MAINTATE 5','Tablet','Tablet Pelepasan Lambat','Obat Keras','https://dto.kemkes.go.id/kfacode/93000740',0,'2023-05-01');</v>
      </c>
    </row>
    <row r="137" spans="1:11" ht="15.75" customHeight="1">
      <c r="A137" s="2">
        <v>93000739</v>
      </c>
      <c r="B137" s="2" t="s">
        <v>1707</v>
      </c>
      <c r="C137" s="2">
        <v>92000526</v>
      </c>
      <c r="D137" s="2" t="s">
        <v>735</v>
      </c>
      <c r="E137" s="2" t="s">
        <v>1708</v>
      </c>
      <c r="F137" s="2" t="s">
        <v>640</v>
      </c>
      <c r="G137" s="2" t="s">
        <v>1608</v>
      </c>
      <c r="H137" s="2" t="s">
        <v>1458</v>
      </c>
      <c r="I137" s="3" t="str">
        <f t="shared" si="0"/>
        <v>https://dto.kemkes.go.id/kfacode/93000739</v>
      </c>
      <c r="J137" s="34" t="s">
        <v>3768</v>
      </c>
      <c r="K137" t="str">
        <f t="shared" si="3"/>
        <v>insert into mkatalog_kfa93 (kode, uraian, kode_92, uraian_92, nama_dagang, satuan_kecil, sediaan, golongan, url, userid_updt, sysdate_updt) values ('93000739','Bisoprolol Fumarate 5 mg Tablet (MINITEN)','92000526','Bisoprolol Fumarate 5 mg Tablet','MINITEN','Tablet','Tablet Pelepasan Lambat','Obat Keras','https://dto.kemkes.go.id/kfacode/93000739',0,'2023-05-01');</v>
      </c>
    </row>
    <row r="138" spans="1:11" ht="15.75" customHeight="1">
      <c r="A138" s="2">
        <v>93000749</v>
      </c>
      <c r="B138" s="2" t="s">
        <v>1709</v>
      </c>
      <c r="C138" s="2">
        <v>92000526</v>
      </c>
      <c r="D138" s="2" t="s">
        <v>735</v>
      </c>
      <c r="E138" s="2" t="s">
        <v>31</v>
      </c>
      <c r="F138" s="2" t="s">
        <v>640</v>
      </c>
      <c r="G138" s="2" t="s">
        <v>1608</v>
      </c>
      <c r="H138" s="2" t="s">
        <v>1458</v>
      </c>
      <c r="I138" s="3" t="str">
        <f t="shared" si="0"/>
        <v>https://dto.kemkes.go.id/kfacode/93000749</v>
      </c>
      <c r="J138" s="34" t="s">
        <v>3768</v>
      </c>
      <c r="K138" t="str">
        <f t="shared" si="3"/>
        <v>insert into mkatalog_kfa93 (kode, uraian, kode_92, uraian_92, nama_dagang, satuan_kecil, sediaan, golongan, url, userid_updt, sysdate_updt) values ('93000749','Bisoprolol Fumarate 5 mg Tablet (NOVELL PHARMACEUTICAL LAB. - Indonesia - -)','92000526','Bisoprolol Fumarate 5 mg Tablet','BISOPROLOL FUMARATE','Tablet','Tablet Pelepasan Lambat','Obat Keras','https://dto.kemkes.go.id/kfacode/93000749',0,'2023-05-01');</v>
      </c>
    </row>
    <row r="139" spans="1:11" ht="15.75" customHeight="1">
      <c r="A139" s="2">
        <v>93000742</v>
      </c>
      <c r="B139" s="2" t="s">
        <v>1710</v>
      </c>
      <c r="C139" s="2">
        <v>92000526</v>
      </c>
      <c r="D139" s="2" t="s">
        <v>735</v>
      </c>
      <c r="E139" s="2" t="s">
        <v>1711</v>
      </c>
      <c r="F139" s="2" t="s">
        <v>640</v>
      </c>
      <c r="G139" s="2" t="s">
        <v>1608</v>
      </c>
      <c r="H139" s="2" t="s">
        <v>1458</v>
      </c>
      <c r="I139" s="3" t="str">
        <f t="shared" si="0"/>
        <v>https://dto.kemkes.go.id/kfacode/93000742</v>
      </c>
      <c r="J139" s="34" t="s">
        <v>3768</v>
      </c>
      <c r="K139" t="str">
        <f t="shared" si="3"/>
        <v>insert into mkatalog_kfa93 (kode, uraian, kode_92, uraian_92, nama_dagang, satuan_kecil, sediaan, golongan, url, userid_updt, sysdate_updt) values ('93000742','Bisoprolol Fumarate 5 mg Tablet (OPIPROL 5)','92000526','Bisoprolol Fumarate 5 mg Tablet','OPIPROL 5','Tablet','Tablet Pelepasan Lambat','Obat Keras','https://dto.kemkes.go.id/kfacode/93000742',0,'2023-05-01');</v>
      </c>
    </row>
    <row r="140" spans="1:11" ht="15.75" customHeight="1">
      <c r="A140" s="2">
        <v>93000741</v>
      </c>
      <c r="B140" s="2" t="s">
        <v>1712</v>
      </c>
      <c r="C140" s="2">
        <v>92000526</v>
      </c>
      <c r="D140" s="2" t="s">
        <v>735</v>
      </c>
      <c r="E140" s="2" t="s">
        <v>1713</v>
      </c>
      <c r="F140" s="2" t="s">
        <v>640</v>
      </c>
      <c r="G140" s="2" t="s">
        <v>1608</v>
      </c>
      <c r="H140" s="2" t="s">
        <v>1458</v>
      </c>
      <c r="I140" s="3" t="str">
        <f t="shared" si="0"/>
        <v>https://dto.kemkes.go.id/kfacode/93000741</v>
      </c>
      <c r="J140" s="34" t="s">
        <v>3768</v>
      </c>
      <c r="K140" t="str">
        <f t="shared" si="3"/>
        <v>insert into mkatalog_kfa93 (kode, uraian, kode_92, uraian_92, nama_dagang, satuan_kecil, sediaan, golongan, url, userid_updt, sysdate_updt) values ('93000741','Bisoprolol Fumarate 5 mg Tablet (SELBIX)','92000526','Bisoprolol Fumarate 5 mg Tablet','SELBIX','Tablet','Tablet Pelepasan Lambat','Obat Keras','https://dto.kemkes.go.id/kfacode/93000741',0,'2023-05-01');</v>
      </c>
    </row>
    <row r="141" spans="1:11" ht="15.75" customHeight="1">
      <c r="A141" s="2">
        <v>93000745</v>
      </c>
      <c r="B141" s="2" t="s">
        <v>1714</v>
      </c>
      <c r="C141" s="2">
        <v>92000526</v>
      </c>
      <c r="D141" s="2" t="s">
        <v>735</v>
      </c>
      <c r="F141" s="2" t="s">
        <v>640</v>
      </c>
      <c r="G141" s="2" t="s">
        <v>1608</v>
      </c>
      <c r="H141" s="2" t="s">
        <v>1458</v>
      </c>
      <c r="I141" s="3" t="str">
        <f t="shared" si="0"/>
        <v>https://dto.kemkes.go.id/kfacode/93000745</v>
      </c>
      <c r="J141" s="34" t="s">
        <v>3768</v>
      </c>
      <c r="K141" t="str">
        <f t="shared" si="3"/>
        <v>insert into mkatalog_kfa93 (kode, uraian, kode_92, uraian_92, nama_dagang, satuan_kecil, sediaan, golongan, url, userid_updt, sysdate_updt) values ('93000745','Bisoprolol Fumarate 5 mg Tablet (TENCARD)','92000526','Bisoprolol Fumarate 5 mg Tablet','','Tablet','Tablet Pelepasan Lambat','Obat Keras','https://dto.kemkes.go.id/kfacode/93000745',0,'2023-05-01');</v>
      </c>
    </row>
    <row r="142" spans="1:11" ht="15.75" customHeight="1">
      <c r="A142" s="2">
        <v>93000394</v>
      </c>
      <c r="B142" s="2" t="s">
        <v>1715</v>
      </c>
      <c r="C142" s="2">
        <v>92000285</v>
      </c>
      <c r="D142" s="2" t="s">
        <v>736</v>
      </c>
      <c r="E142" s="2" t="s">
        <v>1716</v>
      </c>
      <c r="F142" s="2" t="s">
        <v>653</v>
      </c>
      <c r="G142" s="2" t="s">
        <v>1500</v>
      </c>
      <c r="H142" s="2" t="s">
        <v>1458</v>
      </c>
      <c r="I142" s="3" t="str">
        <f t="shared" si="0"/>
        <v>https://dto.kemkes.go.id/kfacode/93000394</v>
      </c>
      <c r="J142" s="34" t="s">
        <v>3768</v>
      </c>
      <c r="K142" t="str">
        <f t="shared" si="3"/>
        <v>insert into mkatalog_kfa93 (kode, uraian, kode_92, uraian_92, nama_dagang, satuan_kecil, sediaan, golongan, url, userid_updt, sysdate_updt) values ('93000394','Bleomycin 15 mg Serbuk Injeksi (BLEOCIN)','92000285','Bleomycin 15 mg Serbuk Injeksi','BLEOCIN','Vial','Serbuk Injeksi','Obat Keras','https://dto.kemkes.go.id/kfacode/93000394',0,'2023-05-01');</v>
      </c>
    </row>
    <row r="143" spans="1:11" ht="15.75" customHeight="1">
      <c r="A143" s="2">
        <v>93001608</v>
      </c>
      <c r="B143" s="2" t="s">
        <v>1717</v>
      </c>
      <c r="C143" s="2">
        <v>92000912</v>
      </c>
      <c r="D143" s="2" t="s">
        <v>737</v>
      </c>
      <c r="E143" s="2" t="s">
        <v>1718</v>
      </c>
      <c r="F143" s="2" t="s">
        <v>653</v>
      </c>
      <c r="G143" s="2" t="s">
        <v>1719</v>
      </c>
      <c r="H143" s="2" t="s">
        <v>1458</v>
      </c>
      <c r="I143" s="3" t="str">
        <f t="shared" si="0"/>
        <v>https://dto.kemkes.go.id/kfacode/93001608</v>
      </c>
      <c r="J143" s="34" t="s">
        <v>3768</v>
      </c>
      <c r="K143" t="str">
        <f t="shared" si="3"/>
        <v>insert into mkatalog_kfa93 (kode, uraian, kode_92, uraian_92, nama_dagang, satuan_kecil, sediaan, golongan, url, userid_updt, sysdate_updt) values ('93001608','Bortezomib 3,5 mg Serbuk Injeksi Liofilisasi (BORMIB)','92000912','Bortezomib 3,5 mg Serbuk Injeksi Liofilisasi','BORMIB','Vial','Serbuk Injeksi Liofilisasi','Obat Keras','https://dto.kemkes.go.id/kfacode/93001608',0,'2023-05-01');</v>
      </c>
    </row>
    <row r="144" spans="1:11" ht="15.75" customHeight="1">
      <c r="A144" s="2">
        <v>93001596</v>
      </c>
      <c r="B144" s="2" t="s">
        <v>1720</v>
      </c>
      <c r="C144" s="2">
        <v>92000912</v>
      </c>
      <c r="D144" s="2" t="s">
        <v>737</v>
      </c>
      <c r="E144" s="2" t="s">
        <v>1721</v>
      </c>
      <c r="F144" s="2" t="s">
        <v>653</v>
      </c>
      <c r="G144" s="2" t="s">
        <v>1719</v>
      </c>
      <c r="H144" s="2" t="s">
        <v>1458</v>
      </c>
      <c r="I144" s="3" t="str">
        <f t="shared" si="0"/>
        <v>https://dto.kemkes.go.id/kfacode/93001596</v>
      </c>
      <c r="J144" s="34" t="s">
        <v>3768</v>
      </c>
      <c r="K144" t="str">
        <f t="shared" si="3"/>
        <v>insert into mkatalog_kfa93 (kode, uraian, kode_92, uraian_92, nama_dagang, satuan_kecil, sediaan, golongan, url, userid_updt, sysdate_updt) values ('93001596','Bortezomib 3,5 mg Serbuk Injeksi Liofilisasi (BORTERO)','92000912','Bortezomib 3,5 mg Serbuk Injeksi Liofilisasi','BORTERO','Vial','Serbuk Injeksi Liofilisasi','Obat Keras','https://dto.kemkes.go.id/kfacode/93001596',0,'2023-05-01');</v>
      </c>
    </row>
    <row r="145" spans="1:11" ht="15.75" customHeight="1">
      <c r="A145" s="2">
        <v>93001597</v>
      </c>
      <c r="B145" s="2" t="s">
        <v>1722</v>
      </c>
      <c r="C145" s="2">
        <v>92000912</v>
      </c>
      <c r="D145" s="2" t="s">
        <v>737</v>
      </c>
      <c r="E145" s="2" t="s">
        <v>1723</v>
      </c>
      <c r="F145" s="2" t="s">
        <v>653</v>
      </c>
      <c r="G145" s="2" t="s">
        <v>1719</v>
      </c>
      <c r="H145" s="2" t="s">
        <v>1458</v>
      </c>
      <c r="I145" s="3" t="str">
        <f t="shared" si="0"/>
        <v>https://dto.kemkes.go.id/kfacode/93001597</v>
      </c>
      <c r="J145" s="34" t="s">
        <v>3768</v>
      </c>
      <c r="K145" t="str">
        <f t="shared" si="3"/>
        <v>insert into mkatalog_kfa93 (kode, uraian, kode_92, uraian_92, nama_dagang, satuan_kecil, sediaan, golongan, url, userid_updt, sysdate_updt) values ('93001597','Bortezomib 3,5 mg Serbuk Injeksi Liofilisasi (FONKOZOMIB)','92000912','Bortezomib 3,5 mg Serbuk Injeksi Liofilisasi','FONKOZOMIB','Vial','Serbuk Injeksi Liofilisasi','Obat Keras','https://dto.kemkes.go.id/kfacode/93001597',0,'2023-05-01');</v>
      </c>
    </row>
    <row r="146" spans="1:11" ht="15.75" customHeight="1">
      <c r="A146" s="2">
        <v>93000651</v>
      </c>
      <c r="B146" s="2" t="s">
        <v>1724</v>
      </c>
      <c r="C146" s="2">
        <v>92000489</v>
      </c>
      <c r="D146" s="2" t="s">
        <v>739</v>
      </c>
      <c r="E146" s="2" t="s">
        <v>1725</v>
      </c>
      <c r="F146" s="2" t="s">
        <v>658</v>
      </c>
      <c r="G146" s="2" t="s">
        <v>1489</v>
      </c>
      <c r="H146" s="2" t="s">
        <v>1458</v>
      </c>
      <c r="I146" s="3" t="str">
        <f t="shared" si="0"/>
        <v>https://dto.kemkes.go.id/kfacode/93000651</v>
      </c>
      <c r="J146" s="34" t="s">
        <v>3768</v>
      </c>
      <c r="K146" t="str">
        <f t="shared" si="3"/>
        <v>insert into mkatalog_kfa93 (kode, uraian, kode_92, uraian_92, nama_dagang, satuan_kecil, sediaan, golongan, url, userid_updt, sysdate_updt) values ('93000651','Budesonid 0.25 mg/mL Spray (BUDESMA)','92000489','Budesonid 0.25 mg/mL Spray','BUDESMA','Botol','Larutan Inhalasi','Obat Keras','https://dto.kemkes.go.id/kfacode/93000651',0,'2023-05-01');</v>
      </c>
    </row>
    <row r="147" spans="1:11" ht="15.75" customHeight="1">
      <c r="A147" s="2">
        <v>93000655</v>
      </c>
      <c r="B147" s="2" t="s">
        <v>1726</v>
      </c>
      <c r="C147" s="2">
        <v>92000489</v>
      </c>
      <c r="D147" s="2" t="s">
        <v>739</v>
      </c>
      <c r="F147" s="2" t="s">
        <v>658</v>
      </c>
      <c r="G147" s="2" t="s">
        <v>1489</v>
      </c>
      <c r="H147" s="2" t="s">
        <v>1458</v>
      </c>
      <c r="I147" s="3" t="str">
        <f t="shared" si="0"/>
        <v>https://dto.kemkes.go.id/kfacode/93000655</v>
      </c>
      <c r="J147" s="34" t="s">
        <v>3768</v>
      </c>
      <c r="K147" t="str">
        <f t="shared" si="3"/>
        <v>insert into mkatalog_kfa93 (kode, uraian, kode_92, uraian_92, nama_dagang, satuan_kecil, sediaan, golongan, url, userid_updt, sysdate_updt) values ('93000655','Budesonid 0.25 mg/mL Spray (PRATAPA NIRMALA - Indonesia - -)','92000489','Budesonid 0.25 mg/mL Spray','','Botol','Larutan Inhalasi','Obat Keras','https://dto.kemkes.go.id/kfacode/93000655',0,'2023-05-01');</v>
      </c>
    </row>
    <row r="148" spans="1:11" ht="15.75" customHeight="1">
      <c r="A148" s="2">
        <v>93000649</v>
      </c>
      <c r="B148" s="2" t="s">
        <v>1727</v>
      </c>
      <c r="C148" s="2">
        <v>92000489</v>
      </c>
      <c r="D148" s="2" t="s">
        <v>739</v>
      </c>
      <c r="E148" s="2" t="s">
        <v>1728</v>
      </c>
      <c r="F148" s="2" t="s">
        <v>658</v>
      </c>
      <c r="G148" s="2" t="s">
        <v>1489</v>
      </c>
      <c r="H148" s="2" t="s">
        <v>1458</v>
      </c>
      <c r="I148" s="3" t="str">
        <f t="shared" si="0"/>
        <v>https://dto.kemkes.go.id/kfacode/93000649</v>
      </c>
      <c r="J148" s="34" t="s">
        <v>3768</v>
      </c>
      <c r="K148" t="str">
        <f t="shared" si="3"/>
        <v>insert into mkatalog_kfa93 (kode, uraian, kode_92, uraian_92, nama_dagang, satuan_kecil, sediaan, golongan, url, userid_updt, sysdate_updt) values ('93000649','Budesonid 0.25 mg/mL Spray (PULMICORT RESPULES)','92000489','Budesonid 0.25 mg/mL Spray','PULMICORT RESPULES','Botol','Larutan Inhalasi','Obat Keras','https://dto.kemkes.go.id/kfacode/93000649',0,'2023-05-01');</v>
      </c>
    </row>
    <row r="149" spans="1:11" ht="15.75" customHeight="1">
      <c r="A149" s="2">
        <v>93000652</v>
      </c>
      <c r="B149" s="2" t="s">
        <v>1729</v>
      </c>
      <c r="C149" s="2">
        <v>92000489</v>
      </c>
      <c r="D149" s="2" t="s">
        <v>739</v>
      </c>
      <c r="E149" s="2" t="s">
        <v>1730</v>
      </c>
      <c r="F149" s="2" t="s">
        <v>658</v>
      </c>
      <c r="G149" s="2" t="s">
        <v>1489</v>
      </c>
      <c r="H149" s="2" t="s">
        <v>1458</v>
      </c>
      <c r="I149" s="3" t="str">
        <f t="shared" si="0"/>
        <v>https://dto.kemkes.go.id/kfacode/93000652</v>
      </c>
      <c r="J149" s="34" t="s">
        <v>3768</v>
      </c>
      <c r="K149" t="str">
        <f t="shared" si="3"/>
        <v>insert into mkatalog_kfa93 (kode, uraian, kode_92, uraian_92, nama_dagang, satuan_kecil, sediaan, golongan, url, userid_updt, sysdate_updt) values ('93000652','Budesonid 0.25 mg/mL Spray (SONIDE 0,25)','92000489','Budesonid 0.25 mg/mL Spray','SONIDE 0,25','Botol','Larutan Inhalasi','Obat Keras','https://dto.kemkes.go.id/kfacode/93000652',0,'2023-05-01');</v>
      </c>
    </row>
    <row r="150" spans="1:11" ht="15.75" customHeight="1">
      <c r="A150" s="2">
        <v>93000705</v>
      </c>
      <c r="B150" s="2" t="s">
        <v>1731</v>
      </c>
      <c r="C150" s="2">
        <v>92000481</v>
      </c>
      <c r="D150" s="2" t="s">
        <v>740</v>
      </c>
      <c r="E150" s="2" t="s">
        <v>1728</v>
      </c>
      <c r="F150" s="2" t="s">
        <v>741</v>
      </c>
      <c r="G150" s="2" t="s">
        <v>1489</v>
      </c>
      <c r="H150" s="2" t="s">
        <v>1458</v>
      </c>
      <c r="I150" s="3" t="str">
        <f t="shared" si="0"/>
        <v>https://dto.kemkes.go.id/kfacode/93000705</v>
      </c>
      <c r="J150" s="34" t="s">
        <v>3768</v>
      </c>
      <c r="K150" t="str">
        <f t="shared" si="3"/>
        <v>insert into mkatalog_kfa93 (kode, uraian, kode_92, uraian_92, nama_dagang, satuan_kecil, sediaan, golongan, url, userid_updt, sysdate_updt) values ('93000705','Budesonide 0,25 mg / mL Cairan Inhalasi (PULMICORT RESPULES)','92000481','Budesonide 0,25 mg / mL Cairan Inhalasi','PULMICORT RESPULES','Respules','Larutan Inhalasi','Obat Keras','https://dto.kemkes.go.id/kfacode/93000705',0,'2023-05-01');</v>
      </c>
    </row>
    <row r="151" spans="1:11" ht="15.75" customHeight="1">
      <c r="A151" s="2">
        <v>93001056</v>
      </c>
      <c r="B151" s="2" t="s">
        <v>1732</v>
      </c>
      <c r="C151" s="2">
        <v>92000739</v>
      </c>
      <c r="D151" s="2" t="s">
        <v>742</v>
      </c>
      <c r="E151" s="2" t="s">
        <v>1733</v>
      </c>
      <c r="F151" s="2" t="s">
        <v>645</v>
      </c>
      <c r="G151" s="2" t="s">
        <v>1734</v>
      </c>
      <c r="H151" s="2" t="s">
        <v>1458</v>
      </c>
      <c r="I151" s="3" t="str">
        <f t="shared" si="0"/>
        <v>https://dto.kemkes.go.id/kfacode/93001056</v>
      </c>
      <c r="J151" s="34" t="s">
        <v>3768</v>
      </c>
      <c r="K151" t="str">
        <f t="shared" si="3"/>
        <v>insert into mkatalog_kfa93 (kode, uraian, kode_92, uraian_92, nama_dagang, satuan_kecil, sediaan, golongan, url, userid_updt, sysdate_updt) values ('93001056','Budesonide 0,25 mg / mL Suspensi Inhalasi (PRATAPA NIRMALA)','92000739','Budesonide 0,25 mg / mL Suspensi Inhalasi','BUDESONIDE','Ampul','Suspensi Inhalasi','Obat Keras','https://dto.kemkes.go.id/kfacode/93001056',0,'2023-05-01');</v>
      </c>
    </row>
    <row r="152" spans="1:11" ht="15.75" customHeight="1">
      <c r="A152" s="2">
        <v>93000183</v>
      </c>
      <c r="B152" s="2" t="s">
        <v>1735</v>
      </c>
      <c r="C152" s="2">
        <v>92000181</v>
      </c>
      <c r="D152" s="2" t="s">
        <v>743</v>
      </c>
      <c r="E152" s="2" t="s">
        <v>1733</v>
      </c>
      <c r="F152" s="2" t="s">
        <v>645</v>
      </c>
      <c r="G152" s="2" t="s">
        <v>1509</v>
      </c>
      <c r="H152" s="2" t="s">
        <v>1458</v>
      </c>
      <c r="I152" s="3" t="str">
        <f t="shared" si="0"/>
        <v>https://dto.kemkes.go.id/kfacode/93000183</v>
      </c>
      <c r="J152" s="34" t="s">
        <v>3768</v>
      </c>
      <c r="K152" t="str">
        <f t="shared" si="3"/>
        <v>insert into mkatalog_kfa93 (kode, uraian, kode_92, uraian_92, nama_dagang, satuan_kecil, sediaan, golongan, url, userid_updt, sysdate_updt) values ('93000183','Budesonide 0.5 mg / mL Suspensi Inhalasi (PRATAPA NIRMALA)','92000181','Budesonide 0.5 mg / mL Suspensi Inhalasi','BUDESONIDE','Ampul','Suspensi','Obat Keras','https://dto.kemkes.go.id/kfacode/93000183',0,'2023-05-01');</v>
      </c>
    </row>
    <row r="153" spans="1:11" ht="15.75" customHeight="1">
      <c r="A153" s="2">
        <v>93000125</v>
      </c>
      <c r="B153" s="2" t="s">
        <v>1736</v>
      </c>
      <c r="C153" s="2">
        <v>92000131</v>
      </c>
      <c r="D153" s="2" t="s">
        <v>744</v>
      </c>
      <c r="E153" s="2" t="s">
        <v>1737</v>
      </c>
      <c r="F153" s="2" t="s">
        <v>745</v>
      </c>
      <c r="G153" s="2" t="s">
        <v>1738</v>
      </c>
      <c r="H153" s="2" t="s">
        <v>1458</v>
      </c>
      <c r="I153" s="3" t="str">
        <f t="shared" si="0"/>
        <v>https://dto.kemkes.go.id/kfacode/93000125</v>
      </c>
      <c r="J153" s="34" t="s">
        <v>3768</v>
      </c>
      <c r="K153" t="str">
        <f t="shared" si="3"/>
        <v>insert into mkatalog_kfa93 (kode, uraian, kode_92, uraian_92, nama_dagang, satuan_kecil, sediaan, golongan, url, userid_updt, sysdate_updt) values ('93000125','Budesonide 160 mcg / Formoterol Fumarate 4,5 mcg Suspensi Inhalasi (SYMBICORT)','92000131','Budesonide 160 mcg / Formoterol Fumarate 4,5 mcg Suspensi Inhalasi','SYMBICORT','Turbuhaler','Serbuk Inhaler','Obat Keras','https://dto.kemkes.go.id/kfacode/93000125',0,'2023-05-01');</v>
      </c>
    </row>
    <row r="154" spans="1:11" ht="15.75" customHeight="1">
      <c r="A154" s="2">
        <v>93000448</v>
      </c>
      <c r="B154" s="2" t="s">
        <v>1739</v>
      </c>
      <c r="C154" s="2">
        <v>92000323</v>
      </c>
      <c r="D154" s="2" t="s">
        <v>746</v>
      </c>
      <c r="E154" s="2" t="s">
        <v>1737</v>
      </c>
      <c r="F154" s="2" t="s">
        <v>745</v>
      </c>
      <c r="G154" s="2" t="s">
        <v>1738</v>
      </c>
      <c r="H154" s="2" t="s">
        <v>1458</v>
      </c>
      <c r="I154" s="3" t="str">
        <f t="shared" si="0"/>
        <v>https://dto.kemkes.go.id/kfacode/93000448</v>
      </c>
      <c r="J154" s="34" t="s">
        <v>3768</v>
      </c>
      <c r="K154" t="str">
        <f t="shared" si="3"/>
        <v>insert into mkatalog_kfa93 (kode, uraian, kode_92, uraian_92, nama_dagang, satuan_kecil, sediaan, golongan, url, userid_updt, sysdate_updt) values ('93000448','Budesonide 80 mcg/ Formoterol Fumarate 4,5 mcg Serbuk Inhaler (SYMBICORT)','92000323','Budesonide 80 mcg/ Formoterol Fumarate 4,5 mcg Serbuk Inhaler','SYMBICORT','Turbuhaler','Serbuk Inhaler','Obat Keras','https://dto.kemkes.go.id/kfacode/93000448',0,'2023-05-01');</v>
      </c>
    </row>
    <row r="155" spans="1:11" ht="15.75" customHeight="1">
      <c r="A155" s="2">
        <v>93001534</v>
      </c>
      <c r="B155" s="2" t="s">
        <v>1740</v>
      </c>
      <c r="C155" s="2">
        <v>92000880</v>
      </c>
      <c r="D155" s="2" t="s">
        <v>747</v>
      </c>
      <c r="E155" s="2" t="s">
        <v>1741</v>
      </c>
      <c r="F155" s="2" t="s">
        <v>645</v>
      </c>
      <c r="G155" s="2" t="s">
        <v>1506</v>
      </c>
      <c r="H155" s="2" t="s">
        <v>1458</v>
      </c>
      <c r="I155" s="3" t="str">
        <f t="shared" si="0"/>
        <v>https://dto.kemkes.go.id/kfacode/93001534</v>
      </c>
      <c r="J155" s="34" t="s">
        <v>3768</v>
      </c>
      <c r="K155" t="str">
        <f t="shared" si="3"/>
        <v>insert into mkatalog_kfa93 (kode, uraian, kode_92, uraian_92, nama_dagang, satuan_kecil, sediaan, golongan, url, userid_updt, sysdate_updt) values ('93001534','Bupivacaine 0,5 % Injeksi (ETHICA INDUSTRI FARMASI)','92000880','Bupivacaine 0,5 % Injeksi','BUPIVACAINE HCL MONOHYDRATE','Ampul','Larutan Injeksi','Obat Keras','https://dto.kemkes.go.id/kfacode/93001534',0,'2023-05-01');</v>
      </c>
    </row>
    <row r="156" spans="1:11" ht="15.75" customHeight="1">
      <c r="A156" s="2">
        <v>93000981</v>
      </c>
      <c r="B156" s="2" t="s">
        <v>1742</v>
      </c>
      <c r="C156" s="2">
        <v>92000663</v>
      </c>
      <c r="D156" s="2" t="s">
        <v>748</v>
      </c>
      <c r="E156" s="2" t="s">
        <v>1743</v>
      </c>
      <c r="F156" s="2" t="s">
        <v>649</v>
      </c>
      <c r="G156" s="2" t="s">
        <v>1744</v>
      </c>
      <c r="H156" s="2" t="s">
        <v>1458</v>
      </c>
      <c r="I156" s="3" t="str">
        <f t="shared" si="0"/>
        <v>https://dto.kemkes.go.id/kfacode/93000981</v>
      </c>
      <c r="J156" s="34" t="s">
        <v>3768</v>
      </c>
      <c r="K156" t="str">
        <f t="shared" si="3"/>
        <v>insert into mkatalog_kfa93 (kode, uraian, kode_92, uraian_92, nama_dagang, satuan_kecil, sediaan, golongan, url, userid_updt, sysdate_updt) values ('93000981','Calcitriol 0,25 mcg Kapsul Lunak (PHAPROS Tbk)','92000663','Calcitriol 0,25 mcg Kapsul Lunak','CALCITRIOL','Kapsul','Kapsul Lunak','Obat Keras','https://dto.kemkes.go.id/kfacode/93000981',0,'2023-05-01');</v>
      </c>
    </row>
    <row r="157" spans="1:11" ht="15.75" customHeight="1">
      <c r="A157" s="2">
        <v>93001180</v>
      </c>
      <c r="B157" s="2" t="s">
        <v>1745</v>
      </c>
      <c r="C157" s="2">
        <v>92000602</v>
      </c>
      <c r="D157" s="2" t="s">
        <v>749</v>
      </c>
      <c r="E157" s="2" t="s">
        <v>1743</v>
      </c>
      <c r="F157" s="2" t="s">
        <v>649</v>
      </c>
      <c r="G157" s="2" t="s">
        <v>1744</v>
      </c>
      <c r="H157" s="2" t="s">
        <v>1458</v>
      </c>
      <c r="I157" s="3" t="str">
        <f t="shared" si="0"/>
        <v>https://dto.kemkes.go.id/kfacode/93001180</v>
      </c>
      <c r="J157" s="34" t="s">
        <v>3768</v>
      </c>
      <c r="K157" t="str">
        <f t="shared" si="3"/>
        <v>insert into mkatalog_kfa93 (kode, uraian, kode_92, uraian_92, nama_dagang, satuan_kecil, sediaan, golongan, url, userid_updt, sysdate_updt) values ('93001180','Calcitriol 0,5 mcg Kapsul Lunak (PHAPROS Tbk)','92000602','Calcitriol 0,5 mcg Kapsul Lunak','CALCITRIOL','Kapsul','Kapsul Lunak','Obat Keras','https://dto.kemkes.go.id/kfacode/93001180',0,'2023-05-01');</v>
      </c>
    </row>
    <row r="158" spans="1:11" ht="15.75" customHeight="1">
      <c r="A158" s="2">
        <v>93000848</v>
      </c>
      <c r="B158" s="2" t="s">
        <v>1746</v>
      </c>
      <c r="C158" s="2">
        <v>92000601</v>
      </c>
      <c r="D158" s="2" t="s">
        <v>750</v>
      </c>
      <c r="E158" s="2" t="s">
        <v>1747</v>
      </c>
      <c r="F158" s="2" t="s">
        <v>702</v>
      </c>
      <c r="G158" s="2" t="s">
        <v>1530</v>
      </c>
      <c r="H158" s="2" t="s">
        <v>1458</v>
      </c>
      <c r="I158" s="3" t="str">
        <f t="shared" si="0"/>
        <v>https://dto.kemkes.go.id/kfacode/93000848</v>
      </c>
      <c r="J158" s="34" t="s">
        <v>3768</v>
      </c>
      <c r="K158" t="str">
        <f t="shared" si="3"/>
        <v>insert into mkatalog_kfa93 (kode, uraian, kode_92, uraian_92, nama_dagang, satuan_kecil, sediaan, golongan, url, userid_updt, sysdate_updt) values ('93000848','Calcium Chloride Hexahydrate 27.5 g / Dextrose Monohydrate 4.3 g / Potassium Chloride 0.16 g / Sodium Chloride 0.15 g (INFUSAN - R + D, 500 mL)','92000601','Calcium Chloride Hexahydrate 27.5 g / Dextrose Monohydrate 4.3 g / Potassium Chloride 0.16 g / Sodium Chloride 0.15 g','INFUSAN - R + D','Botol Plastik','Infus','Obat Keras','https://dto.kemkes.go.id/kfacode/93000848',0,'2023-05-01');</v>
      </c>
    </row>
    <row r="159" spans="1:11" ht="15.75" customHeight="1">
      <c r="A159" s="2">
        <v>93001412</v>
      </c>
      <c r="B159" s="2" t="s">
        <v>1748</v>
      </c>
      <c r="C159" s="2">
        <v>92000503</v>
      </c>
      <c r="D159" s="2" t="s">
        <v>751</v>
      </c>
      <c r="E159" s="2" t="s">
        <v>1749</v>
      </c>
      <c r="F159" s="2" t="s">
        <v>653</v>
      </c>
      <c r="G159" s="2" t="s">
        <v>1506</v>
      </c>
      <c r="H159" s="2" t="s">
        <v>1458</v>
      </c>
      <c r="I159" s="3" t="str">
        <f t="shared" si="0"/>
        <v>https://dto.kemkes.go.id/kfacode/93001412</v>
      </c>
      <c r="J159" s="34" t="s">
        <v>3768</v>
      </c>
      <c r="K159" t="str">
        <f t="shared" si="3"/>
        <v>insert into mkatalog_kfa93 (kode, uraian, kode_92, uraian_92, nama_dagang, satuan_kecil, sediaan, golongan, url, userid_updt, sysdate_updt) values ('93001412','Calcium Folinate 10 mg / mL Injeksi (FERRON PAR PHARMACEUTICALS)','92000503','Calcium Folinate 10 mg / mL Injeksi','CALCIUM FOLINATE','Vial','Larutan Injeksi','Obat Keras','https://dto.kemkes.go.id/kfacode/93001412',0,'2023-05-01');</v>
      </c>
    </row>
    <row r="160" spans="1:11" ht="15.75" customHeight="1">
      <c r="A160" s="2">
        <v>93001095</v>
      </c>
      <c r="B160" s="2" t="s">
        <v>1750</v>
      </c>
      <c r="C160" s="2">
        <v>92000503</v>
      </c>
      <c r="D160" s="2" t="s">
        <v>751</v>
      </c>
      <c r="E160" s="2" t="s">
        <v>1749</v>
      </c>
      <c r="F160" s="2" t="s">
        <v>653</v>
      </c>
      <c r="G160" s="2" t="s">
        <v>1506</v>
      </c>
      <c r="H160" s="2" t="s">
        <v>1458</v>
      </c>
      <c r="I160" s="3" t="str">
        <f t="shared" si="0"/>
        <v>https://dto.kemkes.go.id/kfacode/93001095</v>
      </c>
      <c r="J160" s="34" t="s">
        <v>3768</v>
      </c>
      <c r="K160" t="str">
        <f t="shared" si="3"/>
        <v>insert into mkatalog_kfa93 (kode, uraian, kode_92, uraian_92, nama_dagang, satuan_kecil, sediaan, golongan, url, userid_updt, sysdate_updt) values ('93001095','Calcium Folinate 10 mg / mL Injeksi (GLOBAL ONKOLAB FARMA)','92000503','Calcium Folinate 10 mg / mL Injeksi','CALCIUM FOLINATE','Vial','Larutan Injeksi','Obat Keras','https://dto.kemkes.go.id/kfacode/93001095',0,'2023-05-01');</v>
      </c>
    </row>
    <row r="161" spans="1:11" ht="15.75" customHeight="1">
      <c r="A161" s="2">
        <v>93000518</v>
      </c>
      <c r="B161" s="2" t="s">
        <v>1751</v>
      </c>
      <c r="C161" s="2">
        <v>92000438</v>
      </c>
      <c r="D161" s="2" t="s">
        <v>752</v>
      </c>
      <c r="E161" s="2" t="s">
        <v>1752</v>
      </c>
      <c r="F161" s="2" t="s">
        <v>645</v>
      </c>
      <c r="G161" s="2" t="s">
        <v>1506</v>
      </c>
      <c r="H161" s="2" t="s">
        <v>1458</v>
      </c>
      <c r="I161" s="3" t="str">
        <f t="shared" si="0"/>
        <v>https://dto.kemkes.go.id/kfacode/93000518</v>
      </c>
      <c r="J161" s="34" t="s">
        <v>3768</v>
      </c>
      <c r="K161" t="str">
        <f t="shared" si="3"/>
        <v>insert into mkatalog_kfa93 (kode, uraian, kode_92, uraian_92, nama_dagang, satuan_kecil, sediaan, golongan, url, userid_updt, sysdate_updt) values ('93000518','Calcium Gluconate 100 mg / mL Injeksi (DEXA MEDICA)','92000438','Calcium Gluconate 100 mg / mL Injeksi','CALCIUM GLUCONATE','Ampul','Larutan Injeksi','Obat Keras','https://dto.kemkes.go.id/kfacode/93000518',0,'2023-05-01');</v>
      </c>
    </row>
    <row r="162" spans="1:11" ht="15.75" customHeight="1">
      <c r="A162" s="2">
        <v>93001112</v>
      </c>
      <c r="B162" s="2" t="s">
        <v>1753</v>
      </c>
      <c r="C162" s="2">
        <v>92000126</v>
      </c>
      <c r="D162" s="2" t="s">
        <v>754</v>
      </c>
      <c r="F162" s="2" t="s">
        <v>640</v>
      </c>
      <c r="G162" s="2" t="s">
        <v>640</v>
      </c>
      <c r="H162" s="2" t="s">
        <v>1525</v>
      </c>
      <c r="I162" s="3" t="str">
        <f t="shared" si="0"/>
        <v>https://dto.kemkes.go.id/kfacode/93001112</v>
      </c>
      <c r="J162" s="34" t="s">
        <v>3768</v>
      </c>
      <c r="K162" t="str">
        <f t="shared" si="3"/>
        <v>insert into mkatalog_kfa93 (kode, uraian, kode_92, uraian_92, nama_dagang, satuan_kecil, sediaan, golongan, url, userid_updt, sysdate_updt) values ('93001112','Calcium Lactate 500 mg Tablet/Kaplet (MERSIFARMA TIRMAKU MERCUSANA)','92000126','Calcium Lactate 500 mg Tablet/Kaplet','','Tablet','Tablet','Obat Bebas','https://dto.kemkes.go.id/kfacode/93001112',0,'2023-05-01');</v>
      </c>
    </row>
    <row r="163" spans="1:11" ht="15.75" customHeight="1">
      <c r="A163" s="2">
        <v>93001418</v>
      </c>
      <c r="B163" s="2" t="s">
        <v>1754</v>
      </c>
      <c r="C163" s="2">
        <v>92000834</v>
      </c>
      <c r="D163" s="2" t="s">
        <v>755</v>
      </c>
      <c r="E163" s="2" t="s">
        <v>1755</v>
      </c>
      <c r="F163" s="2" t="s">
        <v>640</v>
      </c>
      <c r="G163" s="2" t="s">
        <v>640</v>
      </c>
      <c r="H163" s="2" t="s">
        <v>1458</v>
      </c>
      <c r="I163" s="3" t="str">
        <f t="shared" si="0"/>
        <v>https://dto.kemkes.go.id/kfacode/93001418</v>
      </c>
      <c r="J163" s="34" t="s">
        <v>3768</v>
      </c>
      <c r="K163" t="str">
        <f t="shared" si="3"/>
        <v>insert into mkatalog_kfa93 (kode, uraian, kode_92, uraian_92, nama_dagang, satuan_kecil, sediaan, golongan, url, userid_updt, sysdate_updt) values ('93001418','Candesartan Cilexetil 16 mg Tablet (DEXA MEDICA)','92000834','Candesartan Cilexetil 16 mg Tablet','CANDESARTAN CILEXETIL','Tablet','Tablet','Obat Keras','https://dto.kemkes.go.id/kfacode/93001418',0,'2023-05-01');</v>
      </c>
    </row>
    <row r="164" spans="1:11" ht="15.75" customHeight="1">
      <c r="A164" s="2">
        <v>93001420</v>
      </c>
      <c r="B164" s="2" t="s">
        <v>1756</v>
      </c>
      <c r="C164" s="2">
        <v>92000836</v>
      </c>
      <c r="D164" s="2" t="s">
        <v>756</v>
      </c>
      <c r="E164" s="2" t="s">
        <v>1755</v>
      </c>
      <c r="F164" s="2" t="s">
        <v>640</v>
      </c>
      <c r="G164" s="2" t="s">
        <v>640</v>
      </c>
      <c r="H164" s="2" t="s">
        <v>1458</v>
      </c>
      <c r="I164" s="3" t="str">
        <f t="shared" si="0"/>
        <v>https://dto.kemkes.go.id/kfacode/93001420</v>
      </c>
      <c r="J164" s="34" t="s">
        <v>3768</v>
      </c>
      <c r="K164" t="str">
        <f t="shared" si="3"/>
        <v>insert into mkatalog_kfa93 (kode, uraian, kode_92, uraian_92, nama_dagang, satuan_kecil, sediaan, golongan, url, userid_updt, sysdate_updt) values ('93001420','Candesartan Cilexetil 8 mg Tablet (DEXA MEDICA)','92000836','Candesartan Cilexetil 8 mg Tablet','CANDESARTAN CILEXETIL','Tablet','Tablet','Obat Keras','https://dto.kemkes.go.id/kfacode/93001420',0,'2023-05-01');</v>
      </c>
    </row>
    <row r="165" spans="1:11" ht="15.75" customHeight="1">
      <c r="A165" s="2">
        <v>93000425</v>
      </c>
      <c r="B165" s="2" t="s">
        <v>1757</v>
      </c>
      <c r="C165" s="2">
        <v>92000312</v>
      </c>
      <c r="D165" s="2" t="s">
        <v>757</v>
      </c>
      <c r="E165" s="2" t="s">
        <v>1758</v>
      </c>
      <c r="F165" s="2" t="s">
        <v>640</v>
      </c>
      <c r="G165" s="2" t="s">
        <v>1457</v>
      </c>
      <c r="H165" s="2" t="s">
        <v>1458</v>
      </c>
      <c r="I165" s="3" t="str">
        <f t="shared" si="0"/>
        <v>https://dto.kemkes.go.id/kfacode/93000425</v>
      </c>
      <c r="J165" s="34" t="s">
        <v>3768</v>
      </c>
      <c r="K165" t="str">
        <f t="shared" si="3"/>
        <v>insert into mkatalog_kfa93 (kode, uraian, kode_92, uraian_92, nama_dagang, satuan_kecil, sediaan, golongan, url, userid_updt, sysdate_updt) values ('93000425','Capecitabine 500 mg Tablet Salut Selaput (BINECAP)','92000312','Capecitabine 500 mg Tablet Salut Selaput','BINECAP','Tablet','Tablet Salut Selaput','Obat Keras','https://dto.kemkes.go.id/kfacode/93000425',0,'2023-05-01');</v>
      </c>
    </row>
    <row r="166" spans="1:11" ht="15.75" customHeight="1">
      <c r="A166" s="2">
        <v>93000447</v>
      </c>
      <c r="B166" s="2" t="s">
        <v>1759</v>
      </c>
      <c r="C166" s="2">
        <v>92000312</v>
      </c>
      <c r="D166" s="2" t="s">
        <v>757</v>
      </c>
      <c r="E166" s="2" t="s">
        <v>1760</v>
      </c>
      <c r="F166" s="2" t="s">
        <v>640</v>
      </c>
      <c r="G166" s="2" t="s">
        <v>1457</v>
      </c>
      <c r="H166" s="2" t="s">
        <v>1458</v>
      </c>
      <c r="I166" s="3" t="str">
        <f t="shared" si="0"/>
        <v>https://dto.kemkes.go.id/kfacode/93000447</v>
      </c>
      <c r="J166" s="34" t="s">
        <v>3768</v>
      </c>
      <c r="K166" t="str">
        <f t="shared" si="3"/>
        <v>insert into mkatalog_kfa93 (kode, uraian, kode_92, uraian_92, nama_dagang, satuan_kecil, sediaan, golongan, url, userid_updt, sysdate_updt) values ('93000447','Capecitabine 500 mg Tablet Salut Selaput (FERCAB)','92000312','Capecitabine 500 mg Tablet Salut Selaput','FERCAB','Tablet','Tablet Salut Selaput','Obat Keras','https://dto.kemkes.go.id/kfacode/93000447',0,'2023-05-01');</v>
      </c>
    </row>
    <row r="167" spans="1:11" ht="15.75" customHeight="1">
      <c r="A167" s="2">
        <v>93000426</v>
      </c>
      <c r="B167" s="2" t="s">
        <v>1761</v>
      </c>
      <c r="C167" s="2">
        <v>92000312</v>
      </c>
      <c r="D167" s="2" t="s">
        <v>757</v>
      </c>
      <c r="E167" s="2" t="s">
        <v>1762</v>
      </c>
      <c r="F167" s="2" t="s">
        <v>640</v>
      </c>
      <c r="G167" s="2" t="s">
        <v>1457</v>
      </c>
      <c r="H167" s="2" t="s">
        <v>1458</v>
      </c>
      <c r="I167" s="3" t="str">
        <f t="shared" si="0"/>
        <v>https://dto.kemkes.go.id/kfacode/93000426</v>
      </c>
      <c r="J167" s="34" t="s">
        <v>3768</v>
      </c>
      <c r="K167" t="str">
        <f t="shared" si="3"/>
        <v>insert into mkatalog_kfa93 (kode, uraian, kode_92, uraian_92, nama_dagang, satuan_kecil, sediaan, golongan, url, userid_updt, sysdate_updt) values ('93000426','Capecitabine 500 mg Tablet Salut Selaput (TACERAL)','92000312','Capecitabine 500 mg Tablet Salut Selaput','TACERAL','Tablet','Tablet Salut Selaput','Obat Keras','https://dto.kemkes.go.id/kfacode/93000426',0,'2023-05-01');</v>
      </c>
    </row>
    <row r="168" spans="1:11" ht="15.75" customHeight="1">
      <c r="A168" s="2">
        <v>93000446</v>
      </c>
      <c r="B168" s="2" t="s">
        <v>1763</v>
      </c>
      <c r="C168" s="2">
        <v>92000312</v>
      </c>
      <c r="D168" s="2" t="s">
        <v>757</v>
      </c>
      <c r="E168" s="2" t="s">
        <v>1764</v>
      </c>
      <c r="F168" s="2" t="s">
        <v>640</v>
      </c>
      <c r="G168" s="2" t="s">
        <v>1457</v>
      </c>
      <c r="H168" s="2" t="s">
        <v>1458</v>
      </c>
      <c r="I168" s="3" t="str">
        <f t="shared" si="0"/>
        <v>https://dto.kemkes.go.id/kfacode/93000446</v>
      </c>
      <c r="J168" s="34" t="s">
        <v>3768</v>
      </c>
      <c r="K168" t="str">
        <f t="shared" si="3"/>
        <v>insert into mkatalog_kfa93 (kode, uraian, kode_92, uraian_92, nama_dagang, satuan_kecil, sediaan, golongan, url, userid_updt, sysdate_updt) values ('93000446','Capecitabine 500 mg Tablet Salut Selaput (XELODA)','92000312','Capecitabine 500 mg Tablet Salut Selaput','XELODA','Tablet','Tablet Salut Selaput','Obat Keras','https://dto.kemkes.go.id/kfacode/93000446',0,'2023-05-01');</v>
      </c>
    </row>
    <row r="169" spans="1:11" ht="15.75" customHeight="1">
      <c r="A169" s="2">
        <v>93001350</v>
      </c>
      <c r="B169" s="2" t="s">
        <v>1765</v>
      </c>
      <c r="C169" s="2">
        <v>92000773</v>
      </c>
      <c r="D169" s="2" t="s">
        <v>758</v>
      </c>
      <c r="E169" s="2" t="s">
        <v>1766</v>
      </c>
      <c r="F169" s="2" t="s">
        <v>640</v>
      </c>
      <c r="G169" s="2" t="s">
        <v>640</v>
      </c>
      <c r="H169" s="2" t="s">
        <v>1458</v>
      </c>
      <c r="I169" s="3" t="str">
        <f t="shared" si="0"/>
        <v>https://dto.kemkes.go.id/kfacode/93001350</v>
      </c>
      <c r="J169" s="34" t="s">
        <v>3768</v>
      </c>
      <c r="K169" t="str">
        <f t="shared" si="3"/>
        <v>insert into mkatalog_kfa93 (kode, uraian, kode_92, uraian_92, nama_dagang, satuan_kecil, sediaan, golongan, url, userid_updt, sysdate_updt) values ('93001350','Captopril 12,5 mg Tablet (PHAPROS Tbk)','92000773','Captopril 12,5 mg Tablet','CAPTOPRIL','Tablet','Tablet','Obat Keras','https://dto.kemkes.go.id/kfacode/93001350',0,'2023-05-01');</v>
      </c>
    </row>
    <row r="170" spans="1:11" ht="15.75" customHeight="1">
      <c r="A170" s="2">
        <v>93001349</v>
      </c>
      <c r="B170" s="2" t="s">
        <v>1767</v>
      </c>
      <c r="C170" s="2">
        <v>92000344</v>
      </c>
      <c r="D170" s="2" t="s">
        <v>759</v>
      </c>
      <c r="E170" s="2" t="s">
        <v>1766</v>
      </c>
      <c r="F170" s="2" t="s">
        <v>640</v>
      </c>
      <c r="G170" s="2" t="s">
        <v>640</v>
      </c>
      <c r="H170" s="2" t="s">
        <v>1458</v>
      </c>
      <c r="I170" s="3" t="str">
        <f t="shared" si="0"/>
        <v>https://dto.kemkes.go.id/kfacode/93001349</v>
      </c>
      <c r="J170" s="34" t="s">
        <v>3768</v>
      </c>
      <c r="K170" t="str">
        <f t="shared" si="3"/>
        <v>insert into mkatalog_kfa93 (kode, uraian, kode_92, uraian_92, nama_dagang, satuan_kecil, sediaan, golongan, url, userid_updt, sysdate_updt) values ('93001349','Captopril 25 mg Tablet (PHAPROS Tbk)','92000344','Captopril 25 mg Tablet','CAPTOPRIL','Tablet','Tablet','Obat Keras','https://dto.kemkes.go.id/kfacode/93001349',0,'2023-05-01');</v>
      </c>
    </row>
    <row r="171" spans="1:11" ht="15.75" customHeight="1">
      <c r="A171" s="2">
        <v>93001023</v>
      </c>
      <c r="B171" s="2" t="s">
        <v>1768</v>
      </c>
      <c r="C171" s="2">
        <v>92000344</v>
      </c>
      <c r="D171" s="2" t="s">
        <v>759</v>
      </c>
      <c r="E171" s="2" t="s">
        <v>1766</v>
      </c>
      <c r="F171" s="2" t="s">
        <v>640</v>
      </c>
      <c r="G171" s="2" t="s">
        <v>640</v>
      </c>
      <c r="H171" s="2" t="s">
        <v>1458</v>
      </c>
      <c r="I171" s="3" t="str">
        <f t="shared" si="0"/>
        <v>https://dto.kemkes.go.id/kfacode/93001023</v>
      </c>
      <c r="J171" s="34" t="s">
        <v>3768</v>
      </c>
      <c r="K171" t="str">
        <f t="shared" si="3"/>
        <v>insert into mkatalog_kfa93 (kode, uraian, kode_92, uraian_92, nama_dagang, satuan_kecil, sediaan, golongan, url, userid_updt, sysdate_updt) values ('93001023','Captopril 25 mg Tablet (RAMA EMERALD MULTI SUKSES)','92000344','Captopril 25 mg Tablet','CAPTOPRIL','Tablet','Tablet','Obat Keras','https://dto.kemkes.go.id/kfacode/93001023',0,'2023-05-01');</v>
      </c>
    </row>
    <row r="172" spans="1:11" ht="15.75" customHeight="1">
      <c r="A172" s="2">
        <v>93001117</v>
      </c>
      <c r="B172" s="2" t="s">
        <v>1769</v>
      </c>
      <c r="C172" s="2">
        <v>92000353</v>
      </c>
      <c r="D172" s="2" t="s">
        <v>760</v>
      </c>
      <c r="E172" s="2" t="s">
        <v>1770</v>
      </c>
      <c r="F172" s="2" t="s">
        <v>640</v>
      </c>
      <c r="G172" s="2" t="s">
        <v>640</v>
      </c>
      <c r="H172" s="2" t="s">
        <v>1458</v>
      </c>
      <c r="I172" s="3" t="str">
        <f t="shared" si="0"/>
        <v>https://dto.kemkes.go.id/kfacode/93001117</v>
      </c>
      <c r="J172" s="34" t="s">
        <v>3768</v>
      </c>
      <c r="K172" t="str">
        <f t="shared" si="3"/>
        <v>insert into mkatalog_kfa93 (kode, uraian, kode_92, uraian_92, nama_dagang, satuan_kecil, sediaan, golongan, url, userid_updt, sysdate_updt) values ('93001117','Carbamazepine 200 mg Tablet (MERSIFARMA TIRMAKU MERCUSANA)','92000353','Carbamazepine 200 mg Tablet','CARBAMAZEPINE','Tablet','Tablet','Obat Keras','https://dto.kemkes.go.id/kfacode/93001117',0,'2023-05-01');</v>
      </c>
    </row>
    <row r="173" spans="1:11" ht="15.75" customHeight="1">
      <c r="A173" s="2">
        <v>93001316</v>
      </c>
      <c r="B173" s="2" t="s">
        <v>1771</v>
      </c>
      <c r="C173" s="2">
        <v>92000808</v>
      </c>
      <c r="D173" s="2" t="s">
        <v>761</v>
      </c>
      <c r="E173" s="2" t="s">
        <v>1772</v>
      </c>
      <c r="F173" s="2" t="s">
        <v>640</v>
      </c>
      <c r="G173" s="2" t="s">
        <v>640</v>
      </c>
      <c r="H173" s="2" t="s">
        <v>1458</v>
      </c>
      <c r="I173" s="3" t="str">
        <f t="shared" si="0"/>
        <v>https://dto.kemkes.go.id/kfacode/93001316</v>
      </c>
      <c r="J173" s="34" t="s">
        <v>3768</v>
      </c>
      <c r="K173" t="str">
        <f t="shared" si="3"/>
        <v>insert into mkatalog_kfa93 (kode, uraian, kode_92, uraian_92, nama_dagang, satuan_kecil, sediaan, golongan, url, userid_updt, sysdate_updt) values ('93001316','Carbimazole 5 mg Tablet (NEO MERCAZOLE)','92000808','Carbimazole 5 mg Tablet','NEO MERCAZOLE','Tablet','Tablet','Obat Keras','https://dto.kemkes.go.id/kfacode/93001316',0,'2023-05-01');</v>
      </c>
    </row>
    <row r="174" spans="1:11" ht="15.75" customHeight="1">
      <c r="A174" s="2">
        <v>93001363</v>
      </c>
      <c r="B174" s="2" t="s">
        <v>1773</v>
      </c>
      <c r="C174" s="2">
        <v>92000191</v>
      </c>
      <c r="D174" s="2" t="s">
        <v>762</v>
      </c>
      <c r="E174" s="2" t="s">
        <v>1774</v>
      </c>
      <c r="F174" s="2" t="s">
        <v>653</v>
      </c>
      <c r="G174" s="2" t="s">
        <v>1506</v>
      </c>
      <c r="H174" s="2" t="s">
        <v>1458</v>
      </c>
      <c r="I174" s="3" t="str">
        <f t="shared" si="0"/>
        <v>https://dto.kemkes.go.id/kfacode/93001363</v>
      </c>
      <c r="J174" s="34" t="s">
        <v>3768</v>
      </c>
      <c r="K174" t="str">
        <f t="shared" si="3"/>
        <v>insert into mkatalog_kfa93 (kode, uraian, kode_92, uraian_92, nama_dagang, satuan_kecil, sediaan, golongan, url, userid_updt, sysdate_updt) values ('93001363','Carboplatin 10 mg / mL Injeksi (CKD OTTO Pharmaceuticals, 15 mL)','92000191','Carboplatin 10 mg / mL Injeksi','CARBOPLATIN','Vial','Larutan Injeksi','Obat Keras','https://dto.kemkes.go.id/kfacode/93001363',0,'2023-05-01');</v>
      </c>
    </row>
    <row r="175" spans="1:11" ht="15.75" customHeight="1">
      <c r="A175" s="2">
        <v>93001362</v>
      </c>
      <c r="B175" s="2" t="s">
        <v>1775</v>
      </c>
      <c r="C175" s="2">
        <v>92000191</v>
      </c>
      <c r="D175" s="2" t="s">
        <v>762</v>
      </c>
      <c r="E175" s="2" t="s">
        <v>1774</v>
      </c>
      <c r="F175" s="2" t="s">
        <v>653</v>
      </c>
      <c r="G175" s="2" t="s">
        <v>1506</v>
      </c>
      <c r="H175" s="2" t="s">
        <v>1458</v>
      </c>
      <c r="I175" s="3" t="str">
        <f t="shared" si="0"/>
        <v>https://dto.kemkes.go.id/kfacode/93001362</v>
      </c>
      <c r="J175" s="34" t="s">
        <v>3768</v>
      </c>
      <c r="K175" t="str">
        <f t="shared" si="3"/>
        <v>insert into mkatalog_kfa93 (kode, uraian, kode_92, uraian_92, nama_dagang, satuan_kecil, sediaan, golongan, url, userid_updt, sysdate_updt) values ('93001362','Carboplatin 10 mg / mL Injeksi (CKD OTTO Pharmaceuticals, 45 mL)','92000191','Carboplatin 10 mg / mL Injeksi','CARBOPLATIN','Vial','Larutan Injeksi','Obat Keras','https://dto.kemkes.go.id/kfacode/93001362',0,'2023-05-01');</v>
      </c>
    </row>
    <row r="176" spans="1:11" ht="15.75" customHeight="1">
      <c r="A176" s="2">
        <v>93001251</v>
      </c>
      <c r="B176" s="2" t="s">
        <v>1776</v>
      </c>
      <c r="C176" s="2">
        <v>92000191</v>
      </c>
      <c r="D176" s="2" t="s">
        <v>762</v>
      </c>
      <c r="E176" s="2" t="s">
        <v>1774</v>
      </c>
      <c r="F176" s="2" t="s">
        <v>653</v>
      </c>
      <c r="G176" s="2" t="s">
        <v>1506</v>
      </c>
      <c r="H176" s="2" t="s">
        <v>1458</v>
      </c>
      <c r="I176" s="3" t="str">
        <f t="shared" si="0"/>
        <v>https://dto.kemkes.go.id/kfacode/93001251</v>
      </c>
      <c r="J176" s="34" t="s">
        <v>3768</v>
      </c>
      <c r="K176" t="str">
        <f t="shared" si="3"/>
        <v>insert into mkatalog_kfa93 (kode, uraian, kode_92, uraian_92, nama_dagang, satuan_kecil, sediaan, golongan, url, userid_updt, sysdate_updt) values ('93001251','Carboplatin 10 mg / mL Injeksi (DANKOS FARMA, 15 mL)','92000191','Carboplatin 10 mg / mL Injeksi','CARBOPLATIN','Vial','Larutan Injeksi','Obat Keras','https://dto.kemkes.go.id/kfacode/93001251',0,'2023-05-01');</v>
      </c>
    </row>
    <row r="177" spans="1:11" ht="15.75" customHeight="1">
      <c r="A177" s="2">
        <v>93001252</v>
      </c>
      <c r="B177" s="2" t="s">
        <v>1777</v>
      </c>
      <c r="C177" s="2">
        <v>92000191</v>
      </c>
      <c r="D177" s="2" t="s">
        <v>762</v>
      </c>
      <c r="E177" s="2" t="s">
        <v>1774</v>
      </c>
      <c r="F177" s="2" t="s">
        <v>653</v>
      </c>
      <c r="G177" s="2" t="s">
        <v>1506</v>
      </c>
      <c r="H177" s="2" t="s">
        <v>1458</v>
      </c>
      <c r="I177" s="3" t="str">
        <f t="shared" si="0"/>
        <v>https://dto.kemkes.go.id/kfacode/93001252</v>
      </c>
      <c r="J177" s="34" t="s">
        <v>3768</v>
      </c>
      <c r="K177" t="str">
        <f t="shared" si="3"/>
        <v>insert into mkatalog_kfa93 (kode, uraian, kode_92, uraian_92, nama_dagang, satuan_kecil, sediaan, golongan, url, userid_updt, sysdate_updt) values ('93001252','Carboplatin 10 mg / mL Injeksi (DANKOS FARMA, 45 mL)','92000191','Carboplatin 10 mg / mL Injeksi','CARBOPLATIN','Vial','Larutan Injeksi','Obat Keras','https://dto.kemkes.go.id/kfacode/93001252',0,'2023-05-01');</v>
      </c>
    </row>
    <row r="178" spans="1:11" ht="15.75" customHeight="1">
      <c r="A178" s="2">
        <v>93001258</v>
      </c>
      <c r="B178" s="2" t="s">
        <v>1778</v>
      </c>
      <c r="C178" s="2">
        <v>92000191</v>
      </c>
      <c r="D178" s="2" t="s">
        <v>762</v>
      </c>
      <c r="E178" s="2" t="s">
        <v>1774</v>
      </c>
      <c r="F178" s="2" t="s">
        <v>653</v>
      </c>
      <c r="G178" s="2" t="s">
        <v>1506</v>
      </c>
      <c r="H178" s="2" t="s">
        <v>1458</v>
      </c>
      <c r="I178" s="3" t="str">
        <f t="shared" si="0"/>
        <v>https://dto.kemkes.go.id/kfacode/93001258</v>
      </c>
      <c r="J178" s="34" t="s">
        <v>3768</v>
      </c>
      <c r="K178" t="str">
        <f t="shared" si="3"/>
        <v>insert into mkatalog_kfa93 (kode, uraian, kode_92, uraian_92, nama_dagang, satuan_kecil, sediaan, golongan, url, userid_updt, sysdate_updt) values ('93001258','Carboplatin 10 mg / mL Injeksi (FERRON PAR PHARMACEUTICALS, 15 mL)','92000191','Carboplatin 10 mg / mL Injeksi','CARBOPLATIN','Vial','Larutan Injeksi','Obat Keras','https://dto.kemkes.go.id/kfacode/93001258',0,'2023-05-01');</v>
      </c>
    </row>
    <row r="179" spans="1:11" ht="15.75" customHeight="1">
      <c r="A179" s="2">
        <v>93001259</v>
      </c>
      <c r="B179" s="2" t="s">
        <v>1779</v>
      </c>
      <c r="C179" s="2">
        <v>92000191</v>
      </c>
      <c r="D179" s="2" t="s">
        <v>762</v>
      </c>
      <c r="E179" s="2" t="s">
        <v>1774</v>
      </c>
      <c r="F179" s="2" t="s">
        <v>653</v>
      </c>
      <c r="G179" s="2" t="s">
        <v>1506</v>
      </c>
      <c r="H179" s="2" t="s">
        <v>1458</v>
      </c>
      <c r="I179" s="3" t="str">
        <f t="shared" si="0"/>
        <v>https://dto.kemkes.go.id/kfacode/93001259</v>
      </c>
      <c r="J179" s="34" t="s">
        <v>3768</v>
      </c>
      <c r="K179" t="str">
        <f t="shared" si="3"/>
        <v>insert into mkatalog_kfa93 (kode, uraian, kode_92, uraian_92, nama_dagang, satuan_kecil, sediaan, golongan, url, userid_updt, sysdate_updt) values ('93001259','Carboplatin 10 mg / mL Injeksi (FERRON PAR PHARMACEUTICALS, 45 mL)','92000191','Carboplatin 10 mg / mL Injeksi','CARBOPLATIN','Vial','Larutan Injeksi','Obat Keras','https://dto.kemkes.go.id/kfacode/93001259',0,'2023-05-01');</v>
      </c>
    </row>
    <row r="180" spans="1:11" ht="15.75" customHeight="1">
      <c r="A180" s="2">
        <v>93000314</v>
      </c>
      <c r="B180" s="2" t="s">
        <v>1780</v>
      </c>
      <c r="C180" s="2">
        <v>92000191</v>
      </c>
      <c r="D180" s="2" t="s">
        <v>762</v>
      </c>
      <c r="E180" s="2" t="s">
        <v>1781</v>
      </c>
      <c r="F180" s="2" t="s">
        <v>653</v>
      </c>
      <c r="G180" s="2" t="s">
        <v>1506</v>
      </c>
      <c r="H180" s="2" t="s">
        <v>1458</v>
      </c>
      <c r="I180" s="3" t="str">
        <f t="shared" si="0"/>
        <v>https://dto.kemkes.go.id/kfacode/93000314</v>
      </c>
      <c r="J180" s="34" t="s">
        <v>3768</v>
      </c>
      <c r="K180" t="str">
        <f t="shared" si="3"/>
        <v>insert into mkatalog_kfa93 (kode, uraian, kode_92, uraian_92, nama_dagang, satuan_kecil, sediaan, golongan, url, userid_updt, sysdate_updt) values ('93000314','Carboplatin 10 mg / mL Injeksi (FUPLATIN, 15 mL)','92000191','Carboplatin 10 mg / mL Injeksi','FUPLATIN','Vial','Larutan Injeksi','Obat Keras','https://dto.kemkes.go.id/kfacode/93000314',0,'2023-05-01');</v>
      </c>
    </row>
    <row r="181" spans="1:11" ht="15.75" customHeight="1">
      <c r="A181" s="2">
        <v>93000243</v>
      </c>
      <c r="B181" s="2" t="s">
        <v>1782</v>
      </c>
      <c r="C181" s="2">
        <v>92000191</v>
      </c>
      <c r="D181" s="2" t="s">
        <v>762</v>
      </c>
      <c r="E181" s="2" t="s">
        <v>1781</v>
      </c>
      <c r="F181" s="2" t="s">
        <v>653</v>
      </c>
      <c r="G181" s="2" t="s">
        <v>1506</v>
      </c>
      <c r="H181" s="2" t="s">
        <v>1458</v>
      </c>
      <c r="I181" s="3" t="str">
        <f t="shared" si="0"/>
        <v>https://dto.kemkes.go.id/kfacode/93000243</v>
      </c>
      <c r="J181" s="34" t="s">
        <v>3768</v>
      </c>
      <c r="K181" t="str">
        <f t="shared" si="3"/>
        <v>insert into mkatalog_kfa93 (kode, uraian, kode_92, uraian_92, nama_dagang, satuan_kecil, sediaan, golongan, url, userid_updt, sysdate_updt) values ('93000243','Carboplatin 10 mg / mL Injeksi (FUPLATIN, 45 mL)','92000191','Carboplatin 10 mg / mL Injeksi','FUPLATIN','Vial','Larutan Injeksi','Obat Keras','https://dto.kemkes.go.id/kfacode/93000243',0,'2023-05-01');</v>
      </c>
    </row>
    <row r="182" spans="1:11" ht="15.75" customHeight="1">
      <c r="A182" s="2">
        <v>93000499</v>
      </c>
      <c r="B182" s="2" t="s">
        <v>1783</v>
      </c>
      <c r="C182" s="2">
        <v>92000191</v>
      </c>
      <c r="D182" s="2" t="s">
        <v>762</v>
      </c>
      <c r="E182" s="2" t="s">
        <v>1781</v>
      </c>
      <c r="F182" s="2" t="s">
        <v>653</v>
      </c>
      <c r="G182" s="2" t="s">
        <v>1506</v>
      </c>
      <c r="H182" s="2" t="s">
        <v>1458</v>
      </c>
      <c r="I182" s="3" t="str">
        <f t="shared" si="0"/>
        <v>https://dto.kemkes.go.id/kfacode/93000499</v>
      </c>
      <c r="J182" s="34" t="s">
        <v>3768</v>
      </c>
      <c r="K182" t="str">
        <f t="shared" si="3"/>
        <v>insert into mkatalog_kfa93 (kode, uraian, kode_92, uraian_92, nama_dagang, satuan_kecil, sediaan, golongan, url, userid_updt, sysdate_updt) values ('93000499','Carboplatin 10 mg / mL Injeksi (FUPLATIN)','92000191','Carboplatin 10 mg / mL Injeksi','FUPLATIN','Vial','Larutan Injeksi','Obat Keras','https://dto.kemkes.go.id/kfacode/93000499',0,'2023-05-01');</v>
      </c>
    </row>
    <row r="183" spans="1:11" ht="15.75" customHeight="1">
      <c r="A183" s="2">
        <v>93001260</v>
      </c>
      <c r="B183" s="2" t="s">
        <v>1784</v>
      </c>
      <c r="C183" s="2">
        <v>92000191</v>
      </c>
      <c r="D183" s="2" t="s">
        <v>762</v>
      </c>
      <c r="E183" s="2" t="s">
        <v>1785</v>
      </c>
      <c r="F183" s="2" t="s">
        <v>653</v>
      </c>
      <c r="G183" s="2" t="s">
        <v>1506</v>
      </c>
      <c r="H183" s="2" t="s">
        <v>1458</v>
      </c>
      <c r="I183" s="3" t="str">
        <f t="shared" si="0"/>
        <v>https://dto.kemkes.go.id/kfacode/93001260</v>
      </c>
      <c r="J183" s="34" t="s">
        <v>3768</v>
      </c>
      <c r="K183" t="str">
        <f t="shared" si="3"/>
        <v>insert into mkatalog_kfa93 (kode, uraian, kode_92, uraian_92, nama_dagang, satuan_kecil, sediaan, golongan, url, userid_updt, sysdate_updt) values ('93001260','Carboplatin 10 mg / mL Injeksi (KEMOCARB, 15 mL)','92000191','Carboplatin 10 mg / mL Injeksi','KEMOCARB','Vial','Larutan Injeksi','Obat Keras','https://dto.kemkes.go.id/kfacode/93001260',0,'2023-05-01');</v>
      </c>
    </row>
    <row r="184" spans="1:11" ht="15.75" customHeight="1">
      <c r="A184" s="2">
        <v>93001261</v>
      </c>
      <c r="B184" s="2" t="s">
        <v>1786</v>
      </c>
      <c r="C184" s="2">
        <v>92000191</v>
      </c>
      <c r="D184" s="2" t="s">
        <v>762</v>
      </c>
      <c r="E184" s="2" t="s">
        <v>1785</v>
      </c>
      <c r="F184" s="2" t="s">
        <v>653</v>
      </c>
      <c r="G184" s="2" t="s">
        <v>1506</v>
      </c>
      <c r="H184" s="2" t="s">
        <v>1458</v>
      </c>
      <c r="I184" s="3" t="str">
        <f t="shared" si="0"/>
        <v>https://dto.kemkes.go.id/kfacode/93001261</v>
      </c>
      <c r="J184" s="34" t="s">
        <v>3768</v>
      </c>
      <c r="K184" t="str">
        <f t="shared" si="3"/>
        <v>insert into mkatalog_kfa93 (kode, uraian, kode_92, uraian_92, nama_dagang, satuan_kecil, sediaan, golongan, url, userid_updt, sysdate_updt) values ('93001261','Carboplatin 10 mg / mL Injeksi (KEMOCARB, 45 mL)','92000191','Carboplatin 10 mg / mL Injeksi','KEMOCARB','Vial','Larutan Injeksi','Obat Keras','https://dto.kemkes.go.id/kfacode/93001261',0,'2023-05-01');</v>
      </c>
    </row>
    <row r="185" spans="1:11" ht="15.75" customHeight="1">
      <c r="A185" s="2">
        <v>93000189</v>
      </c>
      <c r="B185" s="2" t="s">
        <v>1787</v>
      </c>
      <c r="C185" s="2">
        <v>92000191</v>
      </c>
      <c r="D185" s="2" t="s">
        <v>762</v>
      </c>
      <c r="E185" s="2" t="s">
        <v>1774</v>
      </c>
      <c r="F185" s="2" t="s">
        <v>653</v>
      </c>
      <c r="G185" s="2" t="s">
        <v>1506</v>
      </c>
      <c r="H185" s="2" t="s">
        <v>1458</v>
      </c>
      <c r="I185" s="3" t="str">
        <f t="shared" si="0"/>
        <v>https://dto.kemkes.go.id/kfacode/93000189</v>
      </c>
      <c r="J185" s="34" t="s">
        <v>3768</v>
      </c>
      <c r="K185" t="str">
        <f t="shared" si="3"/>
        <v>insert into mkatalog_kfa93 (kode, uraian, kode_92, uraian_92, nama_dagang, satuan_kecil, sediaan, golongan, url, userid_updt, sysdate_updt) values ('93000189','Carboplatin 10 mg / mL Injeksi (SANBE FARMA, 15 mL)','92000191','Carboplatin 10 mg / mL Injeksi','CARBOPLATIN','Vial','Larutan Injeksi','Obat Keras','https://dto.kemkes.go.id/kfacode/93000189',0,'2023-05-01');</v>
      </c>
    </row>
    <row r="186" spans="1:11" ht="15.75" customHeight="1">
      <c r="A186" s="2">
        <v>93000190</v>
      </c>
      <c r="B186" s="2" t="s">
        <v>1788</v>
      </c>
      <c r="C186" s="2">
        <v>92000191</v>
      </c>
      <c r="D186" s="2" t="s">
        <v>762</v>
      </c>
      <c r="E186" s="2" t="s">
        <v>1774</v>
      </c>
      <c r="F186" s="2" t="s">
        <v>653</v>
      </c>
      <c r="G186" s="2" t="s">
        <v>1506</v>
      </c>
      <c r="H186" s="2" t="s">
        <v>1458</v>
      </c>
      <c r="I186" s="3" t="str">
        <f t="shared" si="0"/>
        <v>https://dto.kemkes.go.id/kfacode/93000190</v>
      </c>
      <c r="J186" s="34" t="s">
        <v>3768</v>
      </c>
      <c r="K186" t="str">
        <f t="shared" si="3"/>
        <v>insert into mkatalog_kfa93 (kode, uraian, kode_92, uraian_92, nama_dagang, satuan_kecil, sediaan, golongan, url, userid_updt, sysdate_updt) values ('93000190','Carboplatin 10 mg / mL Injeksi (SANBE FARMA, 45 mL)','92000191','Carboplatin 10 mg / mL Injeksi','CARBOPLATIN','Vial','Larutan Injeksi','Obat Keras','https://dto.kemkes.go.id/kfacode/93000190',0,'2023-05-01');</v>
      </c>
    </row>
    <row r="187" spans="1:11" ht="15.75" customHeight="1">
      <c r="A187" s="2">
        <v>93000501</v>
      </c>
      <c r="B187" s="2" t="s">
        <v>1789</v>
      </c>
      <c r="C187" s="2">
        <v>92000191</v>
      </c>
      <c r="D187" s="2" t="s">
        <v>762</v>
      </c>
      <c r="E187" s="2" t="s">
        <v>1774</v>
      </c>
      <c r="F187" s="2" t="s">
        <v>653</v>
      </c>
      <c r="G187" s="2" t="s">
        <v>1506</v>
      </c>
      <c r="H187" s="2" t="s">
        <v>1458</v>
      </c>
      <c r="I187" s="3" t="str">
        <f t="shared" si="0"/>
        <v>https://dto.kemkes.go.id/kfacode/93000501</v>
      </c>
      <c r="J187" s="34" t="s">
        <v>3768</v>
      </c>
      <c r="K187" t="str">
        <f t="shared" si="3"/>
        <v>insert into mkatalog_kfa93 (kode, uraian, kode_92, uraian_92, nama_dagang, satuan_kecil, sediaan, golongan, url, userid_updt, sysdate_updt) values ('93000501','Carboplatin 10 mg / mL Injeksi (SANBE FARMA)','92000191','Carboplatin 10 mg / mL Injeksi','CARBOPLATIN','Vial','Larutan Injeksi','Obat Keras','https://dto.kemkes.go.id/kfacode/93000501',0,'2023-05-01');</v>
      </c>
    </row>
    <row r="188" spans="1:11" ht="15.75" customHeight="1">
      <c r="A188" s="2">
        <v>93000382</v>
      </c>
      <c r="B188" s="2" t="s">
        <v>1790</v>
      </c>
      <c r="C188" s="2">
        <v>92000280</v>
      </c>
      <c r="D188" s="2" t="s">
        <v>763</v>
      </c>
      <c r="E188" s="2" t="s">
        <v>1791</v>
      </c>
      <c r="F188" s="2" t="s">
        <v>640</v>
      </c>
      <c r="G188" s="2" t="s">
        <v>640</v>
      </c>
      <c r="H188" s="2" t="s">
        <v>1458</v>
      </c>
      <c r="I188" s="3" t="str">
        <f t="shared" si="0"/>
        <v>https://dto.kemkes.go.id/kfacode/93000382</v>
      </c>
      <c r="J188" s="34" t="s">
        <v>3768</v>
      </c>
      <c r="K188" t="str">
        <f t="shared" si="3"/>
        <v>insert into mkatalog_kfa93 (kode, uraian, kode_92, uraian_92, nama_dagang, satuan_kecil, sediaan, golongan, url, userid_updt, sysdate_updt) values ('93000382','Carvedilol 25 mg Tablet (V-BLOC)','92000280','Carvedilol 25 mg Tablet','V-BLOC','Tablet','Tablet','Obat Keras','https://dto.kemkes.go.id/kfacode/93000382',0,'2023-05-01');</v>
      </c>
    </row>
    <row r="189" spans="1:11" ht="15.75" customHeight="1">
      <c r="A189" s="2">
        <v>93001335</v>
      </c>
      <c r="B189" s="2" t="s">
        <v>1792</v>
      </c>
      <c r="C189" s="2">
        <v>92000794</v>
      </c>
      <c r="D189" s="2" t="s">
        <v>764</v>
      </c>
      <c r="E189" s="2" t="s">
        <v>1793</v>
      </c>
      <c r="F189" s="2" t="s">
        <v>640</v>
      </c>
      <c r="G189" s="2" t="s">
        <v>640</v>
      </c>
      <c r="H189" s="2" t="s">
        <v>1458</v>
      </c>
      <c r="I189" s="3" t="str">
        <f t="shared" si="0"/>
        <v>https://dto.kemkes.go.id/kfacode/93001335</v>
      </c>
      <c r="J189" s="34" t="s">
        <v>3768</v>
      </c>
      <c r="K189" t="str">
        <f t="shared" si="3"/>
        <v>insert into mkatalog_kfa93 (kode, uraian, kode_92, uraian_92, nama_dagang, satuan_kecil, sediaan, golongan, url, userid_updt, sysdate_updt) values ('93001335','Carvedilol 6,25 mg Tablet (DARYA-VARIA LABORATORIA TBK)','92000794','Carvedilol 6,25 mg Tablet','CARVEDILOL','Tablet','Tablet','Obat Keras','https://dto.kemkes.go.id/kfacode/93001335',0,'2023-05-01');</v>
      </c>
    </row>
    <row r="190" spans="1:11" ht="15.75" customHeight="1">
      <c r="A190" s="2">
        <v>93000297</v>
      </c>
      <c r="B190" s="2" t="s">
        <v>1794</v>
      </c>
      <c r="C190" s="2">
        <v>92000192</v>
      </c>
      <c r="D190" s="2" t="s">
        <v>765</v>
      </c>
      <c r="E190" s="2" t="s">
        <v>1795</v>
      </c>
      <c r="F190" s="2" t="s">
        <v>658</v>
      </c>
      <c r="G190" s="2" t="s">
        <v>1553</v>
      </c>
      <c r="H190" s="2" t="s">
        <v>1458</v>
      </c>
      <c r="I190" s="3" t="str">
        <f t="shared" si="0"/>
        <v>https://dto.kemkes.go.id/kfacode/93000297</v>
      </c>
      <c r="J190" s="34" t="s">
        <v>3768</v>
      </c>
      <c r="K190" t="str">
        <f t="shared" si="3"/>
        <v>insert into mkatalog_kfa93 (kode, uraian, kode_92, uraian_92, nama_dagang, satuan_kecil, sediaan, golongan, url, userid_updt, sysdate_updt) values ('93000297','Cefadroxil 125 mg / 5 mL Sirup Kering (HEXPHARM JAYA LABORATORIES)','92000192','Cefadroxil 125 mg / 5 mL Sirup Kering','CEFADROXIL MONOHYDRATE','Botol','Sirup Kering','Obat Keras','https://dto.kemkes.go.id/kfacode/93000297',0,'2023-05-01');</v>
      </c>
    </row>
    <row r="191" spans="1:11" ht="15.75" customHeight="1">
      <c r="A191" s="2">
        <v>93000298</v>
      </c>
      <c r="B191" s="2" t="s">
        <v>1796</v>
      </c>
      <c r="C191" s="2">
        <v>92000192</v>
      </c>
      <c r="D191" s="2" t="s">
        <v>765</v>
      </c>
      <c r="E191" s="2" t="s">
        <v>1795</v>
      </c>
      <c r="F191" s="2" t="s">
        <v>658</v>
      </c>
      <c r="G191" s="2" t="s">
        <v>1553</v>
      </c>
      <c r="H191" s="2" t="s">
        <v>1458</v>
      </c>
      <c r="I191" s="3" t="str">
        <f t="shared" si="0"/>
        <v>https://dto.kemkes.go.id/kfacode/93000298</v>
      </c>
      <c r="J191" s="34" t="s">
        <v>3768</v>
      </c>
      <c r="K191" t="str">
        <f t="shared" si="3"/>
        <v>insert into mkatalog_kfa93 (kode, uraian, kode_92, uraian_92, nama_dagang, satuan_kecil, sediaan, golongan, url, userid_updt, sysdate_updt) values ('93000298','Cefadroxil 125 mg / 5 mL Sirup Kering (KIMIA FARMA)','92000192','Cefadroxil 125 mg / 5 mL Sirup Kering','CEFADROXIL MONOHYDRATE','Botol','Sirup Kering','Obat Keras','https://dto.kemkes.go.id/kfacode/93000298',0,'2023-05-01');</v>
      </c>
    </row>
    <row r="192" spans="1:11" ht="15.75" customHeight="1">
      <c r="A192" s="2">
        <v>93001186</v>
      </c>
      <c r="B192" s="2" t="s">
        <v>1797</v>
      </c>
      <c r="C192" s="2">
        <v>92000192</v>
      </c>
      <c r="D192" s="2" t="s">
        <v>765</v>
      </c>
      <c r="E192" s="2" t="s">
        <v>1795</v>
      </c>
      <c r="F192" s="2" t="s">
        <v>658</v>
      </c>
      <c r="G192" s="2" t="s">
        <v>1553</v>
      </c>
      <c r="H192" s="2" t="s">
        <v>1458</v>
      </c>
      <c r="I192" s="3" t="str">
        <f t="shared" si="0"/>
        <v>https://dto.kemkes.go.id/kfacode/93001186</v>
      </c>
      <c r="J192" s="34" t="s">
        <v>3768</v>
      </c>
      <c r="K192" t="str">
        <f t="shared" si="3"/>
        <v>insert into mkatalog_kfa93 (kode, uraian, kode_92, uraian_92, nama_dagang, satuan_kecil, sediaan, golongan, url, userid_updt, sysdate_updt) values ('93001186','Cefadroxil 125 mg / 5 mL Sirup Kering (PROMEDRAHARDJO FARMASI INDUSTRI)','92000192','Cefadroxil 125 mg / 5 mL Sirup Kering','CEFADROXIL MONOHYDRATE','Botol','Sirup Kering','Obat Keras','https://dto.kemkes.go.id/kfacode/93001186',0,'2023-05-01');</v>
      </c>
    </row>
    <row r="193" spans="1:11" ht="15.75" customHeight="1">
      <c r="A193" s="2">
        <v>93000889</v>
      </c>
      <c r="B193" s="2" t="s">
        <v>1798</v>
      </c>
      <c r="C193" s="2">
        <v>92000262</v>
      </c>
      <c r="D193" s="2" t="s">
        <v>766</v>
      </c>
      <c r="E193" s="2" t="s">
        <v>1799</v>
      </c>
      <c r="F193" s="2" t="s">
        <v>658</v>
      </c>
      <c r="G193" s="2" t="s">
        <v>1553</v>
      </c>
      <c r="H193" s="2" t="s">
        <v>1458</v>
      </c>
      <c r="I193" s="3" t="str">
        <f t="shared" si="0"/>
        <v>https://dto.kemkes.go.id/kfacode/93000889</v>
      </c>
      <c r="J193" s="34" t="s">
        <v>3768</v>
      </c>
      <c r="K193" t="str">
        <f t="shared" si="3"/>
        <v>insert into mkatalog_kfa93 (kode, uraian, kode_92, uraian_92, nama_dagang, satuan_kecil, sediaan, golongan, url, userid_updt, sysdate_updt) values ('93000889','Cefadroxil 250 mg / 5 mL Sirup Kering (IFARS)','92000262','Cefadroxil 250 mg / 5 mL Sirup Kering','CEFADROXIL','Botol','Sirup Kering','Obat Keras','https://dto.kemkes.go.id/kfacode/93000889',0,'2023-05-01');</v>
      </c>
    </row>
    <row r="194" spans="1:11" ht="15.75" customHeight="1">
      <c r="A194" s="2">
        <v>93000333</v>
      </c>
      <c r="B194" s="2" t="s">
        <v>1800</v>
      </c>
      <c r="C194" s="2">
        <v>92000262</v>
      </c>
      <c r="D194" s="2" t="s">
        <v>766</v>
      </c>
      <c r="E194" s="2" t="s">
        <v>1795</v>
      </c>
      <c r="F194" s="2" t="s">
        <v>658</v>
      </c>
      <c r="G194" s="2" t="s">
        <v>1553</v>
      </c>
      <c r="H194" s="2" t="s">
        <v>1458</v>
      </c>
      <c r="I194" s="3" t="str">
        <f t="shared" si="0"/>
        <v>https://dto.kemkes.go.id/kfacode/93000333</v>
      </c>
      <c r="J194" s="34" t="s">
        <v>3768</v>
      </c>
      <c r="K194" t="str">
        <f t="shared" si="3"/>
        <v>insert into mkatalog_kfa93 (kode, uraian, kode_92, uraian_92, nama_dagang, satuan_kecil, sediaan, golongan, url, userid_updt, sysdate_updt) values ('93000333','Cefadroxil 250 mg / 5 mL Sirup Kering (NOVAPHARIN)','92000262','Cefadroxil 250 mg / 5 mL Sirup Kering','CEFADROXIL MONOHYDRATE','Botol','Sirup Kering','Obat Keras','https://dto.kemkes.go.id/kfacode/93000333',0,'2023-05-01');</v>
      </c>
    </row>
    <row r="195" spans="1:11" ht="15.75" customHeight="1">
      <c r="A195" s="2">
        <v>93001470</v>
      </c>
      <c r="B195" s="2" t="s">
        <v>1801</v>
      </c>
      <c r="C195" s="2">
        <v>92000668</v>
      </c>
      <c r="D195" s="2" t="s">
        <v>767</v>
      </c>
      <c r="E195" s="2" t="s">
        <v>1795</v>
      </c>
      <c r="F195" s="2" t="s">
        <v>640</v>
      </c>
      <c r="G195" s="2" t="s">
        <v>649</v>
      </c>
      <c r="H195" s="2" t="s">
        <v>1458</v>
      </c>
      <c r="I195" s="3" t="str">
        <f t="shared" si="0"/>
        <v>https://dto.kemkes.go.id/kfacode/93001470</v>
      </c>
      <c r="J195" s="34" t="s">
        <v>3768</v>
      </c>
      <c r="K195" t="str">
        <f t="shared" ref="K195:K258" si="4">CONCATENATE(J195,"('",A195,"','",B195,"','",C195,"','",D195,"','",E195,"','",F195,"','",G195,"','",H195,"','",I195,"',0,'2023-05-01');")</f>
        <v>insert into mkatalog_kfa93 (kode, uraian, kode_92, uraian_92, nama_dagang, satuan_kecil, sediaan, golongan, url, userid_updt, sysdate_updt) values ('93001470','Cefadroxil 250 mg Kapsul (PHARMA LABORATORIES)','92000668','Cefadroxil 250 mg Kapsul','CEFADROXIL MONOHYDRATE','Tablet','Kapsul','Obat Keras','https://dto.kemkes.go.id/kfacode/93001470',0,'2023-05-01');</v>
      </c>
    </row>
    <row r="196" spans="1:11" ht="15.75" customHeight="1">
      <c r="A196" s="2">
        <v>93001018</v>
      </c>
      <c r="B196" s="2" t="s">
        <v>1802</v>
      </c>
      <c r="C196" s="2">
        <v>92000350</v>
      </c>
      <c r="D196" s="2" t="s">
        <v>768</v>
      </c>
      <c r="E196" s="2" t="s">
        <v>1795</v>
      </c>
      <c r="F196" s="2" t="s">
        <v>649</v>
      </c>
      <c r="G196" s="2" t="s">
        <v>649</v>
      </c>
      <c r="H196" s="2" t="s">
        <v>1458</v>
      </c>
      <c r="I196" s="3" t="str">
        <f t="shared" si="0"/>
        <v>https://dto.kemkes.go.id/kfacode/93001018</v>
      </c>
      <c r="J196" s="34" t="s">
        <v>3768</v>
      </c>
      <c r="K196" t="str">
        <f t="shared" si="4"/>
        <v>insert into mkatalog_kfa93 (kode, uraian, kode_92, uraian_92, nama_dagang, satuan_kecil, sediaan, golongan, url, userid_updt, sysdate_updt) values ('93001018','Cefadroxil 500 mg Kapsul (HEXPHARM JAYA LABORATORIES)','92000350','Cefadroxil 500 mg Kapsul','CEFADROXIL MONOHYDRATE','Kapsul','Kapsul','Obat Keras','https://dto.kemkes.go.id/kfacode/93001018',0,'2023-05-01');</v>
      </c>
    </row>
    <row r="197" spans="1:11" ht="15.75" customHeight="1">
      <c r="A197" s="2">
        <v>93001395</v>
      </c>
      <c r="B197" s="2" t="s">
        <v>1803</v>
      </c>
      <c r="C197" s="2">
        <v>92000741</v>
      </c>
      <c r="D197" s="2" t="s">
        <v>769</v>
      </c>
      <c r="E197" s="2" t="s">
        <v>1804</v>
      </c>
      <c r="F197" s="2" t="s">
        <v>653</v>
      </c>
      <c r="G197" s="2" t="s">
        <v>1500</v>
      </c>
      <c r="H197" s="2" t="s">
        <v>1458</v>
      </c>
      <c r="I197" s="3" t="str">
        <f t="shared" si="0"/>
        <v>https://dto.kemkes.go.id/kfacode/93001395</v>
      </c>
      <c r="J197" s="34" t="s">
        <v>3768</v>
      </c>
      <c r="K197" t="str">
        <f t="shared" si="4"/>
        <v>insert into mkatalog_kfa93 (kode, uraian, kode_92, uraian_92, nama_dagang, satuan_kecil, sediaan, golongan, url, userid_updt, sysdate_updt) values ('93001395','Cefazolin 1.000 mg Serbuk Injeksi (DEXA MEDICA)','92000741','Cefazolin 1.000 mg Serbuk Injeksi','CEFAZOLIN SODIUM','Vial','Serbuk Injeksi','Obat Keras','https://dto.kemkes.go.id/kfacode/93001395',0,'2023-05-01');</v>
      </c>
    </row>
    <row r="198" spans="1:11" ht="15.75" customHeight="1">
      <c r="A198" s="2">
        <v>93000602</v>
      </c>
      <c r="B198" s="2" t="s">
        <v>1805</v>
      </c>
      <c r="C198" s="2">
        <v>92000405</v>
      </c>
      <c r="D198" s="2" t="s">
        <v>770</v>
      </c>
      <c r="E198" s="2" t="s">
        <v>1806</v>
      </c>
      <c r="F198" s="2" t="s">
        <v>658</v>
      </c>
      <c r="G198" s="2" t="s">
        <v>1553</v>
      </c>
      <c r="H198" s="2" t="s">
        <v>1458</v>
      </c>
      <c r="I198" s="3" t="str">
        <f t="shared" si="0"/>
        <v>https://dto.kemkes.go.id/kfacode/93000602</v>
      </c>
      <c r="J198" s="34" t="s">
        <v>3768</v>
      </c>
      <c r="K198" t="str">
        <f t="shared" si="4"/>
        <v>insert into mkatalog_kfa93 (kode, uraian, kode_92, uraian_92, nama_dagang, satuan_kecil, sediaan, golongan, url, userid_updt, sysdate_updt) values ('93000602','Cefixime 100 mg / 5 ml Sirup Kering (DEXA MEDICA)','92000405','Cefixime 100 mg / 5 ml Sirup Kering','CEFIXIME TRIHYDRATE','Botol','Sirup Kering','Obat Keras','https://dto.kemkes.go.id/kfacode/93000602',0,'2023-05-01');</v>
      </c>
    </row>
    <row r="199" spans="1:11" ht="15.75" customHeight="1">
      <c r="A199" s="2">
        <v>93000279</v>
      </c>
      <c r="B199" s="2" t="s">
        <v>1807</v>
      </c>
      <c r="C199" s="2">
        <v>92000242</v>
      </c>
      <c r="D199" s="2" t="s">
        <v>771</v>
      </c>
      <c r="E199" s="2" t="s">
        <v>1806</v>
      </c>
      <c r="F199" s="2" t="s">
        <v>649</v>
      </c>
      <c r="G199" s="2" t="s">
        <v>649</v>
      </c>
      <c r="H199" s="2" t="s">
        <v>1458</v>
      </c>
      <c r="I199" s="3" t="str">
        <f t="shared" si="0"/>
        <v>https://dto.kemkes.go.id/kfacode/93000279</v>
      </c>
      <c r="J199" s="34" t="s">
        <v>3768</v>
      </c>
      <c r="K199" t="str">
        <f t="shared" si="4"/>
        <v>insert into mkatalog_kfa93 (kode, uraian, kode_92, uraian_92, nama_dagang, satuan_kecil, sediaan, golongan, url, userid_updt, sysdate_updt) values ('93000279','Cefixime Trihydrate 100 mg Kapsul (HEXPHARM JAYA LABORATORIES)','92000242','Cefixime Trihydrate 100 mg Kapsul','CEFIXIME TRIHYDRATE','Kapsul','Kapsul','Obat Keras','https://dto.kemkes.go.id/kfacode/93000279',0,'2023-05-01');</v>
      </c>
    </row>
    <row r="200" spans="1:11" ht="15.75" customHeight="1">
      <c r="A200" s="2">
        <v>93000286</v>
      </c>
      <c r="B200" s="2" t="s">
        <v>1808</v>
      </c>
      <c r="C200" s="2">
        <v>92000242</v>
      </c>
      <c r="D200" s="2" t="s">
        <v>771</v>
      </c>
      <c r="E200" s="2" t="s">
        <v>1806</v>
      </c>
      <c r="F200" s="2" t="s">
        <v>649</v>
      </c>
      <c r="G200" s="2" t="s">
        <v>649</v>
      </c>
      <c r="H200" s="2" t="s">
        <v>1458</v>
      </c>
      <c r="I200" s="3" t="str">
        <f t="shared" si="0"/>
        <v>https://dto.kemkes.go.id/kfacode/93000286</v>
      </c>
      <c r="J200" s="34" t="s">
        <v>3768</v>
      </c>
      <c r="K200" t="str">
        <f t="shared" si="4"/>
        <v>insert into mkatalog_kfa93 (kode, uraian, kode_92, uraian_92, nama_dagang, satuan_kecil, sediaan, golongan, url, userid_updt, sysdate_updt) values ('93000286','Cefixime Trihydrate 100 mg Kapsul (PHARMA LABORATORIES)','92000242','Cefixime Trihydrate 100 mg Kapsul','CEFIXIME TRIHYDRATE','Kapsul','Kapsul','Obat Keras','https://dto.kemkes.go.id/kfacode/93000286',0,'2023-05-01');</v>
      </c>
    </row>
    <row r="201" spans="1:11" ht="15.75" customHeight="1">
      <c r="A201" s="2">
        <v>93001320</v>
      </c>
      <c r="B201" s="2" t="s">
        <v>1809</v>
      </c>
      <c r="C201" s="2">
        <v>92000814</v>
      </c>
      <c r="D201" s="2" t="s">
        <v>772</v>
      </c>
      <c r="E201" s="2" t="s">
        <v>1810</v>
      </c>
      <c r="F201" s="2" t="s">
        <v>653</v>
      </c>
      <c r="G201" s="2" t="s">
        <v>1500</v>
      </c>
      <c r="H201" s="2" t="s">
        <v>1458</v>
      </c>
      <c r="I201" s="3" t="str">
        <f t="shared" si="0"/>
        <v>https://dto.kemkes.go.id/kfacode/93001320</v>
      </c>
      <c r="J201" s="34" t="s">
        <v>3768</v>
      </c>
      <c r="K201" t="str">
        <f t="shared" si="4"/>
        <v>insert into mkatalog_kfa93 (kode, uraian, kode_92, uraian_92, nama_dagang, satuan_kecil, sediaan, golongan, url, userid_updt, sysdate_updt) values ('93001320','Cefoperazone 1 G Serbuk Injeksi (DEXA MEDICA)','92000814','Cefoperazone 1 G Serbuk Injeksi','CEFOPERAZONE SODIUM','Vial','Serbuk Injeksi','Obat Keras','https://dto.kemkes.go.id/kfacode/93001320',0,'2023-05-01');</v>
      </c>
    </row>
    <row r="202" spans="1:11" ht="15.75" customHeight="1">
      <c r="A202" s="2">
        <v>93001012</v>
      </c>
      <c r="B202" s="2" t="s">
        <v>1811</v>
      </c>
      <c r="C202" s="2">
        <v>92000358</v>
      </c>
      <c r="D202" s="2" t="s">
        <v>773</v>
      </c>
      <c r="E202" s="2" t="s">
        <v>1812</v>
      </c>
      <c r="F202" s="2" t="s">
        <v>653</v>
      </c>
      <c r="G202" s="2" t="s">
        <v>1500</v>
      </c>
      <c r="H202" s="2" t="s">
        <v>1458</v>
      </c>
      <c r="I202" s="3" t="str">
        <f t="shared" si="0"/>
        <v>https://dto.kemkes.go.id/kfacode/93001012</v>
      </c>
      <c r="J202" s="34" t="s">
        <v>3768</v>
      </c>
      <c r="K202" t="str">
        <f t="shared" si="4"/>
        <v>insert into mkatalog_kfa93 (kode, uraian, kode_92, uraian_92, nama_dagang, satuan_kecil, sediaan, golongan, url, userid_updt, sysdate_updt) values ('93001012','Cefotaxime Sodium 1 gram Serbuk Injeksi (DEXA MEDICA)','92000358','Cefotaxime Sodium 1 gram Serbuk Injeksi','CEFOTAXIME SODIUM','Vial','Serbuk Injeksi','Obat Keras','https://dto.kemkes.go.id/kfacode/93001012',0,'2023-05-01');</v>
      </c>
    </row>
    <row r="203" spans="1:11" ht="15.75" customHeight="1">
      <c r="A203" s="2">
        <v>93001342</v>
      </c>
      <c r="B203" s="2" t="s">
        <v>1813</v>
      </c>
      <c r="C203" s="2">
        <v>92000358</v>
      </c>
      <c r="D203" s="2" t="s">
        <v>773</v>
      </c>
      <c r="E203" s="2" t="s">
        <v>1812</v>
      </c>
      <c r="F203" s="2" t="s">
        <v>653</v>
      </c>
      <c r="G203" s="2" t="s">
        <v>1500</v>
      </c>
      <c r="H203" s="2" t="s">
        <v>1458</v>
      </c>
      <c r="I203" s="3" t="str">
        <f t="shared" si="0"/>
        <v>https://dto.kemkes.go.id/kfacode/93001342</v>
      </c>
      <c r="J203" s="34" t="s">
        <v>3768</v>
      </c>
      <c r="K203" t="str">
        <f t="shared" si="4"/>
        <v>insert into mkatalog_kfa93 (kode, uraian, kode_92, uraian_92, nama_dagang, satuan_kecil, sediaan, golongan, url, userid_updt, sysdate_updt) values ('93001342','Cefotaxime Sodium 1 gram Serbuk Injeksi (HEXPHARM JAYA LABORATORIES)','92000358','Cefotaxime Sodium 1 gram Serbuk Injeksi','CEFOTAXIME SODIUM','Vial','Serbuk Injeksi','Obat Keras','https://dto.kemkes.go.id/kfacode/93001342',0,'2023-05-01');</v>
      </c>
    </row>
    <row r="204" spans="1:11" ht="15.75" customHeight="1">
      <c r="A204" s="2">
        <v>93001554</v>
      </c>
      <c r="B204" s="2" t="s">
        <v>1814</v>
      </c>
      <c r="C204" s="2">
        <v>92000841</v>
      </c>
      <c r="D204" s="2" t="s">
        <v>774</v>
      </c>
      <c r="E204" s="2" t="s">
        <v>1812</v>
      </c>
      <c r="F204" s="2" t="s">
        <v>653</v>
      </c>
      <c r="G204" s="2" t="s">
        <v>1500</v>
      </c>
      <c r="H204" s="2" t="s">
        <v>1458</v>
      </c>
      <c r="I204" s="3" t="str">
        <f t="shared" si="0"/>
        <v>https://dto.kemkes.go.id/kfacode/93001554</v>
      </c>
      <c r="J204" s="34" t="s">
        <v>3768</v>
      </c>
      <c r="K204" t="str">
        <f t="shared" si="4"/>
        <v>insert into mkatalog_kfa93 (kode, uraian, kode_92, uraian_92, nama_dagang, satuan_kecil, sediaan, golongan, url, userid_updt, sysdate_updt) values ('93001554','Cefotaxime Sodium 500 mg Serbuk Injeksi (DEXA MEDICA)','92000841','Cefotaxime Sodium 500 mg Serbuk Injeksi','CEFOTAXIME SODIUM','Vial','Serbuk Injeksi','Obat Keras','https://dto.kemkes.go.id/kfacode/93001554',0,'2023-05-01');</v>
      </c>
    </row>
    <row r="205" spans="1:11" ht="15.75" customHeight="1">
      <c r="A205" s="2">
        <v>93000472</v>
      </c>
      <c r="B205" s="2" t="s">
        <v>1815</v>
      </c>
      <c r="C205" s="2">
        <v>92000400</v>
      </c>
      <c r="D205" s="2" t="s">
        <v>775</v>
      </c>
      <c r="E205" s="2" t="s">
        <v>1816</v>
      </c>
      <c r="F205" s="2" t="s">
        <v>653</v>
      </c>
      <c r="G205" s="2" t="s">
        <v>1500</v>
      </c>
      <c r="H205" s="2" t="s">
        <v>1458</v>
      </c>
      <c r="I205" s="3" t="str">
        <f t="shared" si="0"/>
        <v>https://dto.kemkes.go.id/kfacode/93000472</v>
      </c>
      <c r="J205" s="34" t="s">
        <v>3768</v>
      </c>
      <c r="K205" t="str">
        <f t="shared" si="4"/>
        <v>insert into mkatalog_kfa93 (kode, uraian, kode_92, uraian_92, nama_dagang, satuan_kecil, sediaan, golongan, url, userid_updt, sysdate_updt) values ('93000472','Ceftazidime 1 g Serbuk Injeksi (DEXA MEDICA)','92000400','Ceftazidime 1 g Serbuk Injeksi','CEFTAZIDIME PENTAHYDRATE','Vial','Serbuk Injeksi','Obat Keras','https://dto.kemkes.go.id/kfacode/93000472',0,'2023-05-01');</v>
      </c>
    </row>
    <row r="206" spans="1:11" ht="15.75" customHeight="1">
      <c r="A206" s="2">
        <v>93000269</v>
      </c>
      <c r="B206" s="2" t="s">
        <v>1817</v>
      </c>
      <c r="C206" s="2">
        <v>92000134</v>
      </c>
      <c r="D206" s="2" t="s">
        <v>776</v>
      </c>
      <c r="E206" s="2" t="s">
        <v>1818</v>
      </c>
      <c r="F206" s="2" t="s">
        <v>653</v>
      </c>
      <c r="G206" s="2" t="s">
        <v>1500</v>
      </c>
      <c r="H206" s="2" t="s">
        <v>1458</v>
      </c>
      <c r="I206" s="3" t="str">
        <f t="shared" si="0"/>
        <v>https://dto.kemkes.go.id/kfacode/93000269</v>
      </c>
      <c r="J206" s="34" t="s">
        <v>3768</v>
      </c>
      <c r="K206" t="str">
        <f t="shared" si="4"/>
        <v>insert into mkatalog_kfa93 (kode, uraian, kode_92, uraian_92, nama_dagang, satuan_kecil, sediaan, golongan, url, userid_updt, sysdate_updt) values ('93000269','Ceftriaxone 1 g Serbuk Injeksi (BERNOFARM)','92000134','Ceftriaxone 1 g Serbuk Injeksi','CEFTRIAXONE SODIUM SESQUATERHYDRATE','Vial','Serbuk Injeksi','Obat Keras','https://dto.kemkes.go.id/kfacode/93000269',0,'2023-05-01');</v>
      </c>
    </row>
    <row r="207" spans="1:11" ht="15.75" customHeight="1">
      <c r="A207" s="2">
        <v>93001442</v>
      </c>
      <c r="B207" s="2" t="s">
        <v>1819</v>
      </c>
      <c r="C207" s="2">
        <v>92000134</v>
      </c>
      <c r="D207" s="2" t="s">
        <v>776</v>
      </c>
      <c r="E207" s="2" t="s">
        <v>1820</v>
      </c>
      <c r="F207" s="2" t="s">
        <v>653</v>
      </c>
      <c r="G207" s="2" t="s">
        <v>1500</v>
      </c>
      <c r="H207" s="2" t="s">
        <v>1458</v>
      </c>
      <c r="I207" s="3" t="str">
        <f t="shared" si="0"/>
        <v>https://dto.kemkes.go.id/kfacode/93001442</v>
      </c>
      <c r="J207" s="34" t="s">
        <v>3768</v>
      </c>
      <c r="K207" t="str">
        <f t="shared" si="4"/>
        <v>insert into mkatalog_kfa93 (kode, uraian, kode_92, uraian_92, nama_dagang, satuan_kecil, sediaan, golongan, url, userid_updt, sysdate_updt) values ('93001442','Ceftriaxone 1 g Serbuk Injeksi (DEXA MEDICA)','92000134','Ceftriaxone 1 g Serbuk Injeksi','CEFTRIAXONE SODIUM','Vial','Serbuk Injeksi','Obat Keras','https://dto.kemkes.go.id/kfacode/93001442',0,'2023-05-01');</v>
      </c>
    </row>
    <row r="208" spans="1:11" ht="15.75" customHeight="1">
      <c r="A208" s="2">
        <v>93000292</v>
      </c>
      <c r="B208" s="2" t="s">
        <v>1821</v>
      </c>
      <c r="C208" s="2">
        <v>92000134</v>
      </c>
      <c r="D208" s="2" t="s">
        <v>776</v>
      </c>
      <c r="E208" s="2" t="s">
        <v>1820</v>
      </c>
      <c r="F208" s="2" t="s">
        <v>653</v>
      </c>
      <c r="G208" s="2" t="s">
        <v>1500</v>
      </c>
      <c r="H208" s="2" t="s">
        <v>1458</v>
      </c>
      <c r="I208" s="3" t="str">
        <f t="shared" si="0"/>
        <v>https://dto.kemkes.go.id/kfacode/93000292</v>
      </c>
      <c r="J208" s="34" t="s">
        <v>3768</v>
      </c>
      <c r="K208" t="str">
        <f t="shared" si="4"/>
        <v>insert into mkatalog_kfa93 (kode, uraian, kode_92, uraian_92, nama_dagang, satuan_kecil, sediaan, golongan, url, userid_updt, sysdate_updt) values ('93000292','Ceftriaxone 1 g Serbuk Injeksi (HOLI PHARMA)','92000134','Ceftriaxone 1 g Serbuk Injeksi','CEFTRIAXONE SODIUM','Vial','Serbuk Injeksi','Obat Keras','https://dto.kemkes.go.id/kfacode/93000292',0,'2023-05-01');</v>
      </c>
    </row>
    <row r="209" spans="1:11" ht="15.75" customHeight="1">
      <c r="A209" s="2">
        <v>93000293</v>
      </c>
      <c r="B209" s="2" t="s">
        <v>1822</v>
      </c>
      <c r="C209" s="2">
        <v>92000134</v>
      </c>
      <c r="D209" s="2" t="s">
        <v>776</v>
      </c>
      <c r="E209" s="2" t="s">
        <v>1823</v>
      </c>
      <c r="F209" s="2" t="s">
        <v>653</v>
      </c>
      <c r="G209" s="2" t="s">
        <v>1500</v>
      </c>
      <c r="H209" s="2" t="s">
        <v>1458</v>
      </c>
      <c r="I209" s="3" t="str">
        <f t="shared" si="0"/>
        <v>https://dto.kemkes.go.id/kfacode/93000293</v>
      </c>
      <c r="J209" s="34" t="s">
        <v>3768</v>
      </c>
      <c r="K209" t="str">
        <f t="shared" si="4"/>
        <v>insert into mkatalog_kfa93 (kode, uraian, kode_92, uraian_92, nama_dagang, satuan_kecil, sediaan, golongan, url, userid_updt, sysdate_updt) values ('93000293','Ceftriaxone 1 g Serbuk Injeksi (INCEPHIN)','92000134','Ceftriaxone 1 g Serbuk Injeksi','INCEPHIN','Vial','Serbuk Injeksi','Obat Keras','https://dto.kemkes.go.id/kfacode/93000293',0,'2023-05-01');</v>
      </c>
    </row>
    <row r="210" spans="1:11" ht="15.75" customHeight="1">
      <c r="A210" s="2">
        <v>93000291</v>
      </c>
      <c r="B210" s="2" t="s">
        <v>1824</v>
      </c>
      <c r="C210" s="2">
        <v>92000134</v>
      </c>
      <c r="D210" s="2" t="s">
        <v>776</v>
      </c>
      <c r="E210" s="2" t="s">
        <v>1818</v>
      </c>
      <c r="F210" s="2" t="s">
        <v>653</v>
      </c>
      <c r="G210" s="2" t="s">
        <v>1500</v>
      </c>
      <c r="H210" s="2" t="s">
        <v>1458</v>
      </c>
      <c r="I210" s="3" t="str">
        <f t="shared" si="0"/>
        <v>https://dto.kemkes.go.id/kfacode/93000291</v>
      </c>
      <c r="J210" s="34" t="s">
        <v>3768</v>
      </c>
      <c r="K210" t="str">
        <f t="shared" si="4"/>
        <v>insert into mkatalog_kfa93 (kode, uraian, kode_92, uraian_92, nama_dagang, satuan_kecil, sediaan, golongan, url, userid_updt, sysdate_updt) values ('93000291','Ceftriaxone 1 g Serbuk Injeksi (SANBE FARMA)','92000134','Ceftriaxone 1 g Serbuk Injeksi','CEFTRIAXONE SODIUM SESQUATERHYDRATE','Vial','Serbuk Injeksi','Obat Keras','https://dto.kemkes.go.id/kfacode/93000291',0,'2023-05-01');</v>
      </c>
    </row>
    <row r="211" spans="1:11" ht="15.75" customHeight="1">
      <c r="A211" s="2">
        <v>93000895</v>
      </c>
      <c r="B211" s="2" t="s">
        <v>1825</v>
      </c>
      <c r="C211" s="2">
        <v>92000553</v>
      </c>
      <c r="D211" s="2" t="s">
        <v>777</v>
      </c>
      <c r="E211" s="2" t="s">
        <v>1826</v>
      </c>
      <c r="F211" s="2" t="s">
        <v>653</v>
      </c>
      <c r="G211" s="2" t="s">
        <v>1500</v>
      </c>
      <c r="H211" s="2" t="s">
        <v>1458</v>
      </c>
      <c r="I211" s="3" t="str">
        <f t="shared" si="0"/>
        <v>https://dto.kemkes.go.id/kfacode/93000895</v>
      </c>
      <c r="J211" s="34" t="s">
        <v>3768</v>
      </c>
      <c r="K211" t="str">
        <f t="shared" si="4"/>
        <v>insert into mkatalog_kfa93 (kode, uraian, kode_92, uraian_92, nama_dagang, satuan_kecil, sediaan, golongan, url, userid_updt, sysdate_updt) values ('93000895','Cefuroxime 750 mg Serbuk Injeksi (DEXA MEDICA)','92000553','Cefuroxime 750 mg Serbuk Injeksi','CEFUROXIME SODIUM','Vial','Serbuk Injeksi','Obat Keras','https://dto.kemkes.go.id/kfacode/93000895',0,'2023-05-01');</v>
      </c>
    </row>
    <row r="212" spans="1:11" ht="15.75" customHeight="1">
      <c r="A212" s="2">
        <v>93000148</v>
      </c>
      <c r="B212" s="2" t="s">
        <v>1827</v>
      </c>
      <c r="C212" s="2">
        <v>92000151</v>
      </c>
      <c r="D212" s="2" t="s">
        <v>778</v>
      </c>
      <c r="E212" s="2" t="s">
        <v>1828</v>
      </c>
      <c r="F212" s="2" t="s">
        <v>660</v>
      </c>
      <c r="G212" s="2" t="s">
        <v>1619</v>
      </c>
      <c r="H212" s="2" t="s">
        <v>1458</v>
      </c>
      <c r="I212" s="3" t="str">
        <f t="shared" si="0"/>
        <v>https://dto.kemkes.go.id/kfacode/93000148</v>
      </c>
      <c r="J212" s="34" t="s">
        <v>3768</v>
      </c>
      <c r="K212" t="str">
        <f t="shared" si="4"/>
        <v>insert into mkatalog_kfa93 (kode, uraian, kode_92, uraian_92, nama_dagang, satuan_kecil, sediaan, golongan, url, userid_updt, sysdate_updt) values ('93000148','Cefuroxime Axetil 500 mg Kaplet Salut Selaput (DEXA MEDICA)','92000151','Cefuroxime Axetil 500 mg Kaplet Salut Selaput','CEFUROXIME AXETIL','Kaplet','Kaplet Salut Selaput','Obat Keras','https://dto.kemkes.go.id/kfacode/93000148',0,'2023-05-01');</v>
      </c>
    </row>
    <row r="213" spans="1:11" ht="15.75" customHeight="1">
      <c r="A213" s="2">
        <v>93001110</v>
      </c>
      <c r="B213" s="2" t="s">
        <v>1829</v>
      </c>
      <c r="C213" s="2">
        <v>92000122</v>
      </c>
      <c r="D213" s="2" t="s">
        <v>782</v>
      </c>
      <c r="E213" s="2" t="s">
        <v>1830</v>
      </c>
      <c r="F213" s="2" t="s">
        <v>640</v>
      </c>
      <c r="G213" s="2" t="s">
        <v>1457</v>
      </c>
      <c r="H213" s="2" t="s">
        <v>1458</v>
      </c>
      <c r="I213" s="3" t="str">
        <f t="shared" si="0"/>
        <v>https://dto.kemkes.go.id/kfacode/93001110</v>
      </c>
      <c r="J213" s="34" t="s">
        <v>3768</v>
      </c>
      <c r="K213" t="str">
        <f t="shared" si="4"/>
        <v>insert into mkatalog_kfa93 (kode, uraian, kode_92, uraian_92, nama_dagang, satuan_kecil, sediaan, golongan, url, userid_updt, sysdate_updt) values ('93001110','Cetirizine Hydrochloride 10 mg Tablet Salut Selaput (SAMPHARINDO PERDANA)','92000122','Cetirizine Hydrochloride 10 mg Tablet Salut Selaput','CETIRIZINE HYDROCHLORIDE','Tablet','Tablet Salut Selaput','Obat Keras','https://dto.kemkes.go.id/kfacode/93001110',0,'2023-05-01');</v>
      </c>
    </row>
    <row r="214" spans="1:11" ht="15.75" customHeight="1">
      <c r="A214" s="2">
        <v>93000283</v>
      </c>
      <c r="B214" s="2" t="s">
        <v>1831</v>
      </c>
      <c r="C214" s="2">
        <v>92000245</v>
      </c>
      <c r="D214" s="2" t="s">
        <v>783</v>
      </c>
      <c r="E214" s="2" t="s">
        <v>1830</v>
      </c>
      <c r="F214" s="2" t="s">
        <v>658</v>
      </c>
      <c r="G214" s="2" t="s">
        <v>1832</v>
      </c>
      <c r="H214" s="2" t="s">
        <v>1458</v>
      </c>
      <c r="I214" s="3" t="str">
        <f t="shared" si="0"/>
        <v>https://dto.kemkes.go.id/kfacode/93000283</v>
      </c>
      <c r="J214" s="34" t="s">
        <v>3768</v>
      </c>
      <c r="K214" t="str">
        <f t="shared" si="4"/>
        <v>insert into mkatalog_kfa93 (kode, uraian, kode_92, uraian_92, nama_dagang, satuan_kecil, sediaan, golongan, url, userid_updt, sysdate_updt) values ('93000283','Cetirizine Hydrochloride 5 mg / 5 mL Sirup (AFIFARMA)','92000245','Cetirizine Hydrochloride 5 mg / 5 mL Sirup','CETIRIZINE HYDROCHLORIDE','Botol','Sirup','Obat Keras','https://dto.kemkes.go.id/kfacode/93000283',0,'2023-05-01');</v>
      </c>
    </row>
    <row r="215" spans="1:11" ht="15.75" customHeight="1">
      <c r="A215" s="2">
        <v>93001262</v>
      </c>
      <c r="B215" s="2" t="s">
        <v>1833</v>
      </c>
      <c r="C215" s="2">
        <v>92000245</v>
      </c>
      <c r="D215" s="2" t="s">
        <v>783</v>
      </c>
      <c r="E215" s="2" t="s">
        <v>1830</v>
      </c>
      <c r="F215" s="2" t="s">
        <v>658</v>
      </c>
      <c r="G215" s="2" t="s">
        <v>1832</v>
      </c>
      <c r="H215" s="2" t="s">
        <v>1458</v>
      </c>
      <c r="I215" s="3" t="str">
        <f t="shared" si="0"/>
        <v>https://dto.kemkes.go.id/kfacode/93001262</v>
      </c>
      <c r="J215" s="34" t="s">
        <v>3768</v>
      </c>
      <c r="K215" t="str">
        <f t="shared" si="4"/>
        <v>insert into mkatalog_kfa93 (kode, uraian, kode_92, uraian_92, nama_dagang, satuan_kecil, sediaan, golongan, url, userid_updt, sysdate_updt) values ('93001262','Cetirizine Hydrochloride 5 mg / 5 mL Sirup (SAMPHARINDO PERDANA)','92000245','Cetirizine Hydrochloride 5 mg / 5 mL Sirup','CETIRIZINE HYDROCHLORIDE','Botol','Sirup','Obat Keras','https://dto.kemkes.go.id/kfacode/93001262',0,'2023-05-01');</v>
      </c>
    </row>
    <row r="216" spans="1:11" ht="15.75" customHeight="1">
      <c r="A216" s="2">
        <v>93000281</v>
      </c>
      <c r="B216" s="2" t="s">
        <v>1834</v>
      </c>
      <c r="C216" s="2">
        <v>92000243</v>
      </c>
      <c r="D216" s="2" t="s">
        <v>784</v>
      </c>
      <c r="E216" s="2" t="s">
        <v>1835</v>
      </c>
      <c r="F216" s="2" t="s">
        <v>655</v>
      </c>
      <c r="G216" s="2" t="s">
        <v>1503</v>
      </c>
      <c r="H216" s="2" t="s">
        <v>1458</v>
      </c>
      <c r="I216" s="3" t="str">
        <f t="shared" si="0"/>
        <v>https://dto.kemkes.go.id/kfacode/93000281</v>
      </c>
      <c r="J216" s="34" t="s">
        <v>3768</v>
      </c>
      <c r="K216" t="str">
        <f t="shared" si="4"/>
        <v>insert into mkatalog_kfa93 (kode, uraian, kode_92, uraian_92, nama_dagang, satuan_kecil, sediaan, golongan, url, userid_updt, sysdate_updt) values ('93000281','Chloramphenicol 1 % Salep Mata (KIMIA FARMA, Mojokerto)','92000243','Chloramphenicol 1 % Salep Mata','CHLORAMPHENICOL','Tube','Salep Mata','Obat Keras','https://dto.kemkes.go.id/kfacode/93000281',0,'2023-05-01');</v>
      </c>
    </row>
    <row r="217" spans="1:11" ht="15.75" customHeight="1">
      <c r="A217" s="2">
        <v>93001469</v>
      </c>
      <c r="B217" s="2" t="s">
        <v>1836</v>
      </c>
      <c r="C217" s="2">
        <v>92000856</v>
      </c>
      <c r="D217" s="2" t="s">
        <v>785</v>
      </c>
      <c r="E217" s="2" t="s">
        <v>1837</v>
      </c>
      <c r="F217" s="2" t="s">
        <v>658</v>
      </c>
      <c r="G217" s="2" t="s">
        <v>1509</v>
      </c>
      <c r="H217" s="2" t="s">
        <v>1458</v>
      </c>
      <c r="I217" s="3" t="str">
        <f t="shared" si="0"/>
        <v>https://dto.kemkes.go.id/kfacode/93001469</v>
      </c>
      <c r="J217" s="34" t="s">
        <v>3768</v>
      </c>
      <c r="K217" t="str">
        <f t="shared" si="4"/>
        <v>insert into mkatalog_kfa93 (kode, uraian, kode_92, uraian_92, nama_dagang, satuan_kecil, sediaan, golongan, url, userid_updt, sysdate_updt) values ('93001469','Chloramphenicol 125 mg/5 mL Suspensi (NOVAPHARIN)','92000856','Chloramphenicol 125 mg/5 mL Suspensi','CHLORAMPHENICOL PALMITATE','Botol','Suspensi','Obat Keras','https://dto.kemkes.go.id/kfacode/93001469',0,'2023-05-01');</v>
      </c>
    </row>
    <row r="218" spans="1:11" ht="15.75" customHeight="1">
      <c r="A218" s="2">
        <v>93001526</v>
      </c>
      <c r="B218" s="2" t="s">
        <v>1838</v>
      </c>
      <c r="C218" s="2">
        <v>92000873</v>
      </c>
      <c r="D218" s="2" t="s">
        <v>786</v>
      </c>
      <c r="E218" s="2" t="s">
        <v>1839</v>
      </c>
      <c r="F218" s="2" t="s">
        <v>655</v>
      </c>
      <c r="G218" s="2" t="s">
        <v>1503</v>
      </c>
      <c r="H218" s="2" t="s">
        <v>1458</v>
      </c>
      <c r="I218" s="3" t="str">
        <f t="shared" si="0"/>
        <v>https://dto.kemkes.go.id/kfacode/93001526</v>
      </c>
      <c r="J218" s="34" t="s">
        <v>3768</v>
      </c>
      <c r="K218" t="str">
        <f t="shared" si="4"/>
        <v>insert into mkatalog_kfa93 (kode, uraian, kode_92, uraian_92, nama_dagang, satuan_kecil, sediaan, golongan, url, userid_updt, sysdate_updt) values ('93001526','Chloramphenicol 2 % Salep Mata (BUFACETINE)','92000873','Chloramphenicol 2 % Salep Mata','BUFACETINE','Tube','Salep Mata','Obat Keras','https://dto.kemkes.go.id/kfacode/93001526',0,'2023-05-01');</v>
      </c>
    </row>
    <row r="219" spans="1:11" ht="15.75" customHeight="1">
      <c r="A219" s="2">
        <v>93000726</v>
      </c>
      <c r="B219" s="2" t="s">
        <v>1840</v>
      </c>
      <c r="C219" s="2">
        <v>92000156</v>
      </c>
      <c r="D219" s="2" t="s">
        <v>787</v>
      </c>
      <c r="E219" s="2" t="s">
        <v>1841</v>
      </c>
      <c r="F219" s="2" t="s">
        <v>649</v>
      </c>
      <c r="G219" s="2" t="s">
        <v>649</v>
      </c>
      <c r="H219" s="2" t="s">
        <v>1458</v>
      </c>
      <c r="I219" s="3" t="str">
        <f t="shared" si="0"/>
        <v>https://dto.kemkes.go.id/kfacode/93000726</v>
      </c>
      <c r="J219" s="34" t="s">
        <v>3768</v>
      </c>
      <c r="K219" t="str">
        <f t="shared" si="4"/>
        <v>insert into mkatalog_kfa93 (kode, uraian, kode_92, uraian_92, nama_dagang, satuan_kecil, sediaan, golongan, url, userid_updt, sysdate_updt) values ('93000726','Chloramphenicol 500 mg Kapsul (CHLORAMEX)','92000156','Chloramphenicol 500 mg Kapsul','CHLORAMEX','Kapsul','Kapsul','Obat Keras','https://dto.kemkes.go.id/kfacode/93000726',0,'2023-05-01');</v>
      </c>
    </row>
    <row r="220" spans="1:11" ht="15.75" customHeight="1">
      <c r="A220" s="2">
        <v>93000807</v>
      </c>
      <c r="B220" s="2" t="s">
        <v>1842</v>
      </c>
      <c r="C220" s="2">
        <v>92000565</v>
      </c>
      <c r="D220" s="2" t="s">
        <v>788</v>
      </c>
      <c r="E220" s="2" t="s">
        <v>1843</v>
      </c>
      <c r="F220" s="2" t="s">
        <v>640</v>
      </c>
      <c r="G220" s="2" t="s">
        <v>640</v>
      </c>
      <c r="H220" s="2" t="s">
        <v>1672</v>
      </c>
      <c r="I220" s="3" t="str">
        <f t="shared" si="0"/>
        <v>https://dto.kemkes.go.id/kfacode/93000807</v>
      </c>
      <c r="J220" s="34" t="s">
        <v>3768</v>
      </c>
      <c r="K220" t="str">
        <f t="shared" si="4"/>
        <v>insert into mkatalog_kfa93 (kode, uraian, kode_92, uraian_92, nama_dagang, satuan_kecil, sediaan, golongan, url, userid_updt, sysdate_updt) values ('93000807','Chlorphenamine Maleate 4 mg Tablet (IMFARMIND FARMASI INDUSTRI)','92000565','Chlorphenamine Maleate 4 mg Tablet','CHLORAMHPENAMINE MALEATE','Tablet','Tablet','Obat Bebas Terbatas','https://dto.kemkes.go.id/kfacode/93000807',0,'2023-05-01');</v>
      </c>
    </row>
    <row r="221" spans="1:11" ht="15.75" customHeight="1">
      <c r="A221" s="2">
        <v>93000871</v>
      </c>
      <c r="B221" s="2" t="s">
        <v>1844</v>
      </c>
      <c r="C221" s="2">
        <v>92000565</v>
      </c>
      <c r="D221" s="2" t="s">
        <v>788</v>
      </c>
      <c r="E221" s="2" t="s">
        <v>1845</v>
      </c>
      <c r="F221" s="2" t="s">
        <v>640</v>
      </c>
      <c r="G221" s="2" t="s">
        <v>640</v>
      </c>
      <c r="H221" s="2" t="s">
        <v>1672</v>
      </c>
      <c r="I221" s="3" t="str">
        <f t="shared" si="0"/>
        <v>https://dto.kemkes.go.id/kfacode/93000871</v>
      </c>
      <c r="J221" s="34" t="s">
        <v>3768</v>
      </c>
      <c r="K221" t="str">
        <f t="shared" si="4"/>
        <v>insert into mkatalog_kfa93 (kode, uraian, kode_92, uraian_92, nama_dagang, satuan_kecil, sediaan, golongan, url, userid_updt, sysdate_updt) values ('93000871','Chlorphenamine Maleate 4 mg Tablet (RAMA EMERALD MULTI SUKSES)','92000565','Chlorphenamine Maleate 4 mg Tablet','CHLORPHENAMINE MALEATE','Tablet','Tablet','Obat Bebas Terbatas','https://dto.kemkes.go.id/kfacode/93000871',0,'2023-05-01');</v>
      </c>
    </row>
    <row r="222" spans="1:11" ht="15.75" customHeight="1">
      <c r="A222" s="2">
        <v>93001181</v>
      </c>
      <c r="B222" s="2" t="s">
        <v>1846</v>
      </c>
      <c r="C222" s="2">
        <v>92000621</v>
      </c>
      <c r="D222" s="2" t="s">
        <v>789</v>
      </c>
      <c r="E222" s="2" t="s">
        <v>1847</v>
      </c>
      <c r="F222" s="2" t="s">
        <v>640</v>
      </c>
      <c r="G222" s="2" t="s">
        <v>1457</v>
      </c>
      <c r="H222" s="2" t="s">
        <v>1458</v>
      </c>
      <c r="I222" s="3" t="str">
        <f t="shared" si="0"/>
        <v>https://dto.kemkes.go.id/kfacode/93001181</v>
      </c>
      <c r="J222" s="34" t="s">
        <v>3768</v>
      </c>
      <c r="K222" t="str">
        <f t="shared" si="4"/>
        <v>insert into mkatalog_kfa93 (kode, uraian, kode_92, uraian_92, nama_dagang, satuan_kecil, sediaan, golongan, url, userid_updt, sysdate_updt) values ('93001181','Chlorpromazine 25 mg Tablet Salut Selaput (PHAPROS Tbk)','92000621','Chlorpromazine 25 mg Tablet Salut Selaput','CHLORPROMAZINE HCL','Tablet','Tablet Salut Selaput','Obat Keras','https://dto.kemkes.go.id/kfacode/93001181',0,'2023-05-01');</v>
      </c>
    </row>
    <row r="223" spans="1:11" ht="15.75" customHeight="1">
      <c r="A223" s="2">
        <v>93000145</v>
      </c>
      <c r="B223" s="2" t="s">
        <v>1848</v>
      </c>
      <c r="C223" s="2">
        <v>92000148</v>
      </c>
      <c r="D223" s="2" t="s">
        <v>790</v>
      </c>
      <c r="E223" s="2" t="s">
        <v>1849</v>
      </c>
      <c r="F223" s="2" t="s">
        <v>649</v>
      </c>
      <c r="G223" s="2" t="s">
        <v>1744</v>
      </c>
      <c r="H223" s="2" t="s">
        <v>1458</v>
      </c>
      <c r="I223" s="3" t="str">
        <f t="shared" si="0"/>
        <v>https://dto.kemkes.go.id/kfacode/93000145</v>
      </c>
      <c r="J223" s="34" t="s">
        <v>3768</v>
      </c>
      <c r="K223" t="str">
        <f t="shared" si="4"/>
        <v>insert into mkatalog_kfa93 (kode, uraian, kode_92, uraian_92, nama_dagang, satuan_kecil, sediaan, golongan, url, userid_updt, sysdate_updt) values ('93000145','Ciclosporin 100mg Kapsul Lunak (SANDIMMUN NEORAL)','92000148','Ciclosporin 100mg Kapsul Lunak','SANDIMMUN NEORAL','Kapsul','Kapsul Lunak','Obat Keras','https://dto.kemkes.go.id/kfacode/93000145',0,'2023-05-01');</v>
      </c>
    </row>
    <row r="224" spans="1:11" ht="15.75" customHeight="1">
      <c r="A224" s="2">
        <v>93001182</v>
      </c>
      <c r="B224" s="2" t="s">
        <v>1850</v>
      </c>
      <c r="C224" s="2">
        <v>92000628</v>
      </c>
      <c r="D224" s="2" t="s">
        <v>791</v>
      </c>
      <c r="E224" s="2" t="s">
        <v>1849</v>
      </c>
      <c r="F224" s="2" t="s">
        <v>649</v>
      </c>
      <c r="G224" s="2" t="s">
        <v>1744</v>
      </c>
      <c r="H224" s="2" t="s">
        <v>1458</v>
      </c>
      <c r="I224" s="3" t="str">
        <f t="shared" si="0"/>
        <v>https://dto.kemkes.go.id/kfacode/93001182</v>
      </c>
      <c r="J224" s="34" t="s">
        <v>3768</v>
      </c>
      <c r="K224" t="str">
        <f t="shared" si="4"/>
        <v>insert into mkatalog_kfa93 (kode, uraian, kode_92, uraian_92, nama_dagang, satuan_kecil, sediaan, golongan, url, userid_updt, sysdate_updt) values ('93001182','Ciclosporin 25 mg Kapsul Lunak (SANDIMMUN NEORAL)','92000628','Ciclosporin 25 mg Kapsul Lunak','SANDIMMUN NEORAL','Kapsul','Kapsul Lunak','Obat Keras','https://dto.kemkes.go.id/kfacode/93001182',0,'2023-05-01');</v>
      </c>
    </row>
    <row r="225" spans="1:11" ht="15.75" customHeight="1">
      <c r="A225" s="2">
        <v>93000583</v>
      </c>
      <c r="B225" s="2" t="s">
        <v>1851</v>
      </c>
      <c r="C225" s="2">
        <v>92000441</v>
      </c>
      <c r="D225" s="2" t="s">
        <v>792</v>
      </c>
      <c r="E225" s="2" t="s">
        <v>1849</v>
      </c>
      <c r="F225" s="2" t="s">
        <v>649</v>
      </c>
      <c r="G225" s="2" t="s">
        <v>1744</v>
      </c>
      <c r="H225" s="2" t="s">
        <v>1458</v>
      </c>
      <c r="I225" s="3" t="str">
        <f t="shared" si="0"/>
        <v>https://dto.kemkes.go.id/kfacode/93000583</v>
      </c>
      <c r="J225" s="34" t="s">
        <v>3768</v>
      </c>
      <c r="K225" t="str">
        <f t="shared" si="4"/>
        <v>insert into mkatalog_kfa93 (kode, uraian, kode_92, uraian_92, nama_dagang, satuan_kecil, sediaan, golongan, url, userid_updt, sysdate_updt) values ('93000583','Ciclosporin 50 mg Kapsul (SANDIMMUN NEORAL)','92000441','Ciclosporin 50 mg Kapsul','SANDIMMUN NEORAL','Kapsul','Kapsul Lunak','Obat Keras','https://dto.kemkes.go.id/kfacode/93000583',0,'2023-05-01');</v>
      </c>
    </row>
    <row r="226" spans="1:11" ht="15.75" customHeight="1">
      <c r="A226" s="2">
        <v>93001340</v>
      </c>
      <c r="B226" s="2" t="s">
        <v>1852</v>
      </c>
      <c r="C226" s="2">
        <v>92000785</v>
      </c>
      <c r="D226" s="2" t="s">
        <v>793</v>
      </c>
      <c r="E226" s="2" t="s">
        <v>1853</v>
      </c>
      <c r="F226" s="2" t="s">
        <v>653</v>
      </c>
      <c r="G226" s="2" t="s">
        <v>1506</v>
      </c>
      <c r="H226" s="2" t="s">
        <v>1458</v>
      </c>
      <c r="I226" s="3" t="str">
        <f t="shared" si="0"/>
        <v>https://dto.kemkes.go.id/kfacode/93001340</v>
      </c>
      <c r="J226" s="34" t="s">
        <v>3768</v>
      </c>
      <c r="K226" t="str">
        <f t="shared" si="4"/>
        <v>insert into mkatalog_kfa93 (kode, uraian, kode_92, uraian_92, nama_dagang, satuan_kecil, sediaan, golongan, url, userid_updt, sysdate_updt) values ('93001340','Ciprofloxacin 0,2 % Injeksi (DEXA MEDICA)','92000785','Ciprofloxacin 0,2 % Injeksi','CIPROFLOXACIN','Vial','Larutan Injeksi','Obat Keras','https://dto.kemkes.go.id/kfacode/93001340',0,'2023-05-01');</v>
      </c>
    </row>
    <row r="227" spans="1:11" ht="15.75" customHeight="1">
      <c r="A227" s="2">
        <v>93000867</v>
      </c>
      <c r="B227" s="2" t="s">
        <v>1854</v>
      </c>
      <c r="C227" s="2">
        <v>92000567</v>
      </c>
      <c r="D227" s="2" t="s">
        <v>794</v>
      </c>
      <c r="E227" s="2" t="s">
        <v>1855</v>
      </c>
      <c r="F227" s="2" t="s">
        <v>640</v>
      </c>
      <c r="G227" s="2" t="s">
        <v>1457</v>
      </c>
      <c r="H227" s="2" t="s">
        <v>1458</v>
      </c>
      <c r="I227" s="3" t="str">
        <f t="shared" si="0"/>
        <v>https://dto.kemkes.go.id/kfacode/93000867</v>
      </c>
      <c r="J227" s="34" t="s">
        <v>3768</v>
      </c>
      <c r="K227" t="str">
        <f t="shared" si="4"/>
        <v>insert into mkatalog_kfa93 (kode, uraian, kode_92, uraian_92, nama_dagang, satuan_kecil, sediaan, golongan, url, userid_updt, sysdate_updt) values ('93000867','Ciprofloxacin 500 mg Tablet Salut Selaput (HEXPHARM JAYA LABORATORIES)','92000567','Ciprofloxacin 500 mg Tablet Salut Selaput','CIPROFLOXACIN HCL','Tablet','Tablet Salut Selaput','Obat Keras','https://dto.kemkes.go.id/kfacode/93000867',0,'2023-05-01');</v>
      </c>
    </row>
    <row r="228" spans="1:11" ht="15.75" customHeight="1">
      <c r="A228" s="2">
        <v>93000524</v>
      </c>
      <c r="B228" s="2" t="s">
        <v>1856</v>
      </c>
      <c r="C228" s="2">
        <v>92000410</v>
      </c>
      <c r="D228" s="2" t="s">
        <v>795</v>
      </c>
      <c r="E228" s="2" t="s">
        <v>1857</v>
      </c>
      <c r="F228" s="2" t="s">
        <v>653</v>
      </c>
      <c r="G228" s="2" t="s">
        <v>1506</v>
      </c>
      <c r="H228" s="2" t="s">
        <v>1458</v>
      </c>
      <c r="I228" s="3" t="str">
        <f t="shared" si="0"/>
        <v>https://dto.kemkes.go.id/kfacode/93000524</v>
      </c>
      <c r="J228" s="34" t="s">
        <v>3768</v>
      </c>
      <c r="K228" t="str">
        <f t="shared" si="4"/>
        <v>insert into mkatalog_kfa93 (kode, uraian, kode_92, uraian_92, nama_dagang, satuan_kecil, sediaan, golongan, url, userid_updt, sysdate_updt) values ('93000524','Cisplatin 1 mg / mL Cairan Injeksi (10 mL, CISPLASAN)','92000410','Cisplatin 1 mg / mL Cairan Injeksi','CISPLASAN','Vial','Larutan Injeksi','Obat Keras','https://dto.kemkes.go.id/kfacode/93000524',0,'2023-05-01');</v>
      </c>
    </row>
    <row r="229" spans="1:11" ht="15.75" customHeight="1">
      <c r="A229" s="2">
        <v>93000525</v>
      </c>
      <c r="B229" s="2" t="s">
        <v>1858</v>
      </c>
      <c r="C229" s="2">
        <v>92000410</v>
      </c>
      <c r="D229" s="2" t="s">
        <v>795</v>
      </c>
      <c r="E229" s="2" t="s">
        <v>1859</v>
      </c>
      <c r="F229" s="2" t="s">
        <v>653</v>
      </c>
      <c r="G229" s="2" t="s">
        <v>1506</v>
      </c>
      <c r="H229" s="2" t="s">
        <v>1458</v>
      </c>
      <c r="I229" s="3" t="str">
        <f t="shared" si="0"/>
        <v>https://dto.kemkes.go.id/kfacode/93000525</v>
      </c>
      <c r="J229" s="34" t="s">
        <v>3768</v>
      </c>
      <c r="K229" t="str">
        <f t="shared" si="4"/>
        <v>insert into mkatalog_kfa93 (kode, uraian, kode_92, uraian_92, nama_dagang, satuan_kecil, sediaan, golongan, url, userid_updt, sysdate_updt) values ('93000525','Cisplatin 1 mg / mL Cairan Injeksi (10 mL, CISPLATIN, FERRON PAR PHARMACEUTICALS)','92000410','Cisplatin 1 mg / mL Cairan Injeksi','CISPLATIN','Vial','Larutan Injeksi','Obat Keras','https://dto.kemkes.go.id/kfacode/93000525',0,'2023-05-01');</v>
      </c>
    </row>
    <row r="230" spans="1:11" ht="15.75" customHeight="1">
      <c r="A230" s="2">
        <v>93000533</v>
      </c>
      <c r="B230" s="2" t="s">
        <v>1860</v>
      </c>
      <c r="C230" s="2">
        <v>92000410</v>
      </c>
      <c r="D230" s="2" t="s">
        <v>795</v>
      </c>
      <c r="E230" s="2" t="s">
        <v>1859</v>
      </c>
      <c r="F230" s="2" t="s">
        <v>653</v>
      </c>
      <c r="G230" s="2" t="s">
        <v>1506</v>
      </c>
      <c r="H230" s="2" t="s">
        <v>1458</v>
      </c>
      <c r="I230" s="3" t="str">
        <f t="shared" si="0"/>
        <v>https://dto.kemkes.go.id/kfacode/93000533</v>
      </c>
      <c r="J230" s="34" t="s">
        <v>3768</v>
      </c>
      <c r="K230" t="str">
        <f t="shared" si="4"/>
        <v>insert into mkatalog_kfa93 (kode, uraian, kode_92, uraian_92, nama_dagang, satuan_kecil, sediaan, golongan, url, userid_updt, sysdate_updt) values ('93000533','Cisplatin 1 mg / mL Cairan Injeksi (10 mL, CISPLATIN, SANBE FARMA)','92000410','Cisplatin 1 mg / mL Cairan Injeksi','CISPLATIN','Vial','Larutan Injeksi','Obat Keras','https://dto.kemkes.go.id/kfacode/93000533',0,'2023-05-01');</v>
      </c>
    </row>
    <row r="231" spans="1:11" ht="15.75" customHeight="1">
      <c r="A231" s="2">
        <v>93000522</v>
      </c>
      <c r="B231" s="2" t="s">
        <v>1861</v>
      </c>
      <c r="C231" s="2">
        <v>92000410</v>
      </c>
      <c r="D231" s="2" t="s">
        <v>795</v>
      </c>
      <c r="E231" s="2" t="s">
        <v>1859</v>
      </c>
      <c r="F231" s="2" t="s">
        <v>653</v>
      </c>
      <c r="G231" s="2" t="s">
        <v>1506</v>
      </c>
      <c r="H231" s="2" t="s">
        <v>1458</v>
      </c>
      <c r="I231" s="3" t="str">
        <f t="shared" si="0"/>
        <v>https://dto.kemkes.go.id/kfacode/93000522</v>
      </c>
      <c r="J231" s="34" t="s">
        <v>3768</v>
      </c>
      <c r="K231" t="str">
        <f t="shared" si="4"/>
        <v>insert into mkatalog_kfa93 (kode, uraian, kode_92, uraian_92, nama_dagang, satuan_kecil, sediaan, golongan, url, userid_updt, sysdate_updt) values ('93000522','Cisplatin 1 mg / mL Cairan Injeksi (10 mL, CISPLATIN)','92000410','Cisplatin 1 mg / mL Cairan Injeksi','CISPLATIN','Vial','Larutan Injeksi','Obat Keras','https://dto.kemkes.go.id/kfacode/93000522',0,'2023-05-01');</v>
      </c>
    </row>
    <row r="232" spans="1:11" ht="15.75" customHeight="1">
      <c r="A232" s="2">
        <v>93000523</v>
      </c>
      <c r="B232" s="2" t="s">
        <v>1862</v>
      </c>
      <c r="C232" s="2">
        <v>92000410</v>
      </c>
      <c r="D232" s="2" t="s">
        <v>795</v>
      </c>
      <c r="E232" s="2" t="s">
        <v>1863</v>
      </c>
      <c r="F232" s="2" t="s">
        <v>653</v>
      </c>
      <c r="G232" s="2" t="s">
        <v>1506</v>
      </c>
      <c r="H232" s="2" t="s">
        <v>1458</v>
      </c>
      <c r="I232" s="3" t="str">
        <f t="shared" si="0"/>
        <v>https://dto.kemkes.go.id/kfacode/93000523</v>
      </c>
      <c r="J232" s="34" t="s">
        <v>3768</v>
      </c>
      <c r="K232" t="str">
        <f t="shared" si="4"/>
        <v>insert into mkatalog_kfa93 (kode, uraian, kode_92, uraian_92, nama_dagang, satuan_kecil, sediaan, golongan, url, userid_updt, sysdate_updt) values ('93000523','Cisplatin 1 mg / mL Cairan Injeksi (10 mL, CISTEEN)','92000410','Cisplatin 1 mg / mL Cairan Injeksi','CISTEEN','Vial','Larutan Injeksi','Obat Keras','https://dto.kemkes.go.id/kfacode/93000523',0,'2023-05-01');</v>
      </c>
    </row>
    <row r="233" spans="1:11" ht="15.75" customHeight="1">
      <c r="A233" s="2">
        <v>93001466</v>
      </c>
      <c r="B233" s="2" t="s">
        <v>1864</v>
      </c>
      <c r="C233" s="2">
        <v>92000410</v>
      </c>
      <c r="D233" s="2" t="s">
        <v>795</v>
      </c>
      <c r="E233" s="2" t="s">
        <v>1859</v>
      </c>
      <c r="F233" s="2" t="s">
        <v>653</v>
      </c>
      <c r="G233" s="2" t="s">
        <v>1506</v>
      </c>
      <c r="H233" s="2" t="s">
        <v>1458</v>
      </c>
      <c r="I233" s="3" t="str">
        <f t="shared" si="0"/>
        <v>https://dto.kemkes.go.id/kfacode/93001466</v>
      </c>
      <c r="J233" s="34" t="s">
        <v>3768</v>
      </c>
      <c r="K233" t="str">
        <f t="shared" si="4"/>
        <v>insert into mkatalog_kfa93 (kode, uraian, kode_92, uraian_92, nama_dagang, satuan_kecil, sediaan, golongan, url, userid_updt, sysdate_updt) values ('93001466','Cisplatin 1 mg / mL Cairan Injeksi (10 mL, FERRON PAR PHARMACEUTICALS)','92000410','Cisplatin 1 mg / mL Cairan Injeksi','CISPLATIN','Vial','Larutan Injeksi','Obat Keras','https://dto.kemkes.go.id/kfacode/93001466',0,'2023-05-01');</v>
      </c>
    </row>
    <row r="234" spans="1:11" ht="15.75" customHeight="1">
      <c r="A234" s="2">
        <v>93000804</v>
      </c>
      <c r="B234" s="2" t="s">
        <v>1865</v>
      </c>
      <c r="C234" s="2">
        <v>92000410</v>
      </c>
      <c r="D234" s="2" t="s">
        <v>795</v>
      </c>
      <c r="E234" s="2" t="s">
        <v>1866</v>
      </c>
      <c r="F234" s="2" t="s">
        <v>653</v>
      </c>
      <c r="G234" s="2" t="s">
        <v>1506</v>
      </c>
      <c r="H234" s="2" t="s">
        <v>1458</v>
      </c>
      <c r="I234" s="3" t="str">
        <f t="shared" si="0"/>
        <v>https://dto.kemkes.go.id/kfacode/93000804</v>
      </c>
      <c r="J234" s="34" t="s">
        <v>3768</v>
      </c>
      <c r="K234" t="str">
        <f t="shared" si="4"/>
        <v>insert into mkatalog_kfa93 (kode, uraian, kode_92, uraian_92, nama_dagang, satuan_kecil, sediaan, golongan, url, userid_updt, sysdate_updt) values ('93000804','Cisplatin 1 mg / mL Cairan Injeksi (50 mL, CILATIN)','92000410','Cisplatin 1 mg / mL Cairan Injeksi','CILATIN 50','Vial','Larutan Injeksi','Obat Keras','https://dto.kemkes.go.id/kfacode/93000804',0,'2023-05-01');</v>
      </c>
    </row>
    <row r="235" spans="1:11" ht="15.75" customHeight="1">
      <c r="A235" s="2">
        <v>93000529</v>
      </c>
      <c r="B235" s="2" t="s">
        <v>1867</v>
      </c>
      <c r="C235" s="2">
        <v>92000410</v>
      </c>
      <c r="D235" s="2" t="s">
        <v>795</v>
      </c>
      <c r="E235" s="2" t="s">
        <v>1857</v>
      </c>
      <c r="F235" s="2" t="s">
        <v>653</v>
      </c>
      <c r="G235" s="2" t="s">
        <v>1506</v>
      </c>
      <c r="H235" s="2" t="s">
        <v>1458</v>
      </c>
      <c r="I235" s="3" t="str">
        <f t="shared" si="0"/>
        <v>https://dto.kemkes.go.id/kfacode/93000529</v>
      </c>
      <c r="J235" s="34" t="s">
        <v>3768</v>
      </c>
      <c r="K235" t="str">
        <f t="shared" si="4"/>
        <v>insert into mkatalog_kfa93 (kode, uraian, kode_92, uraian_92, nama_dagang, satuan_kecil, sediaan, golongan, url, userid_updt, sysdate_updt) values ('93000529','Cisplatin 1 mg / mL Cairan Injeksi (50 mL, CISPLASAN)','92000410','Cisplatin 1 mg / mL Cairan Injeksi','CISPLASAN','Vial','Larutan Injeksi','Obat Keras','https://dto.kemkes.go.id/kfacode/93000529',0,'2023-05-01');</v>
      </c>
    </row>
    <row r="236" spans="1:11" ht="15.75" customHeight="1">
      <c r="A236" s="2">
        <v>93000531</v>
      </c>
      <c r="B236" s="2" t="s">
        <v>1868</v>
      </c>
      <c r="C236" s="2">
        <v>92000410</v>
      </c>
      <c r="D236" s="2" t="s">
        <v>795</v>
      </c>
      <c r="E236" s="2" t="s">
        <v>1859</v>
      </c>
      <c r="F236" s="2" t="s">
        <v>653</v>
      </c>
      <c r="G236" s="2" t="s">
        <v>1506</v>
      </c>
      <c r="H236" s="2" t="s">
        <v>1458</v>
      </c>
      <c r="I236" s="3" t="str">
        <f t="shared" si="0"/>
        <v>https://dto.kemkes.go.id/kfacode/93000531</v>
      </c>
      <c r="J236" s="34" t="s">
        <v>3768</v>
      </c>
      <c r="K236" t="str">
        <f t="shared" si="4"/>
        <v>insert into mkatalog_kfa93 (kode, uraian, kode_92, uraian_92, nama_dagang, satuan_kecil, sediaan, golongan, url, userid_updt, sysdate_updt) values ('93000531','Cisplatin 1 mg / mL Cairan Injeksi (50 mL, CISPLATIN, FERRON PAR PHARMACEUTICALS)','92000410','Cisplatin 1 mg / mL Cairan Injeksi','CISPLATIN','Vial','Larutan Injeksi','Obat Keras','https://dto.kemkes.go.id/kfacode/93000531',0,'2023-05-01');</v>
      </c>
    </row>
    <row r="237" spans="1:11" ht="15.75" customHeight="1">
      <c r="A237" s="2">
        <v>93000532</v>
      </c>
      <c r="B237" s="2" t="s">
        <v>1869</v>
      </c>
      <c r="C237" s="2">
        <v>92000410</v>
      </c>
      <c r="D237" s="2" t="s">
        <v>795</v>
      </c>
      <c r="E237" s="2" t="s">
        <v>1859</v>
      </c>
      <c r="F237" s="2" t="s">
        <v>653</v>
      </c>
      <c r="G237" s="2" t="s">
        <v>1506</v>
      </c>
      <c r="H237" s="2" t="s">
        <v>1458</v>
      </c>
      <c r="I237" s="3" t="str">
        <f t="shared" si="0"/>
        <v>https://dto.kemkes.go.id/kfacode/93000532</v>
      </c>
      <c r="J237" s="34" t="s">
        <v>3768</v>
      </c>
      <c r="K237" t="str">
        <f t="shared" si="4"/>
        <v>insert into mkatalog_kfa93 (kode, uraian, kode_92, uraian_92, nama_dagang, satuan_kecil, sediaan, golongan, url, userid_updt, sysdate_updt) values ('93000532','Cisplatin 1 mg / mL Cairan Injeksi (50 mL, CISPLATIN, SANBE FARMA)','92000410','Cisplatin 1 mg / mL Cairan Injeksi','CISPLATIN','Vial','Larutan Injeksi','Obat Keras','https://dto.kemkes.go.id/kfacode/93000532',0,'2023-05-01');</v>
      </c>
    </row>
    <row r="238" spans="1:11" ht="15.75" customHeight="1">
      <c r="A238" s="2">
        <v>93000526</v>
      </c>
      <c r="B238" s="2" t="s">
        <v>1870</v>
      </c>
      <c r="C238" s="2">
        <v>92000410</v>
      </c>
      <c r="D238" s="2" t="s">
        <v>795</v>
      </c>
      <c r="E238" s="2" t="s">
        <v>1859</v>
      </c>
      <c r="F238" s="2" t="s">
        <v>653</v>
      </c>
      <c r="G238" s="2" t="s">
        <v>1506</v>
      </c>
      <c r="H238" s="2" t="s">
        <v>1458</v>
      </c>
      <c r="I238" s="3" t="str">
        <f t="shared" si="0"/>
        <v>https://dto.kemkes.go.id/kfacode/93000526</v>
      </c>
      <c r="J238" s="34" t="s">
        <v>3768</v>
      </c>
      <c r="K238" t="str">
        <f t="shared" si="4"/>
        <v>insert into mkatalog_kfa93 (kode, uraian, kode_92, uraian_92, nama_dagang, satuan_kecil, sediaan, golongan, url, userid_updt, sysdate_updt) values ('93000526','Cisplatin 1 mg / mL Cairan Injeksi (50 mL, CISPLATIN)','92000410','Cisplatin 1 mg / mL Cairan Injeksi','CISPLATIN','Vial','Larutan Injeksi','Obat Keras','https://dto.kemkes.go.id/kfacode/93000526',0,'2023-05-01');</v>
      </c>
    </row>
    <row r="239" spans="1:11" ht="15.75" customHeight="1">
      <c r="A239" s="2">
        <v>93000528</v>
      </c>
      <c r="B239" s="2" t="s">
        <v>1871</v>
      </c>
      <c r="C239" s="2">
        <v>92000410</v>
      </c>
      <c r="D239" s="2" t="s">
        <v>795</v>
      </c>
      <c r="E239" s="2" t="s">
        <v>1863</v>
      </c>
      <c r="F239" s="2" t="s">
        <v>653</v>
      </c>
      <c r="G239" s="2" t="s">
        <v>1506</v>
      </c>
      <c r="H239" s="2" t="s">
        <v>1458</v>
      </c>
      <c r="I239" s="3" t="str">
        <f t="shared" si="0"/>
        <v>https://dto.kemkes.go.id/kfacode/93000528</v>
      </c>
      <c r="J239" s="34" t="s">
        <v>3768</v>
      </c>
      <c r="K239" t="str">
        <f t="shared" si="4"/>
        <v>insert into mkatalog_kfa93 (kode, uraian, kode_92, uraian_92, nama_dagang, satuan_kecil, sediaan, golongan, url, userid_updt, sysdate_updt) values ('93000528','Cisplatin 1 mg / mL Cairan Injeksi (50 mL, CISTEEN)','92000410','Cisplatin 1 mg / mL Cairan Injeksi','CISTEEN','Vial','Larutan Injeksi','Obat Keras','https://dto.kemkes.go.id/kfacode/93000528',0,'2023-05-01');</v>
      </c>
    </row>
    <row r="240" spans="1:11" ht="15.75" customHeight="1">
      <c r="A240" s="2">
        <v>93001467</v>
      </c>
      <c r="B240" s="2" t="s">
        <v>1872</v>
      </c>
      <c r="C240" s="2">
        <v>92000410</v>
      </c>
      <c r="D240" s="2" t="s">
        <v>795</v>
      </c>
      <c r="E240" s="2" t="s">
        <v>1859</v>
      </c>
      <c r="F240" s="2" t="s">
        <v>653</v>
      </c>
      <c r="G240" s="2" t="s">
        <v>1506</v>
      </c>
      <c r="H240" s="2" t="s">
        <v>1458</v>
      </c>
      <c r="I240" s="3" t="str">
        <f t="shared" si="0"/>
        <v>https://dto.kemkes.go.id/kfacode/93001467</v>
      </c>
      <c r="J240" s="34" t="s">
        <v>3768</v>
      </c>
      <c r="K240" t="str">
        <f t="shared" si="4"/>
        <v>insert into mkatalog_kfa93 (kode, uraian, kode_92, uraian_92, nama_dagang, satuan_kecil, sediaan, golongan, url, userid_updt, sysdate_updt) values ('93001467','Cisplatin 1 mg / mL Cairan Injeksi (50 mL, FERRON PAR PHARMACEUTICALS)','92000410','Cisplatin 1 mg / mL Cairan Injeksi','CISPLATIN','Vial','Larutan Injeksi','Obat Keras','https://dto.kemkes.go.id/kfacode/93001467',0,'2023-05-01');</v>
      </c>
    </row>
    <row r="241" spans="1:11" ht="15.75" customHeight="1">
      <c r="A241" s="2">
        <v>93000155</v>
      </c>
      <c r="B241" s="2" t="s">
        <v>1873</v>
      </c>
      <c r="C241" s="2">
        <v>92000158</v>
      </c>
      <c r="D241" s="2" t="s">
        <v>796</v>
      </c>
      <c r="E241" s="2" t="s">
        <v>1874</v>
      </c>
      <c r="F241" s="2" t="s">
        <v>658</v>
      </c>
      <c r="G241" s="2" t="s">
        <v>1553</v>
      </c>
      <c r="H241" s="2" t="s">
        <v>1458</v>
      </c>
      <c r="I241" s="3" t="str">
        <f t="shared" si="0"/>
        <v>https://dto.kemkes.go.id/kfacode/93000155</v>
      </c>
      <c r="J241" s="34" t="s">
        <v>3768</v>
      </c>
      <c r="K241" t="str">
        <f t="shared" si="4"/>
        <v>insert into mkatalog_kfa93 (kode, uraian, kode_92, uraian_92, nama_dagang, satuan_kecil, sediaan, golongan, url, userid_updt, sysdate_updt) values ('93000155','Clarithromycin 125 mg / 5 mL Sirup Kering (COMTRO)','92000158','Clarithromycin 125 mg / 5 mL Sirup Kering','COMTRO','Botol','Sirup Kering','Obat Keras','https://dto.kemkes.go.id/kfacode/93000155',0,'2023-05-01');</v>
      </c>
    </row>
    <row r="242" spans="1:11" ht="15.75" customHeight="1">
      <c r="A242" s="2">
        <v>93001543</v>
      </c>
      <c r="B242" s="2" t="s">
        <v>1875</v>
      </c>
      <c r="C242" s="2">
        <v>92000886</v>
      </c>
      <c r="D242" s="2" t="s">
        <v>797</v>
      </c>
      <c r="E242" s="2" t="s">
        <v>1876</v>
      </c>
      <c r="F242" s="2" t="s">
        <v>658</v>
      </c>
      <c r="G242" s="2" t="s">
        <v>1553</v>
      </c>
      <c r="H242" s="2" t="s">
        <v>1458</v>
      </c>
      <c r="I242" s="3" t="str">
        <f t="shared" si="0"/>
        <v>https://dto.kemkes.go.id/kfacode/93001543</v>
      </c>
      <c r="J242" s="34" t="s">
        <v>3768</v>
      </c>
      <c r="K242" t="str">
        <f t="shared" si="4"/>
        <v>insert into mkatalog_kfa93 (kode, uraian, kode_92, uraian_92, nama_dagang, satuan_kecil, sediaan, golongan, url, userid_updt, sysdate_updt) values ('93001543','Clarithromycin 250 mg / 5 mL Sirup Kering (ABBOTIC, 50 mL)','92000886','Clarithromycin 250 mg / 5 mL Sirup Kering','ABBOTIC','Botol','Sirup Kering','Obat Keras','https://dto.kemkes.go.id/kfacode/93001543',0,'2023-05-01');</v>
      </c>
    </row>
    <row r="243" spans="1:11" ht="15.75" customHeight="1">
      <c r="A243" s="2">
        <v>93000891</v>
      </c>
      <c r="B243" s="2" t="s">
        <v>1877</v>
      </c>
      <c r="C243" s="2">
        <v>92000554</v>
      </c>
      <c r="D243" s="2" t="s">
        <v>798</v>
      </c>
      <c r="E243" s="2" t="s">
        <v>1878</v>
      </c>
      <c r="F243" s="2" t="s">
        <v>660</v>
      </c>
      <c r="G243" s="2" t="s">
        <v>1619</v>
      </c>
      <c r="H243" s="2" t="s">
        <v>1458</v>
      </c>
      <c r="I243" s="3" t="str">
        <f t="shared" si="0"/>
        <v>https://dto.kemkes.go.id/kfacode/93000891</v>
      </c>
      <c r="J243" s="34" t="s">
        <v>3768</v>
      </c>
      <c r="K243" t="str">
        <f t="shared" si="4"/>
        <v>insert into mkatalog_kfa93 (kode, uraian, kode_92, uraian_92, nama_dagang, satuan_kecil, sediaan, golongan, url, userid_updt, sysdate_updt) values ('93000891','Clarithromycin 500 mg Kaplet Salut Selaput (ETERCON PHARMA)','92000554','Clarithromycin 500 mg Kaplet Salut Selaput','CLARITHROMYCIN','Kaplet','Kaplet Salut Selaput','Obat Keras','https://dto.kemkes.go.id/kfacode/93000891',0,'2023-05-01');</v>
      </c>
    </row>
    <row r="244" spans="1:11" ht="15.75" customHeight="1">
      <c r="A244" s="2">
        <v>93001373</v>
      </c>
      <c r="B244" s="2" t="s">
        <v>1879</v>
      </c>
      <c r="C244" s="2">
        <v>92000768</v>
      </c>
      <c r="D244" s="2" t="s">
        <v>799</v>
      </c>
      <c r="E244" s="2" t="s">
        <v>1880</v>
      </c>
      <c r="F244" s="2" t="s">
        <v>649</v>
      </c>
      <c r="G244" s="2" t="s">
        <v>649</v>
      </c>
      <c r="H244" s="2" t="s">
        <v>1458</v>
      </c>
      <c r="I244" s="3" t="str">
        <f t="shared" si="0"/>
        <v>https://dto.kemkes.go.id/kfacode/93001373</v>
      </c>
      <c r="J244" s="34" t="s">
        <v>3768</v>
      </c>
      <c r="K244" t="str">
        <f t="shared" si="4"/>
        <v>insert into mkatalog_kfa93 (kode, uraian, kode_92, uraian_92, nama_dagang, satuan_kecil, sediaan, golongan, url, userid_updt, sysdate_updt) values ('93001373','Clindamycin Hydrochloride 300 mg Kapsul (MERSIFARMA TIRMAKU MERCUSANA)','92000768','Clindamycin Hydrochloride 300 mg Kapsul','CLINDAMYCIN HCL','Kapsul','Kapsul','Obat Keras','https://dto.kemkes.go.id/kfacode/93001373',0,'2023-05-01');</v>
      </c>
    </row>
    <row r="245" spans="1:11" ht="15.75" customHeight="1">
      <c r="A245" s="2">
        <v>93000552</v>
      </c>
      <c r="B245" s="2" t="s">
        <v>1881</v>
      </c>
      <c r="C245" s="2">
        <v>92000367</v>
      </c>
      <c r="D245" s="2" t="s">
        <v>800</v>
      </c>
      <c r="E245" s="2" t="s">
        <v>1882</v>
      </c>
      <c r="F245" s="2" t="s">
        <v>640</v>
      </c>
      <c r="G245" s="2" t="s">
        <v>640</v>
      </c>
      <c r="H245" s="2" t="s">
        <v>1517</v>
      </c>
      <c r="I245" s="3" t="str">
        <f t="shared" si="0"/>
        <v>https://dto.kemkes.go.id/kfacode/93000552</v>
      </c>
      <c r="J245" s="34" t="s">
        <v>3768</v>
      </c>
      <c r="K245" t="str">
        <f t="shared" si="4"/>
        <v>insert into mkatalog_kfa93 (kode, uraian, kode_92, uraian_92, nama_dagang, satuan_kecil, sediaan, golongan, url, userid_updt, sysdate_updt) values ('93000552','Clobazam 10 mg Tablet (ANXIBLOC)','92000367','Clobazam 10 mg Tablet','ANXIBLOC','Tablet','Tablet','Obat Psikotropika','https://dto.kemkes.go.id/kfacode/93000552',0,'2023-05-01');</v>
      </c>
    </row>
    <row r="246" spans="1:11" ht="15.75" customHeight="1">
      <c r="A246" s="2">
        <v>93000556</v>
      </c>
      <c r="B246" s="2" t="s">
        <v>1883</v>
      </c>
      <c r="C246" s="2">
        <v>92000367</v>
      </c>
      <c r="D246" s="2" t="s">
        <v>800</v>
      </c>
      <c r="E246" s="2" t="s">
        <v>1884</v>
      </c>
      <c r="F246" s="2" t="s">
        <v>640</v>
      </c>
      <c r="G246" s="2" t="s">
        <v>640</v>
      </c>
      <c r="H246" s="2" t="s">
        <v>1517</v>
      </c>
      <c r="I246" s="3" t="str">
        <f t="shared" si="0"/>
        <v>https://dto.kemkes.go.id/kfacode/93000556</v>
      </c>
      <c r="J246" s="34" t="s">
        <v>3768</v>
      </c>
      <c r="K246" t="str">
        <f t="shared" si="4"/>
        <v>insert into mkatalog_kfa93 (kode, uraian, kode_92, uraian_92, nama_dagang, satuan_kecil, sediaan, golongan, url, userid_updt, sysdate_updt) values ('93000556','Clobazam 10 mg Tablet (ASABIUM)','92000367','Clobazam 10 mg Tablet','ASABIUM','Tablet','Tablet','Obat Psikotropika','https://dto.kemkes.go.id/kfacode/93000556',0,'2023-05-01');</v>
      </c>
    </row>
    <row r="247" spans="1:11" ht="15.75" customHeight="1">
      <c r="A247" s="2">
        <v>93000555</v>
      </c>
      <c r="B247" s="2" t="s">
        <v>1885</v>
      </c>
      <c r="C247" s="2">
        <v>92000367</v>
      </c>
      <c r="D247" s="2" t="s">
        <v>800</v>
      </c>
      <c r="E247" s="2" t="s">
        <v>1886</v>
      </c>
      <c r="F247" s="2" t="s">
        <v>640</v>
      </c>
      <c r="G247" s="2" t="s">
        <v>640</v>
      </c>
      <c r="H247" s="2" t="s">
        <v>1517</v>
      </c>
      <c r="I247" s="3" t="str">
        <f t="shared" si="0"/>
        <v>https://dto.kemkes.go.id/kfacode/93000555</v>
      </c>
      <c r="J247" s="34" t="s">
        <v>3768</v>
      </c>
      <c r="K247" t="str">
        <f t="shared" si="4"/>
        <v>insert into mkatalog_kfa93 (kode, uraian, kode_92, uraian_92, nama_dagang, satuan_kecil, sediaan, golongan, url, userid_updt, sysdate_updt) values ('93000555','Clobazam 10 mg Tablet (CLOFRITIS)','92000367','Clobazam 10 mg Tablet','CLOFRITIS','Tablet','Tablet','Obat Psikotropika','https://dto.kemkes.go.id/kfacode/93000555',0,'2023-05-01');</v>
      </c>
    </row>
    <row r="248" spans="1:11" ht="15.75" customHeight="1">
      <c r="A248" s="2">
        <v>93000550</v>
      </c>
      <c r="B248" s="2" t="s">
        <v>1887</v>
      </c>
      <c r="C248" s="2">
        <v>92000367</v>
      </c>
      <c r="D248" s="2" t="s">
        <v>800</v>
      </c>
      <c r="E248" s="2" t="s">
        <v>1888</v>
      </c>
      <c r="F248" s="2" t="s">
        <v>640</v>
      </c>
      <c r="G248" s="2" t="s">
        <v>640</v>
      </c>
      <c r="H248" s="2" t="s">
        <v>1517</v>
      </c>
      <c r="I248" s="3" t="str">
        <f t="shared" si="0"/>
        <v>https://dto.kemkes.go.id/kfacode/93000550</v>
      </c>
      <c r="J248" s="34" t="s">
        <v>3768</v>
      </c>
      <c r="K248" t="str">
        <f t="shared" si="4"/>
        <v>insert into mkatalog_kfa93 (kode, uraian, kode_92, uraian_92, nama_dagang, satuan_kecil, sediaan, golongan, url, userid_updt, sysdate_updt) values ('93000550','Clobazam 10 mg Tablet (DEXA MEDICA)','92000367','Clobazam 10 mg Tablet','CLOBAZAM','Tablet','Tablet','Obat Psikotropika','https://dto.kemkes.go.id/kfacode/93000550',0,'2023-05-01');</v>
      </c>
    </row>
    <row r="249" spans="1:11" ht="15.75" customHeight="1">
      <c r="A249" s="2">
        <v>93000585</v>
      </c>
      <c r="B249" s="2" t="s">
        <v>1889</v>
      </c>
      <c r="C249" s="2">
        <v>92000367</v>
      </c>
      <c r="D249" s="2" t="s">
        <v>800</v>
      </c>
      <c r="E249" s="2" t="s">
        <v>1888</v>
      </c>
      <c r="F249" s="2" t="s">
        <v>640</v>
      </c>
      <c r="G249" s="2" t="s">
        <v>640</v>
      </c>
      <c r="H249" s="2" t="s">
        <v>1517</v>
      </c>
      <c r="I249" s="3" t="str">
        <f t="shared" si="0"/>
        <v>https://dto.kemkes.go.id/kfacode/93000585</v>
      </c>
      <c r="J249" s="34" t="s">
        <v>3768</v>
      </c>
      <c r="K249" t="str">
        <f t="shared" si="4"/>
        <v>insert into mkatalog_kfa93 (kode, uraian, kode_92, uraian_92, nama_dagang, satuan_kecil, sediaan, golongan, url, userid_updt, sysdate_updt) values ('93000585','Clobazam 10 mg Tablet (ETERCON PHARMA)','92000367','Clobazam 10 mg Tablet','CLOBAZAM','Tablet','Tablet','Obat Psikotropika','https://dto.kemkes.go.id/kfacode/93000585',0,'2023-05-01');</v>
      </c>
    </row>
    <row r="250" spans="1:11" ht="15.75" customHeight="1">
      <c r="A250" s="2">
        <v>93000553</v>
      </c>
      <c r="B250" s="2" t="s">
        <v>1890</v>
      </c>
      <c r="C250" s="2">
        <v>92000367</v>
      </c>
      <c r="D250" s="2" t="s">
        <v>800</v>
      </c>
      <c r="E250" s="2" t="s">
        <v>1891</v>
      </c>
      <c r="F250" s="2" t="s">
        <v>640</v>
      </c>
      <c r="G250" s="2" t="s">
        <v>640</v>
      </c>
      <c r="H250" s="2" t="s">
        <v>1517</v>
      </c>
      <c r="I250" s="3" t="str">
        <f t="shared" si="0"/>
        <v>https://dto.kemkes.go.id/kfacode/93000553</v>
      </c>
      <c r="J250" s="34" t="s">
        <v>3768</v>
      </c>
      <c r="K250" t="str">
        <f t="shared" si="4"/>
        <v>insert into mkatalog_kfa93 (kode, uraian, kode_92, uraian_92, nama_dagang, satuan_kecil, sediaan, golongan, url, userid_updt, sysdate_updt) values ('93000553','Clobazam 10 mg Tablet (FRISIUM)','92000367','Clobazam 10 mg Tablet','FRISIUM','Tablet','Tablet','Obat Psikotropika','https://dto.kemkes.go.id/kfacode/93000553',0,'2023-05-01');</v>
      </c>
    </row>
    <row r="251" spans="1:11" ht="15.75" customHeight="1">
      <c r="A251" s="2">
        <v>93000551</v>
      </c>
      <c r="B251" s="2" t="s">
        <v>1892</v>
      </c>
      <c r="C251" s="2">
        <v>92000367</v>
      </c>
      <c r="D251" s="2" t="s">
        <v>800</v>
      </c>
      <c r="E251" s="2" t="s">
        <v>1888</v>
      </c>
      <c r="F251" s="2" t="s">
        <v>640</v>
      </c>
      <c r="G251" s="2" t="s">
        <v>640</v>
      </c>
      <c r="H251" s="2" t="s">
        <v>1517</v>
      </c>
      <c r="I251" s="3" t="str">
        <f t="shared" si="0"/>
        <v>https://dto.kemkes.go.id/kfacode/93000551</v>
      </c>
      <c r="J251" s="34" t="s">
        <v>3768</v>
      </c>
      <c r="K251" t="str">
        <f t="shared" si="4"/>
        <v>insert into mkatalog_kfa93 (kode, uraian, kode_92, uraian_92, nama_dagang, satuan_kecil, sediaan, golongan, url, userid_updt, sysdate_updt) values ('93000551','Clobazam 10 mg Tablet (MERSIFARMA TIRMAKU MERCUSANA)','92000367','Clobazam 10 mg Tablet','CLOBAZAM','Tablet','Tablet','Obat Psikotropika','https://dto.kemkes.go.id/kfacode/93000551',0,'2023-05-01');</v>
      </c>
    </row>
    <row r="252" spans="1:11" ht="15.75" customHeight="1">
      <c r="A252" s="2">
        <v>93000554</v>
      </c>
      <c r="B252" s="2" t="s">
        <v>1893</v>
      </c>
      <c r="C252" s="2">
        <v>92000367</v>
      </c>
      <c r="D252" s="2" t="s">
        <v>800</v>
      </c>
      <c r="E252" s="2" t="s">
        <v>1894</v>
      </c>
      <c r="F252" s="2" t="s">
        <v>640</v>
      </c>
      <c r="G252" s="2" t="s">
        <v>640</v>
      </c>
      <c r="H252" s="2" t="s">
        <v>1517</v>
      </c>
      <c r="I252" s="3" t="str">
        <f t="shared" si="0"/>
        <v>https://dto.kemkes.go.id/kfacode/93000554</v>
      </c>
      <c r="J252" s="34" t="s">
        <v>3768</v>
      </c>
      <c r="K252" t="str">
        <f t="shared" si="4"/>
        <v>insert into mkatalog_kfa93 (kode, uraian, kode_92, uraian_92, nama_dagang, satuan_kecil, sediaan, golongan, url, userid_updt, sysdate_updt) values ('93000554','Clobazam 10 mg Tablet (PROCLOZAM)','92000367','Clobazam 10 mg Tablet','PROCLOZAM','Tablet','Tablet','Obat Psikotropika','https://dto.kemkes.go.id/kfacode/93000554',0,'2023-05-01');</v>
      </c>
    </row>
    <row r="253" spans="1:11" ht="15.75" customHeight="1">
      <c r="A253" s="2">
        <v>93001226</v>
      </c>
      <c r="B253" s="2" t="s">
        <v>1895</v>
      </c>
      <c r="C253" s="2">
        <v>92000699</v>
      </c>
      <c r="D253" s="2" t="s">
        <v>801</v>
      </c>
      <c r="E253" s="2" t="s">
        <v>1896</v>
      </c>
      <c r="F253" s="2" t="s">
        <v>655</v>
      </c>
      <c r="G253" s="2" t="s">
        <v>1628</v>
      </c>
      <c r="H253" s="2" t="s">
        <v>1458</v>
      </c>
      <c r="I253" s="3" t="str">
        <f t="shared" si="0"/>
        <v>https://dto.kemkes.go.id/kfacode/93001226</v>
      </c>
      <c r="J253" s="34" t="s">
        <v>3768</v>
      </c>
      <c r="K253" t="str">
        <f t="shared" si="4"/>
        <v>insert into mkatalog_kfa93 (kode, uraian, kode_92, uraian_92, nama_dagang, satuan_kecil, sediaan, golongan, url, userid_updt, sysdate_updt) values ('93001226','Clobetasol Propionate 0,05%  Salep (ETERCON PHARMA)','92000699','Clobetasol Propionate 0,05%  Salep','CLOBETASOL PROPIONATE','Tube','Salep','Obat Keras','https://dto.kemkes.go.id/kfacode/93001226',0,'2023-05-01');</v>
      </c>
    </row>
    <row r="254" spans="1:11" ht="15.75" customHeight="1">
      <c r="A254" s="2">
        <v>93000899</v>
      </c>
      <c r="B254" s="2" t="s">
        <v>1897</v>
      </c>
      <c r="C254" s="2">
        <v>92000551</v>
      </c>
      <c r="D254" s="2" t="s">
        <v>802</v>
      </c>
      <c r="E254" s="2" t="s">
        <v>1896</v>
      </c>
      <c r="F254" s="2" t="s">
        <v>655</v>
      </c>
      <c r="G254" s="2" t="s">
        <v>1661</v>
      </c>
      <c r="H254" s="2" t="s">
        <v>1458</v>
      </c>
      <c r="I254" s="3" t="str">
        <f t="shared" si="0"/>
        <v>https://dto.kemkes.go.id/kfacode/93000899</v>
      </c>
      <c r="J254" s="34" t="s">
        <v>3768</v>
      </c>
      <c r="K254" t="str">
        <f t="shared" si="4"/>
        <v>insert into mkatalog_kfa93 (kode, uraian, kode_92, uraian_92, nama_dagang, satuan_kecil, sediaan, golongan, url, userid_updt, sysdate_updt) values ('93000899','Clobetasol Propionate 0,05% Krim (BUFA ANEKA)','92000551','Clobetasol Propionate 0,05% Krim','CLOBETASOL PROPIONATE','Tube','Krim','Obat Keras','https://dto.kemkes.go.id/kfacode/93000899',0,'2023-05-01');</v>
      </c>
    </row>
    <row r="255" spans="1:11" ht="15.75" customHeight="1">
      <c r="A255" s="2">
        <v>93001556</v>
      </c>
      <c r="B255" s="2" t="s">
        <v>1898</v>
      </c>
      <c r="C255" s="2">
        <v>92000847</v>
      </c>
      <c r="D255" s="2" t="s">
        <v>803</v>
      </c>
      <c r="E255" s="2" t="s">
        <v>1899</v>
      </c>
      <c r="F255" s="2" t="s">
        <v>640</v>
      </c>
      <c r="G255" s="2" t="s">
        <v>1457</v>
      </c>
      <c r="H255" s="2" t="s">
        <v>1517</v>
      </c>
      <c r="I255" s="3" t="str">
        <f t="shared" si="0"/>
        <v>https://dto.kemkes.go.id/kfacode/93001556</v>
      </c>
      <c r="J255" s="34" t="s">
        <v>3768</v>
      </c>
      <c r="K255" t="str">
        <f t="shared" si="4"/>
        <v>insert into mkatalog_kfa93 (kode, uraian, kode_92, uraian_92, nama_dagang, satuan_kecil, sediaan, golongan, url, userid_updt, sysdate_updt) values ('93001556','Clonazepam 2 mg Tablet Salut Selaput (MERSIFARMA TIRMAKU MERCUSANA)','92000847','Clonazepam 2 mg Tablet Salut Selaput','CLONAZEPAM','Tablet','Tablet Salut Selaput','Obat Psikotropika','https://dto.kemkes.go.id/kfacode/93001556',0,'2023-05-01');</v>
      </c>
    </row>
    <row r="256" spans="1:11" ht="15.75" customHeight="1">
      <c r="A256" s="2">
        <v>93001382</v>
      </c>
      <c r="B256" s="2" t="s">
        <v>1900</v>
      </c>
      <c r="C256" s="2">
        <v>92000758</v>
      </c>
      <c r="D256" s="2" t="s">
        <v>804</v>
      </c>
      <c r="E256" s="2" t="s">
        <v>1901</v>
      </c>
      <c r="F256" s="2" t="s">
        <v>640</v>
      </c>
      <c r="G256" s="2" t="s">
        <v>640</v>
      </c>
      <c r="H256" s="2" t="s">
        <v>1458</v>
      </c>
      <c r="I256" s="3" t="str">
        <f t="shared" si="0"/>
        <v>https://dto.kemkes.go.id/kfacode/93001382</v>
      </c>
      <c r="J256" s="34" t="s">
        <v>3768</v>
      </c>
      <c r="K256" t="str">
        <f t="shared" si="4"/>
        <v>insert into mkatalog_kfa93 (kode, uraian, kode_92, uraian_92, nama_dagang, satuan_kecil, sediaan, golongan, url, userid_updt, sysdate_updt) values ('93001382','Clonidine Hydrochloride 0,15 mg Tablet (KIMIA FARMA Tbk.)','92000758','Clonidine Hydrochloride 0,15 mg Tablet','CLONIDINE HYDROCHLORIDE','Tablet','Tablet','Obat Keras','https://dto.kemkes.go.id/kfacode/93001382',0,'2023-05-01');</v>
      </c>
    </row>
    <row r="257" spans="1:11" ht="15.75" customHeight="1">
      <c r="A257" s="2">
        <v>93001455</v>
      </c>
      <c r="B257" s="2" t="s">
        <v>1902</v>
      </c>
      <c r="C257" s="2">
        <v>92000848</v>
      </c>
      <c r="D257" s="2" t="s">
        <v>805</v>
      </c>
      <c r="E257" s="2" t="s">
        <v>1903</v>
      </c>
      <c r="F257" s="2" t="s">
        <v>645</v>
      </c>
      <c r="G257" s="2" t="s">
        <v>1506</v>
      </c>
      <c r="H257" s="2" t="s">
        <v>1458</v>
      </c>
      <c r="I257" s="3" t="str">
        <f t="shared" si="0"/>
        <v>https://dto.kemkes.go.id/kfacode/93001455</v>
      </c>
      <c r="J257" s="34" t="s">
        <v>3768</v>
      </c>
      <c r="K257" t="str">
        <f t="shared" si="4"/>
        <v>insert into mkatalog_kfa93 (kode, uraian, kode_92, uraian_92, nama_dagang, satuan_kecil, sediaan, golongan, url, userid_updt, sysdate_updt) values ('93001455','Clonidine Hydrochloride 150 mcg/mL Cairan Injeksi (CATAPRES)','92000848','Clonidine Hydrochloride 150 mcg/mL Cairan Injeksi','CATAPRES','Ampul','Larutan Injeksi','Obat Keras','https://dto.kemkes.go.id/kfacode/93001455',0,'2023-05-01');</v>
      </c>
    </row>
    <row r="258" spans="1:11" ht="15.75" customHeight="1">
      <c r="A258" s="2">
        <v>93001456</v>
      </c>
      <c r="B258" s="2" t="s">
        <v>1904</v>
      </c>
      <c r="C258" s="2">
        <v>92000848</v>
      </c>
      <c r="D258" s="2" t="s">
        <v>805</v>
      </c>
      <c r="E258" s="2" t="s">
        <v>1903</v>
      </c>
      <c r="F258" s="2" t="s">
        <v>645</v>
      </c>
      <c r="G258" s="2" t="s">
        <v>1506</v>
      </c>
      <c r="H258" s="2" t="s">
        <v>1458</v>
      </c>
      <c r="I258" s="3" t="str">
        <f t="shared" si="0"/>
        <v>https://dto.kemkes.go.id/kfacode/93001456</v>
      </c>
      <c r="J258" s="34" t="s">
        <v>3768</v>
      </c>
      <c r="K258" t="str">
        <f t="shared" si="4"/>
        <v>insert into mkatalog_kfa93 (kode, uraian, kode_92, uraian_92, nama_dagang, satuan_kecil, sediaan, golongan, url, userid_updt, sysdate_updt) values ('93001456','Clonidine Hydrochloride 150 mcg/mL Cairan Injeksi (PYRIDAM FARMA TBK)','92000848','Clonidine Hydrochloride 150 mcg/mL Cairan Injeksi','CATAPRES','Ampul','Larutan Injeksi','Obat Keras','https://dto.kemkes.go.id/kfacode/93001456',0,'2023-05-01');</v>
      </c>
    </row>
    <row r="259" spans="1:11" ht="15.75" customHeight="1">
      <c r="A259" s="2">
        <v>93000598</v>
      </c>
      <c r="B259" s="2" t="s">
        <v>1905</v>
      </c>
      <c r="C259" s="2">
        <v>92000464</v>
      </c>
      <c r="D259" s="2" t="s">
        <v>806</v>
      </c>
      <c r="E259" s="2" t="s">
        <v>1906</v>
      </c>
      <c r="F259" s="2" t="s">
        <v>640</v>
      </c>
      <c r="G259" s="2" t="s">
        <v>1457</v>
      </c>
      <c r="H259" s="2" t="s">
        <v>1458</v>
      </c>
      <c r="I259" s="3" t="str">
        <f t="shared" si="0"/>
        <v>https://dto.kemkes.go.id/kfacode/93000598</v>
      </c>
      <c r="J259" s="34" t="s">
        <v>3768</v>
      </c>
      <c r="K259" t="str">
        <f t="shared" ref="K259:K322" si="5">CONCATENATE(J259,"('",A259,"','",B259,"','",C259,"','",D259,"','",E259,"','",F259,"','",G259,"','",H259,"','",I259,"',0,'2023-05-01');")</f>
        <v>insert into mkatalog_kfa93 (kode, uraian, kode_92, uraian_92, nama_dagang, satuan_kecil, sediaan, golongan, url, userid_updt, sysdate_updt) values ('93000598','Clopidogrel 300 mg Tablet Salut Selaput (PLAVIX)','92000464','Clopidogrel 300 mg Tablet Salut Selaput','PLAVIX','Tablet','Tablet Salut Selaput','Obat Keras','https://dto.kemkes.go.id/kfacode/93000598',0,'2023-05-01');</v>
      </c>
    </row>
    <row r="260" spans="1:11" ht="15.75" customHeight="1">
      <c r="A260" s="2">
        <v>93000679</v>
      </c>
      <c r="B260" s="2" t="s">
        <v>1907</v>
      </c>
      <c r="C260" s="2">
        <v>92000468</v>
      </c>
      <c r="D260" s="2" t="s">
        <v>807</v>
      </c>
      <c r="E260" s="2" t="s">
        <v>1908</v>
      </c>
      <c r="F260" s="2" t="s">
        <v>640</v>
      </c>
      <c r="G260" s="2" t="s">
        <v>1457</v>
      </c>
      <c r="H260" s="2" t="s">
        <v>1458</v>
      </c>
      <c r="I260" s="3" t="str">
        <f t="shared" si="0"/>
        <v>https://dto.kemkes.go.id/kfacode/93000679</v>
      </c>
      <c r="J260" s="34" t="s">
        <v>3768</v>
      </c>
      <c r="K260" t="str">
        <f t="shared" si="5"/>
        <v>insert into mkatalog_kfa93 (kode, uraian, kode_92, uraian_92, nama_dagang, satuan_kecil, sediaan, golongan, url, userid_updt, sysdate_updt) values ('93000679','Clopidogrel 75 mg Tablet Salut Selaput (ACTAVIS INDONESIA)','92000468','Clopidogrel 75 mg Tablet Salut Selaput','CLOPIDOGREL BISULFATE','Tablet','Tablet Salut Selaput','Obat Keras','https://dto.kemkes.go.id/kfacode/93000679',0,'2023-05-01');</v>
      </c>
    </row>
    <row r="261" spans="1:11" ht="15.75" customHeight="1">
      <c r="A261" s="2">
        <v>93000641</v>
      </c>
      <c r="B261" s="2" t="s">
        <v>1909</v>
      </c>
      <c r="C261" s="2">
        <v>92000468</v>
      </c>
      <c r="D261" s="2" t="s">
        <v>807</v>
      </c>
      <c r="E261" s="2" t="s">
        <v>1910</v>
      </c>
      <c r="F261" s="2" t="s">
        <v>640</v>
      </c>
      <c r="G261" s="2" t="s">
        <v>1457</v>
      </c>
      <c r="H261" s="2" t="s">
        <v>1458</v>
      </c>
      <c r="I261" s="3" t="str">
        <f t="shared" si="0"/>
        <v>https://dto.kemkes.go.id/kfacode/93000641</v>
      </c>
      <c r="J261" s="34" t="s">
        <v>3768</v>
      </c>
      <c r="K261" t="str">
        <f t="shared" si="5"/>
        <v>insert into mkatalog_kfa93 (kode, uraian, kode_92, uraian_92, nama_dagang, satuan_kecil, sediaan, golongan, url, userid_updt, sysdate_updt) values ('93000641','Clopidogrel 75 mg Tablet Salut Selaput (AGRELANO)','92000468','Clopidogrel 75 mg Tablet Salut Selaput','AGRELANO','Tablet','Tablet Salut Selaput','Obat Keras','https://dto.kemkes.go.id/kfacode/93000641',0,'2023-05-01');</v>
      </c>
    </row>
    <row r="262" spans="1:11" ht="15.75" customHeight="1">
      <c r="A262" s="2">
        <v>93000631</v>
      </c>
      <c r="B262" s="2" t="s">
        <v>1911</v>
      </c>
      <c r="C262" s="2">
        <v>92000468</v>
      </c>
      <c r="D262" s="2" t="s">
        <v>807</v>
      </c>
      <c r="E262" s="2" t="s">
        <v>1912</v>
      </c>
      <c r="F262" s="2" t="s">
        <v>640</v>
      </c>
      <c r="G262" s="2" t="s">
        <v>1457</v>
      </c>
      <c r="H262" s="2" t="s">
        <v>1458</v>
      </c>
      <c r="I262" s="3" t="str">
        <f t="shared" si="0"/>
        <v>https://dto.kemkes.go.id/kfacode/93000631</v>
      </c>
      <c r="J262" s="34" t="s">
        <v>3768</v>
      </c>
      <c r="K262" t="str">
        <f t="shared" si="5"/>
        <v>insert into mkatalog_kfa93 (kode, uraian, kode_92, uraian_92, nama_dagang, satuan_kecil, sediaan, golongan, url, userid_updt, sysdate_updt) values ('93000631','Clopidogrel 75 mg Tablet Salut Selaput (ARTEPID)','92000468','Clopidogrel 75 mg Tablet Salut Selaput','ARTEPID','Tablet','Tablet Salut Selaput','Obat Keras','https://dto.kemkes.go.id/kfacode/93000631',0,'2023-05-01');</v>
      </c>
    </row>
    <row r="263" spans="1:11" ht="15.75" customHeight="1">
      <c r="A263" s="2">
        <v>93000674</v>
      </c>
      <c r="B263" s="2" t="s">
        <v>1913</v>
      </c>
      <c r="C263" s="2">
        <v>92000468</v>
      </c>
      <c r="D263" s="2" t="s">
        <v>807</v>
      </c>
      <c r="E263" s="2" t="s">
        <v>1908</v>
      </c>
      <c r="F263" s="2" t="s">
        <v>640</v>
      </c>
      <c r="G263" s="2" t="s">
        <v>1457</v>
      </c>
      <c r="H263" s="2" t="s">
        <v>1458</v>
      </c>
      <c r="I263" s="3" t="str">
        <f t="shared" si="0"/>
        <v>https://dto.kemkes.go.id/kfacode/93000674</v>
      </c>
      <c r="J263" s="34" t="s">
        <v>3768</v>
      </c>
      <c r="K263" t="str">
        <f t="shared" si="5"/>
        <v>insert into mkatalog_kfa93 (kode, uraian, kode_92, uraian_92, nama_dagang, satuan_kecil, sediaan, golongan, url, userid_updt, sysdate_updt) values ('93000674','Clopidogrel 75 mg Tablet Salut Selaput (BERNOFARM)','92000468','Clopidogrel 75 mg Tablet Salut Selaput','CLOPIDOGREL BISULFATE','Tablet','Tablet Salut Selaput','Obat Keras','https://dto.kemkes.go.id/kfacode/93000674',0,'2023-05-01');</v>
      </c>
    </row>
    <row r="264" spans="1:11" ht="15.75" customHeight="1">
      <c r="A264" s="2">
        <v>93000678</v>
      </c>
      <c r="B264" s="2" t="s">
        <v>1914</v>
      </c>
      <c r="C264" s="2">
        <v>92000468</v>
      </c>
      <c r="D264" s="2" t="s">
        <v>807</v>
      </c>
      <c r="E264" s="2" t="s">
        <v>1908</v>
      </c>
      <c r="F264" s="2" t="s">
        <v>640</v>
      </c>
      <c r="G264" s="2" t="s">
        <v>1457</v>
      </c>
      <c r="H264" s="2" t="s">
        <v>1458</v>
      </c>
      <c r="I264" s="3" t="str">
        <f t="shared" si="0"/>
        <v>https://dto.kemkes.go.id/kfacode/93000678</v>
      </c>
      <c r="J264" s="34" t="s">
        <v>3768</v>
      </c>
      <c r="K264" t="str">
        <f t="shared" si="5"/>
        <v>insert into mkatalog_kfa93 (kode, uraian, kode_92, uraian_92, nama_dagang, satuan_kecil, sediaan, golongan, url, userid_updt, sysdate_updt) values ('93000678','Clopidogrel 75 mg Tablet Salut Selaput (BETA PHARMACON)','92000468','Clopidogrel 75 mg Tablet Salut Selaput','CLOPIDOGREL BISULFATE','Tablet','Tablet Salut Selaput','Obat Keras','https://dto.kemkes.go.id/kfacode/93000678',0,'2023-05-01');</v>
      </c>
    </row>
    <row r="265" spans="1:11" ht="15.75" customHeight="1">
      <c r="A265" s="2">
        <v>93000638</v>
      </c>
      <c r="B265" s="2" t="s">
        <v>1915</v>
      </c>
      <c r="C265" s="2">
        <v>92000468</v>
      </c>
      <c r="D265" s="2" t="s">
        <v>807</v>
      </c>
      <c r="E265" s="2" t="s">
        <v>1916</v>
      </c>
      <c r="F265" s="2" t="s">
        <v>640</v>
      </c>
      <c r="G265" s="2" t="s">
        <v>1457</v>
      </c>
      <c r="H265" s="2" t="s">
        <v>1458</v>
      </c>
      <c r="I265" s="3" t="str">
        <f t="shared" si="0"/>
        <v>https://dto.kemkes.go.id/kfacode/93000638</v>
      </c>
      <c r="J265" s="34" t="s">
        <v>3768</v>
      </c>
      <c r="K265" t="str">
        <f t="shared" si="5"/>
        <v>insert into mkatalog_kfa93 (kode, uraian, kode_92, uraian_92, nama_dagang, satuan_kecil, sediaan, golongan, url, userid_updt, sysdate_updt) values ('93000638','Clopidogrel 75 mg Tablet Salut Selaput (CLIDOREL 75)','92000468','Clopidogrel 75 mg Tablet Salut Selaput','CLIDOREL 75','Tablet','Tablet Salut Selaput','Obat Keras','https://dto.kemkes.go.id/kfacode/93000638',0,'2023-05-01');</v>
      </c>
    </row>
    <row r="266" spans="1:11" ht="15.75" customHeight="1">
      <c r="A266" s="2">
        <v>93000629</v>
      </c>
      <c r="B266" s="2" t="s">
        <v>1917</v>
      </c>
      <c r="C266" s="2">
        <v>92000468</v>
      </c>
      <c r="D266" s="2" t="s">
        <v>807</v>
      </c>
      <c r="E266" s="2" t="s">
        <v>1918</v>
      </c>
      <c r="F266" s="2" t="s">
        <v>640</v>
      </c>
      <c r="G266" s="2" t="s">
        <v>1457</v>
      </c>
      <c r="H266" s="2" t="s">
        <v>1458</v>
      </c>
      <c r="I266" s="3" t="str">
        <f t="shared" si="0"/>
        <v>https://dto.kemkes.go.id/kfacode/93000629</v>
      </c>
      <c r="J266" s="34" t="s">
        <v>3768</v>
      </c>
      <c r="K266" t="str">
        <f t="shared" si="5"/>
        <v>insert into mkatalog_kfa93 (kode, uraian, kode_92, uraian_92, nama_dagang, satuan_kecil, sediaan, golongan, url, userid_updt, sysdate_updt) values ('93000629','Clopidogrel 75 mg Tablet Salut Selaput (CLOGIN)','92000468','Clopidogrel 75 mg Tablet Salut Selaput','CLOGIN','Tablet','Tablet Salut Selaput','Obat Keras','https://dto.kemkes.go.id/kfacode/93000629',0,'2023-05-01');</v>
      </c>
    </row>
    <row r="267" spans="1:11" ht="15.75" customHeight="1">
      <c r="A267" s="2">
        <v>93000627</v>
      </c>
      <c r="B267" s="2" t="s">
        <v>1919</v>
      </c>
      <c r="C267" s="2">
        <v>92000468</v>
      </c>
      <c r="D267" s="2" t="s">
        <v>807</v>
      </c>
      <c r="E267" s="2" t="s">
        <v>1920</v>
      </c>
      <c r="F267" s="2" t="s">
        <v>640</v>
      </c>
      <c r="G267" s="2" t="s">
        <v>1457</v>
      </c>
      <c r="H267" s="2" t="s">
        <v>1458</v>
      </c>
      <c r="I267" s="3" t="str">
        <f t="shared" si="0"/>
        <v>https://dto.kemkes.go.id/kfacode/93000627</v>
      </c>
      <c r="J267" s="34" t="s">
        <v>3768</v>
      </c>
      <c r="K267" t="str">
        <f t="shared" si="5"/>
        <v>insert into mkatalog_kfa93 (kode, uraian, kode_92, uraian_92, nama_dagang, satuan_kecil, sediaan, golongan, url, userid_updt, sysdate_updt) values ('93000627','Clopidogrel 75 mg Tablet Salut Selaput (CLOTIX)','92000468','Clopidogrel 75 mg Tablet Salut Selaput','CLOTIX','Tablet','Tablet Salut Selaput','Obat Keras','https://dto.kemkes.go.id/kfacode/93000627',0,'2023-05-01');</v>
      </c>
    </row>
    <row r="268" spans="1:11" ht="15.75" customHeight="1">
      <c r="A268" s="2">
        <v>93000630</v>
      </c>
      <c r="B268" s="2" t="s">
        <v>1921</v>
      </c>
      <c r="C268" s="2">
        <v>92000468</v>
      </c>
      <c r="D268" s="2" t="s">
        <v>807</v>
      </c>
      <c r="E268" s="2" t="s">
        <v>1922</v>
      </c>
      <c r="F268" s="2" t="s">
        <v>640</v>
      </c>
      <c r="G268" s="2" t="s">
        <v>1457</v>
      </c>
      <c r="H268" s="2" t="s">
        <v>1458</v>
      </c>
      <c r="I268" s="3" t="str">
        <f t="shared" si="0"/>
        <v>https://dto.kemkes.go.id/kfacode/93000630</v>
      </c>
      <c r="J268" s="34" t="s">
        <v>3768</v>
      </c>
      <c r="K268" t="str">
        <f t="shared" si="5"/>
        <v>insert into mkatalog_kfa93 (kode, uraian, kode_92, uraian_92, nama_dagang, satuan_kecil, sediaan, golongan, url, userid_updt, sysdate_updt) values ('93000630','Clopidogrel 75 mg Tablet Salut Selaput (COPIDREL)','92000468','Clopidogrel 75 mg Tablet Salut Selaput','COPIDREL','Tablet','Tablet Salut Selaput','Obat Keras','https://dto.kemkes.go.id/kfacode/93000630',0,'2023-05-01');</v>
      </c>
    </row>
    <row r="269" spans="1:11" ht="15.75" customHeight="1">
      <c r="A269" s="2">
        <v>93000622</v>
      </c>
      <c r="B269" s="2" t="s">
        <v>1923</v>
      </c>
      <c r="C269" s="2">
        <v>92000468</v>
      </c>
      <c r="D269" s="2" t="s">
        <v>807</v>
      </c>
      <c r="E269" s="2" t="s">
        <v>1924</v>
      </c>
      <c r="F269" s="2" t="s">
        <v>640</v>
      </c>
      <c r="G269" s="2" t="s">
        <v>1457</v>
      </c>
      <c r="H269" s="2" t="s">
        <v>1458</v>
      </c>
      <c r="I269" s="3" t="str">
        <f t="shared" si="0"/>
        <v>https://dto.kemkes.go.id/kfacode/93000622</v>
      </c>
      <c r="J269" s="34" t="s">
        <v>3768</v>
      </c>
      <c r="K269" t="str">
        <f t="shared" si="5"/>
        <v>insert into mkatalog_kfa93 (kode, uraian, kode_92, uraian_92, nama_dagang, satuan_kecil, sediaan, golongan, url, userid_updt, sysdate_updt) values ('93000622','Clopidogrel 75 mg Tablet Salut Selaput (CPG)','92000468','Clopidogrel 75 mg Tablet Salut Selaput','CPG','Tablet','Tablet Salut Selaput','Obat Keras','https://dto.kemkes.go.id/kfacode/93000622',0,'2023-05-01');</v>
      </c>
    </row>
    <row r="270" spans="1:11" ht="15.75" customHeight="1">
      <c r="A270" s="2">
        <v>93000671</v>
      </c>
      <c r="B270" s="2" t="s">
        <v>1925</v>
      </c>
      <c r="C270" s="2">
        <v>92000468</v>
      </c>
      <c r="D270" s="2" t="s">
        <v>807</v>
      </c>
      <c r="E270" s="2" t="s">
        <v>1908</v>
      </c>
      <c r="F270" s="2" t="s">
        <v>640</v>
      </c>
      <c r="G270" s="2" t="s">
        <v>1457</v>
      </c>
      <c r="H270" s="2" t="s">
        <v>1458</v>
      </c>
      <c r="I270" s="3" t="str">
        <f t="shared" si="0"/>
        <v>https://dto.kemkes.go.id/kfacode/93000671</v>
      </c>
      <c r="J270" s="34" t="s">
        <v>3768</v>
      </c>
      <c r="K270" t="str">
        <f t="shared" si="5"/>
        <v>insert into mkatalog_kfa93 (kode, uraian, kode_92, uraian_92, nama_dagang, satuan_kecil, sediaan, golongan, url, userid_updt, sysdate_updt) values ('93000671','Clopidogrel 75 mg Tablet Salut Selaput (ETERCON PHARMA)','92000468','Clopidogrel 75 mg Tablet Salut Selaput','CLOPIDOGREL BISULFATE','Tablet','Tablet Salut Selaput','Obat Keras','https://dto.kemkes.go.id/kfacode/93000671',0,'2023-05-01');</v>
      </c>
    </row>
    <row r="271" spans="1:11" ht="15.75" customHeight="1">
      <c r="A271" s="2">
        <v>93000650</v>
      </c>
      <c r="B271" s="2" t="s">
        <v>1926</v>
      </c>
      <c r="C271" s="2">
        <v>92000468</v>
      </c>
      <c r="D271" s="2" t="s">
        <v>807</v>
      </c>
      <c r="E271" s="2" t="s">
        <v>1927</v>
      </c>
      <c r="F271" s="2" t="s">
        <v>640</v>
      </c>
      <c r="G271" s="2" t="s">
        <v>1457</v>
      </c>
      <c r="H271" s="2" t="s">
        <v>1458</v>
      </c>
      <c r="I271" s="3" t="str">
        <f t="shared" si="0"/>
        <v>https://dto.kemkes.go.id/kfacode/93000650</v>
      </c>
      <c r="J271" s="34" t="s">
        <v>3768</v>
      </c>
      <c r="K271" t="str">
        <f t="shared" si="5"/>
        <v>insert into mkatalog_kfa93 (kode, uraian, kode_92, uraian_92, nama_dagang, satuan_kecil, sediaan, golongan, url, userid_updt, sysdate_updt) values ('93000650','Clopidogrel 75 mg Tablet Salut Selaput (FEBOGREL)','92000468','Clopidogrel 75 mg Tablet Salut Selaput','FEBOGREL','Tablet','Tablet Salut Selaput','Obat Keras','https://dto.kemkes.go.id/kfacode/93000650',0,'2023-05-01');</v>
      </c>
    </row>
    <row r="272" spans="1:11" ht="15.75" customHeight="1">
      <c r="A272" s="2">
        <v>93000662</v>
      </c>
      <c r="B272" s="2" t="s">
        <v>1928</v>
      </c>
      <c r="C272" s="2">
        <v>92000468</v>
      </c>
      <c r="D272" s="2" t="s">
        <v>807</v>
      </c>
      <c r="E272" s="2" t="s">
        <v>1929</v>
      </c>
      <c r="F272" s="2" t="s">
        <v>640</v>
      </c>
      <c r="G272" s="2" t="s">
        <v>1457</v>
      </c>
      <c r="H272" s="2" t="s">
        <v>1458</v>
      </c>
      <c r="I272" s="3" t="str">
        <f t="shared" si="0"/>
        <v>https://dto.kemkes.go.id/kfacode/93000662</v>
      </c>
      <c r="J272" s="34" t="s">
        <v>3768</v>
      </c>
      <c r="K272" t="str">
        <f t="shared" si="5"/>
        <v>insert into mkatalog_kfa93 (kode, uraian, kode_92, uraian_92, nama_dagang, satuan_kecil, sediaan, golongan, url, userid_updt, sysdate_updt) values ('93000662','Clopidogrel 75 mg Tablet Salut Selaput (IKAPHARMINDO PUTRAMAS)','92000468','Clopidogrel 75 mg Tablet Salut Selaput','CLOPIDOGREL BISULFAT','Tablet','Tablet Salut Selaput','Obat Keras','https://dto.kemkes.go.id/kfacode/93000662',0,'2023-05-01');</v>
      </c>
    </row>
    <row r="273" spans="1:11" ht="15.75" customHeight="1">
      <c r="A273" s="2">
        <v>93000663</v>
      </c>
      <c r="B273" s="2" t="s">
        <v>1930</v>
      </c>
      <c r="C273" s="2">
        <v>92000468</v>
      </c>
      <c r="D273" s="2" t="s">
        <v>807</v>
      </c>
      <c r="E273" s="2" t="s">
        <v>1908</v>
      </c>
      <c r="F273" s="2" t="s">
        <v>640</v>
      </c>
      <c r="G273" s="2" t="s">
        <v>1457</v>
      </c>
      <c r="H273" s="2" t="s">
        <v>1458</v>
      </c>
      <c r="I273" s="3" t="str">
        <f t="shared" si="0"/>
        <v>https://dto.kemkes.go.id/kfacode/93000663</v>
      </c>
      <c r="J273" s="34" t="s">
        <v>3768</v>
      </c>
      <c r="K273" t="str">
        <f t="shared" si="5"/>
        <v>insert into mkatalog_kfa93 (kode, uraian, kode_92, uraian_92, nama_dagang, satuan_kecil, sediaan, golongan, url, userid_updt, sysdate_updt) values ('93000663','Clopidogrel 75 mg Tablet Salut Selaput (INDOFARMA)','92000468','Clopidogrel 75 mg Tablet Salut Selaput','CLOPIDOGREL BISULFATE','Tablet','Tablet Salut Selaput','Obat Keras','https://dto.kemkes.go.id/kfacode/93000663',0,'2023-05-01');</v>
      </c>
    </row>
    <row r="274" spans="1:11" ht="15.75" customHeight="1">
      <c r="A274" s="2">
        <v>93000680</v>
      </c>
      <c r="B274" s="2" t="s">
        <v>1931</v>
      </c>
      <c r="C274" s="2">
        <v>92000468</v>
      </c>
      <c r="D274" s="2" t="s">
        <v>807</v>
      </c>
      <c r="E274" s="2" t="s">
        <v>1908</v>
      </c>
      <c r="F274" s="2" t="s">
        <v>640</v>
      </c>
      <c r="G274" s="2" t="s">
        <v>1457</v>
      </c>
      <c r="H274" s="2" t="s">
        <v>1458</v>
      </c>
      <c r="I274" s="3" t="str">
        <f t="shared" si="0"/>
        <v>https://dto.kemkes.go.id/kfacode/93000680</v>
      </c>
      <c r="J274" s="34" t="s">
        <v>3768</v>
      </c>
      <c r="K274" t="str">
        <f t="shared" si="5"/>
        <v>insert into mkatalog_kfa93 (kode, uraian, kode_92, uraian_92, nama_dagang, satuan_kecil, sediaan, golongan, url, userid_updt, sysdate_updt) values ('93000680','Clopidogrel 75 mg Tablet Salut Selaput (INTERBAT)','92000468','Clopidogrel 75 mg Tablet Salut Selaput','CLOPIDOGREL BISULFATE','Tablet','Tablet Salut Selaput','Obat Keras','https://dto.kemkes.go.id/kfacode/93000680',0,'2023-05-01');</v>
      </c>
    </row>
    <row r="275" spans="1:11" ht="15.75" customHeight="1">
      <c r="A275" s="2">
        <v>93000659</v>
      </c>
      <c r="B275" s="2" t="s">
        <v>1932</v>
      </c>
      <c r="C275" s="2">
        <v>92000468</v>
      </c>
      <c r="D275" s="2" t="s">
        <v>807</v>
      </c>
      <c r="E275" s="2" t="s">
        <v>1908</v>
      </c>
      <c r="F275" s="2" t="s">
        <v>640</v>
      </c>
      <c r="G275" s="2" t="s">
        <v>1457</v>
      </c>
      <c r="H275" s="2" t="s">
        <v>1458</v>
      </c>
      <c r="I275" s="3" t="str">
        <f t="shared" si="0"/>
        <v>https://dto.kemkes.go.id/kfacode/93000659</v>
      </c>
      <c r="J275" s="34" t="s">
        <v>3768</v>
      </c>
      <c r="K275" t="str">
        <f t="shared" si="5"/>
        <v>insert into mkatalog_kfa93 (kode, uraian, kode_92, uraian_92, nama_dagang, satuan_kecil, sediaan, golongan, url, userid_updt, sysdate_updt) values ('93000659','Clopidogrel 75 mg Tablet Salut Selaput (KIMIA FARMA)','92000468','Clopidogrel 75 mg Tablet Salut Selaput','CLOPIDOGREL BISULFATE','Tablet','Tablet Salut Selaput','Obat Keras','https://dto.kemkes.go.id/kfacode/93000659',0,'2023-05-01');</v>
      </c>
    </row>
    <row r="276" spans="1:11" ht="15.75" customHeight="1">
      <c r="A276" s="2">
        <v>93000665</v>
      </c>
      <c r="B276" s="2" t="s">
        <v>1933</v>
      </c>
      <c r="C276" s="2">
        <v>92000468</v>
      </c>
      <c r="D276" s="2" t="s">
        <v>807</v>
      </c>
      <c r="E276" s="2" t="s">
        <v>1908</v>
      </c>
      <c r="F276" s="2" t="s">
        <v>640</v>
      </c>
      <c r="G276" s="2" t="s">
        <v>1457</v>
      </c>
      <c r="H276" s="2" t="s">
        <v>1458</v>
      </c>
      <c r="I276" s="3" t="str">
        <f t="shared" si="0"/>
        <v>https://dto.kemkes.go.id/kfacode/93000665</v>
      </c>
      <c r="J276" s="34" t="s">
        <v>3768</v>
      </c>
      <c r="K276" t="str">
        <f t="shared" si="5"/>
        <v>insert into mkatalog_kfa93 (kode, uraian, kode_92, uraian_92, nama_dagang, satuan_kecil, sediaan, golongan, url, userid_updt, sysdate_updt) values ('93000665','Clopidogrel 75 mg Tablet Salut Selaput (LAPI LABORATORIES)','92000468','Clopidogrel 75 mg Tablet Salut Selaput','CLOPIDOGREL BISULFATE','Tablet','Tablet Salut Selaput','Obat Keras','https://dto.kemkes.go.id/kfacode/93000665',0,'2023-05-01');</v>
      </c>
    </row>
    <row r="277" spans="1:11" ht="15.75" customHeight="1">
      <c r="A277" s="2">
        <v>93000648</v>
      </c>
      <c r="B277" s="2" t="s">
        <v>1934</v>
      </c>
      <c r="C277" s="2">
        <v>92000468</v>
      </c>
      <c r="D277" s="2" t="s">
        <v>807</v>
      </c>
      <c r="E277" s="2" t="s">
        <v>1935</v>
      </c>
      <c r="F277" s="2" t="s">
        <v>640</v>
      </c>
      <c r="G277" s="2" t="s">
        <v>1457</v>
      </c>
      <c r="H277" s="2" t="s">
        <v>1458</v>
      </c>
      <c r="I277" s="3" t="str">
        <f t="shared" si="0"/>
        <v>https://dto.kemkes.go.id/kfacode/93000648</v>
      </c>
      <c r="J277" s="34" t="s">
        <v>3768</v>
      </c>
      <c r="K277" t="str">
        <f t="shared" si="5"/>
        <v>insert into mkatalog_kfa93 (kode, uraian, kode_92, uraian_92, nama_dagang, satuan_kecil, sediaan, golongan, url, userid_updt, sysdate_updt) values ('93000648','Clopidogrel 75 mg Tablet Salut Selaput (LOPIGARD)','92000468','Clopidogrel 75 mg Tablet Salut Selaput','LOPIGARD','Tablet','Tablet Salut Selaput','Obat Keras','https://dto.kemkes.go.id/kfacode/93000648',0,'2023-05-01');</v>
      </c>
    </row>
    <row r="278" spans="1:11" ht="15.75" customHeight="1">
      <c r="A278" s="2">
        <v>93000669</v>
      </c>
      <c r="B278" s="2" t="s">
        <v>1936</v>
      </c>
      <c r="C278" s="2">
        <v>92000468</v>
      </c>
      <c r="D278" s="2" t="s">
        <v>807</v>
      </c>
      <c r="E278" s="2" t="s">
        <v>1908</v>
      </c>
      <c r="F278" s="2" t="s">
        <v>640</v>
      </c>
      <c r="G278" s="2" t="s">
        <v>1457</v>
      </c>
      <c r="H278" s="2" t="s">
        <v>1458</v>
      </c>
      <c r="I278" s="3" t="str">
        <f t="shared" si="0"/>
        <v>https://dto.kemkes.go.id/kfacode/93000669</v>
      </c>
      <c r="J278" s="34" t="s">
        <v>3768</v>
      </c>
      <c r="K278" t="str">
        <f t="shared" si="5"/>
        <v>insert into mkatalog_kfa93 (kode, uraian, kode_92, uraian_92, nama_dagang, satuan_kecil, sediaan, golongan, url, userid_updt, sysdate_updt) values ('93000669','Clopidogrel 75 mg Tablet Salut Selaput (MAHAKAM BETA FARMA)','92000468','Clopidogrel 75 mg Tablet Salut Selaput','CLOPIDOGREL BISULFATE','Tablet','Tablet Salut Selaput','Obat Keras','https://dto.kemkes.go.id/kfacode/93000669',0,'2023-05-01');</v>
      </c>
    </row>
    <row r="279" spans="1:11" ht="15.75" customHeight="1">
      <c r="A279" s="2">
        <v>93000643</v>
      </c>
      <c r="B279" s="2" t="s">
        <v>1937</v>
      </c>
      <c r="C279" s="2">
        <v>92000468</v>
      </c>
      <c r="D279" s="2" t="s">
        <v>807</v>
      </c>
      <c r="E279" s="2" t="s">
        <v>1938</v>
      </c>
      <c r="F279" s="2" t="s">
        <v>640</v>
      </c>
      <c r="G279" s="2" t="s">
        <v>1457</v>
      </c>
      <c r="H279" s="2" t="s">
        <v>1458</v>
      </c>
      <c r="I279" s="3" t="str">
        <f t="shared" si="0"/>
        <v>https://dto.kemkes.go.id/kfacode/93000643</v>
      </c>
      <c r="J279" s="34" t="s">
        <v>3768</v>
      </c>
      <c r="K279" t="str">
        <f t="shared" si="5"/>
        <v>insert into mkatalog_kfa93 (kode, uraian, kode_92, uraian_92, nama_dagang, satuan_kecil, sediaan, golongan, url, userid_updt, sysdate_updt) values ('93000643','Clopidogrel 75 mg Tablet Salut Selaput (MEDIGREL)','92000468','Clopidogrel 75 mg Tablet Salut Selaput','MEDIGREL','Tablet','Tablet Salut Selaput','Obat Keras','https://dto.kemkes.go.id/kfacode/93000643',0,'2023-05-01');</v>
      </c>
    </row>
    <row r="280" spans="1:11" ht="15.75" customHeight="1">
      <c r="A280" s="2">
        <v>93000661</v>
      </c>
      <c r="B280" s="2" t="s">
        <v>1939</v>
      </c>
      <c r="C280" s="2">
        <v>92000468</v>
      </c>
      <c r="D280" s="2" t="s">
        <v>807</v>
      </c>
      <c r="E280" s="2" t="s">
        <v>1908</v>
      </c>
      <c r="F280" s="2" t="s">
        <v>640</v>
      </c>
      <c r="G280" s="2" t="s">
        <v>1457</v>
      </c>
      <c r="H280" s="2" t="s">
        <v>1458</v>
      </c>
      <c r="I280" s="3" t="str">
        <f t="shared" si="0"/>
        <v>https://dto.kemkes.go.id/kfacode/93000661</v>
      </c>
      <c r="J280" s="34" t="s">
        <v>3768</v>
      </c>
      <c r="K280" t="str">
        <f t="shared" si="5"/>
        <v>insert into mkatalog_kfa93 (kode, uraian, kode_92, uraian_92, nama_dagang, satuan_kecil, sediaan, golongan, url, userid_updt, sysdate_updt) values ('93000661','Clopidogrel 75 mg Tablet Salut Selaput (MEGA LIFE SCIENCES INDONESIA)','92000468','Clopidogrel 75 mg Tablet Salut Selaput','CLOPIDOGREL BISULFATE','Tablet','Tablet Salut Selaput','Obat Keras','https://dto.kemkes.go.id/kfacode/93000661',0,'2023-05-01');</v>
      </c>
    </row>
    <row r="281" spans="1:11" ht="15.75" customHeight="1">
      <c r="A281" s="2">
        <v>93000676</v>
      </c>
      <c r="B281" s="2" t="s">
        <v>1940</v>
      </c>
      <c r="C281" s="2">
        <v>92000468</v>
      </c>
      <c r="D281" s="2" t="s">
        <v>807</v>
      </c>
      <c r="E281" s="2" t="s">
        <v>1908</v>
      </c>
      <c r="F281" s="2" t="s">
        <v>640</v>
      </c>
      <c r="G281" s="2" t="s">
        <v>1457</v>
      </c>
      <c r="H281" s="2" t="s">
        <v>1458</v>
      </c>
      <c r="I281" s="3" t="str">
        <f t="shared" si="0"/>
        <v>https://dto.kemkes.go.id/kfacode/93000676</v>
      </c>
      <c r="J281" s="34" t="s">
        <v>3768</v>
      </c>
      <c r="K281" t="str">
        <f t="shared" si="5"/>
        <v>insert into mkatalog_kfa93 (kode, uraian, kode_92, uraian_92, nama_dagang, satuan_kecil, sediaan, golongan, url, userid_updt, sysdate_updt) values ('93000676','Clopidogrel 75 mg Tablet Salut Selaput (NATURA LABORATORIA PRIMA)','92000468','Clopidogrel 75 mg Tablet Salut Selaput','CLOPIDOGREL BISULFATE','Tablet','Tablet Salut Selaput','Obat Keras','https://dto.kemkes.go.id/kfacode/93000676',0,'2023-05-01');</v>
      </c>
    </row>
    <row r="282" spans="1:11" ht="15.75" customHeight="1">
      <c r="A282" s="2">
        <v>93000653</v>
      </c>
      <c r="B282" s="2" t="s">
        <v>1941</v>
      </c>
      <c r="C282" s="2">
        <v>92000468</v>
      </c>
      <c r="D282" s="2" t="s">
        <v>807</v>
      </c>
      <c r="E282" s="2" t="s">
        <v>1942</v>
      </c>
      <c r="F282" s="2" t="s">
        <v>640</v>
      </c>
      <c r="G282" s="2" t="s">
        <v>1457</v>
      </c>
      <c r="H282" s="2" t="s">
        <v>1458</v>
      </c>
      <c r="I282" s="3" t="str">
        <f t="shared" si="0"/>
        <v>https://dto.kemkes.go.id/kfacode/93000653</v>
      </c>
      <c r="J282" s="34" t="s">
        <v>3768</v>
      </c>
      <c r="K282" t="str">
        <f t="shared" si="5"/>
        <v>insert into mkatalog_kfa93 (kode, uraian, kode_92, uraian_92, nama_dagang, satuan_kecil, sediaan, golongan, url, userid_updt, sysdate_updt) values ('93000653','Clopidogrel 75 mg Tablet Salut Selaput (NOVIGREL)','92000468','Clopidogrel 75 mg Tablet Salut Selaput','NOVIGREL','Tablet','Tablet Salut Selaput','Obat Keras','https://dto.kemkes.go.id/kfacode/93000653',0,'2023-05-01');</v>
      </c>
    </row>
    <row r="283" spans="1:11" ht="15.75" customHeight="1">
      <c r="A283" s="2">
        <v>93000681</v>
      </c>
      <c r="B283" s="2" t="s">
        <v>1943</v>
      </c>
      <c r="C283" s="2">
        <v>92000468</v>
      </c>
      <c r="D283" s="2" t="s">
        <v>807</v>
      </c>
      <c r="E283" s="2" t="s">
        <v>1908</v>
      </c>
      <c r="F283" s="2" t="s">
        <v>640</v>
      </c>
      <c r="G283" s="2" t="s">
        <v>1457</v>
      </c>
      <c r="H283" s="2" t="s">
        <v>1458</v>
      </c>
      <c r="I283" s="3" t="str">
        <f t="shared" si="0"/>
        <v>https://dto.kemkes.go.id/kfacode/93000681</v>
      </c>
      <c r="J283" s="34" t="s">
        <v>3768</v>
      </c>
      <c r="K283" t="str">
        <f t="shared" si="5"/>
        <v>insert into mkatalog_kfa93 (kode, uraian, kode_92, uraian_92, nama_dagang, satuan_kecil, sediaan, golongan, url, userid_updt, sysdate_updt) values ('93000681','Clopidogrel 75 mg Tablet Salut Selaput (NULAB PHARMACEUTICAL INDONESIA)','92000468','Clopidogrel 75 mg Tablet Salut Selaput','CLOPIDOGREL BISULFATE','Tablet','Tablet Salut Selaput','Obat Keras','https://dto.kemkes.go.id/kfacode/93000681',0,'2023-05-01');</v>
      </c>
    </row>
    <row r="284" spans="1:11" ht="15.75" customHeight="1">
      <c r="A284" s="2">
        <v>93000673</v>
      </c>
      <c r="B284" s="2" t="s">
        <v>1944</v>
      </c>
      <c r="C284" s="2">
        <v>92000468</v>
      </c>
      <c r="D284" s="2" t="s">
        <v>807</v>
      </c>
      <c r="E284" s="2" t="s">
        <v>1908</v>
      </c>
      <c r="F284" s="2" t="s">
        <v>640</v>
      </c>
      <c r="G284" s="2" t="s">
        <v>1457</v>
      </c>
      <c r="H284" s="2" t="s">
        <v>1458</v>
      </c>
      <c r="I284" s="3" t="str">
        <f t="shared" si="0"/>
        <v>https://dto.kemkes.go.id/kfacode/93000673</v>
      </c>
      <c r="J284" s="34" t="s">
        <v>3768</v>
      </c>
      <c r="K284" t="str">
        <f t="shared" si="5"/>
        <v>insert into mkatalog_kfa93 (kode, uraian, kode_92, uraian_92, nama_dagang, satuan_kecil, sediaan, golongan, url, userid_updt, sysdate_updt) values ('93000673','Clopidogrel 75 mg Tablet Salut Selaput (PHAPROS)','92000468','Clopidogrel 75 mg Tablet Salut Selaput','CLOPIDOGREL BISULFATE','Tablet','Tablet Salut Selaput','Obat Keras','https://dto.kemkes.go.id/kfacode/93000673',0,'2023-05-01');</v>
      </c>
    </row>
    <row r="285" spans="1:11" ht="15.75" customHeight="1">
      <c r="A285" s="2">
        <v>93000628</v>
      </c>
      <c r="B285" s="2" t="s">
        <v>1945</v>
      </c>
      <c r="C285" s="2">
        <v>92000468</v>
      </c>
      <c r="D285" s="2" t="s">
        <v>807</v>
      </c>
      <c r="E285" s="2" t="s">
        <v>1946</v>
      </c>
      <c r="F285" s="2" t="s">
        <v>640</v>
      </c>
      <c r="G285" s="2" t="s">
        <v>1457</v>
      </c>
      <c r="H285" s="2" t="s">
        <v>1458</v>
      </c>
      <c r="I285" s="3" t="str">
        <f t="shared" si="0"/>
        <v>https://dto.kemkes.go.id/kfacode/93000628</v>
      </c>
      <c r="J285" s="34" t="s">
        <v>3768</v>
      </c>
      <c r="K285" t="str">
        <f t="shared" si="5"/>
        <v>insert into mkatalog_kfa93 (kode, uraian, kode_92, uraian_92, nama_dagang, satuan_kecil, sediaan, golongan, url, userid_updt, sysdate_updt) values ('93000628','Clopidogrel 75 mg Tablet Salut Selaput (PIDOVIX)','92000468','Clopidogrel 75 mg Tablet Salut Selaput','PIDOVIX','Tablet','Tablet Salut Selaput','Obat Keras','https://dto.kemkes.go.id/kfacode/93000628',0,'2023-05-01');</v>
      </c>
    </row>
    <row r="286" spans="1:11" ht="15.75" customHeight="1">
      <c r="A286" s="2">
        <v>93000639</v>
      </c>
      <c r="B286" s="2" t="s">
        <v>1947</v>
      </c>
      <c r="C286" s="2">
        <v>92000468</v>
      </c>
      <c r="D286" s="2" t="s">
        <v>807</v>
      </c>
      <c r="E286" s="2" t="s">
        <v>1948</v>
      </c>
      <c r="F286" s="2" t="s">
        <v>640</v>
      </c>
      <c r="G286" s="2" t="s">
        <v>1457</v>
      </c>
      <c r="H286" s="2" t="s">
        <v>1458</v>
      </c>
      <c r="I286" s="3" t="str">
        <f t="shared" si="0"/>
        <v>https://dto.kemkes.go.id/kfacode/93000639</v>
      </c>
      <c r="J286" s="34" t="s">
        <v>3768</v>
      </c>
      <c r="K286" t="str">
        <f t="shared" si="5"/>
        <v>insert into mkatalog_kfa93 (kode, uraian, kode_92, uraian_92, nama_dagang, satuan_kecil, sediaan, golongan, url, userid_updt, sysdate_updt) values ('93000639','Clopidogrel 75 mg Tablet Salut Selaput (PLACTA)','92000468','Clopidogrel 75 mg Tablet Salut Selaput','PLACTA','Tablet','Tablet Salut Selaput','Obat Keras','https://dto.kemkes.go.id/kfacode/93000639',0,'2023-05-01');</v>
      </c>
    </row>
    <row r="287" spans="1:11" ht="15.75" customHeight="1">
      <c r="A287" s="2">
        <v>93000624</v>
      </c>
      <c r="B287" s="2" t="s">
        <v>1949</v>
      </c>
      <c r="C287" s="2">
        <v>92000468</v>
      </c>
      <c r="D287" s="2" t="s">
        <v>807</v>
      </c>
      <c r="E287" s="2" t="s">
        <v>1950</v>
      </c>
      <c r="F287" s="2" t="s">
        <v>640</v>
      </c>
      <c r="G287" s="2" t="s">
        <v>1457</v>
      </c>
      <c r="H287" s="2" t="s">
        <v>1458</v>
      </c>
      <c r="I287" s="3" t="str">
        <f t="shared" si="0"/>
        <v>https://dto.kemkes.go.id/kfacode/93000624</v>
      </c>
      <c r="J287" s="34" t="s">
        <v>3768</v>
      </c>
      <c r="K287" t="str">
        <f t="shared" si="5"/>
        <v>insert into mkatalog_kfa93 (kode, uraian, kode_92, uraian_92, nama_dagang, satuan_kecil, sediaan, golongan, url, userid_updt, sysdate_updt) values ('93000624','Clopidogrel 75 mg Tablet Salut Selaput (PLADOGREL)','92000468','Clopidogrel 75 mg Tablet Salut Selaput','PLADOGREL','Tablet','Tablet Salut Selaput','Obat Keras','https://dto.kemkes.go.id/kfacode/93000624',0,'2023-05-01');</v>
      </c>
    </row>
    <row r="288" spans="1:11" ht="15.75" customHeight="1">
      <c r="A288" s="2">
        <v>93000654</v>
      </c>
      <c r="B288" s="2" t="s">
        <v>1951</v>
      </c>
      <c r="C288" s="2">
        <v>92000468</v>
      </c>
      <c r="D288" s="2" t="s">
        <v>807</v>
      </c>
      <c r="E288" s="2" t="s">
        <v>1952</v>
      </c>
      <c r="F288" s="2" t="s">
        <v>640</v>
      </c>
      <c r="G288" s="2" t="s">
        <v>1457</v>
      </c>
      <c r="H288" s="2" t="s">
        <v>1458</v>
      </c>
      <c r="I288" s="3" t="str">
        <f t="shared" si="0"/>
        <v>https://dto.kemkes.go.id/kfacode/93000654</v>
      </c>
      <c r="J288" s="34" t="s">
        <v>3768</v>
      </c>
      <c r="K288" t="str">
        <f t="shared" si="5"/>
        <v>insert into mkatalog_kfa93 (kode, uraian, kode_92, uraian_92, nama_dagang, satuan_kecil, sediaan, golongan, url, userid_updt, sysdate_updt) values ('93000654','Clopidogrel 75 mg Tablet Salut Selaput (PLATOGRIX)','92000468','Clopidogrel 75 mg Tablet Salut Selaput','PLATOGRIX','Tablet','Tablet Salut Selaput','Obat Keras','https://dto.kemkes.go.id/kfacode/93000654',0,'2023-05-01');</v>
      </c>
    </row>
    <row r="289" spans="1:11" ht="15.75" customHeight="1">
      <c r="A289" s="2">
        <v>93000636</v>
      </c>
      <c r="B289" s="2" t="s">
        <v>1953</v>
      </c>
      <c r="C289" s="2">
        <v>92000468</v>
      </c>
      <c r="D289" s="2" t="s">
        <v>807</v>
      </c>
      <c r="E289" s="2" t="s">
        <v>1954</v>
      </c>
      <c r="F289" s="2" t="s">
        <v>640</v>
      </c>
      <c r="G289" s="2" t="s">
        <v>1457</v>
      </c>
      <c r="H289" s="2" t="s">
        <v>1458</v>
      </c>
      <c r="I289" s="3" t="str">
        <f t="shared" si="0"/>
        <v>https://dto.kemkes.go.id/kfacode/93000636</v>
      </c>
      <c r="J289" s="34" t="s">
        <v>3768</v>
      </c>
      <c r="K289" t="str">
        <f t="shared" si="5"/>
        <v>insert into mkatalog_kfa93 (kode, uraian, kode_92, uraian_92, nama_dagang, satuan_kecil, sediaan, golongan, url, userid_updt, sysdate_updt) values ('93000636','Clopidogrel 75 mg Tablet Salut Selaput (PLAVESCO)','92000468','Clopidogrel 75 mg Tablet Salut Selaput','PLAVESCO','Tablet','Tablet Salut Selaput','Obat Keras','https://dto.kemkes.go.id/kfacode/93000636',0,'2023-05-01');</v>
      </c>
    </row>
    <row r="290" spans="1:11" ht="15.75" customHeight="1">
      <c r="A290" s="2">
        <v>93000656</v>
      </c>
      <c r="B290" s="2" t="s">
        <v>1955</v>
      </c>
      <c r="C290" s="2">
        <v>92000468</v>
      </c>
      <c r="D290" s="2" t="s">
        <v>807</v>
      </c>
      <c r="E290" s="2" t="s">
        <v>1906</v>
      </c>
      <c r="F290" s="2" t="s">
        <v>640</v>
      </c>
      <c r="G290" s="2" t="s">
        <v>1457</v>
      </c>
      <c r="H290" s="2" t="s">
        <v>1458</v>
      </c>
      <c r="I290" s="3" t="str">
        <f t="shared" si="0"/>
        <v>https://dto.kemkes.go.id/kfacode/93000656</v>
      </c>
      <c r="J290" s="34" t="s">
        <v>3768</v>
      </c>
      <c r="K290" t="str">
        <f t="shared" si="5"/>
        <v>insert into mkatalog_kfa93 (kode, uraian, kode_92, uraian_92, nama_dagang, satuan_kecil, sediaan, golongan, url, userid_updt, sysdate_updt) values ('93000656','Clopidogrel 75 mg Tablet Salut Selaput (PLAVIX)','92000468','Clopidogrel 75 mg Tablet Salut Selaput','PLAVIX','Tablet','Tablet Salut Selaput','Obat Keras','https://dto.kemkes.go.id/kfacode/93000656',0,'2023-05-01');</v>
      </c>
    </row>
    <row r="291" spans="1:11" ht="15.75" customHeight="1">
      <c r="A291" s="2">
        <v>93000667</v>
      </c>
      <c r="B291" s="2" t="s">
        <v>1956</v>
      </c>
      <c r="C291" s="2">
        <v>92000468</v>
      </c>
      <c r="D291" s="2" t="s">
        <v>807</v>
      </c>
      <c r="E291" s="2" t="s">
        <v>1908</v>
      </c>
      <c r="F291" s="2" t="s">
        <v>640</v>
      </c>
      <c r="G291" s="2" t="s">
        <v>1457</v>
      </c>
      <c r="H291" s="2" t="s">
        <v>1458</v>
      </c>
      <c r="I291" s="3" t="str">
        <f t="shared" si="0"/>
        <v>https://dto.kemkes.go.id/kfacode/93000667</v>
      </c>
      <c r="J291" s="34" t="s">
        <v>3768</v>
      </c>
      <c r="K291" t="str">
        <f t="shared" si="5"/>
        <v>insert into mkatalog_kfa93 (kode, uraian, kode_92, uraian_92, nama_dagang, satuan_kecil, sediaan, golongan, url, userid_updt, sysdate_updt) values ('93000667','Clopidogrel 75 mg Tablet Salut Selaput (PROMEDRAHARDJO FARMASI INDUSTRI)','92000468','Clopidogrel 75 mg Tablet Salut Selaput','CLOPIDOGREL BISULFATE','Tablet','Tablet Salut Selaput','Obat Keras','https://dto.kemkes.go.id/kfacode/93000667',0,'2023-05-01');</v>
      </c>
    </row>
    <row r="292" spans="1:11" ht="15.75" customHeight="1">
      <c r="A292" s="2">
        <v>93000635</v>
      </c>
      <c r="B292" s="2" t="s">
        <v>1957</v>
      </c>
      <c r="C292" s="2">
        <v>92000468</v>
      </c>
      <c r="D292" s="2" t="s">
        <v>807</v>
      </c>
      <c r="E292" s="2" t="s">
        <v>1958</v>
      </c>
      <c r="F292" s="2" t="s">
        <v>640</v>
      </c>
      <c r="G292" s="2" t="s">
        <v>1457</v>
      </c>
      <c r="H292" s="2" t="s">
        <v>1458</v>
      </c>
      <c r="I292" s="3" t="str">
        <f t="shared" si="0"/>
        <v>https://dto.kemkes.go.id/kfacode/93000635</v>
      </c>
      <c r="J292" s="34" t="s">
        <v>3768</v>
      </c>
      <c r="K292" t="str">
        <f t="shared" si="5"/>
        <v>insert into mkatalog_kfa93 (kode, uraian, kode_92, uraian_92, nama_dagang, satuan_kecil, sediaan, golongan, url, userid_updt, sysdate_updt) values ('93000635','Clopidogrel 75 mg Tablet Salut Selaput (RINCLO)','92000468','Clopidogrel 75 mg Tablet Salut Selaput','RINCLO','Tablet','Tablet Salut Selaput','Obat Keras','https://dto.kemkes.go.id/kfacode/93000635',0,'2023-05-01');</v>
      </c>
    </row>
    <row r="293" spans="1:11" ht="15.75" customHeight="1">
      <c r="A293" s="2">
        <v>93000632</v>
      </c>
      <c r="B293" s="2" t="s">
        <v>1959</v>
      </c>
      <c r="C293" s="2">
        <v>92000468</v>
      </c>
      <c r="D293" s="2" t="s">
        <v>807</v>
      </c>
      <c r="E293" s="2" t="s">
        <v>1960</v>
      </c>
      <c r="F293" s="2" t="s">
        <v>640</v>
      </c>
      <c r="G293" s="2" t="s">
        <v>1457</v>
      </c>
      <c r="H293" s="2" t="s">
        <v>1458</v>
      </c>
      <c r="I293" s="3" t="str">
        <f t="shared" si="0"/>
        <v>https://dto.kemkes.go.id/kfacode/93000632</v>
      </c>
      <c r="J293" s="34" t="s">
        <v>3768</v>
      </c>
      <c r="K293" t="str">
        <f t="shared" si="5"/>
        <v>insert into mkatalog_kfa93 (kode, uraian, kode_92, uraian_92, nama_dagang, satuan_kecil, sediaan, golongan, url, userid_updt, sysdate_updt) values ('93000632','Clopidogrel 75 mg Tablet Salut Selaput (SIMCLOVIX)','92000468','Clopidogrel 75 mg Tablet Salut Selaput','SIMCLOVIX','Tablet','Tablet Salut Selaput','Obat Keras','https://dto.kemkes.go.id/kfacode/93000632',0,'2023-05-01');</v>
      </c>
    </row>
    <row r="294" spans="1:11" ht="15.75" customHeight="1">
      <c r="A294" s="2">
        <v>93000670</v>
      </c>
      <c r="B294" s="2" t="s">
        <v>1961</v>
      </c>
      <c r="C294" s="2">
        <v>92000468</v>
      </c>
      <c r="D294" s="2" t="s">
        <v>807</v>
      </c>
      <c r="E294" s="2" t="s">
        <v>1908</v>
      </c>
      <c r="F294" s="2" t="s">
        <v>640</v>
      </c>
      <c r="G294" s="2" t="s">
        <v>1457</v>
      </c>
      <c r="H294" s="2" t="s">
        <v>1458</v>
      </c>
      <c r="I294" s="3" t="str">
        <f t="shared" si="0"/>
        <v>https://dto.kemkes.go.id/kfacode/93000670</v>
      </c>
      <c r="J294" s="34" t="s">
        <v>3768</v>
      </c>
      <c r="K294" t="str">
        <f t="shared" si="5"/>
        <v>insert into mkatalog_kfa93 (kode, uraian, kode_92, uraian_92, nama_dagang, satuan_kecil, sediaan, golongan, url, userid_updt, sysdate_updt) values ('93000670','Clopidogrel 75 mg Tablet Salut Selaput (TEMPO SCAN PACIFIC)','92000468','Clopidogrel 75 mg Tablet Salut Selaput','CLOPIDOGREL BISULFATE','Tablet','Tablet Salut Selaput','Obat Keras','https://dto.kemkes.go.id/kfacode/93000670',0,'2023-05-01');</v>
      </c>
    </row>
    <row r="295" spans="1:11" ht="15.75" customHeight="1">
      <c r="A295" s="2">
        <v>93000646</v>
      </c>
      <c r="B295" s="2" t="s">
        <v>1962</v>
      </c>
      <c r="C295" s="2">
        <v>92000468</v>
      </c>
      <c r="D295" s="2" t="s">
        <v>807</v>
      </c>
      <c r="E295" s="2" t="s">
        <v>1963</v>
      </c>
      <c r="F295" s="2" t="s">
        <v>640</v>
      </c>
      <c r="G295" s="2" t="s">
        <v>1457</v>
      </c>
      <c r="H295" s="2" t="s">
        <v>1458</v>
      </c>
      <c r="I295" s="3" t="str">
        <f t="shared" si="0"/>
        <v>https://dto.kemkes.go.id/kfacode/93000646</v>
      </c>
      <c r="J295" s="34" t="s">
        <v>3768</v>
      </c>
      <c r="K295" t="str">
        <f t="shared" si="5"/>
        <v>insert into mkatalog_kfa93 (kode, uraian, kode_92, uraian_92, nama_dagang, satuan_kecil, sediaan, golongan, url, userid_updt, sysdate_updt) values ('93000646','Clopidogrel 75 mg Tablet Salut Selaput (THERODEL)','92000468','Clopidogrel 75 mg Tablet Salut Selaput','THERODEL','Tablet','Tablet Salut Selaput','Obat Keras','https://dto.kemkes.go.id/kfacode/93000646',0,'2023-05-01');</v>
      </c>
    </row>
    <row r="296" spans="1:11" ht="15.75" customHeight="1">
      <c r="A296" s="2">
        <v>93000637</v>
      </c>
      <c r="B296" s="2" t="s">
        <v>1964</v>
      </c>
      <c r="C296" s="2">
        <v>92000468</v>
      </c>
      <c r="D296" s="2" t="s">
        <v>807</v>
      </c>
      <c r="E296" s="2" t="s">
        <v>1965</v>
      </c>
      <c r="F296" s="2" t="s">
        <v>640</v>
      </c>
      <c r="G296" s="2" t="s">
        <v>1457</v>
      </c>
      <c r="H296" s="2" t="s">
        <v>1458</v>
      </c>
      <c r="I296" s="3" t="str">
        <f t="shared" si="0"/>
        <v>https://dto.kemkes.go.id/kfacode/93000637</v>
      </c>
      <c r="J296" s="34" t="s">
        <v>3768</v>
      </c>
      <c r="K296" t="str">
        <f t="shared" si="5"/>
        <v>insert into mkatalog_kfa93 (kode, uraian, kode_92, uraian_92, nama_dagang, satuan_kecil, sediaan, golongan, url, userid_updt, sysdate_updt) values ('93000637','Clopidogrel 75 mg Tablet Salut Selaput (TROMBIKAF)','92000468','Clopidogrel 75 mg Tablet Salut Selaput','TROMBIKAF','Tablet','Tablet Salut Selaput','Obat Keras','https://dto.kemkes.go.id/kfacode/93000637',0,'2023-05-01');</v>
      </c>
    </row>
    <row r="297" spans="1:11" ht="15.75" customHeight="1">
      <c r="A297" s="2">
        <v>93000626</v>
      </c>
      <c r="B297" s="2" t="s">
        <v>1966</v>
      </c>
      <c r="C297" s="2">
        <v>92000468</v>
      </c>
      <c r="D297" s="2" t="s">
        <v>807</v>
      </c>
      <c r="E297" s="2" t="s">
        <v>1967</v>
      </c>
      <c r="F297" s="2" t="s">
        <v>640</v>
      </c>
      <c r="G297" s="2" t="s">
        <v>1457</v>
      </c>
      <c r="H297" s="2" t="s">
        <v>1458</v>
      </c>
      <c r="I297" s="3" t="str">
        <f t="shared" si="0"/>
        <v>https://dto.kemkes.go.id/kfacode/93000626</v>
      </c>
      <c r="J297" s="34" t="s">
        <v>3768</v>
      </c>
      <c r="K297" t="str">
        <f t="shared" si="5"/>
        <v>insert into mkatalog_kfa93 (kode, uraian, kode_92, uraian_92, nama_dagang, satuan_kecil, sediaan, golongan, url, userid_updt, sysdate_updt) values ('93000626','Clopidogrel 75 mg Tablet Salut Selaput (VACLO)','92000468','Clopidogrel 75 mg Tablet Salut Selaput','VACLO','Tablet','Tablet Salut Selaput','Obat Keras','https://dto.kemkes.go.id/kfacode/93000626',0,'2023-05-01');</v>
      </c>
    </row>
    <row r="298" spans="1:11" ht="15.75" customHeight="1">
      <c r="A298" s="2">
        <v>93001338</v>
      </c>
      <c r="B298" s="2" t="s">
        <v>1968</v>
      </c>
      <c r="C298" s="2">
        <v>92000783</v>
      </c>
      <c r="D298" s="2" t="s">
        <v>808</v>
      </c>
      <c r="E298" s="2" t="s">
        <v>1969</v>
      </c>
      <c r="F298" s="2" t="s">
        <v>640</v>
      </c>
      <c r="G298" s="2" t="s">
        <v>640</v>
      </c>
      <c r="H298" s="2" t="s">
        <v>1458</v>
      </c>
      <c r="I298" s="3" t="str">
        <f t="shared" si="0"/>
        <v>https://dto.kemkes.go.id/kfacode/93001338</v>
      </c>
      <c r="J298" s="34" t="s">
        <v>3768</v>
      </c>
      <c r="K298" t="str">
        <f t="shared" si="5"/>
        <v>insert into mkatalog_kfa93 (kode, uraian, kode_92, uraian_92, nama_dagang, satuan_kecil, sediaan, golongan, url, userid_updt, sysdate_updt) values ('93001338','Clozapine 100 mg Tablet (DEXA MEDICA)','92000783','Clozapine 100 mg Tablet','CLOZAPINE','Tablet','Tablet','Obat Keras','https://dto.kemkes.go.id/kfacode/93001338',0,'2023-05-01');</v>
      </c>
    </row>
    <row r="299" spans="1:11" ht="15.75" customHeight="1">
      <c r="A299" s="2">
        <v>93000527</v>
      </c>
      <c r="B299" s="2" t="s">
        <v>1970</v>
      </c>
      <c r="C299" s="2">
        <v>92000432</v>
      </c>
      <c r="D299" s="2" t="s">
        <v>809</v>
      </c>
      <c r="E299" s="2" t="s">
        <v>1969</v>
      </c>
      <c r="F299" s="2" t="s">
        <v>640</v>
      </c>
      <c r="G299" s="2" t="s">
        <v>640</v>
      </c>
      <c r="H299" s="2" t="s">
        <v>1458</v>
      </c>
      <c r="I299" s="3" t="str">
        <f t="shared" si="0"/>
        <v>https://dto.kemkes.go.id/kfacode/93000527</v>
      </c>
      <c r="J299" s="34" t="s">
        <v>3768</v>
      </c>
      <c r="K299" t="str">
        <f t="shared" si="5"/>
        <v>insert into mkatalog_kfa93 (kode, uraian, kode_92, uraian_92, nama_dagang, satuan_kecil, sediaan, golongan, url, userid_updt, sysdate_updt) values ('93000527','Clozapine 25 mg Tablet (DEXA MEDICA)','92000432','Clozapine 25 mg Tablet','CLOZAPINE','Tablet','Tablet','Obat Keras','https://dto.kemkes.go.id/kfacode/93000527',0,'2023-05-01');</v>
      </c>
    </row>
    <row r="300" spans="1:11" ht="15.75" customHeight="1">
      <c r="A300" s="2">
        <v>93000559</v>
      </c>
      <c r="B300" s="2" t="s">
        <v>1971</v>
      </c>
      <c r="C300" s="2">
        <v>92000375</v>
      </c>
      <c r="D300" s="2" t="s">
        <v>810</v>
      </c>
      <c r="E300" s="2" t="s">
        <v>1972</v>
      </c>
      <c r="F300" s="2" t="s">
        <v>640</v>
      </c>
      <c r="G300" s="2" t="s">
        <v>640</v>
      </c>
      <c r="H300" s="2" t="s">
        <v>1973</v>
      </c>
      <c r="I300" s="3" t="str">
        <f t="shared" si="0"/>
        <v>https://dto.kemkes.go.id/kfacode/93000559</v>
      </c>
      <c r="J300" s="34" t="s">
        <v>3768</v>
      </c>
      <c r="K300" t="str">
        <f t="shared" si="5"/>
        <v>insert into mkatalog_kfa93 (kode, uraian, kode_92, uraian_92, nama_dagang, satuan_kecil, sediaan, golongan, url, userid_updt, sysdate_updt) values ('93000559','Codeine Phosphate Hemihydrate 10 mg Tablet (CODIKAF 10)','92000375','Codeine Phosphate Hemihydrate 10 mg Tablet','CODIKAF 10','Tablet','Tablet','Obat Narkotik','https://dto.kemkes.go.id/kfacode/93000559',0,'2023-05-01');</v>
      </c>
    </row>
    <row r="301" spans="1:11" ht="15.75" customHeight="1">
      <c r="A301" s="2">
        <v>93000586</v>
      </c>
      <c r="B301" s="2" t="s">
        <v>1974</v>
      </c>
      <c r="C301" s="2">
        <v>92000375</v>
      </c>
      <c r="D301" s="2" t="s">
        <v>810</v>
      </c>
      <c r="E301" s="2" t="s">
        <v>1975</v>
      </c>
      <c r="F301" s="2" t="s">
        <v>640</v>
      </c>
      <c r="G301" s="2" t="s">
        <v>640</v>
      </c>
      <c r="H301" s="2" t="s">
        <v>1973</v>
      </c>
      <c r="I301" s="3" t="str">
        <f t="shared" si="0"/>
        <v>https://dto.kemkes.go.id/kfacode/93000586</v>
      </c>
      <c r="J301" s="34" t="s">
        <v>3768</v>
      </c>
      <c r="K301" t="str">
        <f t="shared" si="5"/>
        <v>insert into mkatalog_kfa93 (kode, uraian, kode_92, uraian_92, nama_dagang, satuan_kecil, sediaan, golongan, url, userid_updt, sysdate_updt) values ('93000586','Codeine Phosphate Hemihydrate 10 mg Tablet (KIMIA FARMA)','92000375','Codeine Phosphate Hemihydrate 10 mg Tablet','CODEINE PHOSPHATE HEMIHYDRATE','Tablet','Tablet','Obat Narkotik','https://dto.kemkes.go.id/kfacode/93000586',0,'2023-05-01');</v>
      </c>
    </row>
    <row r="302" spans="1:11" ht="15.75" customHeight="1">
      <c r="A302" s="2">
        <v>93001168</v>
      </c>
      <c r="B302" s="2" t="s">
        <v>1976</v>
      </c>
      <c r="C302" s="2">
        <v>92000515</v>
      </c>
      <c r="D302" s="2" t="s">
        <v>811</v>
      </c>
      <c r="E302" s="2" t="s">
        <v>1975</v>
      </c>
      <c r="F302" s="2" t="s">
        <v>640</v>
      </c>
      <c r="G302" s="2" t="s">
        <v>640</v>
      </c>
      <c r="H302" s="2" t="s">
        <v>1973</v>
      </c>
      <c r="I302" s="3" t="str">
        <f t="shared" si="0"/>
        <v>https://dto.kemkes.go.id/kfacode/93001168</v>
      </c>
      <c r="J302" s="34" t="s">
        <v>3768</v>
      </c>
      <c r="K302" t="str">
        <f t="shared" si="5"/>
        <v>insert into mkatalog_kfa93 (kode, uraian, kode_92, uraian_92, nama_dagang, satuan_kecil, sediaan, golongan, url, userid_updt, sysdate_updt) values ('93001168','Codeine Phosphate Hemihydrate 15 mg Tablet (KIMIA FARMA)','92000515','Codeine Phosphate Hemihydrate 15 mg Tablet','CODEINE PHOSPHATE HEMIHYDRATE','Tablet','Tablet','Obat Narkotik','https://dto.kemkes.go.id/kfacode/93001168',0,'2023-05-01');</v>
      </c>
    </row>
    <row r="303" spans="1:11" ht="15.75" customHeight="1">
      <c r="A303" s="2">
        <v>93001167</v>
      </c>
      <c r="B303" s="2" t="s">
        <v>1977</v>
      </c>
      <c r="C303" s="2">
        <v>92000516</v>
      </c>
      <c r="D303" s="2" t="s">
        <v>812</v>
      </c>
      <c r="E303" s="2" t="s">
        <v>1975</v>
      </c>
      <c r="F303" s="2" t="s">
        <v>640</v>
      </c>
      <c r="G303" s="2" t="s">
        <v>640</v>
      </c>
      <c r="H303" s="2" t="s">
        <v>1973</v>
      </c>
      <c r="I303" s="3" t="str">
        <f t="shared" si="0"/>
        <v>https://dto.kemkes.go.id/kfacode/93001167</v>
      </c>
      <c r="J303" s="34" t="s">
        <v>3768</v>
      </c>
      <c r="K303" t="str">
        <f t="shared" si="5"/>
        <v>insert into mkatalog_kfa93 (kode, uraian, kode_92, uraian_92, nama_dagang, satuan_kecil, sediaan, golongan, url, userid_updt, sysdate_updt) values ('93001167','Codeine Phosphate Hemihydrate 20 mg Tablet (KIMIA FARMA)','92000516','Codeine Phosphate Hemihydrate 20 mg Tablet','CODEINE PHOSPHATE HEMIHYDRATE','Tablet','Tablet','Obat Narkotik','https://dto.kemkes.go.id/kfacode/93001167',0,'2023-05-01');</v>
      </c>
    </row>
    <row r="304" spans="1:11" ht="15.75" customHeight="1">
      <c r="A304" s="2">
        <v>93000289</v>
      </c>
      <c r="B304" s="2" t="s">
        <v>1978</v>
      </c>
      <c r="C304" s="2">
        <v>92000249</v>
      </c>
      <c r="D304" s="2" t="s">
        <v>813</v>
      </c>
      <c r="E304" s="2" t="s">
        <v>1979</v>
      </c>
      <c r="F304" s="2" t="s">
        <v>640</v>
      </c>
      <c r="G304" s="2" t="s">
        <v>640</v>
      </c>
      <c r="H304" s="2" t="s">
        <v>1458</v>
      </c>
      <c r="I304" s="3" t="str">
        <f t="shared" si="0"/>
        <v>https://dto.kemkes.go.id/kfacode/93000289</v>
      </c>
      <c r="J304" s="34" t="s">
        <v>3768</v>
      </c>
      <c r="K304" t="str">
        <f t="shared" si="5"/>
        <v>insert into mkatalog_kfa93 (kode, uraian, kode_92, uraian_92, nama_dagang, satuan_kecil, sediaan, golongan, url, userid_updt, sysdate_updt) values ('93000289','Colchicine 500 mcg Tablet (COMBIPHAR)','92000249','Colchicine 500 mcg Tablet','COLCHICINE','Tablet','Tablet','Obat Keras','https://dto.kemkes.go.id/kfacode/93000289',0,'2023-05-01');</v>
      </c>
    </row>
    <row r="305" spans="1:11" ht="15.75" customHeight="1">
      <c r="A305" s="2">
        <v>93001189</v>
      </c>
      <c r="B305" s="2" t="s">
        <v>1980</v>
      </c>
      <c r="C305" s="2">
        <v>92000803</v>
      </c>
      <c r="D305" s="2" t="s">
        <v>814</v>
      </c>
      <c r="E305" s="2" t="s">
        <v>1981</v>
      </c>
      <c r="F305" s="2" t="s">
        <v>645</v>
      </c>
      <c r="G305" s="2" t="s">
        <v>1506</v>
      </c>
      <c r="H305" s="2" t="s">
        <v>1458</v>
      </c>
      <c r="I305" s="3" t="str">
        <f t="shared" si="0"/>
        <v>https://dto.kemkes.go.id/kfacode/93001189</v>
      </c>
      <c r="J305" s="34" t="s">
        <v>3768</v>
      </c>
      <c r="K305" t="str">
        <f t="shared" si="5"/>
        <v>insert into mkatalog_kfa93 (kode, uraian, kode_92, uraian_92, nama_dagang, satuan_kecil, sediaan, golongan, url, userid_updt, sysdate_updt) values ('93001189','Cyanocobalamin 500 mcg / ml Cairan Injeksi (IPHA LABORATORIES)','92000803','Cyanocobalamin 500 mcg / ml Cairan Injeksi','CYANOCOBALAMIN','Ampul','Larutan Injeksi','Obat Keras','https://dto.kemkes.go.id/kfacode/93001189',0,'2023-05-01');</v>
      </c>
    </row>
    <row r="306" spans="1:11" ht="15.75" customHeight="1">
      <c r="A306" s="2">
        <v>93000971</v>
      </c>
      <c r="B306" s="2" t="s">
        <v>1982</v>
      </c>
      <c r="C306" s="2">
        <v>92000671</v>
      </c>
      <c r="D306" s="2" t="s">
        <v>815</v>
      </c>
      <c r="E306" s="2" t="s">
        <v>1983</v>
      </c>
      <c r="F306" s="2" t="s">
        <v>653</v>
      </c>
      <c r="G306" s="2" t="s">
        <v>1500</v>
      </c>
      <c r="H306" s="2" t="s">
        <v>1458</v>
      </c>
      <c r="I306" s="3" t="str">
        <f t="shared" si="0"/>
        <v>https://dto.kemkes.go.id/kfacode/93000971</v>
      </c>
      <c r="J306" s="34" t="s">
        <v>3768</v>
      </c>
      <c r="K306" t="str">
        <f t="shared" si="5"/>
        <v>insert into mkatalog_kfa93 (kode, uraian, kode_92, uraian_92, nama_dagang, satuan_kecil, sediaan, golongan, url, userid_updt, sysdate_updt) values ('93000971','Cyclophosphamide 1000 mg Serbuk Injeksi (CYCLOVID)','92000671','Cyclophosphamide 1000 mg Serbuk Injeksi','CYCLOVID','Vial','Serbuk Injeksi','Obat Keras','https://dto.kemkes.go.id/kfacode/93000971',0,'2023-05-01');</v>
      </c>
    </row>
    <row r="307" spans="1:11" ht="15.75" customHeight="1">
      <c r="A307" s="2">
        <v>93000974</v>
      </c>
      <c r="B307" s="2" t="s">
        <v>1984</v>
      </c>
      <c r="C307" s="2">
        <v>92000671</v>
      </c>
      <c r="D307" s="2" t="s">
        <v>815</v>
      </c>
      <c r="E307" s="2" t="s">
        <v>1985</v>
      </c>
      <c r="F307" s="2" t="s">
        <v>653</v>
      </c>
      <c r="G307" s="2" t="s">
        <v>1500</v>
      </c>
      <c r="H307" s="2" t="s">
        <v>1458</v>
      </c>
      <c r="I307" s="3" t="str">
        <f t="shared" si="0"/>
        <v>https://dto.kemkes.go.id/kfacode/93000974</v>
      </c>
      <c r="J307" s="34" t="s">
        <v>3768</v>
      </c>
      <c r="K307" t="str">
        <f t="shared" si="5"/>
        <v>insert into mkatalog_kfa93 (kode, uraian, kode_92, uraian_92, nama_dagang, satuan_kecil, sediaan, golongan, url, userid_updt, sysdate_updt) values ('93000974','Cyclophosphamide 1000 mg Serbuk Injeksi (DANKOS FARMA - Indonesia - -)','92000671','Cyclophosphamide 1000 mg Serbuk Injeksi','CYCLOPHOSPHAMIDE','Vial','Serbuk Injeksi','Obat Keras','https://dto.kemkes.go.id/kfacode/93000974',0,'2023-05-01');</v>
      </c>
    </row>
    <row r="308" spans="1:11" ht="15.75" customHeight="1">
      <c r="A308" s="2">
        <v>93000972</v>
      </c>
      <c r="B308" s="2" t="s">
        <v>1986</v>
      </c>
      <c r="C308" s="2">
        <v>92000671</v>
      </c>
      <c r="D308" s="2" t="s">
        <v>815</v>
      </c>
      <c r="E308" s="2" t="s">
        <v>1987</v>
      </c>
      <c r="F308" s="2" t="s">
        <v>653</v>
      </c>
      <c r="G308" s="2" t="s">
        <v>1500</v>
      </c>
      <c r="H308" s="2" t="s">
        <v>1458</v>
      </c>
      <c r="I308" s="3" t="str">
        <f t="shared" si="0"/>
        <v>https://dto.kemkes.go.id/kfacode/93000972</v>
      </c>
      <c r="J308" s="34" t="s">
        <v>3768</v>
      </c>
      <c r="K308" t="str">
        <f t="shared" si="5"/>
        <v>insert into mkatalog_kfa93 (kode, uraian, kode_92, uraian_92, nama_dagang, satuan_kecil, sediaan, golongan, url, userid_updt, sysdate_updt) values ('93000972','Cyclophosphamide 1000 mg Serbuk Injeksi (ENDOXAN)','92000671','Cyclophosphamide 1000 mg Serbuk Injeksi','ENDOXAN','Vial','Serbuk Injeksi','Obat Keras','https://dto.kemkes.go.id/kfacode/93000972',0,'2023-05-01');</v>
      </c>
    </row>
    <row r="309" spans="1:11" ht="15.75" customHeight="1">
      <c r="A309" s="2">
        <v>93000979</v>
      </c>
      <c r="B309" s="2" t="s">
        <v>1988</v>
      </c>
      <c r="C309" s="2">
        <v>92000670</v>
      </c>
      <c r="D309" s="2" t="s">
        <v>816</v>
      </c>
      <c r="E309" s="2" t="s">
        <v>1987</v>
      </c>
      <c r="F309" s="2" t="s">
        <v>653</v>
      </c>
      <c r="G309" s="2" t="s">
        <v>1500</v>
      </c>
      <c r="H309" s="2" t="s">
        <v>1458</v>
      </c>
      <c r="I309" s="3" t="str">
        <f t="shared" si="0"/>
        <v>https://dto.kemkes.go.id/kfacode/93000979</v>
      </c>
      <c r="J309" s="34" t="s">
        <v>3768</v>
      </c>
      <c r="K309" t="str">
        <f t="shared" si="5"/>
        <v>insert into mkatalog_kfa93 (kode, uraian, kode_92, uraian_92, nama_dagang, satuan_kecil, sediaan, golongan, url, userid_updt, sysdate_updt) values ('93000979','Cyclophosphamide 200 mg Serbuk Injeksi (ENDOXAN)','92000670','Cyclophosphamide 200 mg Serbuk Injeksi','ENDOXAN','Vial','Serbuk Injeksi','Obat Keras','https://dto.kemkes.go.id/kfacode/93000979',0,'2023-05-01');</v>
      </c>
    </row>
    <row r="310" spans="1:11" ht="15.75" customHeight="1">
      <c r="A310" s="2">
        <v>93000968</v>
      </c>
      <c r="B310" s="2" t="s">
        <v>1989</v>
      </c>
      <c r="C310" s="2">
        <v>92000670</v>
      </c>
      <c r="D310" s="2" t="s">
        <v>816</v>
      </c>
      <c r="E310" s="2" t="s">
        <v>1990</v>
      </c>
      <c r="F310" s="2" t="s">
        <v>653</v>
      </c>
      <c r="G310" s="2" t="s">
        <v>1500</v>
      </c>
      <c r="H310" s="2" t="s">
        <v>1458</v>
      </c>
      <c r="I310" s="3" t="str">
        <f t="shared" si="0"/>
        <v>https://dto.kemkes.go.id/kfacode/93000968</v>
      </c>
      <c r="J310" s="34" t="s">
        <v>3768</v>
      </c>
      <c r="K310" t="str">
        <f t="shared" si="5"/>
        <v>insert into mkatalog_kfa93 (kode, uraian, kode_92, uraian_92, nama_dagang, satuan_kecil, sediaan, golongan, url, userid_updt, sysdate_updt) values ('93000968','Cyclophosphamide 200 mg Serbuk Injeksi (FERRON PAR PHARMACEUTICALS)','92000670','Cyclophosphamide 200 mg Serbuk Injeksi','CYCLOPHOSPHAMIDE MONOHYDRATE','Vial','Serbuk Injeksi','Obat Keras','https://dto.kemkes.go.id/kfacode/93000968',0,'2023-05-01');</v>
      </c>
    </row>
    <row r="311" spans="1:11" ht="15.75" customHeight="1">
      <c r="A311" s="2">
        <v>93000597</v>
      </c>
      <c r="B311" s="2" t="s">
        <v>1991</v>
      </c>
      <c r="C311" s="2">
        <v>92000422</v>
      </c>
      <c r="D311" s="2" t="s">
        <v>817</v>
      </c>
      <c r="E311" s="2" t="s">
        <v>1983</v>
      </c>
      <c r="F311" s="2" t="s">
        <v>653</v>
      </c>
      <c r="G311" s="2" t="s">
        <v>1500</v>
      </c>
      <c r="H311" s="2" t="s">
        <v>1458</v>
      </c>
      <c r="I311" s="3" t="str">
        <f t="shared" si="0"/>
        <v>https://dto.kemkes.go.id/kfacode/93000597</v>
      </c>
      <c r="J311" s="34" t="s">
        <v>3768</v>
      </c>
      <c r="K311" t="str">
        <f t="shared" si="5"/>
        <v>insert into mkatalog_kfa93 (kode, uraian, kode_92, uraian_92, nama_dagang, satuan_kecil, sediaan, golongan, url, userid_updt, sysdate_updt) values ('93000597','Cyclophosphamide Monohydrate 500 mg Serbuk Injeksi (CYCLOVID)','92000422','Cyclophosphamide Monohydrate 500 mg Serbuk Injeksi','CYCLOVID','Vial','Serbuk Injeksi','Obat Keras','https://dto.kemkes.go.id/kfacode/93000597',0,'2023-05-01');</v>
      </c>
    </row>
    <row r="312" spans="1:11" ht="15.75" customHeight="1">
      <c r="A312" s="2">
        <v>93000600</v>
      </c>
      <c r="B312" s="2" t="s">
        <v>1992</v>
      </c>
      <c r="C312" s="2">
        <v>92000422</v>
      </c>
      <c r="D312" s="2" t="s">
        <v>817</v>
      </c>
      <c r="E312" s="2" t="s">
        <v>1987</v>
      </c>
      <c r="F312" s="2" t="s">
        <v>653</v>
      </c>
      <c r="G312" s="2" t="s">
        <v>1500</v>
      </c>
      <c r="H312" s="2" t="s">
        <v>1458</v>
      </c>
      <c r="I312" s="3" t="str">
        <f t="shared" si="0"/>
        <v>https://dto.kemkes.go.id/kfacode/93000600</v>
      </c>
      <c r="J312" s="34" t="s">
        <v>3768</v>
      </c>
      <c r="K312" t="str">
        <f t="shared" si="5"/>
        <v>insert into mkatalog_kfa93 (kode, uraian, kode_92, uraian_92, nama_dagang, satuan_kecil, sediaan, golongan, url, userid_updt, sysdate_updt) values ('93000600','Cyclophosphamide Monohydrate 500 mg Serbuk Injeksi (ENDOXAN)','92000422','Cyclophosphamide Monohydrate 500 mg Serbuk Injeksi','ENDOXAN','Vial','Serbuk Injeksi','Obat Keras','https://dto.kemkes.go.id/kfacode/93000600',0,'2023-05-01');</v>
      </c>
    </row>
    <row r="313" spans="1:11" ht="15.75" customHeight="1">
      <c r="A313" s="2">
        <v>93000603</v>
      </c>
      <c r="B313" s="2" t="s">
        <v>1993</v>
      </c>
      <c r="C313" s="2">
        <v>92000422</v>
      </c>
      <c r="D313" s="2" t="s">
        <v>817</v>
      </c>
      <c r="E313" s="2" t="s">
        <v>1990</v>
      </c>
      <c r="F313" s="2" t="s">
        <v>653</v>
      </c>
      <c r="G313" s="2" t="s">
        <v>1500</v>
      </c>
      <c r="H313" s="2" t="s">
        <v>1458</v>
      </c>
      <c r="I313" s="3" t="str">
        <f t="shared" si="0"/>
        <v>https://dto.kemkes.go.id/kfacode/93000603</v>
      </c>
      <c r="J313" s="34" t="s">
        <v>3768</v>
      </c>
      <c r="K313" t="str">
        <f t="shared" si="5"/>
        <v>insert into mkatalog_kfa93 (kode, uraian, kode_92, uraian_92, nama_dagang, satuan_kecil, sediaan, golongan, url, userid_updt, sysdate_updt) values ('93000603','Cyclophosphamide Monohydrate 500 mg Serbuk Injeksi (FERRON PAR PHARMACEUTICALS)','92000422','Cyclophosphamide Monohydrate 500 mg Serbuk Injeksi','CYCLOPHOSPHAMIDE MONOHYDRATE','Vial','Serbuk Injeksi','Obat Keras','https://dto.kemkes.go.id/kfacode/93000603',0,'2023-05-01');</v>
      </c>
    </row>
    <row r="314" spans="1:11" ht="15.75" customHeight="1">
      <c r="A314" s="2">
        <v>93001061</v>
      </c>
      <c r="B314" s="2" t="s">
        <v>1994</v>
      </c>
      <c r="C314" s="2">
        <v>92000754</v>
      </c>
      <c r="D314" s="2" t="s">
        <v>818</v>
      </c>
      <c r="E314" s="2" t="s">
        <v>1995</v>
      </c>
      <c r="F314" s="2" t="s">
        <v>653</v>
      </c>
      <c r="G314" s="2" t="s">
        <v>1500</v>
      </c>
      <c r="H314" s="2" t="s">
        <v>1458</v>
      </c>
      <c r="I314" s="3" t="str">
        <f t="shared" si="0"/>
        <v>https://dto.kemkes.go.id/kfacode/93001061</v>
      </c>
      <c r="J314" s="34" t="s">
        <v>3768</v>
      </c>
      <c r="K314" t="str">
        <f t="shared" si="5"/>
        <v>insert into mkatalog_kfa93 (kode, uraian, kode_92, uraian_92, nama_dagang, satuan_kecil, sediaan, golongan, url, userid_updt, sysdate_updt) values ('93001061','Cystine / L-Cystein 1 mg / Tetra (2-Methoxyisobutyl Isonitrile) Copper (1) Tetrafluoroborate 1 mg / SnCl2 2 H2O 0,1 mg / Sodium Citrate Dihydrate 2,6 mg Serbuk Injeksi (CARDIOSCAN KaeF)','92000754','Cystine / L-Cystein 1 mg / Tetra (2-Methoxyisobutyl Isonitrile) Copper (1) Tetrafluoroborate 1 mg / SnCl2 2 H2O 0,1 mg / Sodium Citrate Dihydrate 2,6 mg Serbuk Injeksi','CARDIOSCAN KaeF','Vial','Serbuk Injeksi','Obat Keras','https://dto.kemkes.go.id/kfacode/93001061',0,'2023-05-01');</v>
      </c>
    </row>
    <row r="315" spans="1:11" ht="15.75" customHeight="1">
      <c r="A315" s="2">
        <v>93001633</v>
      </c>
      <c r="B315" s="2" t="s">
        <v>1996</v>
      </c>
      <c r="C315" s="2">
        <v>92000932</v>
      </c>
      <c r="D315" s="2" t="s">
        <v>819</v>
      </c>
      <c r="E315" s="2" t="s">
        <v>1997</v>
      </c>
      <c r="F315" s="2" t="s">
        <v>653</v>
      </c>
      <c r="G315" s="2" t="s">
        <v>1506</v>
      </c>
      <c r="H315" s="2" t="s">
        <v>1458</v>
      </c>
      <c r="I315" s="3" t="str">
        <f t="shared" si="0"/>
        <v>https://dto.kemkes.go.id/kfacode/93001633</v>
      </c>
      <c r="J315" s="34" t="s">
        <v>3768</v>
      </c>
      <c r="K315" t="str">
        <f t="shared" si="5"/>
        <v>insert into mkatalog_kfa93 (kode, uraian, kode_92, uraian_92, nama_dagang, satuan_kecil, sediaan, golongan, url, userid_updt, sysdate_updt) values ('93001633','Cytarabine 100 mg / mL Injeksi (KABITARIN, 10 mL)','92000932','Cytarabine 100 mg / mL Injeksi','KABITARIN','Vial','Larutan Injeksi','Obat Keras','https://dto.kemkes.go.id/kfacode/93001633',0,'2023-05-01');</v>
      </c>
    </row>
    <row r="316" spans="1:11" ht="15.75" customHeight="1">
      <c r="A316" s="2">
        <v>93000275</v>
      </c>
      <c r="B316" s="2" t="s">
        <v>1998</v>
      </c>
      <c r="C316" s="2">
        <v>92000239</v>
      </c>
      <c r="D316" s="2" t="s">
        <v>820</v>
      </c>
      <c r="E316" s="2" t="s">
        <v>1999</v>
      </c>
      <c r="F316" s="2" t="s">
        <v>653</v>
      </c>
      <c r="G316" s="2" t="s">
        <v>1500</v>
      </c>
      <c r="H316" s="2" t="s">
        <v>1458</v>
      </c>
      <c r="I316" s="3" t="str">
        <f t="shared" si="0"/>
        <v>https://dto.kemkes.go.id/kfacode/93000275</v>
      </c>
      <c r="J316" s="34" t="s">
        <v>3768</v>
      </c>
      <c r="K316" t="str">
        <f t="shared" si="5"/>
        <v>insert into mkatalog_kfa93 (kode, uraian, kode_92, uraian_92, nama_dagang, satuan_kecil, sediaan, golongan, url, userid_updt, sysdate_updt) values ('93000275','Dacarbazine 200 mg Serbuk Injeksi (DACARBAZINE MEDAC)','92000239','Dacarbazine 200 mg Serbuk Injeksi','DACARBAZINE MEDAC','Vial','Serbuk Injeksi','Obat Keras','https://dto.kemkes.go.id/kfacode/93000275',0,'2023-05-01');</v>
      </c>
    </row>
    <row r="317" spans="1:11" ht="15.75" customHeight="1">
      <c r="A317" s="2">
        <v>93000325</v>
      </c>
      <c r="B317" s="2" t="s">
        <v>2000</v>
      </c>
      <c r="C317" s="2">
        <v>92000252</v>
      </c>
      <c r="D317" s="2" t="s">
        <v>821</v>
      </c>
      <c r="E317" s="2" t="s">
        <v>2001</v>
      </c>
      <c r="F317" s="2" t="s">
        <v>640</v>
      </c>
      <c r="G317" s="2" t="s">
        <v>1457</v>
      </c>
      <c r="H317" s="2" t="s">
        <v>1458</v>
      </c>
      <c r="I317" s="3" t="str">
        <f t="shared" si="0"/>
        <v>https://dto.kemkes.go.id/kfacode/93000325</v>
      </c>
      <c r="J317" s="34" t="s">
        <v>3768</v>
      </c>
      <c r="K317" t="str">
        <f t="shared" si="5"/>
        <v>insert into mkatalog_kfa93 (kode, uraian, kode_92, uraian_92, nama_dagang, satuan_kecil, sediaan, golongan, url, userid_updt, sysdate_updt) values ('93000325','Daclatasvir Dihydrochloride 30 mg Tablet Salut Selaput (DASVIR)','92000252','Daclatasvir Dihydrochloride 30 mg Tablet Salut Selaput','DASVIR 30','Tablet','Tablet Salut Selaput','Obat Keras','https://dto.kemkes.go.id/kfacode/93000325',0,'2023-05-01');</v>
      </c>
    </row>
    <row r="318" spans="1:11" ht="15.75" customHeight="1">
      <c r="A318" s="2">
        <v>93001582</v>
      </c>
      <c r="B318" s="2" t="s">
        <v>2002</v>
      </c>
      <c r="C318" s="2">
        <v>92000253</v>
      </c>
      <c r="D318" s="2" t="s">
        <v>822</v>
      </c>
      <c r="E318" s="2" t="s">
        <v>2003</v>
      </c>
      <c r="F318" s="2" t="s">
        <v>640</v>
      </c>
      <c r="G318" s="2" t="s">
        <v>1457</v>
      </c>
      <c r="H318" s="2" t="s">
        <v>1458</v>
      </c>
      <c r="I318" s="3" t="str">
        <f t="shared" si="0"/>
        <v>https://dto.kemkes.go.id/kfacode/93001582</v>
      </c>
      <c r="J318" s="34" t="s">
        <v>3768</v>
      </c>
      <c r="K318" t="str">
        <f t="shared" si="5"/>
        <v>insert into mkatalog_kfa93 (kode, uraian, kode_92, uraian_92, nama_dagang, satuan_kecil, sediaan, golongan, url, userid_updt, sysdate_updt) values ('93001582','Daclatasvir Dihydrochloride 60 mg Tablet Salut Selaput (DASVIR)','92000253','Daclatasvir Dihydrochloride 60 mg Tablet Salut Selaput','DASVIR 60','Tablet','Tablet Salut Selaput','Obat Keras','https://dto.kemkes.go.id/kfacode/93001582',0,'2023-05-01');</v>
      </c>
    </row>
    <row r="319" spans="1:11" ht="15.75" customHeight="1">
      <c r="A319" s="2">
        <v>93000326</v>
      </c>
      <c r="B319" s="2" t="s">
        <v>2004</v>
      </c>
      <c r="C319" s="2">
        <v>92000253</v>
      </c>
      <c r="D319" s="2" t="s">
        <v>822</v>
      </c>
      <c r="E319" s="2" t="s">
        <v>2005</v>
      </c>
      <c r="F319" s="2" t="s">
        <v>640</v>
      </c>
      <c r="G319" s="2" t="s">
        <v>1457</v>
      </c>
      <c r="H319" s="2" t="s">
        <v>1458</v>
      </c>
      <c r="I319" s="3" t="str">
        <f t="shared" si="0"/>
        <v>https://dto.kemkes.go.id/kfacode/93000326</v>
      </c>
      <c r="J319" s="34" t="s">
        <v>3768</v>
      </c>
      <c r="K319" t="str">
        <f t="shared" si="5"/>
        <v>insert into mkatalog_kfa93 (kode, uraian, kode_92, uraian_92, nama_dagang, satuan_kecil, sediaan, golongan, url, userid_updt, sysdate_updt) values ('93000326','Daclatasvir Dihydrochloride 60 mg Tablet Salut Selaput (NATDAC)','92000253','Daclatasvir Dihydrochloride 60 mg Tablet Salut Selaput','NATDAC 60','Tablet','Tablet Salut Selaput','Obat Keras','https://dto.kemkes.go.id/kfacode/93000326',0,'2023-05-01');</v>
      </c>
    </row>
    <row r="320" spans="1:11" ht="15.75" customHeight="1">
      <c r="A320" s="2">
        <v>93000833</v>
      </c>
      <c r="B320" s="2" t="s">
        <v>2006</v>
      </c>
      <c r="C320" s="2">
        <v>92000430</v>
      </c>
      <c r="D320" s="2" t="s">
        <v>823</v>
      </c>
      <c r="E320" s="2" t="s">
        <v>2007</v>
      </c>
      <c r="F320" s="2" t="s">
        <v>824</v>
      </c>
      <c r="G320" s="2" t="s">
        <v>1500</v>
      </c>
      <c r="H320" s="2" t="s">
        <v>1458</v>
      </c>
      <c r="I320" s="3" t="str">
        <f t="shared" si="0"/>
        <v>https://dto.kemkes.go.id/kfacode/93000833</v>
      </c>
      <c r="J320" s="34" t="s">
        <v>3768</v>
      </c>
      <c r="K320" t="str">
        <f t="shared" si="5"/>
        <v>insert into mkatalog_kfa93 (kode, uraian, kode_92, uraian_92, nama_dagang, satuan_kecil, sediaan, golongan, url, userid_updt, sysdate_updt) values ('93000833','Daunorubicin Hydrochloride 20 mg Serbuk Injeksi (DAUNOCIN-NPL)','92000430','Daunorubicin Hydrochloride 20 mg Serbuk Injeksi','DAUNOCIN-NPL','Vial + Ampul Pelarut','Serbuk Injeksi','Obat Keras','https://dto.kemkes.go.id/kfacode/93000833',0,'2023-05-01');</v>
      </c>
    </row>
    <row r="321" spans="1:11" ht="15.75" customHeight="1">
      <c r="A321" s="2">
        <v>93001609</v>
      </c>
      <c r="B321" s="2" t="s">
        <v>2008</v>
      </c>
      <c r="C321" s="2">
        <v>92000917</v>
      </c>
      <c r="D321" s="2" t="s">
        <v>825</v>
      </c>
      <c r="E321" s="2" t="s">
        <v>2009</v>
      </c>
      <c r="F321" s="2" t="s">
        <v>640</v>
      </c>
      <c r="G321" s="2" t="s">
        <v>1457</v>
      </c>
      <c r="H321" s="2" t="s">
        <v>1458</v>
      </c>
      <c r="I321" s="3" t="str">
        <f t="shared" si="0"/>
        <v>https://dto.kemkes.go.id/kfacode/93001609</v>
      </c>
      <c r="J321" s="34" t="s">
        <v>3768</v>
      </c>
      <c r="K321" t="str">
        <f t="shared" si="5"/>
        <v>insert into mkatalog_kfa93 (kode, uraian, kode_92, uraian_92, nama_dagang, satuan_kecil, sediaan, golongan, url, userid_updt, sysdate_updt) values ('93001609','Deferasirox 180 mg Tablet Salut Selaput (EXJADE)','92000917','Deferasirox 180 mg Tablet Salut Selaput','EXJADE','Tablet','Tablet Salut Selaput','Obat Keras','https://dto.kemkes.go.id/kfacode/93001609',0,'2023-05-01');</v>
      </c>
    </row>
    <row r="322" spans="1:11" ht="15.75" customHeight="1">
      <c r="A322" s="2">
        <v>93000489</v>
      </c>
      <c r="B322" s="2" t="s">
        <v>2010</v>
      </c>
      <c r="C322" s="2">
        <v>92000337</v>
      </c>
      <c r="D322" s="2" t="s">
        <v>826</v>
      </c>
      <c r="E322" s="2" t="s">
        <v>2011</v>
      </c>
      <c r="F322" s="2" t="s">
        <v>640</v>
      </c>
      <c r="G322" s="2" t="s">
        <v>1648</v>
      </c>
      <c r="H322" s="2" t="s">
        <v>1458</v>
      </c>
      <c r="I322" s="3" t="str">
        <f t="shared" si="0"/>
        <v>https://dto.kemkes.go.id/kfacode/93000489</v>
      </c>
      <c r="J322" s="34" t="s">
        <v>3768</v>
      </c>
      <c r="K322" t="str">
        <f t="shared" si="5"/>
        <v>insert into mkatalog_kfa93 (kode, uraian, kode_92, uraian_92, nama_dagang, satuan_kecil, sediaan, golongan, url, userid_updt, sysdate_updt) values ('93000489','Deferasirox 250 mg Tablet Dispersible (DANKOS FARMA)','92000337','Deferasirox 250 mg Tablet Dispersible','DEFERASIROX','Tablet','Tablet Dispersibel','Obat Keras','https://dto.kemkes.go.id/kfacode/93000489',0,'2023-05-01');</v>
      </c>
    </row>
    <row r="323" spans="1:11" ht="15.75" customHeight="1">
      <c r="A323" s="2">
        <v>93001610</v>
      </c>
      <c r="B323" s="2" t="s">
        <v>2012</v>
      </c>
      <c r="C323" s="2">
        <v>92000918</v>
      </c>
      <c r="D323" s="2" t="s">
        <v>827</v>
      </c>
      <c r="E323" s="2" t="s">
        <v>2009</v>
      </c>
      <c r="F323" s="2" t="s">
        <v>640</v>
      </c>
      <c r="G323" s="2" t="s">
        <v>1457</v>
      </c>
      <c r="H323" s="2" t="s">
        <v>1458</v>
      </c>
      <c r="I323" s="3" t="str">
        <f t="shared" si="0"/>
        <v>https://dto.kemkes.go.id/kfacode/93001610</v>
      </c>
      <c r="J323" s="34" t="s">
        <v>3768</v>
      </c>
      <c r="K323" t="str">
        <f t="shared" ref="K323:K386" si="6">CONCATENATE(J323,"('",A323,"','",B323,"','",C323,"','",D323,"','",E323,"','",F323,"','",G323,"','",H323,"','",I323,"',0,'2023-05-01');")</f>
        <v>insert into mkatalog_kfa93 (kode, uraian, kode_92, uraian_92, nama_dagang, satuan_kecil, sediaan, golongan, url, userid_updt, sysdate_updt) values ('93001610','Deferasirox 360 mg Tablet Salut Selaput (EXJADE)','92000918','Deferasirox 360 mg Tablet Salut Selaput','EXJADE','Tablet','Tablet Salut Selaput','Obat Keras','https://dto.kemkes.go.id/kfacode/93001610',0,'2023-05-01');</v>
      </c>
    </row>
    <row r="324" spans="1:11" ht="15.75" customHeight="1">
      <c r="A324" s="2">
        <v>93000424</v>
      </c>
      <c r="B324" s="2" t="s">
        <v>2013</v>
      </c>
      <c r="C324" s="2">
        <v>92000310</v>
      </c>
      <c r="D324" s="2" t="s">
        <v>828</v>
      </c>
      <c r="E324" s="2" t="s">
        <v>2011</v>
      </c>
      <c r="F324" s="2" t="s">
        <v>640</v>
      </c>
      <c r="G324" s="2" t="s">
        <v>1648</v>
      </c>
      <c r="H324" s="2" t="s">
        <v>1458</v>
      </c>
      <c r="I324" s="3" t="str">
        <f t="shared" si="0"/>
        <v>https://dto.kemkes.go.id/kfacode/93000424</v>
      </c>
      <c r="J324" s="34" t="s">
        <v>3768</v>
      </c>
      <c r="K324" t="str">
        <f t="shared" si="6"/>
        <v>insert into mkatalog_kfa93 (kode, uraian, kode_92, uraian_92, nama_dagang, satuan_kecil, sediaan, golongan, url, userid_updt, sysdate_updt) values ('93000424','Deferasirox 500 mg Tablet Dispersible (DANKOS FARMA)','92000310','Deferasirox 500 mg Tablet Dispersible','DEFERASIROX','Tablet','Tablet Dispersibel','Obat Keras','https://dto.kemkes.go.id/kfacode/93000424',0,'2023-05-01');</v>
      </c>
    </row>
    <row r="325" spans="1:11" ht="15.75" customHeight="1">
      <c r="A325" s="2">
        <v>93000493</v>
      </c>
      <c r="B325" s="2" t="s">
        <v>2014</v>
      </c>
      <c r="C325" s="2">
        <v>92000310</v>
      </c>
      <c r="D325" s="2" t="s">
        <v>828</v>
      </c>
      <c r="E325" s="2" t="s">
        <v>2015</v>
      </c>
      <c r="F325" s="2" t="s">
        <v>640</v>
      </c>
      <c r="G325" s="2" t="s">
        <v>1648</v>
      </c>
      <c r="H325" s="2" t="s">
        <v>1458</v>
      </c>
      <c r="I325" s="3" t="str">
        <f t="shared" si="0"/>
        <v>https://dto.kemkes.go.id/kfacode/93000493</v>
      </c>
      <c r="J325" s="34" t="s">
        <v>3768</v>
      </c>
      <c r="K325" t="str">
        <f t="shared" si="6"/>
        <v>insert into mkatalog_kfa93 (kode, uraian, kode_92, uraian_92, nama_dagang, satuan_kecil, sediaan, golongan, url, userid_updt, sysdate_updt) values ('93000493','Deferasirox 500 mg Tablet Dispersible (KALSIROX)','92000310','Deferasirox 500 mg Tablet Dispersible','KALSIROX','Tablet','Tablet Dispersibel','Obat Keras','https://dto.kemkes.go.id/kfacode/93000493',0,'2023-05-01');</v>
      </c>
    </row>
    <row r="326" spans="1:11" ht="15.75" customHeight="1">
      <c r="A326" s="2">
        <v>93000304</v>
      </c>
      <c r="B326" s="2" t="s">
        <v>2016</v>
      </c>
      <c r="C326" s="2">
        <v>92000203</v>
      </c>
      <c r="D326" s="2" t="s">
        <v>829</v>
      </c>
      <c r="F326" s="2" t="s">
        <v>702</v>
      </c>
      <c r="G326" s="2" t="s">
        <v>2017</v>
      </c>
      <c r="H326" s="2" t="s">
        <v>1458</v>
      </c>
      <c r="I326" s="3" t="str">
        <f t="shared" si="0"/>
        <v>https://dto.kemkes.go.id/kfacode/93000304</v>
      </c>
      <c r="J326" s="34" t="s">
        <v>3768</v>
      </c>
      <c r="K326" t="str">
        <f t="shared" si="6"/>
        <v>insert into mkatalog_kfa93 (kode, uraian, kode_92, uraian_92, nama_dagang, satuan_kecil, sediaan, golongan, url, userid_updt, sysdate_updt) values ('93000304','Deferiprone 100 mg / mL Larutan (DEFIRON, 250 mL)','92000203','Deferiprone 100 mg / mL Larutan','','Botol Plastik','Larutan','Obat Keras','https://dto.kemkes.go.id/kfacode/93000304',0,'2023-05-01');</v>
      </c>
    </row>
    <row r="327" spans="1:11" ht="15.75" customHeight="1">
      <c r="A327" s="2">
        <v>93000305</v>
      </c>
      <c r="B327" s="2" t="s">
        <v>2018</v>
      </c>
      <c r="C327" s="2">
        <v>92000203</v>
      </c>
      <c r="D327" s="2" t="s">
        <v>829</v>
      </c>
      <c r="E327" s="2" t="s">
        <v>2019</v>
      </c>
      <c r="F327" s="2" t="s">
        <v>702</v>
      </c>
      <c r="G327" s="2" t="s">
        <v>2017</v>
      </c>
      <c r="H327" s="2" t="s">
        <v>1458</v>
      </c>
      <c r="I327" s="3" t="str">
        <f t="shared" si="0"/>
        <v>https://dto.kemkes.go.id/kfacode/93000305</v>
      </c>
      <c r="J327" s="34" t="s">
        <v>3768</v>
      </c>
      <c r="K327" t="str">
        <f t="shared" si="6"/>
        <v>insert into mkatalog_kfa93 (kode, uraian, kode_92, uraian_92, nama_dagang, satuan_kecil, sediaan, golongan, url, userid_updt, sysdate_updt) values ('93000305','Deferiprone 100 mg / mL Larutan (FERRIPROX, 250 mL)','92000203','Deferiprone 100 mg / mL Larutan','FERRIPROX','Botol Plastik','Larutan','Obat Keras','https://dto.kemkes.go.id/kfacode/93000305',0,'2023-05-01');</v>
      </c>
    </row>
    <row r="328" spans="1:11" ht="15.75" customHeight="1">
      <c r="A328" s="2">
        <v>93000560</v>
      </c>
      <c r="B328" s="2" t="s">
        <v>2020</v>
      </c>
      <c r="C328" s="2">
        <v>92000369</v>
      </c>
      <c r="D328" s="2" t="s">
        <v>830</v>
      </c>
      <c r="E328" s="2" t="s">
        <v>2021</v>
      </c>
      <c r="F328" s="2" t="s">
        <v>640</v>
      </c>
      <c r="G328" s="2" t="s">
        <v>1457</v>
      </c>
      <c r="H328" s="2" t="s">
        <v>1458</v>
      </c>
      <c r="I328" s="3" t="str">
        <f t="shared" si="0"/>
        <v>https://dto.kemkes.go.id/kfacode/93000560</v>
      </c>
      <c r="J328" s="34" t="s">
        <v>3768</v>
      </c>
      <c r="K328" t="str">
        <f t="shared" si="6"/>
        <v>insert into mkatalog_kfa93 (kode, uraian, kode_92, uraian_92, nama_dagang, satuan_kecil, sediaan, golongan, url, userid_updt, sysdate_updt) values ('93000560','Deferiprone 500 mg Tablet Salut Selaput (DEXA MEDICA)','92000369','Deferiprone 500 mg Tablet Salut Selaput','DEFERIPRONE','Tablet','Tablet Salut Selaput','Obat Keras','https://dto.kemkes.go.id/kfacode/93000560',0,'2023-05-01');</v>
      </c>
    </row>
    <row r="329" spans="1:11" ht="15.75" customHeight="1">
      <c r="A329" s="2">
        <v>93000562</v>
      </c>
      <c r="B329" s="2" t="s">
        <v>2022</v>
      </c>
      <c r="C329" s="2">
        <v>92000369</v>
      </c>
      <c r="D329" s="2" t="s">
        <v>830</v>
      </c>
      <c r="E329" s="2" t="s">
        <v>2019</v>
      </c>
      <c r="F329" s="2" t="s">
        <v>640</v>
      </c>
      <c r="G329" s="2" t="s">
        <v>1457</v>
      </c>
      <c r="H329" s="2" t="s">
        <v>1458</v>
      </c>
      <c r="I329" s="3" t="str">
        <f t="shared" si="0"/>
        <v>https://dto.kemkes.go.id/kfacode/93000562</v>
      </c>
      <c r="J329" s="34" t="s">
        <v>3768</v>
      </c>
      <c r="K329" t="str">
        <f t="shared" si="6"/>
        <v>insert into mkatalog_kfa93 (kode, uraian, kode_92, uraian_92, nama_dagang, satuan_kecil, sediaan, golongan, url, userid_updt, sysdate_updt) values ('93000562','Deferiprone 500 mg Tablet Salut Selaput (FERRIPROX)','92000369','Deferiprone 500 mg Tablet Salut Selaput','FERRIPROX','Tablet','Tablet Salut Selaput','Obat Keras','https://dto.kemkes.go.id/kfacode/93000562',0,'2023-05-01');</v>
      </c>
    </row>
    <row r="330" spans="1:11" ht="15.75" customHeight="1">
      <c r="A330" s="2">
        <v>93000561</v>
      </c>
      <c r="B330" s="2" t="s">
        <v>2023</v>
      </c>
      <c r="C330" s="2">
        <v>92000369</v>
      </c>
      <c r="D330" s="2" t="s">
        <v>830</v>
      </c>
      <c r="E330" s="2" t="s">
        <v>2021</v>
      </c>
      <c r="F330" s="2" t="s">
        <v>640</v>
      </c>
      <c r="G330" s="2" t="s">
        <v>1457</v>
      </c>
      <c r="H330" s="2" t="s">
        <v>1458</v>
      </c>
      <c r="I330" s="3" t="str">
        <f t="shared" si="0"/>
        <v>https://dto.kemkes.go.id/kfacode/93000561</v>
      </c>
      <c r="J330" s="34" t="s">
        <v>3768</v>
      </c>
      <c r="K330" t="str">
        <f t="shared" si="6"/>
        <v>insert into mkatalog_kfa93 (kode, uraian, kode_92, uraian_92, nama_dagang, satuan_kecil, sediaan, golongan, url, userid_updt, sysdate_updt) values ('93000561','Deferiprone 500 mg Tablet Salut Selaput (NOVELL PHARMACEUTICAL LABORATORIES)','92000369','Deferiprone 500 mg Tablet Salut Selaput','DEFERIPRONE','Tablet','Tablet Salut Selaput','Obat Keras','https://dto.kemkes.go.id/kfacode/93000561',0,'2023-05-01');</v>
      </c>
    </row>
    <row r="331" spans="1:11" ht="15.75" customHeight="1">
      <c r="A331" s="2">
        <v>93000563</v>
      </c>
      <c r="B331" s="2" t="s">
        <v>2024</v>
      </c>
      <c r="C331" s="2">
        <v>92000369</v>
      </c>
      <c r="D331" s="2" t="s">
        <v>830</v>
      </c>
      <c r="E331" s="2" t="s">
        <v>2025</v>
      </c>
      <c r="F331" s="2" t="s">
        <v>640</v>
      </c>
      <c r="G331" s="2" t="s">
        <v>1457</v>
      </c>
      <c r="H331" s="2" t="s">
        <v>1458</v>
      </c>
      <c r="I331" s="3" t="str">
        <f t="shared" si="0"/>
        <v>https://dto.kemkes.go.id/kfacode/93000563</v>
      </c>
      <c r="J331" s="34" t="s">
        <v>3768</v>
      </c>
      <c r="K331" t="str">
        <f t="shared" si="6"/>
        <v>insert into mkatalog_kfa93 (kode, uraian, kode_92, uraian_92, nama_dagang, satuan_kecil, sediaan, golongan, url, userid_updt, sysdate_updt) values ('93000563','Deferiprone 500 mg Tablet Salut Selaput (OFERLOD)','92000369','Deferiprone 500 mg Tablet Salut Selaput','OFERLOD','Tablet','Tablet Salut Selaput','Obat Keras','https://dto.kemkes.go.id/kfacode/93000563',0,'2023-05-01');</v>
      </c>
    </row>
    <row r="332" spans="1:11" ht="15.75" customHeight="1">
      <c r="A332" s="2">
        <v>93000181</v>
      </c>
      <c r="B332" s="2" t="s">
        <v>2026</v>
      </c>
      <c r="C332" s="2">
        <v>92000178</v>
      </c>
      <c r="D332" s="2" t="s">
        <v>831</v>
      </c>
      <c r="E332" s="2" t="s">
        <v>2027</v>
      </c>
      <c r="F332" s="2" t="s">
        <v>653</v>
      </c>
      <c r="G332" s="2" t="s">
        <v>1500</v>
      </c>
      <c r="H332" s="2" t="s">
        <v>1458</v>
      </c>
      <c r="I332" s="3" t="str">
        <f t="shared" si="0"/>
        <v>https://dto.kemkes.go.id/kfacode/93000181</v>
      </c>
      <c r="J332" s="34" t="s">
        <v>3768</v>
      </c>
      <c r="K332" t="str">
        <f t="shared" si="6"/>
        <v>insert into mkatalog_kfa93 (kode, uraian, kode_92, uraian_92, nama_dagang, satuan_kecil, sediaan, golongan, url, userid_updt, sysdate_updt) values ('93000181','Deferoxamine Mesilate 500 mg Serbuk Injeksi (DESFERAL)','92000178','Deferoxamine Mesilate 500 mg Serbuk Injeksi','DESFERAL','Vial','Serbuk Injeksi','Obat Keras','https://dto.kemkes.go.id/kfacode/93000181',0,'2023-05-01');</v>
      </c>
    </row>
    <row r="333" spans="1:11" ht="15.75" customHeight="1">
      <c r="A333" s="2">
        <v>93001647</v>
      </c>
      <c r="B333" s="2" t="s">
        <v>2028</v>
      </c>
      <c r="C333" s="2">
        <v>92000942</v>
      </c>
      <c r="D333" s="2" t="s">
        <v>832</v>
      </c>
      <c r="E333" s="2" t="s">
        <v>2029</v>
      </c>
      <c r="F333" s="2" t="s">
        <v>640</v>
      </c>
      <c r="G333" s="2" t="s">
        <v>1457</v>
      </c>
      <c r="H333" s="2" t="s">
        <v>1458</v>
      </c>
      <c r="I333" s="3" t="str">
        <f t="shared" si="0"/>
        <v>https://dto.kemkes.go.id/kfacode/93001647</v>
      </c>
      <c r="J333" s="34" t="s">
        <v>3768</v>
      </c>
      <c r="K333" t="str">
        <f t="shared" si="6"/>
        <v>insert into mkatalog_kfa93 (kode, uraian, kode_92, uraian_92, nama_dagang, satuan_kecil, sediaan, golongan, url, userid_updt, sysdate_updt) values ('93001647','Delamanid 50 mg Tablet Salut Selaput (DELTYBA)','92000942','Delamanid 50 mg Tablet Salut Selaput','DELTYBA','Tablet','Tablet Salut Selaput','Obat Keras','https://dto.kemkes.go.id/kfacode/93001647',0,'2023-05-01');</v>
      </c>
    </row>
    <row r="334" spans="1:11" ht="15.75" customHeight="1">
      <c r="A334" s="2">
        <v>93000217</v>
      </c>
      <c r="B334" s="2" t="s">
        <v>2030</v>
      </c>
      <c r="C334" s="2">
        <v>92000195</v>
      </c>
      <c r="D334" s="2" t="s">
        <v>188</v>
      </c>
      <c r="E334" s="2" t="s">
        <v>2031</v>
      </c>
      <c r="F334" s="2" t="s">
        <v>658</v>
      </c>
      <c r="G334" s="2" t="s">
        <v>1489</v>
      </c>
      <c r="H334" s="2" t="s">
        <v>1458</v>
      </c>
      <c r="I334" s="3" t="str">
        <f t="shared" si="0"/>
        <v>https://dto.kemkes.go.id/kfacode/93000217</v>
      </c>
      <c r="J334" s="34" t="s">
        <v>3768</v>
      </c>
      <c r="K334" t="str">
        <f t="shared" si="6"/>
        <v>insert into mkatalog_kfa93 (kode, uraian, kode_92, uraian_92, nama_dagang, satuan_kecil, sediaan, golongan, url, userid_updt, sysdate_updt) values ('93000217','Desflurane (DESPRANE)','92000195','Desflurane','DESPRANE','Botol','Larutan Inhalasi','Obat Keras','https://dto.kemkes.go.id/kfacode/93000217',0,'2023-05-01');</v>
      </c>
    </row>
    <row r="335" spans="1:11" ht="15.75" customHeight="1">
      <c r="A335" s="2">
        <v>93000192</v>
      </c>
      <c r="B335" s="2" t="s">
        <v>2032</v>
      </c>
      <c r="C335" s="2">
        <v>92000195</v>
      </c>
      <c r="D335" s="2" t="s">
        <v>188</v>
      </c>
      <c r="E335" s="2" t="s">
        <v>2033</v>
      </c>
      <c r="F335" s="2" t="s">
        <v>658</v>
      </c>
      <c r="G335" s="2" t="s">
        <v>1489</v>
      </c>
      <c r="H335" s="2" t="s">
        <v>1458</v>
      </c>
      <c r="I335" s="3" t="str">
        <f t="shared" si="0"/>
        <v>https://dto.kemkes.go.id/kfacode/93000192</v>
      </c>
      <c r="J335" s="34" t="s">
        <v>3768</v>
      </c>
      <c r="K335" t="str">
        <f t="shared" si="6"/>
        <v>insert into mkatalog_kfa93 (kode, uraian, kode_92, uraian_92, nama_dagang, satuan_kecil, sediaan, golongan, url, userid_updt, sysdate_updt) values ('93000192','Desflurane (SUPRANE)','92000195','Desflurane','SUPRANE','Botol','Larutan Inhalasi','Obat Keras','https://dto.kemkes.go.id/kfacode/93000192',0,'2023-05-01');</v>
      </c>
    </row>
    <row r="336" spans="1:11" ht="15.75" customHeight="1">
      <c r="A336" s="2">
        <v>93001171</v>
      </c>
      <c r="B336" s="2" t="s">
        <v>2034</v>
      </c>
      <c r="C336" s="2">
        <v>92000520</v>
      </c>
      <c r="D336" s="2" t="s">
        <v>833</v>
      </c>
      <c r="E336" s="2" t="s">
        <v>2035</v>
      </c>
      <c r="F336" s="2" t="s">
        <v>640</v>
      </c>
      <c r="G336" s="2" t="s">
        <v>640</v>
      </c>
      <c r="H336" s="2" t="s">
        <v>1458</v>
      </c>
      <c r="I336" s="3" t="str">
        <f t="shared" si="0"/>
        <v>https://dto.kemkes.go.id/kfacode/93001171</v>
      </c>
      <c r="J336" s="34" t="s">
        <v>3768</v>
      </c>
      <c r="K336" t="str">
        <f t="shared" si="6"/>
        <v>insert into mkatalog_kfa93 (kode, uraian, kode_92, uraian_92, nama_dagang, satuan_kecil, sediaan, golongan, url, userid_updt, sysdate_updt) values ('93001171','Desmopressin 0,1 mg Tablet (MINIRIN)','92000520','Desmopressin 0,1 mg Tablet','MINIRIN','Tablet','Tablet','Obat Keras','https://dto.kemkes.go.id/kfacode/93001171',0,'2023-05-01');</v>
      </c>
    </row>
    <row r="337" spans="1:11" ht="15.75" customHeight="1">
      <c r="A337" s="2">
        <v>93001024</v>
      </c>
      <c r="B337" s="2" t="s">
        <v>2036</v>
      </c>
      <c r="C337" s="2">
        <v>92000343</v>
      </c>
      <c r="D337" s="2" t="s">
        <v>834</v>
      </c>
      <c r="E337" s="2" t="s">
        <v>2035</v>
      </c>
      <c r="F337" s="2" t="s">
        <v>640</v>
      </c>
      <c r="G337" s="2" t="s">
        <v>640</v>
      </c>
      <c r="H337" s="2" t="s">
        <v>1458</v>
      </c>
      <c r="I337" s="3" t="str">
        <f t="shared" si="0"/>
        <v>https://dto.kemkes.go.id/kfacode/93001024</v>
      </c>
      <c r="J337" s="34" t="s">
        <v>3768</v>
      </c>
      <c r="K337" t="str">
        <f t="shared" si="6"/>
        <v>insert into mkatalog_kfa93 (kode, uraian, kode_92, uraian_92, nama_dagang, satuan_kecil, sediaan, golongan, url, userid_updt, sysdate_updt) values ('93001024','Desmopressin 0.2 mg Tablet (MINIRIN)','92000343','Desmopressin 0.2 mg Tablet','MINIRIN','Tablet','Tablet','Obat Keras','https://dto.kemkes.go.id/kfacode/93001024',0,'2023-05-01');</v>
      </c>
    </row>
    <row r="338" spans="1:11" ht="15.75" customHeight="1">
      <c r="A338" s="2">
        <v>93000880</v>
      </c>
      <c r="B338" s="2" t="s">
        <v>2037</v>
      </c>
      <c r="C338" s="2">
        <v>92000620</v>
      </c>
      <c r="D338" s="2" t="s">
        <v>835</v>
      </c>
      <c r="E338" s="2" t="s">
        <v>2038</v>
      </c>
      <c r="F338" s="2" t="s">
        <v>640</v>
      </c>
      <c r="G338" s="2" t="s">
        <v>640</v>
      </c>
      <c r="H338" s="2" t="s">
        <v>1458</v>
      </c>
      <c r="I338" s="3" t="str">
        <f t="shared" si="0"/>
        <v>https://dto.kemkes.go.id/kfacode/93000880</v>
      </c>
      <c r="J338" s="34" t="s">
        <v>3768</v>
      </c>
      <c r="K338" t="str">
        <f t="shared" si="6"/>
        <v>insert into mkatalog_kfa93 (kode, uraian, kode_92, uraian_92, nama_dagang, satuan_kecil, sediaan, golongan, url, userid_updt, sysdate_updt) values ('93000880','Desogestrel 0,075 mg Tablet (DESIRETT)','92000620','Desogestrel 0,075 mg Tablet','DESIRETT','Tablet','Tablet','Obat Keras','https://dto.kemkes.go.id/kfacode/93000880',0,'2023-05-01');</v>
      </c>
    </row>
    <row r="339" spans="1:11" ht="15.75" customHeight="1">
      <c r="A339" s="2">
        <v>93000837</v>
      </c>
      <c r="B339" s="2" t="s">
        <v>2039</v>
      </c>
      <c r="C339" s="2">
        <v>92000446</v>
      </c>
      <c r="D339" s="2" t="s">
        <v>836</v>
      </c>
      <c r="E339" s="2" t="s">
        <v>2040</v>
      </c>
      <c r="F339" s="2" t="s">
        <v>655</v>
      </c>
      <c r="G339" s="2" t="s">
        <v>1661</v>
      </c>
      <c r="H339" s="2" t="s">
        <v>1458</v>
      </c>
      <c r="I339" s="3" t="str">
        <f t="shared" si="0"/>
        <v>https://dto.kemkes.go.id/kfacode/93000837</v>
      </c>
      <c r="J339" s="34" t="s">
        <v>3768</v>
      </c>
      <c r="K339" t="str">
        <f t="shared" si="6"/>
        <v>insert into mkatalog_kfa93 (kode, uraian, kode_92, uraian_92, nama_dagang, satuan_kecil, sediaan, golongan, url, userid_updt, sysdate_updt) values ('93000837','Desoximetasone 0,25 % Krim (COMBIPHAR, 10 g)','92000446','Desoximetasone 0,25 % Krim','DESOXIMETASONE','Tube','Krim','Obat Keras','https://dto.kemkes.go.id/kfacode/93000837',0,'2023-05-01');</v>
      </c>
    </row>
    <row r="340" spans="1:11" ht="15.75" customHeight="1">
      <c r="A340" s="2">
        <v>93001339</v>
      </c>
      <c r="B340" s="2" t="s">
        <v>2041</v>
      </c>
      <c r="C340" s="2">
        <v>92000446</v>
      </c>
      <c r="D340" s="2" t="s">
        <v>836</v>
      </c>
      <c r="E340" s="2" t="s">
        <v>2042</v>
      </c>
      <c r="F340" s="2" t="s">
        <v>655</v>
      </c>
      <c r="G340" s="2" t="s">
        <v>1661</v>
      </c>
      <c r="H340" s="2" t="s">
        <v>1458</v>
      </c>
      <c r="I340" s="3" t="str">
        <f t="shared" si="0"/>
        <v>https://dto.kemkes.go.id/kfacode/93001339</v>
      </c>
      <c r="J340" s="34" t="s">
        <v>3768</v>
      </c>
      <c r="K340" t="str">
        <f t="shared" si="6"/>
        <v>insert into mkatalog_kfa93 (kode, uraian, kode_92, uraian_92, nama_dagang, satuan_kecil, sediaan, golongan, url, userid_updt, sysdate_updt) values ('93001339','Desoximetasone 0,25 % Krim (DEXA MEDICA, 15 g)','92000446','Desoximetasone 0,25 % Krim','DESOXIMETASONE 0,25%','Tube','Krim','Obat Keras','https://dto.kemkes.go.id/kfacode/93001339',0,'2023-05-01');</v>
      </c>
    </row>
    <row r="341" spans="1:11" ht="15.75" customHeight="1">
      <c r="A341" s="2">
        <v>93000282</v>
      </c>
      <c r="B341" s="2" t="s">
        <v>2043</v>
      </c>
      <c r="C341" s="2">
        <v>92000244</v>
      </c>
      <c r="D341" s="2" t="s">
        <v>837</v>
      </c>
      <c r="E341" s="2" t="s">
        <v>2044</v>
      </c>
      <c r="F341" s="2" t="s">
        <v>655</v>
      </c>
      <c r="G341" s="2" t="s">
        <v>1628</v>
      </c>
      <c r="H341" s="2" t="s">
        <v>1458</v>
      </c>
      <c r="I341" s="3" t="str">
        <f t="shared" si="0"/>
        <v>https://dto.kemkes.go.id/kfacode/93000282</v>
      </c>
      <c r="J341" s="34" t="s">
        <v>3768</v>
      </c>
      <c r="K341" t="str">
        <f t="shared" si="6"/>
        <v>insert into mkatalog_kfa93 (kode, uraian, kode_92, uraian_92, nama_dagang, satuan_kecil, sediaan, golongan, url, userid_updt, sysdate_updt) values ('93000282','Desoximetasone 0,25% Salep (ETERCON PHARMA)','92000244','Desoximetasone 0,25% Salep','DESOXIMETASON SALEP 0,25%','Tube','Salep','Obat Keras','https://dto.kemkes.go.id/kfacode/93000282',0,'2023-05-01');</v>
      </c>
    </row>
    <row r="342" spans="1:11" ht="15.75" customHeight="1">
      <c r="A342" s="2">
        <v>93001540</v>
      </c>
      <c r="B342" s="2" t="s">
        <v>2045</v>
      </c>
      <c r="C342" s="2">
        <v>92000287</v>
      </c>
      <c r="D342" s="2" t="s">
        <v>838</v>
      </c>
      <c r="E342" s="2" t="s">
        <v>2046</v>
      </c>
      <c r="F342" s="2" t="s">
        <v>640</v>
      </c>
      <c r="G342" s="2" t="s">
        <v>640</v>
      </c>
      <c r="H342" s="2" t="s">
        <v>1458</v>
      </c>
      <c r="I342" s="3" t="str">
        <f t="shared" si="0"/>
        <v>https://dto.kemkes.go.id/kfacode/93001540</v>
      </c>
      <c r="J342" s="34" t="s">
        <v>3768</v>
      </c>
      <c r="K342" t="str">
        <f t="shared" si="6"/>
        <v>insert into mkatalog_kfa93 (kode, uraian, kode_92, uraian_92, nama_dagang, satuan_kecil, sediaan, golongan, url, userid_updt, sysdate_updt) values ('93001540','Dexamethasone 0,5 mg Tablet (IMFARMIND FARMASI INDUSTRI)','92000287','Dexamethasone 0,5 mg Tablet','DEXAMETHASONE','Tablet','Tablet','Obat Keras','https://dto.kemkes.go.id/kfacode/93001540',0,'2023-05-01');</v>
      </c>
    </row>
    <row r="343" spans="1:11" ht="15.75" customHeight="1">
      <c r="A343" s="2">
        <v>93000399</v>
      </c>
      <c r="B343" s="2" t="s">
        <v>2047</v>
      </c>
      <c r="C343" s="2">
        <v>92000287</v>
      </c>
      <c r="D343" s="2" t="s">
        <v>838</v>
      </c>
      <c r="E343" s="2" t="s">
        <v>2046</v>
      </c>
      <c r="F343" s="2" t="s">
        <v>640</v>
      </c>
      <c r="G343" s="2" t="s">
        <v>640</v>
      </c>
      <c r="H343" s="2" t="s">
        <v>1458</v>
      </c>
      <c r="I343" s="3" t="str">
        <f t="shared" si="0"/>
        <v>https://dto.kemkes.go.id/kfacode/93000399</v>
      </c>
      <c r="J343" s="34" t="s">
        <v>3768</v>
      </c>
      <c r="K343" t="str">
        <f t="shared" si="6"/>
        <v>insert into mkatalog_kfa93 (kode, uraian, kode_92, uraian_92, nama_dagang, satuan_kecil, sediaan, golongan, url, userid_updt, sysdate_updt) values ('93000399','Dexamethasone 0,5 mg Tablet (MOLEX AYUS)','92000287','Dexamethasone 0,5 mg Tablet','DEXAMETHASONE','Tablet','Tablet','Obat Keras','https://dto.kemkes.go.id/kfacode/93000399',0,'2023-05-01');</v>
      </c>
    </row>
    <row r="344" spans="1:11" ht="15.75" customHeight="1">
      <c r="A344" s="2">
        <v>93001173</v>
      </c>
      <c r="B344" s="2" t="s">
        <v>2048</v>
      </c>
      <c r="C344" s="2">
        <v>92000525</v>
      </c>
      <c r="D344" s="2" t="s">
        <v>839</v>
      </c>
      <c r="E344" s="2" t="s">
        <v>2049</v>
      </c>
      <c r="F344" s="2" t="s">
        <v>645</v>
      </c>
      <c r="G344" s="2" t="s">
        <v>1506</v>
      </c>
      <c r="H344" s="2" t="s">
        <v>1458</v>
      </c>
      <c r="I344" s="3" t="str">
        <f t="shared" si="0"/>
        <v>https://dto.kemkes.go.id/kfacode/93001173</v>
      </c>
      <c r="J344" s="34" t="s">
        <v>3768</v>
      </c>
      <c r="K344" t="str">
        <f t="shared" si="6"/>
        <v>insert into mkatalog_kfa93 (kode, uraian, kode_92, uraian_92, nama_dagang, satuan_kecil, sediaan, golongan, url, userid_updt, sysdate_updt) values ('93001173','Dexamethasone 5 mg / mL Injeksi (PHAPROS Tbk)','92000525','Dexamethasone 5 mg / mL Injeksi','DEXAMETHASONE SODIUM PHOSPHATE','Ampul','Larutan Injeksi','Obat Keras','https://dto.kemkes.go.id/kfacode/93001173',0,'2023-05-01');</v>
      </c>
    </row>
    <row r="345" spans="1:11" ht="15.75" customHeight="1">
      <c r="A345" s="2">
        <v>93000835</v>
      </c>
      <c r="B345" s="2" t="s">
        <v>2050</v>
      </c>
      <c r="C345" s="2">
        <v>92000443</v>
      </c>
      <c r="D345" s="2" t="s">
        <v>840</v>
      </c>
      <c r="E345" s="2" t="s">
        <v>2051</v>
      </c>
      <c r="F345" s="2" t="s">
        <v>653</v>
      </c>
      <c r="G345" s="2" t="s">
        <v>1506</v>
      </c>
      <c r="H345" s="2" t="s">
        <v>1458</v>
      </c>
      <c r="I345" s="3" t="str">
        <f t="shared" si="0"/>
        <v>https://dto.kemkes.go.id/kfacode/93000835</v>
      </c>
      <c r="J345" s="34" t="s">
        <v>3768</v>
      </c>
      <c r="K345" t="str">
        <f t="shared" si="6"/>
        <v>insert into mkatalog_kfa93 (kode, uraian, kode_92, uraian_92, nama_dagang, satuan_kecil, sediaan, golongan, url, userid_updt, sysdate_updt) values ('93000835','Dexmedetomidine 100 mcg / mL Injeksi (KABIMIDINE)','92000443','Dexmedetomidine 100 mcg / mL Injeksi','KABIMIDINE','Vial','Larutan Injeksi','Obat Keras','https://dto.kemkes.go.id/kfacode/93000835',0,'2023-05-01');</v>
      </c>
    </row>
    <row r="346" spans="1:11" ht="15.75" customHeight="1">
      <c r="A346" s="2">
        <v>93001462</v>
      </c>
      <c r="B346" s="2" t="s">
        <v>2052</v>
      </c>
      <c r="C346" s="2">
        <v>92000176</v>
      </c>
      <c r="D346" s="2" t="s">
        <v>841</v>
      </c>
      <c r="E346" s="2" t="s">
        <v>2053</v>
      </c>
      <c r="F346" s="2" t="s">
        <v>702</v>
      </c>
      <c r="G346" s="2" t="s">
        <v>1530</v>
      </c>
      <c r="H346" s="2" t="s">
        <v>1458</v>
      </c>
      <c r="I346" s="3" t="str">
        <f t="shared" si="0"/>
        <v>https://dto.kemkes.go.id/kfacode/93001462</v>
      </c>
      <c r="J346" s="34" t="s">
        <v>3768</v>
      </c>
      <c r="K346" t="str">
        <f t="shared" si="6"/>
        <v>insert into mkatalog_kfa93 (kode, uraian, kode_92, uraian_92, nama_dagang, satuan_kecil, sediaan, golongan, url, userid_updt, sysdate_updt) values ('93001462','Dextrose 5% Infus (B.BRAUN PHARMACEUTICAL INDONESIA, 100 mL)','92000176','Dextrose 5% Infus','DEXTROSE MONOHYDRATE','Botol Plastik','Infus','Obat Keras','https://dto.kemkes.go.id/kfacode/93001462',0,'2023-05-01');</v>
      </c>
    </row>
    <row r="347" spans="1:11" ht="15.75" customHeight="1">
      <c r="A347" s="2">
        <v>93001237</v>
      </c>
      <c r="B347" s="2" t="s">
        <v>2054</v>
      </c>
      <c r="C347" s="2">
        <v>92000176</v>
      </c>
      <c r="D347" s="2" t="s">
        <v>841</v>
      </c>
      <c r="E347" s="2" t="s">
        <v>2053</v>
      </c>
      <c r="F347" s="2" t="s">
        <v>702</v>
      </c>
      <c r="G347" s="2" t="s">
        <v>1530</v>
      </c>
      <c r="H347" s="2" t="s">
        <v>1458</v>
      </c>
      <c r="I347" s="3" t="str">
        <f t="shared" si="0"/>
        <v>https://dto.kemkes.go.id/kfacode/93001237</v>
      </c>
      <c r="J347" s="34" t="s">
        <v>3768</v>
      </c>
      <c r="K347" t="str">
        <f t="shared" si="6"/>
        <v>insert into mkatalog_kfa93 (kode, uraian, kode_92, uraian_92, nama_dagang, satuan_kecil, sediaan, golongan, url, userid_updt, sysdate_updt) values ('93001237','Dextrose 5% Infus (B.BRAUN PHARMACEUTICAL INDONESIA)','92000176','Dextrose 5% Infus','DEXTROSE MONOHYDRATE','Botol Plastik','Infus','Obat Keras','https://dto.kemkes.go.id/kfacode/93001237',0,'2023-05-01');</v>
      </c>
    </row>
    <row r="348" spans="1:11" ht="15.75" customHeight="1">
      <c r="A348" s="2">
        <v>93001188</v>
      </c>
      <c r="B348" s="2" t="s">
        <v>2055</v>
      </c>
      <c r="C348" s="2">
        <v>92000176</v>
      </c>
      <c r="D348" s="2" t="s">
        <v>841</v>
      </c>
      <c r="E348" s="2" t="s">
        <v>2053</v>
      </c>
      <c r="F348" s="2" t="s">
        <v>702</v>
      </c>
      <c r="G348" s="2" t="s">
        <v>1530</v>
      </c>
      <c r="H348" s="2" t="s">
        <v>1458</v>
      </c>
      <c r="I348" s="3" t="str">
        <f t="shared" si="0"/>
        <v>https://dto.kemkes.go.id/kfacode/93001188</v>
      </c>
      <c r="J348" s="34" t="s">
        <v>3768</v>
      </c>
      <c r="K348" t="str">
        <f t="shared" si="6"/>
        <v>insert into mkatalog_kfa93 (kode, uraian, kode_92, uraian_92, nama_dagang, satuan_kecil, sediaan, golongan, url, userid_updt, sysdate_updt) values ('93001188','Dextrose 5% Infus (EMJEBE PHARMA, 500 mL)','92000176','Dextrose 5% Infus','DEXTROSE MONOHYDRATE','Botol Plastik','Infus','Obat Keras','https://dto.kemkes.go.id/kfacode/93001188',0,'2023-05-01');</v>
      </c>
    </row>
    <row r="349" spans="1:11" ht="15.75" customHeight="1">
      <c r="A349" s="2">
        <v>93001242</v>
      </c>
      <c r="B349" s="2" t="s">
        <v>2056</v>
      </c>
      <c r="C349" s="2">
        <v>92000176</v>
      </c>
      <c r="D349" s="2" t="s">
        <v>841</v>
      </c>
      <c r="E349" s="2" t="s">
        <v>2053</v>
      </c>
      <c r="F349" s="2" t="s">
        <v>702</v>
      </c>
      <c r="G349" s="2" t="s">
        <v>1530</v>
      </c>
      <c r="H349" s="2" t="s">
        <v>1458</v>
      </c>
      <c r="I349" s="3" t="str">
        <f t="shared" si="0"/>
        <v>https://dto.kemkes.go.id/kfacode/93001242</v>
      </c>
      <c r="J349" s="34" t="s">
        <v>3768</v>
      </c>
      <c r="K349" t="str">
        <f t="shared" si="6"/>
        <v>insert into mkatalog_kfa93 (kode, uraian, kode_92, uraian_92, nama_dagang, satuan_kecil, sediaan, golongan, url, userid_updt, sysdate_updt) values ('93001242','Dextrose 5% Infus (MERSIFARMA TIRMAKU MERCUSANA)','92000176','Dextrose 5% Infus','DEXTROSE MONOHYDRATE','Botol Plastik','Infus','Obat Keras','https://dto.kemkes.go.id/kfacode/93001242',0,'2023-05-01');</v>
      </c>
    </row>
    <row r="350" spans="1:11" ht="15.75" customHeight="1">
      <c r="A350" s="2">
        <v>93000179</v>
      </c>
      <c r="B350" s="2" t="s">
        <v>2057</v>
      </c>
      <c r="C350" s="2">
        <v>92000176</v>
      </c>
      <c r="D350" s="2" t="s">
        <v>841</v>
      </c>
      <c r="E350" s="2" t="s">
        <v>2053</v>
      </c>
      <c r="F350" s="2" t="s">
        <v>702</v>
      </c>
      <c r="G350" s="2" t="s">
        <v>1530</v>
      </c>
      <c r="H350" s="2" t="s">
        <v>1458</v>
      </c>
      <c r="I350" s="3" t="str">
        <f t="shared" si="0"/>
        <v>https://dto.kemkes.go.id/kfacode/93000179</v>
      </c>
      <c r="J350" s="34" t="s">
        <v>3768</v>
      </c>
      <c r="K350" t="str">
        <f t="shared" si="6"/>
        <v>insert into mkatalog_kfa93 (kode, uraian, kode_92, uraian_92, nama_dagang, satuan_kecil, sediaan, golongan, url, userid_updt, sysdate_updt) values ('93000179','Dextrose 5% Infus (NATURA LABORATORIA PRIMA)','92000176','Dextrose 5% Infus','DEXTROSE MONOHYDRATE','Botol Plastik','Infus','Obat Keras','https://dto.kemkes.go.id/kfacode/93000179',0,'2023-05-01');</v>
      </c>
    </row>
    <row r="351" spans="1:11" ht="15.75" customHeight="1">
      <c r="A351" s="2">
        <v>93001236</v>
      </c>
      <c r="B351" s="2" t="s">
        <v>2058</v>
      </c>
      <c r="C351" s="2">
        <v>92000176</v>
      </c>
      <c r="D351" s="2" t="s">
        <v>841</v>
      </c>
      <c r="E351" s="2" t="s">
        <v>2059</v>
      </c>
      <c r="F351" s="2" t="s">
        <v>702</v>
      </c>
      <c r="G351" s="2" t="s">
        <v>1530</v>
      </c>
      <c r="H351" s="2" t="s">
        <v>1458</v>
      </c>
      <c r="I351" s="3" t="str">
        <f t="shared" si="0"/>
        <v>https://dto.kemkes.go.id/kfacode/93001236</v>
      </c>
      <c r="J351" s="34" t="s">
        <v>3768</v>
      </c>
      <c r="K351" t="str">
        <f t="shared" si="6"/>
        <v>insert into mkatalog_kfa93 (kode, uraian, kode_92, uraian_92, nama_dagang, satuan_kecil, sediaan, golongan, url, userid_updt, sysdate_updt) values ('93001236','Dextrose 5% Infus (OTSU - D5)','92000176','Dextrose 5% Infus','OTSU - D5','Botol Plastik','Infus','Obat Keras','https://dto.kemkes.go.id/kfacode/93001236',0,'2023-05-01');</v>
      </c>
    </row>
    <row r="352" spans="1:11" ht="15.75" customHeight="1">
      <c r="A352" s="2">
        <v>93001193</v>
      </c>
      <c r="B352" s="2" t="s">
        <v>2060</v>
      </c>
      <c r="C352" s="2">
        <v>92000176</v>
      </c>
      <c r="D352" s="2" t="s">
        <v>841</v>
      </c>
      <c r="E352" s="2" t="s">
        <v>2061</v>
      </c>
      <c r="F352" s="2" t="s">
        <v>702</v>
      </c>
      <c r="G352" s="2" t="s">
        <v>1530</v>
      </c>
      <c r="H352" s="2" t="s">
        <v>1458</v>
      </c>
      <c r="I352" s="3" t="str">
        <f t="shared" si="0"/>
        <v>https://dto.kemkes.go.id/kfacode/93001193</v>
      </c>
      <c r="J352" s="34" t="s">
        <v>3768</v>
      </c>
      <c r="K352" t="str">
        <f t="shared" si="6"/>
        <v>insert into mkatalog_kfa93 (kode, uraian, kode_92, uraian_92, nama_dagang, satuan_kecil, sediaan, golongan, url, userid_updt, sysdate_updt) values ('93001193','Dextrose 5% Infus (SATORIA ANEKA INDUSTRI, 500 mL)','92000176','Dextrose 5% Infus','DEXTROSE ANHYDRATE','Botol Plastik','Infus','Obat Keras','https://dto.kemkes.go.id/kfacode/93001193',0,'2023-05-01');</v>
      </c>
    </row>
    <row r="353" spans="1:11" ht="15.75" customHeight="1">
      <c r="A353" s="2">
        <v>93001133</v>
      </c>
      <c r="B353" s="2" t="s">
        <v>2062</v>
      </c>
      <c r="C353" s="2">
        <v>92000176</v>
      </c>
      <c r="D353" s="2" t="s">
        <v>841</v>
      </c>
      <c r="E353" s="2" t="s">
        <v>2063</v>
      </c>
      <c r="F353" s="2" t="s">
        <v>702</v>
      </c>
      <c r="G353" s="2" t="s">
        <v>1530</v>
      </c>
      <c r="H353" s="2" t="s">
        <v>1458</v>
      </c>
      <c r="I353" s="3" t="str">
        <f t="shared" si="0"/>
        <v>https://dto.kemkes.go.id/kfacode/93001133</v>
      </c>
      <c r="J353" s="34" t="s">
        <v>3768</v>
      </c>
      <c r="K353" t="str">
        <f t="shared" si="6"/>
        <v>insert into mkatalog_kfa93 (kode, uraian, kode_92, uraian_92, nama_dagang, satuan_kecil, sediaan, golongan, url, userid_updt, sysdate_updt) values ('93001133','Dextrose 5% Infus (WIDATRA BHAKTI, 500 mL)','92000176','Dextrose 5% Infus','DEXTROSE','Botol Plastik','Infus','Obat Keras','https://dto.kemkes.go.id/kfacode/93001133',0,'2023-05-01');</v>
      </c>
    </row>
    <row r="354" spans="1:11" ht="15.75" customHeight="1">
      <c r="A354" s="2">
        <v>93001201</v>
      </c>
      <c r="B354" s="2" t="s">
        <v>2064</v>
      </c>
      <c r="C354" s="2">
        <v>92000199</v>
      </c>
      <c r="D354" s="2" t="s">
        <v>842</v>
      </c>
      <c r="E354" s="2" t="s">
        <v>2065</v>
      </c>
      <c r="F354" s="2" t="s">
        <v>658</v>
      </c>
      <c r="G354" s="2" t="s">
        <v>1530</v>
      </c>
      <c r="H354" s="2" t="s">
        <v>1458</v>
      </c>
      <c r="I354" s="3" t="str">
        <f t="shared" si="0"/>
        <v>https://dto.kemkes.go.id/kfacode/93001201</v>
      </c>
      <c r="J354" s="34" t="s">
        <v>3768</v>
      </c>
      <c r="K354" t="str">
        <f t="shared" si="6"/>
        <v>insert into mkatalog_kfa93 (kode, uraian, kode_92, uraian_92, nama_dagang, satuan_kecil, sediaan, golongan, url, userid_updt, sysdate_updt) values ('93001201','Dextrose Anhydrate 10% Infus (OTSU - D10)','92000199','Dextrose Anhydrate 10% Infus','OTSU - D10','Botol','Infus','Obat Keras','https://dto.kemkes.go.id/kfacode/93001201',0,'2023-05-01');</v>
      </c>
    </row>
    <row r="355" spans="1:11" ht="15.75" customHeight="1">
      <c r="A355" s="2">
        <v>93000300</v>
      </c>
      <c r="B355" s="2" t="s">
        <v>2066</v>
      </c>
      <c r="C355" s="2">
        <v>92000199</v>
      </c>
      <c r="D355" s="2" t="s">
        <v>842</v>
      </c>
      <c r="E355" s="2" t="s">
        <v>2061</v>
      </c>
      <c r="F355" s="2" t="s">
        <v>658</v>
      </c>
      <c r="G355" s="2" t="s">
        <v>1530</v>
      </c>
      <c r="H355" s="2" t="s">
        <v>1458</v>
      </c>
      <c r="I355" s="3" t="str">
        <f t="shared" si="0"/>
        <v>https://dto.kemkes.go.id/kfacode/93000300</v>
      </c>
      <c r="J355" s="34" t="s">
        <v>3768</v>
      </c>
      <c r="K355" t="str">
        <f t="shared" si="6"/>
        <v>insert into mkatalog_kfa93 (kode, uraian, kode_92, uraian_92, nama_dagang, satuan_kecil, sediaan, golongan, url, userid_updt, sysdate_updt) values ('93000300','Dextrose Anhydrate 10% Infus (SATORIA ANEKA INDUSTRI)','92000199','Dextrose Anhydrate 10% Infus','DEXTROSE ANHYDRATE','Botol','Infus','Obat Keras','https://dto.kemkes.go.id/kfacode/93000300',0,'2023-05-01');</v>
      </c>
    </row>
    <row r="356" spans="1:11" ht="15.75" customHeight="1">
      <c r="A356" s="2">
        <v>93000852</v>
      </c>
      <c r="B356" s="2" t="s">
        <v>2067</v>
      </c>
      <c r="C356" s="2">
        <v>92000605</v>
      </c>
      <c r="D356" s="2" t="s">
        <v>843</v>
      </c>
      <c r="E356" s="2" t="s">
        <v>2068</v>
      </c>
      <c r="F356" s="2" t="s">
        <v>673</v>
      </c>
      <c r="G356" s="2" t="s">
        <v>1530</v>
      </c>
      <c r="H356" s="2" t="s">
        <v>1458</v>
      </c>
      <c r="I356" s="3" t="str">
        <f t="shared" si="0"/>
        <v>https://dto.kemkes.go.id/kfacode/93000852</v>
      </c>
      <c r="J356" s="34" t="s">
        <v>3768</v>
      </c>
      <c r="K356" t="str">
        <f t="shared" si="6"/>
        <v>insert into mkatalog_kfa93 (kode, uraian, kode_92, uraian_92, nama_dagang, satuan_kecil, sediaan, golongan, url, userid_updt, sysdate_updt) values ('93000852','Dextrose Monohydrate 0.875 g / Sodium Chloride 0.75 g / Potassium Chloride 0.375 g / Sodium Lactate 1.12 g Infus (TRIDEX 27B, 500 mL)','92000605','Dextrose Monohydrate 0.875 g / Sodium Chloride 0.75 g / Potassium Chloride 0.375 g / Sodium Lactate 1.12 g Infus','TRIDEX 27 B','Flexy Bag','Infus','Obat Keras','https://dto.kemkes.go.id/kfacode/93000852',0,'2023-05-01');</v>
      </c>
    </row>
    <row r="357" spans="1:11" ht="15.75" customHeight="1">
      <c r="A357" s="2">
        <v>93001465</v>
      </c>
      <c r="B357" s="2" t="s">
        <v>2069</v>
      </c>
      <c r="C357" s="2">
        <v>92000198</v>
      </c>
      <c r="D357" s="2" t="s">
        <v>844</v>
      </c>
      <c r="E357" s="2" t="s">
        <v>2053</v>
      </c>
      <c r="F357" s="2" t="s">
        <v>658</v>
      </c>
      <c r="G357" s="2" t="s">
        <v>1530</v>
      </c>
      <c r="H357" s="2" t="s">
        <v>1458</v>
      </c>
      <c r="I357" s="3" t="str">
        <f t="shared" si="0"/>
        <v>https://dto.kemkes.go.id/kfacode/93001465</v>
      </c>
      <c r="J357" s="34" t="s">
        <v>3768</v>
      </c>
      <c r="K357" t="str">
        <f t="shared" si="6"/>
        <v>insert into mkatalog_kfa93 (kode, uraian, kode_92, uraian_92, nama_dagang, satuan_kecil, sediaan, golongan, url, userid_updt, sysdate_updt) values ('93001465','Dextrose Monohydrate 10% Infus (B.BRAUN PHARMACEUTICAL INDONESIA)','92000198','Dextrose Monohydrate 10% Infus','DEXTROSE MONOHYDRATE','Botol','Infus','Obat Keras','https://dto.kemkes.go.id/kfacode/93001465',0,'2023-05-01');</v>
      </c>
    </row>
    <row r="358" spans="1:11" ht="15.75" customHeight="1">
      <c r="A358" s="2">
        <v>93000301</v>
      </c>
      <c r="B358" s="2" t="s">
        <v>2070</v>
      </c>
      <c r="C358" s="2">
        <v>92000198</v>
      </c>
      <c r="D358" s="2" t="s">
        <v>844</v>
      </c>
      <c r="E358" s="2" t="s">
        <v>2053</v>
      </c>
      <c r="F358" s="2" t="s">
        <v>658</v>
      </c>
      <c r="G358" s="2" t="s">
        <v>1530</v>
      </c>
      <c r="H358" s="2" t="s">
        <v>1458</v>
      </c>
      <c r="I358" s="3" t="str">
        <f t="shared" si="0"/>
        <v>https://dto.kemkes.go.id/kfacode/93000301</v>
      </c>
      <c r="J358" s="34" t="s">
        <v>3768</v>
      </c>
      <c r="K358" t="str">
        <f t="shared" si="6"/>
        <v>insert into mkatalog_kfa93 (kode, uraian, kode_92, uraian_92, nama_dagang, satuan_kecil, sediaan, golongan, url, userid_updt, sysdate_updt) values ('93000301','Dextrose Monohydrate 10% Infus (MERSIFARMA TIRMAKU MERCUSANA)','92000198','Dextrose Monohydrate 10% Infus','DEXTROSE MONOHYDRATE','Botol','Infus','Obat Keras','https://dto.kemkes.go.id/kfacode/93000301',0,'2023-05-01');</v>
      </c>
    </row>
    <row r="359" spans="1:11" ht="15.75" customHeight="1">
      <c r="A359" s="2">
        <v>93001132</v>
      </c>
      <c r="B359" s="2" t="s">
        <v>2071</v>
      </c>
      <c r="C359" s="2">
        <v>92000198</v>
      </c>
      <c r="D359" s="2" t="s">
        <v>844</v>
      </c>
      <c r="E359" s="2" t="s">
        <v>2063</v>
      </c>
      <c r="F359" s="2" t="s">
        <v>658</v>
      </c>
      <c r="G359" s="2" t="s">
        <v>1530</v>
      </c>
      <c r="H359" s="2" t="s">
        <v>1458</v>
      </c>
      <c r="I359" s="3" t="str">
        <f t="shared" si="0"/>
        <v>https://dto.kemkes.go.id/kfacode/93001132</v>
      </c>
      <c r="J359" s="34" t="s">
        <v>3768</v>
      </c>
      <c r="K359" t="str">
        <f t="shared" si="6"/>
        <v>insert into mkatalog_kfa93 (kode, uraian, kode_92, uraian_92, nama_dagang, satuan_kecil, sediaan, golongan, url, userid_updt, sysdate_updt) values ('93001132','Dextrose Monohydrate 10% Infus (WIDATRA BHAKTI)','92000198','Dextrose Monohydrate 10% Infus','DEXTROSE','Botol','Infus','Obat Keras','https://dto.kemkes.go.id/kfacode/93001132',0,'2023-05-01');</v>
      </c>
    </row>
    <row r="360" spans="1:11" ht="15.75" customHeight="1">
      <c r="A360" s="2">
        <v>93000838</v>
      </c>
      <c r="B360" s="2" t="s">
        <v>2072</v>
      </c>
      <c r="C360" s="2">
        <v>92000265</v>
      </c>
      <c r="D360" s="2" t="s">
        <v>845</v>
      </c>
      <c r="E360" s="2" t="s">
        <v>2073</v>
      </c>
      <c r="F360" s="2" t="s">
        <v>671</v>
      </c>
      <c r="G360" s="2" t="s">
        <v>1530</v>
      </c>
      <c r="H360" s="2" t="s">
        <v>1458</v>
      </c>
      <c r="I360" s="3" t="str">
        <f t="shared" si="0"/>
        <v>https://dto.kemkes.go.id/kfacode/93000838</v>
      </c>
      <c r="J360" s="34" t="s">
        <v>3768</v>
      </c>
      <c r="K360" t="str">
        <f t="shared" si="6"/>
        <v>insert into mkatalog_kfa93 (kode, uraian, kode_92, uraian_92, nama_dagang, satuan_kecil, sediaan, golongan, url, userid_updt, sysdate_updt) values ('93000838','Dextrose Monohydrate 12.5 g / Potassium Chloride 0.65 g / Sodium Lactate 1.55 g / Sodium Chloride 1 g Infus (WIDA HSD, 500 mL)','92000265','Dextrose Monohydrate 12.5 g / Potassium Chloride 0.65 g / Sodium Lactate 1.55 g / Sodium Chloride 1 g Infus','WIDA HSD','Kantong','Infus','Obat Keras','https://dto.kemkes.go.id/kfacode/93000838',0,'2023-05-01');</v>
      </c>
    </row>
    <row r="361" spans="1:11" ht="15.75" customHeight="1">
      <c r="A361" s="2">
        <v>93000851</v>
      </c>
      <c r="B361" s="2" t="s">
        <v>2074</v>
      </c>
      <c r="C361" s="2">
        <v>92000604</v>
      </c>
      <c r="D361" s="2" t="s">
        <v>846</v>
      </c>
      <c r="E361" s="2" t="s">
        <v>2075</v>
      </c>
      <c r="F361" s="2" t="s">
        <v>673</v>
      </c>
      <c r="G361" s="2" t="s">
        <v>1530</v>
      </c>
      <c r="H361" s="2" t="s">
        <v>1458</v>
      </c>
      <c r="I361" s="3" t="str">
        <f t="shared" si="0"/>
        <v>https://dto.kemkes.go.id/kfacode/93000851</v>
      </c>
      <c r="J361" s="34" t="s">
        <v>3768</v>
      </c>
      <c r="K361" t="str">
        <f t="shared" si="6"/>
        <v>insert into mkatalog_kfa93 (kode, uraian, kode_92, uraian_92, nama_dagang, satuan_kecil, sediaan, golongan, url, userid_updt, sysdate_updt) values ('93000851','Dextrose Monohydrate 15.421 g / Sodium Chloride 1.17 g / Potassium Chloride 0.375 g /  Sodium Lactate 1.12 g Infus (TRIDEX 27 A, 500 mL)','92000604','Dextrose Monohydrate 15.421 g / Sodium Chloride 1.17 g / Potassium Chloride 0.375 g /  Sodium Lactate 1.12 g Infus','TRIDEX 27 A','Flexy Bag','Infus','Obat Keras','https://dto.kemkes.go.id/kfacode/93000851',0,'2023-05-01');</v>
      </c>
    </row>
    <row r="362" spans="1:11" ht="15.75" customHeight="1">
      <c r="A362" s="2">
        <v>93001646</v>
      </c>
      <c r="B362" s="2" t="s">
        <v>2076</v>
      </c>
      <c r="C362" s="2">
        <v>92000941</v>
      </c>
      <c r="D362" s="2" t="s">
        <v>847</v>
      </c>
      <c r="E362" s="2" t="s">
        <v>2077</v>
      </c>
      <c r="F362" s="2" t="s">
        <v>702</v>
      </c>
      <c r="G362" s="2" t="s">
        <v>1530</v>
      </c>
      <c r="H362" s="2" t="s">
        <v>1458</v>
      </c>
      <c r="I362" s="3" t="str">
        <f t="shared" si="0"/>
        <v>https://dto.kemkes.go.id/kfacode/93001646</v>
      </c>
      <c r="J362" s="34" t="s">
        <v>3768</v>
      </c>
      <c r="K362" t="str">
        <f t="shared" si="6"/>
        <v>insert into mkatalog_kfa93 (kode, uraian, kode_92, uraian_92, nama_dagang, satuan_kecil, sediaan, golongan, url, userid_updt, sysdate_updt) values ('93001646','Dextrose Monohydrate 20,625 g / Potassium Chloride 0,3 g / Sodium Chloride 0.585 g / Sodium Lactate 0,560 g Infus (KA-EN 4B)','92000941','Dextrose Monohydrate 20,625 g / Potassium Chloride 0,3 g / Sodium Chloride 0.585 g / Sodium Lactate 0,560 g Infus','KA-EN 4B','Botol Plastik','Infus','Obat Keras','https://dto.kemkes.go.id/kfacode/93001646',0,'2023-05-01');</v>
      </c>
    </row>
    <row r="363" spans="1:11" ht="15.75" customHeight="1">
      <c r="A363" s="2">
        <v>93000842</v>
      </c>
      <c r="B363" s="2" t="s">
        <v>2078</v>
      </c>
      <c r="C363" s="2">
        <v>92000597</v>
      </c>
      <c r="D363" s="2" t="s">
        <v>848</v>
      </c>
      <c r="E363" s="2" t="s">
        <v>2079</v>
      </c>
      <c r="F363" s="2" t="s">
        <v>673</v>
      </c>
      <c r="G363" s="2" t="s">
        <v>1530</v>
      </c>
      <c r="H363" s="2" t="s">
        <v>1458</v>
      </c>
      <c r="I363" s="3" t="str">
        <f t="shared" si="0"/>
        <v>https://dto.kemkes.go.id/kfacode/93000842</v>
      </c>
      <c r="J363" s="34" t="s">
        <v>3768</v>
      </c>
      <c r="K363" t="str">
        <f t="shared" si="6"/>
        <v>insert into mkatalog_kfa93 (kode, uraian, kode_92, uraian_92, nama_dagang, satuan_kecil, sediaan, golongan, url, userid_updt, sysdate_updt) values ('93000842','Dextrose Monohydrate 20.398 g / Sodium Chloride 1.125 g Infus (TRIDEX PLAIN, 500 mL)','92000597','Dextrose Monohydrate 20.398 g / Sodium Chloride 1.125 g Infus','TRIDEX PLAIN','Flexy Bag','Infus','Obat Keras','https://dto.kemkes.go.id/kfacode/93000842',0,'2023-05-01');</v>
      </c>
    </row>
    <row r="364" spans="1:11" ht="15.75" customHeight="1">
      <c r="A364" s="2">
        <v>93001645</v>
      </c>
      <c r="B364" s="2" t="s">
        <v>2080</v>
      </c>
      <c r="C364" s="2">
        <v>92000940</v>
      </c>
      <c r="D364" s="2" t="s">
        <v>849</v>
      </c>
      <c r="E364" s="2" t="s">
        <v>2081</v>
      </c>
      <c r="F364" s="2" t="s">
        <v>702</v>
      </c>
      <c r="G364" s="2" t="s">
        <v>1530</v>
      </c>
      <c r="H364" s="2" t="s">
        <v>1458</v>
      </c>
      <c r="I364" s="3" t="str">
        <f t="shared" si="0"/>
        <v>https://dto.kemkes.go.id/kfacode/93001645</v>
      </c>
      <c r="J364" s="34" t="s">
        <v>3768</v>
      </c>
      <c r="K364" t="str">
        <f t="shared" si="6"/>
        <v>insert into mkatalog_kfa93 (kode, uraian, kode_92, uraian_92, nama_dagang, satuan_kecil, sediaan, golongan, url, userid_updt, sysdate_updt) values ('93001645','Dextrose Monohydrate 22 g / Sodium Chloride 0,585 g / Sodium Lactate 0,560 g Infus (KA-EN 4A)','92000940','Dextrose Monohydrate 22 g / Sodium Chloride 0,585 g / Sodium Lactate 0,560 g Infus','KA-EN 4A','Botol Plastik','Infus','Obat Keras','https://dto.kemkes.go.id/kfacode/93001645',0,'2023-05-01');</v>
      </c>
    </row>
    <row r="365" spans="1:11" ht="15.75" customHeight="1">
      <c r="A365" s="2">
        <v>93000715</v>
      </c>
      <c r="B365" s="2" t="s">
        <v>2082</v>
      </c>
      <c r="C365" s="2">
        <v>92000506</v>
      </c>
      <c r="D365" s="2" t="s">
        <v>850</v>
      </c>
      <c r="E365" s="2" t="s">
        <v>2083</v>
      </c>
      <c r="F365" s="2" t="s">
        <v>702</v>
      </c>
      <c r="G365" s="2" t="s">
        <v>1530</v>
      </c>
      <c r="H365" s="2" t="s">
        <v>1458</v>
      </c>
      <c r="I365" s="3" t="str">
        <f t="shared" si="0"/>
        <v>https://dto.kemkes.go.id/kfacode/93000715</v>
      </c>
      <c r="J365" s="34" t="s">
        <v>3768</v>
      </c>
      <c r="K365" t="str">
        <f t="shared" si="6"/>
        <v>insert into mkatalog_kfa93 (kode, uraian, kode_92, uraian_92, nama_dagang, satuan_kecil, sediaan, golongan, url, userid_updt, sysdate_updt) values ('93000715','Dextrose Monohydrate 25,00 G / Sodium Chloride 1,125 G Infus (OTSU, 500 mL)','92000506','Dextrose Monohydrate 25,00 G / Sodium Chloride 1,125 G Infus','OTSU - D5, 1/4 NS','Botol Plastik','Infus','Obat Keras','https://dto.kemkes.go.id/kfacode/93000715',0,'2023-05-01');</v>
      </c>
    </row>
    <row r="366" spans="1:11" ht="15.75" customHeight="1">
      <c r="A366" s="2">
        <v>93000714</v>
      </c>
      <c r="B366" s="2" t="s">
        <v>2084</v>
      </c>
      <c r="C366" s="2">
        <v>92000505</v>
      </c>
      <c r="D366" s="2" t="s">
        <v>851</v>
      </c>
      <c r="E366" s="2" t="s">
        <v>2085</v>
      </c>
      <c r="F366" s="2" t="s">
        <v>702</v>
      </c>
      <c r="G366" s="2" t="s">
        <v>1530</v>
      </c>
      <c r="H366" s="2" t="s">
        <v>1458</v>
      </c>
      <c r="I366" s="3" t="str">
        <f t="shared" si="0"/>
        <v>https://dto.kemkes.go.id/kfacode/93000714</v>
      </c>
      <c r="J366" s="34" t="s">
        <v>3768</v>
      </c>
      <c r="K366" t="str">
        <f t="shared" si="6"/>
        <v>insert into mkatalog_kfa93 (kode, uraian, kode_92, uraian_92, nama_dagang, satuan_kecil, sediaan, golongan, url, userid_updt, sysdate_updt) values ('93000714','Dextrose Monohydrate 25,00 G / Sodium Chloride 2,25 G Infus (OTSU, 500 mL)','92000505','Dextrose Monohydrate 25,00 G / Sodium Chloride 2,25 G Infus','OTSU - D5, 1/2 NS','Botol Plastik','Infus','Obat Keras','https://dto.kemkes.go.id/kfacode/93000714',0,'2023-05-01');</v>
      </c>
    </row>
    <row r="367" spans="1:11" ht="15.75" customHeight="1">
      <c r="A367" s="2">
        <v>93001644</v>
      </c>
      <c r="B367" s="2" t="s">
        <v>2086</v>
      </c>
      <c r="C367" s="2">
        <v>92000939</v>
      </c>
      <c r="D367" s="2" t="s">
        <v>852</v>
      </c>
      <c r="E367" s="2" t="s">
        <v>2087</v>
      </c>
      <c r="F367" s="2" t="s">
        <v>671</v>
      </c>
      <c r="G367" s="2" t="s">
        <v>1506</v>
      </c>
      <c r="H367" s="2" t="s">
        <v>1458</v>
      </c>
      <c r="I367" s="3" t="str">
        <f t="shared" si="0"/>
        <v>https://dto.kemkes.go.id/kfacode/93001644</v>
      </c>
      <c r="J367" s="34" t="s">
        <v>3768</v>
      </c>
      <c r="K367" t="str">
        <f t="shared" si="6"/>
        <v>insert into mkatalog_kfa93 (kode, uraian, kode_92, uraian_92, nama_dagang, satuan_kecil, sediaan, golongan, url, userid_updt, sysdate_updt) values ('93001644','DIALISAN DP-4 1,5% Dialisis Peritonial (DIALISAN DP-4 1,5%)','92000939','DIALISAN DP-4 1,5% Dialisis Peritonial','DIALISAN DP-4 1,5%','Kantong','Larutan Injeksi','Obat Keras','https://dto.kemkes.go.id/kfacode/93001644',0,'2023-05-01');</v>
      </c>
    </row>
    <row r="368" spans="1:11" ht="15.75" customHeight="1">
      <c r="A368" s="2">
        <v>93000285</v>
      </c>
      <c r="B368" s="2" t="s">
        <v>2088</v>
      </c>
      <c r="C368" s="2">
        <v>92000247</v>
      </c>
      <c r="D368" s="2" t="s">
        <v>853</v>
      </c>
      <c r="E368" s="2" t="s">
        <v>2089</v>
      </c>
      <c r="F368" s="2" t="s">
        <v>655</v>
      </c>
      <c r="G368" s="2" t="s">
        <v>2090</v>
      </c>
      <c r="H368" s="2" t="s">
        <v>1517</v>
      </c>
      <c r="I368" s="3" t="str">
        <f t="shared" si="0"/>
        <v>https://dto.kemkes.go.id/kfacode/93000285</v>
      </c>
      <c r="J368" s="34" t="s">
        <v>3768</v>
      </c>
      <c r="K368" t="str">
        <f t="shared" si="6"/>
        <v>insert into mkatalog_kfa93 (kode, uraian, kode_92, uraian_92, nama_dagang, satuan_kecil, sediaan, golongan, url, userid_updt, sysdate_updt) values ('93000285','Diazepam 10 mg / 2,5 mL Enema (ACTAVIS INDONESIA)','92000247','Diazepam 10 mg / 2,5 mL Enema','DIAZEPAM','Tube','Enema','Obat Psikotropika','https://dto.kemkes.go.id/kfacode/93000285',0,'2023-05-01');</v>
      </c>
    </row>
    <row r="369" spans="1:11" ht="15.75" customHeight="1">
      <c r="A369" s="2">
        <v>93000127</v>
      </c>
      <c r="B369" s="2" t="s">
        <v>2091</v>
      </c>
      <c r="C369" s="2">
        <v>92000132</v>
      </c>
      <c r="D369" s="2" t="s">
        <v>854</v>
      </c>
      <c r="E369" s="2" t="s">
        <v>2092</v>
      </c>
      <c r="F369" s="2" t="s">
        <v>640</v>
      </c>
      <c r="G369" s="2" t="s">
        <v>640</v>
      </c>
      <c r="H369" s="2" t="s">
        <v>1517</v>
      </c>
      <c r="I369" s="3" t="str">
        <f t="shared" si="0"/>
        <v>https://dto.kemkes.go.id/kfacode/93000127</v>
      </c>
      <c r="J369" s="34" t="s">
        <v>3768</v>
      </c>
      <c r="K369" t="str">
        <f t="shared" si="6"/>
        <v>insert into mkatalog_kfa93 (kode, uraian, kode_92, uraian_92, nama_dagang, satuan_kecil, sediaan, golongan, url, userid_updt, sysdate_updt) values ('93000127','Diazepam 2 mg Tablet (STESOLID)','92000132','Diazepam 2 mg Tablet','STESOLID','Tablet','Tablet','Obat Psikotropika','https://dto.kemkes.go.id/kfacode/93000127',0,'2023-05-01');</v>
      </c>
    </row>
    <row r="370" spans="1:11" ht="15.75" customHeight="1">
      <c r="A370" s="2">
        <v>93000126</v>
      </c>
      <c r="B370" s="2" t="s">
        <v>2093</v>
      </c>
      <c r="C370" s="2">
        <v>92000132</v>
      </c>
      <c r="D370" s="2" t="s">
        <v>854</v>
      </c>
      <c r="E370" s="2" t="s">
        <v>2094</v>
      </c>
      <c r="F370" s="2" t="s">
        <v>640</v>
      </c>
      <c r="G370" s="2" t="s">
        <v>640</v>
      </c>
      <c r="H370" s="2" t="s">
        <v>1517</v>
      </c>
      <c r="I370" s="3" t="str">
        <f t="shared" si="0"/>
        <v>https://dto.kemkes.go.id/kfacode/93000126</v>
      </c>
      <c r="J370" s="34" t="s">
        <v>3768</v>
      </c>
      <c r="K370" t="str">
        <f t="shared" si="6"/>
        <v>insert into mkatalog_kfa93 (kode, uraian, kode_92, uraian_92, nama_dagang, satuan_kecil, sediaan, golongan, url, userid_updt, sysdate_updt) values ('93000126','Diazepam 2 mg Tablet (VALISANBE)','92000132','Diazepam 2 mg Tablet','VALISANBE','Tablet','Tablet','Obat Psikotropika','https://dto.kemkes.go.id/kfacode/93000126',0,'2023-05-01');</v>
      </c>
    </row>
    <row r="371" spans="1:11" ht="15.75" customHeight="1">
      <c r="A371" s="2">
        <v>93000128</v>
      </c>
      <c r="B371" s="2" t="s">
        <v>2095</v>
      </c>
      <c r="C371" s="2">
        <v>92000132</v>
      </c>
      <c r="D371" s="2" t="s">
        <v>854</v>
      </c>
      <c r="E371" s="2" t="s">
        <v>2089</v>
      </c>
      <c r="F371" s="2" t="s">
        <v>640</v>
      </c>
      <c r="G371" s="2" t="s">
        <v>640</v>
      </c>
      <c r="H371" s="2" t="s">
        <v>1517</v>
      </c>
      <c r="I371" s="3" t="str">
        <f t="shared" si="0"/>
        <v>https://dto.kemkes.go.id/kfacode/93000128</v>
      </c>
      <c r="J371" s="34" t="s">
        <v>3768</v>
      </c>
      <c r="K371" t="str">
        <f t="shared" si="6"/>
        <v>insert into mkatalog_kfa93 (kode, uraian, kode_92, uraian_92, nama_dagang, satuan_kecil, sediaan, golongan, url, userid_updt, sysdate_updt) values ('93000128','Diazepam 2 mg Tablet (YARINDO)','92000132','Diazepam 2 mg Tablet','DIAZEPAM','Tablet','Tablet','Obat Psikotropika','https://dto.kemkes.go.id/kfacode/93000128',0,'2023-05-01');</v>
      </c>
    </row>
    <row r="372" spans="1:11" ht="15.75" customHeight="1">
      <c r="A372" s="2">
        <v>93000284</v>
      </c>
      <c r="B372" s="2" t="s">
        <v>2096</v>
      </c>
      <c r="C372" s="2">
        <v>92000246</v>
      </c>
      <c r="D372" s="2" t="s">
        <v>855</v>
      </c>
      <c r="E372" s="2" t="s">
        <v>2089</v>
      </c>
      <c r="F372" s="2" t="s">
        <v>655</v>
      </c>
      <c r="G372" s="2" t="s">
        <v>2090</v>
      </c>
      <c r="H372" s="2" t="s">
        <v>1517</v>
      </c>
      <c r="I372" s="3" t="str">
        <f t="shared" si="0"/>
        <v>https://dto.kemkes.go.id/kfacode/93000284</v>
      </c>
      <c r="J372" s="34" t="s">
        <v>3768</v>
      </c>
      <c r="K372" t="str">
        <f t="shared" si="6"/>
        <v>insert into mkatalog_kfa93 (kode, uraian, kode_92, uraian_92, nama_dagang, satuan_kecil, sediaan, golongan, url, userid_updt, sysdate_updt) values ('93000284','Diazepam 5 mg / 2,5 mL Enema (ACTAVIS INDONESIA)','92000246','Diazepam 5 mg / 2,5 mL Enema','DIAZEPAM','Tube','Enema','Obat Psikotropika','https://dto.kemkes.go.id/kfacode/93000284',0,'2023-05-01');</v>
      </c>
    </row>
    <row r="373" spans="1:11" ht="15.75" customHeight="1">
      <c r="A373" s="2">
        <v>93001374</v>
      </c>
      <c r="B373" s="2" t="s">
        <v>2097</v>
      </c>
      <c r="C373" s="2">
        <v>92000767</v>
      </c>
      <c r="D373" s="2" t="s">
        <v>856</v>
      </c>
      <c r="E373" s="2" t="s">
        <v>2089</v>
      </c>
      <c r="F373" s="2" t="s">
        <v>645</v>
      </c>
      <c r="G373" s="2" t="s">
        <v>1506</v>
      </c>
      <c r="H373" s="2" t="s">
        <v>1517</v>
      </c>
      <c r="I373" s="3" t="str">
        <f t="shared" si="0"/>
        <v>https://dto.kemkes.go.id/kfacode/93001374</v>
      </c>
      <c r="J373" s="34" t="s">
        <v>3768</v>
      </c>
      <c r="K373" t="str">
        <f t="shared" si="6"/>
        <v>insert into mkatalog_kfa93 (kode, uraian, kode_92, uraian_92, nama_dagang, satuan_kecil, sediaan, golongan, url, userid_updt, sysdate_updt) values ('93001374','Diazepam 5 mg / mL Injeksi (MEPROFARM)','92000767','Diazepam 5 mg / mL Injeksi','DIAZEPAM','Ampul','Larutan Injeksi','Obat Psikotropika','https://dto.kemkes.go.id/kfacode/93001374',0,'2023-05-01');</v>
      </c>
    </row>
    <row r="374" spans="1:11" ht="15.75" customHeight="1">
      <c r="A374" s="2">
        <v>93000515</v>
      </c>
      <c r="B374" s="2" t="s">
        <v>2098</v>
      </c>
      <c r="C374" s="2">
        <v>92000435</v>
      </c>
      <c r="D374" s="2" t="s">
        <v>857</v>
      </c>
      <c r="E374" s="2" t="s">
        <v>2089</v>
      </c>
      <c r="F374" s="2" t="s">
        <v>640</v>
      </c>
      <c r="G374" s="2" t="s">
        <v>640</v>
      </c>
      <c r="H374" s="2" t="s">
        <v>1517</v>
      </c>
      <c r="I374" s="3" t="str">
        <f t="shared" si="0"/>
        <v>https://dto.kemkes.go.id/kfacode/93000515</v>
      </c>
      <c r="J374" s="34" t="s">
        <v>3768</v>
      </c>
      <c r="K374" t="str">
        <f t="shared" si="6"/>
        <v>insert into mkatalog_kfa93 (kode, uraian, kode_92, uraian_92, nama_dagang, satuan_kecil, sediaan, golongan, url, userid_updt, sysdate_updt) values ('93000515','Diazepam 5 mg Tablet (MERSIFARMA TIRMAKU MERCUSANA)','92000435','Diazepam 5 mg Tablet','DIAZEPAM','Tablet','Tablet','Obat Psikotropika','https://dto.kemkes.go.id/kfacode/93000515',0,'2023-05-01');</v>
      </c>
    </row>
    <row r="375" spans="1:11" ht="15.75" customHeight="1">
      <c r="A375" s="2">
        <v>93001075</v>
      </c>
      <c r="B375" s="2" t="s">
        <v>2099</v>
      </c>
      <c r="C375" s="2">
        <v>92000453</v>
      </c>
      <c r="D375" s="2" t="s">
        <v>858</v>
      </c>
      <c r="E375" s="2" t="s">
        <v>2100</v>
      </c>
      <c r="F375" s="2" t="s">
        <v>640</v>
      </c>
      <c r="G375" s="2" t="s">
        <v>1588</v>
      </c>
      <c r="H375" s="2" t="s">
        <v>1458</v>
      </c>
      <c r="I375" s="3" t="str">
        <f t="shared" si="0"/>
        <v>https://dto.kemkes.go.id/kfacode/93001075</v>
      </c>
      <c r="J375" s="34" t="s">
        <v>3768</v>
      </c>
      <c r="K375" t="str">
        <f t="shared" si="6"/>
        <v>insert into mkatalog_kfa93 (kode, uraian, kode_92, uraian_92, nama_dagang, satuan_kecil, sediaan, golongan, url, userid_updt, sysdate_updt) values ('93001075','Diclofenac Sodium 25 mg Tablet Salut Enterik (KIMIA FARMA)','92000453','Diclofenac Sodium 25 mg Tablet Salut Enterik','DICLOFENAC SODIUM','Tablet','Tablet Salut Enterik','Obat Keras','https://dto.kemkes.go.id/kfacode/93001075',0,'2023-05-01');</v>
      </c>
    </row>
    <row r="376" spans="1:11" ht="15.75" customHeight="1">
      <c r="A376" s="2">
        <v>93001359</v>
      </c>
      <c r="B376" s="2" t="s">
        <v>2101</v>
      </c>
      <c r="C376" s="2">
        <v>92000453</v>
      </c>
      <c r="D376" s="2" t="s">
        <v>858</v>
      </c>
      <c r="E376" s="2" t="s">
        <v>2100</v>
      </c>
      <c r="F376" s="2" t="s">
        <v>640</v>
      </c>
      <c r="G376" s="2" t="s">
        <v>1588</v>
      </c>
      <c r="H376" s="2" t="s">
        <v>1458</v>
      </c>
      <c r="I376" s="3" t="str">
        <f t="shared" si="0"/>
        <v>https://dto.kemkes.go.id/kfacode/93001359</v>
      </c>
      <c r="J376" s="34" t="s">
        <v>3768</v>
      </c>
      <c r="K376" t="str">
        <f t="shared" si="6"/>
        <v>insert into mkatalog_kfa93 (kode, uraian, kode_92, uraian_92, nama_dagang, satuan_kecil, sediaan, golongan, url, userid_updt, sysdate_updt) values ('93001359','Diclofenac Sodium 25 mg Tablet Salut Enterik (PHAPROS Tbk)','92000453','Diclofenac Sodium 25 mg Tablet Salut Enterik','DICLOFENAC SODIUM','Tablet','Tablet Salut Enterik','Obat Keras','https://dto.kemkes.go.id/kfacode/93001359',0,'2023-05-01');</v>
      </c>
    </row>
    <row r="377" spans="1:11" ht="15.75" customHeight="1">
      <c r="A377" s="2">
        <v>93001422</v>
      </c>
      <c r="B377" s="2" t="s">
        <v>2102</v>
      </c>
      <c r="C377" s="2">
        <v>92000535</v>
      </c>
      <c r="D377" s="2" t="s">
        <v>859</v>
      </c>
      <c r="E377" s="2" t="s">
        <v>2100</v>
      </c>
      <c r="F377" s="2" t="s">
        <v>640</v>
      </c>
      <c r="G377" s="2" t="s">
        <v>1588</v>
      </c>
      <c r="H377" s="2" t="s">
        <v>1458</v>
      </c>
      <c r="I377" s="3" t="str">
        <f t="shared" si="0"/>
        <v>https://dto.kemkes.go.id/kfacode/93001422</v>
      </c>
      <c r="J377" s="34" t="s">
        <v>3768</v>
      </c>
      <c r="K377" t="str">
        <f t="shared" si="6"/>
        <v>insert into mkatalog_kfa93 (kode, uraian, kode_92, uraian_92, nama_dagang, satuan_kecil, sediaan, golongan, url, userid_updt, sysdate_updt) values ('93001422','Diclofenac Sodium 50 mg Tablet Salut Enterik (DEXA MEDICA)','92000535','Diclofenac Sodium 50 mg Tablet Salut Enterik','DICLOFENAC SODIUM','Tablet','Tablet Salut Enterik','Obat Keras','https://dto.kemkes.go.id/kfacode/93001422',0,'2023-05-01');</v>
      </c>
    </row>
    <row r="378" spans="1:11" ht="15.75" customHeight="1">
      <c r="A378" s="2">
        <v>93000960</v>
      </c>
      <c r="B378" s="2" t="s">
        <v>2103</v>
      </c>
      <c r="C378" s="2">
        <v>92000535</v>
      </c>
      <c r="D378" s="2" t="s">
        <v>859</v>
      </c>
      <c r="E378" s="2" t="s">
        <v>2100</v>
      </c>
      <c r="F378" s="2" t="s">
        <v>640</v>
      </c>
      <c r="G378" s="2" t="s">
        <v>1588</v>
      </c>
      <c r="H378" s="2" t="s">
        <v>1458</v>
      </c>
      <c r="I378" s="3" t="str">
        <f t="shared" si="0"/>
        <v>https://dto.kemkes.go.id/kfacode/93000960</v>
      </c>
      <c r="J378" s="34" t="s">
        <v>3768</v>
      </c>
      <c r="K378" t="str">
        <f t="shared" si="6"/>
        <v>insert into mkatalog_kfa93 (kode, uraian, kode_92, uraian_92, nama_dagang, satuan_kecil, sediaan, golongan, url, userid_updt, sysdate_updt) values ('93000960','Diclofenac Sodium 50 mg Tablet Salut Enterik (PHAPROS Tbk)','92000535','Diclofenac Sodium 50 mg Tablet Salut Enterik','DICLOFENAC SODIUM','Tablet','Tablet Salut Enterik','Obat Keras','https://dto.kemkes.go.id/kfacode/93000960',0,'2023-05-01');</v>
      </c>
    </row>
    <row r="379" spans="1:11" ht="15.75" customHeight="1">
      <c r="A379" s="2">
        <v>93001119</v>
      </c>
      <c r="B379" s="2" t="s">
        <v>2104</v>
      </c>
      <c r="C379" s="2">
        <v>92000362</v>
      </c>
      <c r="D379" s="2" t="s">
        <v>860</v>
      </c>
      <c r="E379" s="2" t="s">
        <v>2105</v>
      </c>
      <c r="F379" s="2" t="s">
        <v>640</v>
      </c>
      <c r="G379" s="2" t="s">
        <v>640</v>
      </c>
      <c r="H379" s="2" t="s">
        <v>1458</v>
      </c>
      <c r="I379" s="3" t="str">
        <f t="shared" si="0"/>
        <v>https://dto.kemkes.go.id/kfacode/93001119</v>
      </c>
      <c r="J379" s="34" t="s">
        <v>3768</v>
      </c>
      <c r="K379" t="str">
        <f t="shared" si="6"/>
        <v>insert into mkatalog_kfa93 (kode, uraian, kode_92, uraian_92, nama_dagang, satuan_kecil, sediaan, golongan, url, userid_updt, sysdate_updt) values ('93001119','Dienogest 2 mg Tablet (VISANNE &lt;INV&gt;)','92000362','Dienogest 2 mg Tablet','VISANNE &lt;INV&gt;','Tablet','Tablet','Obat Keras','https://dto.kemkes.go.id/kfacode/93001119',0,'2023-05-01');</v>
      </c>
    </row>
    <row r="380" spans="1:11" ht="15.75" customHeight="1">
      <c r="A380" s="2">
        <v>93000173</v>
      </c>
      <c r="B380" s="2" t="s">
        <v>2106</v>
      </c>
      <c r="C380" s="2">
        <v>92000172</v>
      </c>
      <c r="D380" s="2" t="s">
        <v>861</v>
      </c>
      <c r="E380" s="2" t="s">
        <v>2107</v>
      </c>
      <c r="F380" s="2" t="s">
        <v>640</v>
      </c>
      <c r="G380" s="2" t="s">
        <v>640</v>
      </c>
      <c r="H380" s="2" t="s">
        <v>1458</v>
      </c>
      <c r="I380" s="3" t="str">
        <f t="shared" si="0"/>
        <v>https://dto.kemkes.go.id/kfacode/93000173</v>
      </c>
      <c r="J380" s="34" t="s">
        <v>3768</v>
      </c>
      <c r="K380" t="str">
        <f t="shared" si="6"/>
        <v>insert into mkatalog_kfa93 (kode, uraian, kode_92, uraian_92, nama_dagang, satuan_kecil, sediaan, golongan, url, userid_updt, sysdate_updt) values ('93000173','Diethylcarbamazine Citrate 100 mg Tablet (HOLI PHARMA)','92000172','Diethylcarbamazine Citrate 100 mg Tablet','DIETHYLCARBAMAZINE','Tablet','Tablet','Obat Keras','https://dto.kemkes.go.id/kfacode/93000173',0,'2023-05-01');</v>
      </c>
    </row>
    <row r="381" spans="1:11" ht="15.75" customHeight="1">
      <c r="A381" s="2">
        <v>93000823</v>
      </c>
      <c r="B381" s="2" t="s">
        <v>2108</v>
      </c>
      <c r="C381" s="2">
        <v>92000172</v>
      </c>
      <c r="D381" s="2" t="s">
        <v>861</v>
      </c>
      <c r="E381" s="2" t="s">
        <v>2109</v>
      </c>
      <c r="F381" s="2" t="s">
        <v>640</v>
      </c>
      <c r="G381" s="2" t="s">
        <v>640</v>
      </c>
      <c r="H381" s="2" t="s">
        <v>1458</v>
      </c>
      <c r="I381" s="3" t="str">
        <f t="shared" si="0"/>
        <v>https://dto.kemkes.go.id/kfacode/93000823</v>
      </c>
      <c r="J381" s="34" t="s">
        <v>3768</v>
      </c>
      <c r="K381" t="str">
        <f t="shared" si="6"/>
        <v>insert into mkatalog_kfa93 (kode, uraian, kode_92, uraian_92, nama_dagang, satuan_kecil, sediaan, golongan, url, userid_updt, sysdate_updt) values ('93000823','Diethylcarbamazine Citrate 100 mg Tablet (KIMIA FARMA Tbk)','92000172','Diethylcarbamazine Citrate 100 mg Tablet','DIETHYLCARBAMAZINE CITRATE','Tablet','Tablet','Obat Keras','https://dto.kemkes.go.id/kfacode/93000823',0,'2023-05-01');</v>
      </c>
    </row>
    <row r="382" spans="1:11" ht="15.75" customHeight="1">
      <c r="A382" s="2">
        <v>93001216</v>
      </c>
      <c r="B382" s="2" t="s">
        <v>2110</v>
      </c>
      <c r="C382" s="2">
        <v>92000632</v>
      </c>
      <c r="D382" s="2" t="s">
        <v>862</v>
      </c>
      <c r="E382" s="2" t="s">
        <v>2111</v>
      </c>
      <c r="F382" s="2" t="s">
        <v>640</v>
      </c>
      <c r="G382" s="2" t="s">
        <v>640</v>
      </c>
      <c r="H382" s="2" t="s">
        <v>1458</v>
      </c>
      <c r="I382" s="3" t="str">
        <f t="shared" si="0"/>
        <v>https://dto.kemkes.go.id/kfacode/93001216</v>
      </c>
      <c r="J382" s="34" t="s">
        <v>3768</v>
      </c>
      <c r="K382" t="str">
        <f t="shared" si="6"/>
        <v>insert into mkatalog_kfa93 (kode, uraian, kode_92, uraian_92, nama_dagang, satuan_kecil, sediaan, golongan, url, userid_updt, sysdate_updt) values ('93001216','Digoxin 0,25 mg Tablet (YARINDO FARMATAMA)','92000632','Digoxin 0,25 mg Tablet','DIGOXIN','Tablet','Tablet','Obat Keras','https://dto.kemkes.go.id/kfacode/93001216',0,'2023-05-01');</v>
      </c>
    </row>
    <row r="383" spans="1:11" ht="15.75" customHeight="1">
      <c r="A383" s="2">
        <v>93000330</v>
      </c>
      <c r="B383" s="2" t="s">
        <v>2112</v>
      </c>
      <c r="C383" s="2">
        <v>92000258</v>
      </c>
      <c r="D383" s="2" t="s">
        <v>863</v>
      </c>
      <c r="E383" s="2" t="s">
        <v>2113</v>
      </c>
      <c r="F383" s="2" t="s">
        <v>649</v>
      </c>
      <c r="G383" s="2" t="s">
        <v>2114</v>
      </c>
      <c r="H383" s="2" t="s">
        <v>1458</v>
      </c>
      <c r="I383" s="3" t="str">
        <f t="shared" si="0"/>
        <v>https://dto.kemkes.go.id/kfacode/93000330</v>
      </c>
      <c r="J383" s="34" t="s">
        <v>3768</v>
      </c>
      <c r="K383" t="str">
        <f t="shared" si="6"/>
        <v>insert into mkatalog_kfa93 (kode, uraian, kode_92, uraian_92, nama_dagang, satuan_kecil, sediaan, golongan, url, userid_updt, sysdate_updt) values ('93000330','Diltiazem Hydrochloride 100 mg Kapsul Pelepasan Lambat (HERBESSER CD 100)','92000258','Diltiazem Hydrochloride 100 mg Kapsul Pelepasan Lambat','HERBESSER CD 100','Kapsul','Kapsul Pelepasan Lambat','Obat Keras','https://dto.kemkes.go.id/kfacode/93000330',0,'2023-05-01');</v>
      </c>
    </row>
    <row r="384" spans="1:11" ht="15.75" customHeight="1">
      <c r="A384" s="2">
        <v>93000331</v>
      </c>
      <c r="B384" s="2" t="s">
        <v>2115</v>
      </c>
      <c r="C384" s="2">
        <v>92000259</v>
      </c>
      <c r="D384" s="2" t="s">
        <v>864</v>
      </c>
      <c r="E384" s="2" t="s">
        <v>2116</v>
      </c>
      <c r="F384" s="2" t="s">
        <v>649</v>
      </c>
      <c r="G384" s="2" t="s">
        <v>2114</v>
      </c>
      <c r="H384" s="2" t="s">
        <v>1458</v>
      </c>
      <c r="I384" s="3" t="str">
        <f t="shared" si="0"/>
        <v>https://dto.kemkes.go.id/kfacode/93000331</v>
      </c>
      <c r="J384" s="34" t="s">
        <v>3768</v>
      </c>
      <c r="K384" t="str">
        <f t="shared" si="6"/>
        <v>insert into mkatalog_kfa93 (kode, uraian, kode_92, uraian_92, nama_dagang, satuan_kecil, sediaan, golongan, url, userid_updt, sysdate_updt) values ('93000331','Diltiazem Hydrochloride 200 mg Kapsul Pelepasan Lambat (HERBESSER CD 200)','92000259','Diltiazem Hydrochloride 200 mg Kapsul Pelepasan Lambat','HERBESSER CD 200','Kapsul','Kapsul Pelepasan Lambat','Obat Keras','https://dto.kemkes.go.id/kfacode/93000331',0,'2023-05-01');</v>
      </c>
    </row>
    <row r="385" spans="1:11" ht="15.75" customHeight="1">
      <c r="A385" s="2">
        <v>93000421</v>
      </c>
      <c r="B385" s="2" t="s">
        <v>2117</v>
      </c>
      <c r="C385" s="2">
        <v>92000307</v>
      </c>
      <c r="D385" s="2" t="s">
        <v>865</v>
      </c>
      <c r="E385" s="2" t="s">
        <v>2118</v>
      </c>
      <c r="F385" s="2" t="s">
        <v>640</v>
      </c>
      <c r="G385" s="2" t="s">
        <v>640</v>
      </c>
      <c r="H385" s="2" t="s">
        <v>1458</v>
      </c>
      <c r="I385" s="3" t="str">
        <f t="shared" si="0"/>
        <v>https://dto.kemkes.go.id/kfacode/93000421</v>
      </c>
      <c r="J385" s="34" t="s">
        <v>3768</v>
      </c>
      <c r="K385" t="str">
        <f t="shared" si="6"/>
        <v>insert into mkatalog_kfa93 (kode, uraian, kode_92, uraian_92, nama_dagang, satuan_kecil, sediaan, golongan, url, userid_updt, sysdate_updt) values ('93000421','Diltiazem Hydrochloride 30 mg Tablet (DEXA MEDICA)','92000307','Diltiazem Hydrochloride 30 mg Tablet','DILTIAZEM HCl','Tablet','Tablet','Obat Keras','https://dto.kemkes.go.id/kfacode/93000421',0,'2023-05-01');</v>
      </c>
    </row>
    <row r="386" spans="1:11" ht="15.75" customHeight="1">
      <c r="A386" s="2">
        <v>93001509</v>
      </c>
      <c r="B386" s="2" t="s">
        <v>2119</v>
      </c>
      <c r="C386" s="2">
        <v>92000861</v>
      </c>
      <c r="D386" s="2" t="s">
        <v>866</v>
      </c>
      <c r="E386" s="2" t="s">
        <v>2120</v>
      </c>
      <c r="F386" s="2" t="s">
        <v>653</v>
      </c>
      <c r="G386" s="2" t="s">
        <v>1500</v>
      </c>
      <c r="H386" s="2" t="s">
        <v>1458</v>
      </c>
      <c r="I386" s="3" t="str">
        <f t="shared" si="0"/>
        <v>https://dto.kemkes.go.id/kfacode/93001509</v>
      </c>
      <c r="J386" s="34" t="s">
        <v>3768</v>
      </c>
      <c r="K386" t="str">
        <f t="shared" si="6"/>
        <v>insert into mkatalog_kfa93 (kode, uraian, kode_92, uraian_92, nama_dagang, satuan_kecil, sediaan, golongan, url, userid_updt, sysdate_updt) values ('93001509','Diltiazem Hydrochloride 50 mg Serbuk Injeksi (HERBESSER)','92000861','Diltiazem Hydrochloride 50 mg Serbuk Injeksi','HERBESSER','Vial','Serbuk Injeksi','Obat Keras','https://dto.kemkes.go.id/kfacode/93001509',0,'2023-05-01');</v>
      </c>
    </row>
    <row r="387" spans="1:11" ht="15.75" customHeight="1">
      <c r="A387" s="2">
        <v>93000898</v>
      </c>
      <c r="B387" s="2" t="s">
        <v>2121</v>
      </c>
      <c r="C387" s="2">
        <v>92000552</v>
      </c>
      <c r="D387" s="2" t="s">
        <v>867</v>
      </c>
      <c r="E387" s="2" t="s">
        <v>2122</v>
      </c>
      <c r="F387" s="2" t="s">
        <v>640</v>
      </c>
      <c r="G387" s="2" t="s">
        <v>640</v>
      </c>
      <c r="H387" s="2" t="s">
        <v>1672</v>
      </c>
      <c r="I387" s="3" t="str">
        <f t="shared" si="0"/>
        <v>https://dto.kemkes.go.id/kfacode/93000898</v>
      </c>
      <c r="J387" s="34" t="s">
        <v>3768</v>
      </c>
      <c r="K387" t="str">
        <f t="shared" ref="K387:K450" si="7">CONCATENATE(J387,"('",A387,"','",B387,"','",C387,"','",D387,"','",E387,"','",F387,"','",G387,"','",H387,"','",I387,"',0,'2023-05-01');")</f>
        <v>insert into mkatalog_kfa93 (kode, uraian, kode_92, uraian_92, nama_dagang, satuan_kecil, sediaan, golongan, url, userid_updt, sysdate_updt) values ('93000898','Dimenhydrinate 50 mg Tablet (KIMIA FARMA Tbk.)','92000552','Dimenhydrinate 50 mg Tablet','DIMENHYDRINATE','Tablet','Tablet','Obat Bebas Terbatas','https://dto.kemkes.go.id/kfacode/93000898',0,'2023-05-01');</v>
      </c>
    </row>
    <row r="388" spans="1:11" ht="15.75" customHeight="1">
      <c r="A388" s="2">
        <v>93001008</v>
      </c>
      <c r="B388" s="2" t="s">
        <v>2123</v>
      </c>
      <c r="C388" s="2">
        <v>92000708</v>
      </c>
      <c r="D388" s="2" t="s">
        <v>868</v>
      </c>
      <c r="E388" s="2" t="s">
        <v>2124</v>
      </c>
      <c r="F388" s="2" t="s">
        <v>655</v>
      </c>
      <c r="G388" s="2" t="s">
        <v>2125</v>
      </c>
      <c r="H388" s="2" t="s">
        <v>1458</v>
      </c>
      <c r="I388" s="3" t="str">
        <f t="shared" si="0"/>
        <v>https://dto.kemkes.go.id/kfacode/93001008</v>
      </c>
      <c r="J388" s="34" t="s">
        <v>3768</v>
      </c>
      <c r="K388" t="str">
        <f t="shared" si="7"/>
        <v>insert into mkatalog_kfa93 (kode, uraian, kode_92, uraian_92, nama_dagang, satuan_kecil, sediaan, golongan, url, userid_updt, sysdate_updt) values ('93001008','Dinatrium / Disodium Edetate Anhydrate 16,5 mg / 5 mL Tetes Mata (EDTA)','92000708','Dinatrium / Disodium Edetate Anhydrate 16,5 mg / 5 mL Tetes Mata','EDTA','Tube','Tetes Mata','Obat Keras','https://dto.kemkes.go.id/kfacode/93001008',0,'2023-05-01');</v>
      </c>
    </row>
    <row r="389" spans="1:11" ht="15.75" customHeight="1">
      <c r="A389" s="2">
        <v>93001102</v>
      </c>
      <c r="B389" s="2" t="s">
        <v>2126</v>
      </c>
      <c r="C389" s="2">
        <v>92000510</v>
      </c>
      <c r="D389" s="2" t="s">
        <v>869</v>
      </c>
      <c r="E389" s="2" t="s">
        <v>2127</v>
      </c>
      <c r="F389" s="2" t="s">
        <v>645</v>
      </c>
      <c r="G389" s="2" t="s">
        <v>1506</v>
      </c>
      <c r="H389" s="2" t="s">
        <v>1458</v>
      </c>
      <c r="I389" s="3" t="str">
        <f t="shared" si="0"/>
        <v>https://dto.kemkes.go.id/kfacode/93001102</v>
      </c>
      <c r="J389" s="34" t="s">
        <v>3768</v>
      </c>
      <c r="K389" t="str">
        <f t="shared" si="7"/>
        <v>insert into mkatalog_kfa93 (kode, uraian, kode_92, uraian_92, nama_dagang, satuan_kecil, sediaan, golongan, url, userid_updt, sysdate_updt) values ('93001102','Diphenhydramine Hydrochloride 10 mg / mL Injeksi (PHAPROS Tbk)','92000510','Diphenhydramine Hydrochloride 10 mg / mL Injeksi','DIPHENHYDRAMINE','Ampul','Larutan Injeksi','Obat Keras','https://dto.kemkes.go.id/kfacode/93001102',0,'2023-05-01');</v>
      </c>
    </row>
    <row r="390" spans="1:11" ht="15.75" customHeight="1">
      <c r="A390" s="2">
        <v>93000829</v>
      </c>
      <c r="B390" s="2" t="s">
        <v>2128</v>
      </c>
      <c r="C390" s="2">
        <v>92000402</v>
      </c>
      <c r="D390" s="2" t="s">
        <v>870</v>
      </c>
      <c r="E390" s="2" t="s">
        <v>2129</v>
      </c>
      <c r="F390" s="2" t="s">
        <v>702</v>
      </c>
      <c r="G390" s="2" t="s">
        <v>2017</v>
      </c>
      <c r="H390" s="2" t="s">
        <v>1458</v>
      </c>
      <c r="I390" s="3" t="str">
        <f t="shared" si="0"/>
        <v>https://dto.kemkes.go.id/kfacode/93000829</v>
      </c>
      <c r="J390" s="34" t="s">
        <v>3768</v>
      </c>
      <c r="K390" t="str">
        <f t="shared" si="7"/>
        <v>insert into mkatalog_kfa93 (kode, uraian, kode_92, uraian_92, nama_dagang, satuan_kecil, sediaan, golongan, url, userid_updt, sysdate_updt) values ('93000829','Disodium Phosphate Dodecahydrate 10,8 gr / Sodium Dihydrogen Phosphate Dihydrate 24,4 gr Cairan Oral (PHOSPHO-SODA)','92000402','Disodium Phosphate Dodecahydrate 10,8 gr / Sodium Dihydrogen Phosphate Dihydrate 24,4 gr Cairan Oral','PHOSPHO-SODA','Botol Plastik','Larutan','Obat Keras','https://dto.kemkes.go.id/kfacode/93000829',0,'2023-05-01');</v>
      </c>
    </row>
    <row r="391" spans="1:11" ht="15.75" customHeight="1">
      <c r="A391" s="2">
        <v>93001324</v>
      </c>
      <c r="B391" s="2" t="s">
        <v>2130</v>
      </c>
      <c r="C391" s="2">
        <v>92000583</v>
      </c>
      <c r="D391" s="2" t="s">
        <v>871</v>
      </c>
      <c r="E391" s="2" t="s">
        <v>2131</v>
      </c>
      <c r="F391" s="2" t="s">
        <v>640</v>
      </c>
      <c r="G391" s="2" t="s">
        <v>640</v>
      </c>
      <c r="H391" s="2" t="s">
        <v>1458</v>
      </c>
      <c r="I391" s="3" t="str">
        <f t="shared" si="0"/>
        <v>https://dto.kemkes.go.id/kfacode/93001324</v>
      </c>
      <c r="J391" s="34" t="s">
        <v>3768</v>
      </c>
      <c r="K391" t="str">
        <f t="shared" si="7"/>
        <v>insert into mkatalog_kfa93 (kode, uraian, kode_92, uraian_92, nama_dagang, satuan_kecil, sediaan, golongan, url, userid_updt, sysdate_updt) values ('93001324','Divalproat Sodium 500 mg Tablet (DEXA MEDICA)','92000583','Divalproat Sodium 500 mg Tablet','DIVALPROEX SODIUM','Tablet','Tablet','Obat Keras','https://dto.kemkes.go.id/kfacode/93001324',0,'2023-05-01');</v>
      </c>
    </row>
    <row r="392" spans="1:11" ht="15.75" customHeight="1">
      <c r="A392" s="2">
        <v>93000765</v>
      </c>
      <c r="B392" s="2" t="s">
        <v>2132</v>
      </c>
      <c r="C392" s="2">
        <v>92000583</v>
      </c>
      <c r="D392" s="2" t="s">
        <v>871</v>
      </c>
      <c r="E392" s="2" t="s">
        <v>2131</v>
      </c>
      <c r="F392" s="2" t="s">
        <v>640</v>
      </c>
      <c r="G392" s="2" t="s">
        <v>640</v>
      </c>
      <c r="H392" s="2" t="s">
        <v>1458</v>
      </c>
      <c r="I392" s="3" t="str">
        <f t="shared" si="0"/>
        <v>https://dto.kemkes.go.id/kfacode/93000765</v>
      </c>
      <c r="J392" s="34" t="s">
        <v>3768</v>
      </c>
      <c r="K392" t="str">
        <f t="shared" si="7"/>
        <v>insert into mkatalog_kfa93 (kode, uraian, kode_92, uraian_92, nama_dagang, satuan_kecil, sediaan, golongan, url, userid_updt, sysdate_updt) values ('93000765','Divalproat Sodium 500 mg Tablet (DIVALPROEX SODIUM)','92000583','Divalproat Sodium 500 mg Tablet','DIVALPROEX SODIUM','Tablet','Tablet','Obat Keras','https://dto.kemkes.go.id/kfacode/93000765',0,'2023-05-01');</v>
      </c>
    </row>
    <row r="393" spans="1:11" ht="15.75" customHeight="1">
      <c r="A393" s="2">
        <v>93001331</v>
      </c>
      <c r="B393" s="2" t="s">
        <v>2133</v>
      </c>
      <c r="C393" s="2">
        <v>92000694</v>
      </c>
      <c r="D393" s="2" t="s">
        <v>872</v>
      </c>
      <c r="E393" s="2" t="s">
        <v>2131</v>
      </c>
      <c r="F393" s="2" t="s">
        <v>640</v>
      </c>
      <c r="G393" s="2" t="s">
        <v>640</v>
      </c>
      <c r="H393" s="2" t="s">
        <v>1458</v>
      </c>
      <c r="I393" s="3" t="str">
        <f t="shared" si="0"/>
        <v>https://dto.kemkes.go.id/kfacode/93001331</v>
      </c>
      <c r="J393" s="34" t="s">
        <v>3768</v>
      </c>
      <c r="K393" t="str">
        <f t="shared" si="7"/>
        <v>insert into mkatalog_kfa93 (kode, uraian, kode_92, uraian_92, nama_dagang, satuan_kecil, sediaan, golongan, url, userid_updt, sysdate_updt) values ('93001331','Divalproex Sodium 250 mg Tablet (NOVELL PHARMACEUTICAL LAB.)','92000694','Divalproex Sodium 250 mg Tablet','DIVALPROEX SODIUM','Tablet','Tablet','Obat Keras','https://dto.kemkes.go.id/kfacode/93001331',0,'2023-05-01');</v>
      </c>
    </row>
    <row r="394" spans="1:11" ht="15.75" customHeight="1">
      <c r="A394" s="2">
        <v>93001330</v>
      </c>
      <c r="B394" s="2" t="s">
        <v>2134</v>
      </c>
      <c r="C394" s="2">
        <v>92000692</v>
      </c>
      <c r="D394" s="2" t="s">
        <v>873</v>
      </c>
      <c r="E394" s="2" t="s">
        <v>2135</v>
      </c>
      <c r="F394" s="2" t="s">
        <v>645</v>
      </c>
      <c r="G394" s="2" t="s">
        <v>1506</v>
      </c>
      <c r="H394" s="2" t="s">
        <v>1458</v>
      </c>
      <c r="I394" s="3" t="str">
        <f t="shared" si="0"/>
        <v>https://dto.kemkes.go.id/kfacode/93001330</v>
      </c>
      <c r="J394" s="34" t="s">
        <v>3768</v>
      </c>
      <c r="K394" t="str">
        <f t="shared" si="7"/>
        <v>insert into mkatalog_kfa93 (kode, uraian, kode_92, uraian_92, nama_dagang, satuan_kecil, sediaan, golongan, url, userid_updt, sysdate_updt) values ('93001330','Dobutamine 50 mg / mL Injeksi (DEXA MEDICA)','92000692','Dobutamine 50 mg / mL Injeksi','DOBUTAMINE HCL','Ampul','Larutan Injeksi','Obat Keras','https://dto.kemkes.go.id/kfacode/93001330',0,'2023-05-01');</v>
      </c>
    </row>
    <row r="395" spans="1:11" ht="15.75" customHeight="1">
      <c r="A395" s="2">
        <v>93001367</v>
      </c>
      <c r="B395" s="2" t="s">
        <v>2136</v>
      </c>
      <c r="C395" s="2">
        <v>92000508</v>
      </c>
      <c r="D395" s="2" t="s">
        <v>874</v>
      </c>
      <c r="E395" s="2" t="s">
        <v>2137</v>
      </c>
      <c r="F395" s="2" t="s">
        <v>653</v>
      </c>
      <c r="G395" s="2" t="s">
        <v>1506</v>
      </c>
      <c r="H395" s="2" t="s">
        <v>1458</v>
      </c>
      <c r="I395" s="3" t="str">
        <f t="shared" si="0"/>
        <v>https://dto.kemkes.go.id/kfacode/93001367</v>
      </c>
      <c r="J395" s="34" t="s">
        <v>3768</v>
      </c>
      <c r="K395" t="str">
        <f t="shared" si="7"/>
        <v>insert into mkatalog_kfa93 (kode, uraian, kode_92, uraian_92, nama_dagang, satuan_kecil, sediaan, golongan, url, userid_updt, sysdate_updt) values ('93001367','Docetaxel 10 mg / mL Injeksi (BREXEL, 2 mL)','92000508','Docetaxel 10 mg / mL Injeksi','BREXEL','Vial','Larutan Injeksi','Obat Keras','https://dto.kemkes.go.id/kfacode/93001367',0,'2023-05-01');</v>
      </c>
    </row>
    <row r="396" spans="1:11" ht="15.75" customHeight="1">
      <c r="A396" s="2">
        <v>93001368</v>
      </c>
      <c r="B396" s="2" t="s">
        <v>2138</v>
      </c>
      <c r="C396" s="2">
        <v>92000508</v>
      </c>
      <c r="D396" s="2" t="s">
        <v>874</v>
      </c>
      <c r="E396" s="2" t="s">
        <v>2137</v>
      </c>
      <c r="F396" s="2" t="s">
        <v>653</v>
      </c>
      <c r="G396" s="2" t="s">
        <v>1506</v>
      </c>
      <c r="H396" s="2" t="s">
        <v>1458</v>
      </c>
      <c r="I396" s="3" t="str">
        <f t="shared" si="0"/>
        <v>https://dto.kemkes.go.id/kfacode/93001368</v>
      </c>
      <c r="J396" s="34" t="s">
        <v>3768</v>
      </c>
      <c r="K396" t="str">
        <f t="shared" si="7"/>
        <v>insert into mkatalog_kfa93 (kode, uraian, kode_92, uraian_92, nama_dagang, satuan_kecil, sediaan, golongan, url, userid_updt, sysdate_updt) values ('93001368','Docetaxel 10 mg / mL Injeksi (BREXEL, 8 mL)','92000508','Docetaxel 10 mg / mL Injeksi','BREXEL','Vial','Larutan Injeksi','Obat Keras','https://dto.kemkes.go.id/kfacode/93001368',0,'2023-05-01');</v>
      </c>
    </row>
    <row r="397" spans="1:11" ht="15.75" customHeight="1">
      <c r="A397" s="2">
        <v>93001365</v>
      </c>
      <c r="B397" s="2" t="s">
        <v>2139</v>
      </c>
      <c r="C397" s="2">
        <v>92000109</v>
      </c>
      <c r="D397" s="2" t="s">
        <v>875</v>
      </c>
      <c r="E397" s="2" t="s">
        <v>2140</v>
      </c>
      <c r="F397" s="2" t="s">
        <v>653</v>
      </c>
      <c r="G397" s="2" t="s">
        <v>1506</v>
      </c>
      <c r="H397" s="2" t="s">
        <v>1458</v>
      </c>
      <c r="I397" s="3" t="str">
        <f t="shared" si="0"/>
        <v>https://dto.kemkes.go.id/kfacode/93001365</v>
      </c>
      <c r="J397" s="34" t="s">
        <v>3768</v>
      </c>
      <c r="K397" t="str">
        <f t="shared" si="7"/>
        <v>insert into mkatalog_kfa93 (kode, uraian, kode_92, uraian_92, nama_dagang, satuan_kecil, sediaan, golongan, url, userid_updt, sysdate_updt) values ('93001365','Docetaxel 20 mg / mL Injeksi (CKD OTTO Pharmaceuticals, 1 mL)','92000109','Docetaxel 20 mg / mL Injeksi','DOCETAXEL TRIHYDRATE','Vial','Larutan Injeksi','Obat Keras','https://dto.kemkes.go.id/kfacode/93001365',0,'2023-05-01');</v>
      </c>
    </row>
    <row r="398" spans="1:11" ht="15.75" customHeight="1">
      <c r="A398" s="2">
        <v>93001366</v>
      </c>
      <c r="B398" s="2" t="s">
        <v>2141</v>
      </c>
      <c r="C398" s="2">
        <v>92000109</v>
      </c>
      <c r="D398" s="2" t="s">
        <v>875</v>
      </c>
      <c r="E398" s="2" t="s">
        <v>2140</v>
      </c>
      <c r="F398" s="2" t="s">
        <v>653</v>
      </c>
      <c r="G398" s="2" t="s">
        <v>1506</v>
      </c>
      <c r="H398" s="2" t="s">
        <v>1458</v>
      </c>
      <c r="I398" s="3" t="str">
        <f t="shared" si="0"/>
        <v>https://dto.kemkes.go.id/kfacode/93001366</v>
      </c>
      <c r="J398" s="34" t="s">
        <v>3768</v>
      </c>
      <c r="K398" t="str">
        <f t="shared" si="7"/>
        <v>insert into mkatalog_kfa93 (kode, uraian, kode_92, uraian_92, nama_dagang, satuan_kecil, sediaan, golongan, url, userid_updt, sysdate_updt) values ('93001366','Docetaxel 20 mg / mL Injeksi (CKD OTTO Pharmaceuticals, 4 mL)','92000109','Docetaxel 20 mg / mL Injeksi','DOCETAXEL TRIHYDRATE','Vial','Larutan Injeksi','Obat Keras','https://dto.kemkes.go.id/kfacode/93001366',0,'2023-05-01');</v>
      </c>
    </row>
    <row r="399" spans="1:11" ht="15.75" customHeight="1">
      <c r="A399" s="2">
        <v>93001369</v>
      </c>
      <c r="B399" s="2" t="s">
        <v>2142</v>
      </c>
      <c r="C399" s="2">
        <v>92000109</v>
      </c>
      <c r="D399" s="2" t="s">
        <v>875</v>
      </c>
      <c r="E399" s="2" t="s">
        <v>2143</v>
      </c>
      <c r="F399" s="2" t="s">
        <v>653</v>
      </c>
      <c r="G399" s="2" t="s">
        <v>1506</v>
      </c>
      <c r="H399" s="2" t="s">
        <v>1458</v>
      </c>
      <c r="I399" s="3" t="str">
        <f t="shared" si="0"/>
        <v>https://dto.kemkes.go.id/kfacode/93001369</v>
      </c>
      <c r="J399" s="34" t="s">
        <v>3768</v>
      </c>
      <c r="K399" t="str">
        <f t="shared" si="7"/>
        <v>insert into mkatalog_kfa93 (kode, uraian, kode_92, uraian_92, nama_dagang, satuan_kecil, sediaan, golongan, url, userid_updt, sysdate_updt) values ('93001369','Docetaxel 20 mg / mL Injeksi (DAXOTEL, 1 mL)','92000109','Docetaxel 20 mg / mL Injeksi','DAXOTEL','Vial','Larutan Injeksi','Obat Keras','https://dto.kemkes.go.id/kfacode/93001369',0,'2023-05-01');</v>
      </c>
    </row>
    <row r="400" spans="1:11" ht="15.75" customHeight="1">
      <c r="A400" s="2">
        <v>93001370</v>
      </c>
      <c r="B400" s="2" t="s">
        <v>2144</v>
      </c>
      <c r="C400" s="2">
        <v>92000109</v>
      </c>
      <c r="D400" s="2" t="s">
        <v>875</v>
      </c>
      <c r="E400" s="2" t="s">
        <v>2143</v>
      </c>
      <c r="F400" s="2" t="s">
        <v>653</v>
      </c>
      <c r="G400" s="2" t="s">
        <v>1506</v>
      </c>
      <c r="H400" s="2" t="s">
        <v>1458</v>
      </c>
      <c r="I400" s="3" t="str">
        <f t="shared" si="0"/>
        <v>https://dto.kemkes.go.id/kfacode/93001370</v>
      </c>
      <c r="J400" s="34" t="s">
        <v>3768</v>
      </c>
      <c r="K400" t="str">
        <f t="shared" si="7"/>
        <v>insert into mkatalog_kfa93 (kode, uraian, kode_92, uraian_92, nama_dagang, satuan_kecil, sediaan, golongan, url, userid_updt, sysdate_updt) values ('93001370','Docetaxel 20 mg / mL Injeksi (DAXOTEL, 4 mL)','92000109','Docetaxel 20 mg / mL Injeksi','DAXOTEL','Vial','Larutan Injeksi','Obat Keras','https://dto.kemkes.go.id/kfacode/93001370',0,'2023-05-01');</v>
      </c>
    </row>
    <row r="401" spans="1:11" ht="15.75" customHeight="1">
      <c r="A401" s="2">
        <v>93000246</v>
      </c>
      <c r="B401" s="2" t="s">
        <v>2145</v>
      </c>
      <c r="C401" s="2">
        <v>92000109</v>
      </c>
      <c r="D401" s="2" t="s">
        <v>875</v>
      </c>
      <c r="E401" s="2" t="s">
        <v>2146</v>
      </c>
      <c r="F401" s="2" t="s">
        <v>653</v>
      </c>
      <c r="G401" s="2" t="s">
        <v>1506</v>
      </c>
      <c r="H401" s="2" t="s">
        <v>1458</v>
      </c>
      <c r="I401" s="3" t="str">
        <f t="shared" si="0"/>
        <v>https://dto.kemkes.go.id/kfacode/93000246</v>
      </c>
      <c r="J401" s="34" t="s">
        <v>3768</v>
      </c>
      <c r="K401" t="str">
        <f t="shared" si="7"/>
        <v>insert into mkatalog_kfa93 (kode, uraian, kode_92, uraian_92, nama_dagang, satuan_kecil, sediaan, golongan, url, userid_updt, sysdate_updt) values ('93000246','Docetaxel 20 mg / mL Injeksi (DOXEL, 1 mL)','92000109','Docetaxel 20 mg / mL Injeksi','DOXEL 20','Vial','Larutan Injeksi','Obat Keras','https://dto.kemkes.go.id/kfacode/93000246',0,'2023-05-01');</v>
      </c>
    </row>
    <row r="402" spans="1:11" ht="15.75" customHeight="1">
      <c r="A402" s="2">
        <v>93000245</v>
      </c>
      <c r="B402" s="2" t="s">
        <v>2147</v>
      </c>
      <c r="C402" s="2">
        <v>92000109</v>
      </c>
      <c r="D402" s="2" t="s">
        <v>875</v>
      </c>
      <c r="E402" s="2" t="s">
        <v>2148</v>
      </c>
      <c r="F402" s="2" t="s">
        <v>653</v>
      </c>
      <c r="G402" s="2" t="s">
        <v>1506</v>
      </c>
      <c r="H402" s="2" t="s">
        <v>1458</v>
      </c>
      <c r="I402" s="3" t="str">
        <f t="shared" si="0"/>
        <v>https://dto.kemkes.go.id/kfacode/93000245</v>
      </c>
      <c r="J402" s="34" t="s">
        <v>3768</v>
      </c>
      <c r="K402" t="str">
        <f t="shared" si="7"/>
        <v>insert into mkatalog_kfa93 (kode, uraian, kode_92, uraian_92, nama_dagang, satuan_kecil, sediaan, golongan, url, userid_updt, sysdate_updt) values ('93000245','Docetaxel 20 mg / mL Injeksi (DOXEL, 4 mL)','92000109','Docetaxel 20 mg / mL Injeksi','DOXEL 80','Vial','Larutan Injeksi','Obat Keras','https://dto.kemkes.go.id/kfacode/93000245',0,'2023-05-01');</v>
      </c>
    </row>
    <row r="403" spans="1:11" ht="15.75" customHeight="1">
      <c r="A403" s="2">
        <v>93000249</v>
      </c>
      <c r="B403" s="2" t="s">
        <v>2149</v>
      </c>
      <c r="C403" s="2">
        <v>92000109</v>
      </c>
      <c r="D403" s="2" t="s">
        <v>875</v>
      </c>
      <c r="E403" s="2" t="s">
        <v>2150</v>
      </c>
      <c r="F403" s="2" t="s">
        <v>653</v>
      </c>
      <c r="G403" s="2" t="s">
        <v>1506</v>
      </c>
      <c r="H403" s="2" t="s">
        <v>1458</v>
      </c>
      <c r="I403" s="3" t="str">
        <f t="shared" si="0"/>
        <v>https://dto.kemkes.go.id/kfacode/93000249</v>
      </c>
      <c r="J403" s="34" t="s">
        <v>3768</v>
      </c>
      <c r="K403" t="str">
        <f t="shared" si="7"/>
        <v>insert into mkatalog_kfa93 (kode, uraian, kode_92, uraian_92, nama_dagang, satuan_kecil, sediaan, golongan, url, userid_updt, sysdate_updt) values ('93000249','Docetaxel 20 mg / mL Injeksi (DOXOMED, 0.5 mL)','92000109','Docetaxel 20 mg / mL Injeksi','DOXOMED','Vial','Larutan Injeksi','Obat Keras','https://dto.kemkes.go.id/kfacode/93000249',0,'2023-05-01');</v>
      </c>
    </row>
    <row r="404" spans="1:11" ht="15.75" customHeight="1">
      <c r="A404" s="2">
        <v>93001240</v>
      </c>
      <c r="B404" s="2" t="s">
        <v>2151</v>
      </c>
      <c r="C404" s="2">
        <v>92000109</v>
      </c>
      <c r="D404" s="2" t="s">
        <v>875</v>
      </c>
      <c r="E404" s="2" t="s">
        <v>2140</v>
      </c>
      <c r="F404" s="2" t="s">
        <v>653</v>
      </c>
      <c r="G404" s="2" t="s">
        <v>1506</v>
      </c>
      <c r="H404" s="2" t="s">
        <v>1458</v>
      </c>
      <c r="I404" s="3" t="str">
        <f t="shared" si="0"/>
        <v>https://dto.kemkes.go.id/kfacode/93001240</v>
      </c>
      <c r="J404" s="34" t="s">
        <v>3768</v>
      </c>
      <c r="K404" t="str">
        <f t="shared" si="7"/>
        <v>insert into mkatalog_kfa93 (kode, uraian, kode_92, uraian_92, nama_dagang, satuan_kecil, sediaan, golongan, url, userid_updt, sysdate_updt) values ('93001240','Docetaxel 20 mg / mL Injeksi (FERRON PAR PHARMACEUTICALS, 1 mL)','92000109','Docetaxel 20 mg / mL Injeksi','DOCETAXEL TRIHYDRATE','Vial','Larutan Injeksi','Obat Keras','https://dto.kemkes.go.id/kfacode/93001240',0,'2023-05-01');</v>
      </c>
    </row>
    <row r="405" spans="1:11" ht="15.75" customHeight="1">
      <c r="A405" s="2">
        <v>93001241</v>
      </c>
      <c r="B405" s="2" t="s">
        <v>2152</v>
      </c>
      <c r="C405" s="2">
        <v>92000109</v>
      </c>
      <c r="D405" s="2" t="s">
        <v>875</v>
      </c>
      <c r="E405" s="2" t="s">
        <v>2140</v>
      </c>
      <c r="F405" s="2" t="s">
        <v>653</v>
      </c>
      <c r="G405" s="2" t="s">
        <v>1506</v>
      </c>
      <c r="H405" s="2" t="s">
        <v>1458</v>
      </c>
      <c r="I405" s="3" t="str">
        <f t="shared" si="0"/>
        <v>https://dto.kemkes.go.id/kfacode/93001241</v>
      </c>
      <c r="J405" s="34" t="s">
        <v>3768</v>
      </c>
      <c r="K405" t="str">
        <f t="shared" si="7"/>
        <v>insert into mkatalog_kfa93 (kode, uraian, kode_92, uraian_92, nama_dagang, satuan_kecil, sediaan, golongan, url, userid_updt, sysdate_updt) values ('93001241','Docetaxel 20 mg / mL Injeksi (FERRON PAR PHARMACEUTICALS, 4 mL)','92000109','Docetaxel 20 mg / mL Injeksi','DOCETAXEL TRIHYDRATE','Vial','Larutan Injeksi','Obat Keras','https://dto.kemkes.go.id/kfacode/93001241',0,'2023-05-01');</v>
      </c>
    </row>
    <row r="406" spans="1:11" ht="15.75" customHeight="1">
      <c r="A406" s="2">
        <v>93000251</v>
      </c>
      <c r="B406" s="2" t="s">
        <v>2153</v>
      </c>
      <c r="C406" s="2">
        <v>92000109</v>
      </c>
      <c r="D406" s="2" t="s">
        <v>875</v>
      </c>
      <c r="E406" s="2" t="s">
        <v>2154</v>
      </c>
      <c r="F406" s="2" t="s">
        <v>653</v>
      </c>
      <c r="G406" s="2" t="s">
        <v>1506</v>
      </c>
      <c r="H406" s="2" t="s">
        <v>1458</v>
      </c>
      <c r="I406" s="3" t="str">
        <f t="shared" si="0"/>
        <v>https://dto.kemkes.go.id/kfacode/93000251</v>
      </c>
      <c r="J406" s="34" t="s">
        <v>3768</v>
      </c>
      <c r="K406" t="str">
        <f t="shared" si="7"/>
        <v>insert into mkatalog_kfa93 (kode, uraian, kode_92, uraian_92, nama_dagang, satuan_kecil, sediaan, golongan, url, userid_updt, sysdate_updt) values ('93000251','Docetaxel 20 mg / mL Injeksi (ONCOTAXEL, 1 mL)','92000109','Docetaxel 20 mg / mL Injeksi','ONCOTAXEL','Vial','Larutan Injeksi','Obat Keras','https://dto.kemkes.go.id/kfacode/93000251',0,'2023-05-01');</v>
      </c>
    </row>
    <row r="407" spans="1:11" ht="15.75" customHeight="1">
      <c r="A407" s="2">
        <v>93000250</v>
      </c>
      <c r="B407" s="2" t="s">
        <v>2155</v>
      </c>
      <c r="C407" s="2">
        <v>92000109</v>
      </c>
      <c r="D407" s="2" t="s">
        <v>875</v>
      </c>
      <c r="E407" s="2" t="s">
        <v>2154</v>
      </c>
      <c r="F407" s="2" t="s">
        <v>653</v>
      </c>
      <c r="G407" s="2" t="s">
        <v>1506</v>
      </c>
      <c r="H407" s="2" t="s">
        <v>1458</v>
      </c>
      <c r="I407" s="3" t="str">
        <f t="shared" si="0"/>
        <v>https://dto.kemkes.go.id/kfacode/93000250</v>
      </c>
      <c r="J407" s="34" t="s">
        <v>3768</v>
      </c>
      <c r="K407" t="str">
        <f t="shared" si="7"/>
        <v>insert into mkatalog_kfa93 (kode, uraian, kode_92, uraian_92, nama_dagang, satuan_kecil, sediaan, golongan, url, userid_updt, sysdate_updt) values ('93000250','Docetaxel 20 mg / mL Injeksi (ONCOTAXEL, 4 mL)','92000109','Docetaxel 20 mg / mL Injeksi','ONCOTAXEL','Vial','Larutan Injeksi','Obat Keras','https://dto.kemkes.go.id/kfacode/93000250',0,'2023-05-01');</v>
      </c>
    </row>
    <row r="408" spans="1:11" ht="15.75" customHeight="1">
      <c r="A408" s="2">
        <v>93000254</v>
      </c>
      <c r="B408" s="2" t="s">
        <v>2156</v>
      </c>
      <c r="C408" s="2">
        <v>92000200</v>
      </c>
      <c r="D408" s="2" t="s">
        <v>876</v>
      </c>
      <c r="E408" s="2" t="s">
        <v>2157</v>
      </c>
      <c r="F408" s="2" t="s">
        <v>653</v>
      </c>
      <c r="G408" s="2" t="s">
        <v>1506</v>
      </c>
      <c r="H408" s="2" t="s">
        <v>1458</v>
      </c>
      <c r="I408" s="3" t="str">
        <f t="shared" si="0"/>
        <v>https://dto.kemkes.go.id/kfacode/93000254</v>
      </c>
      <c r="J408" s="34" t="s">
        <v>3768</v>
      </c>
      <c r="K408" t="str">
        <f t="shared" si="7"/>
        <v>insert into mkatalog_kfa93 (kode, uraian, kode_92, uraian_92, nama_dagang, satuan_kecil, sediaan, golongan, url, userid_updt, sysdate_updt) values ('93000254','Docetaxel 40 mg / mL Injeksi (DOCEHOPE, 0.5 mL)','92000200','Docetaxel 40 mg / mL Injeksi','DOCEHOPE 20','Vial','Larutan Injeksi','Obat Keras','https://dto.kemkes.go.id/kfacode/93000254',0,'2023-05-01');</v>
      </c>
    </row>
    <row r="409" spans="1:11" ht="15.75" customHeight="1">
      <c r="A409" s="2">
        <v>93000255</v>
      </c>
      <c r="B409" s="2" t="s">
        <v>2158</v>
      </c>
      <c r="C409" s="2">
        <v>92000200</v>
      </c>
      <c r="D409" s="2" t="s">
        <v>876</v>
      </c>
      <c r="E409" s="2" t="s">
        <v>2157</v>
      </c>
      <c r="F409" s="2" t="s">
        <v>653</v>
      </c>
      <c r="G409" s="2" t="s">
        <v>1506</v>
      </c>
      <c r="H409" s="2" t="s">
        <v>1458</v>
      </c>
      <c r="I409" s="3" t="str">
        <f t="shared" si="0"/>
        <v>https://dto.kemkes.go.id/kfacode/93000255</v>
      </c>
      <c r="J409" s="34" t="s">
        <v>3768</v>
      </c>
      <c r="K409" t="str">
        <f t="shared" si="7"/>
        <v>insert into mkatalog_kfa93 (kode, uraian, kode_92, uraian_92, nama_dagang, satuan_kecil, sediaan, golongan, url, userid_updt, sysdate_updt) values ('93000255','Docetaxel 40 mg / mL Injeksi (DOCEHOPE, 2 mL)','92000200','Docetaxel 40 mg / mL Injeksi','DOCEHOPE 20','Vial','Larutan Injeksi','Obat Keras','https://dto.kemkes.go.id/kfacode/93000255',0,'2023-05-01');</v>
      </c>
    </row>
    <row r="410" spans="1:11" ht="15.75" customHeight="1">
      <c r="A410" s="2">
        <v>93000248</v>
      </c>
      <c r="B410" s="2" t="s">
        <v>2159</v>
      </c>
      <c r="C410" s="2">
        <v>92000200</v>
      </c>
      <c r="D410" s="2" t="s">
        <v>876</v>
      </c>
      <c r="E410" s="2" t="s">
        <v>2150</v>
      </c>
      <c r="F410" s="2" t="s">
        <v>653</v>
      </c>
      <c r="G410" s="2" t="s">
        <v>1506</v>
      </c>
      <c r="H410" s="2" t="s">
        <v>1458</v>
      </c>
      <c r="I410" s="3" t="str">
        <f t="shared" si="0"/>
        <v>https://dto.kemkes.go.id/kfacode/93000248</v>
      </c>
      <c r="J410" s="34" t="s">
        <v>3768</v>
      </c>
      <c r="K410" t="str">
        <f t="shared" si="7"/>
        <v>insert into mkatalog_kfa93 (kode, uraian, kode_92, uraian_92, nama_dagang, satuan_kecil, sediaan, golongan, url, userid_updt, sysdate_updt) values ('93000248','Docetaxel 40 mg / mL Injeksi (DOXOMED)','92000200','Docetaxel 40 mg / mL Injeksi','DOXOMED','Vial','Larutan Injeksi','Obat Keras','https://dto.kemkes.go.id/kfacode/93000248',0,'2023-05-01');</v>
      </c>
    </row>
    <row r="411" spans="1:11" ht="15.75" customHeight="1">
      <c r="A411" s="2">
        <v>93000204</v>
      </c>
      <c r="B411" s="2" t="s">
        <v>2160</v>
      </c>
      <c r="C411" s="2">
        <v>92000200</v>
      </c>
      <c r="D411" s="2" t="s">
        <v>876</v>
      </c>
      <c r="E411" s="2" t="s">
        <v>2161</v>
      </c>
      <c r="F411" s="2" t="s">
        <v>653</v>
      </c>
      <c r="G411" s="2" t="s">
        <v>1506</v>
      </c>
      <c r="H411" s="2" t="s">
        <v>1458</v>
      </c>
      <c r="I411" s="3" t="str">
        <f t="shared" si="0"/>
        <v>https://dto.kemkes.go.id/kfacode/93000204</v>
      </c>
      <c r="J411" s="34" t="s">
        <v>3768</v>
      </c>
      <c r="K411" t="str">
        <f t="shared" si="7"/>
        <v>insert into mkatalog_kfa93 (kode, uraian, kode_92, uraian_92, nama_dagang, satuan_kecil, sediaan, golongan, url, userid_updt, sysdate_updt) values ('93000204','Docetaxel 40 mg / mL Injeksi (SANBE FARMA)','92000200','Docetaxel 40 mg / mL Injeksi','DOCETAXEL','Vial','Larutan Injeksi','Obat Keras','https://dto.kemkes.go.id/kfacode/93000204',0,'2023-05-01');</v>
      </c>
    </row>
    <row r="412" spans="1:11" ht="15.75" customHeight="1">
      <c r="A412" s="2">
        <v>93000252</v>
      </c>
      <c r="B412" s="2" t="s">
        <v>2162</v>
      </c>
      <c r="C412" s="2">
        <v>92000200</v>
      </c>
      <c r="D412" s="2" t="s">
        <v>876</v>
      </c>
      <c r="E412" s="2" t="s">
        <v>2163</v>
      </c>
      <c r="F412" s="2" t="s">
        <v>653</v>
      </c>
      <c r="G412" s="2" t="s">
        <v>1506</v>
      </c>
      <c r="H412" s="2" t="s">
        <v>1458</v>
      </c>
      <c r="I412" s="3" t="str">
        <f t="shared" si="0"/>
        <v>https://dto.kemkes.go.id/kfacode/93000252</v>
      </c>
      <c r="J412" s="34" t="s">
        <v>3768</v>
      </c>
      <c r="K412" t="str">
        <f t="shared" si="7"/>
        <v>insert into mkatalog_kfa93 (kode, uraian, kode_92, uraian_92, nama_dagang, satuan_kecil, sediaan, golongan, url, userid_updt, sysdate_updt) values ('93000252','Docetaxel 40 mg / mL Injeksi (TACEEDO, 0.5 mL)','92000200','Docetaxel 40 mg / mL Injeksi','TACEEDO 20','Vial','Larutan Injeksi','Obat Keras','https://dto.kemkes.go.id/kfacode/93000252',0,'2023-05-01');</v>
      </c>
    </row>
    <row r="413" spans="1:11" ht="15.75" customHeight="1">
      <c r="A413" s="2">
        <v>93000253</v>
      </c>
      <c r="B413" s="2" t="s">
        <v>2164</v>
      </c>
      <c r="C413" s="2">
        <v>92000200</v>
      </c>
      <c r="D413" s="2" t="s">
        <v>876</v>
      </c>
      <c r="E413" s="2" t="s">
        <v>2165</v>
      </c>
      <c r="F413" s="2" t="s">
        <v>653</v>
      </c>
      <c r="G413" s="2" t="s">
        <v>1506</v>
      </c>
      <c r="H413" s="2" t="s">
        <v>1458</v>
      </c>
      <c r="I413" s="3" t="str">
        <f t="shared" si="0"/>
        <v>https://dto.kemkes.go.id/kfacode/93000253</v>
      </c>
      <c r="J413" s="34" t="s">
        <v>3768</v>
      </c>
      <c r="K413" t="str">
        <f t="shared" si="7"/>
        <v>insert into mkatalog_kfa93 (kode, uraian, kode_92, uraian_92, nama_dagang, satuan_kecil, sediaan, golongan, url, userid_updt, sysdate_updt) values ('93000253','Docetaxel 40 mg / mL Injeksi (TACEEDO, 2 mL)','92000200','Docetaxel 40 mg / mL Injeksi','TACEEDO 80','Vial','Larutan Injeksi','Obat Keras','https://dto.kemkes.go.id/kfacode/93000253',0,'2023-05-01');</v>
      </c>
    </row>
    <row r="414" spans="1:11" ht="15.75" customHeight="1">
      <c r="A414" s="2">
        <v>93001325</v>
      </c>
      <c r="B414" s="2" t="s">
        <v>2166</v>
      </c>
      <c r="C414" s="2">
        <v>92000584</v>
      </c>
      <c r="D414" s="2" t="s">
        <v>877</v>
      </c>
      <c r="E414" s="2" t="s">
        <v>2167</v>
      </c>
      <c r="F414" s="2" t="s">
        <v>640</v>
      </c>
      <c r="G414" s="2" t="s">
        <v>640</v>
      </c>
      <c r="H414" s="2" t="s">
        <v>1458</v>
      </c>
      <c r="I414" s="3" t="str">
        <f t="shared" si="0"/>
        <v>https://dto.kemkes.go.id/kfacode/93001325</v>
      </c>
      <c r="J414" s="34" t="s">
        <v>3768</v>
      </c>
      <c r="K414" t="str">
        <f t="shared" si="7"/>
        <v>insert into mkatalog_kfa93 (kode, uraian, kode_92, uraian_92, nama_dagang, satuan_kecil, sediaan, golongan, url, userid_updt, sysdate_updt) values ('93001325','Doksisilin 100 mg Tablet (DEXA MEDICA)','92000584','Doksisilin 100 mg Tablet','DOXYCYCLINE HYCLATE','Tablet','Tablet','Obat Keras','https://dto.kemkes.go.id/kfacode/93001325',0,'2023-05-01');</v>
      </c>
    </row>
    <row r="415" spans="1:11" ht="15.75" customHeight="1">
      <c r="A415" s="2">
        <v>93001485</v>
      </c>
      <c r="B415" s="2" t="s">
        <v>2168</v>
      </c>
      <c r="C415" s="2">
        <v>92000584</v>
      </c>
      <c r="D415" s="2" t="s">
        <v>877</v>
      </c>
      <c r="E415" s="2" t="s">
        <v>2167</v>
      </c>
      <c r="F415" s="2" t="s">
        <v>640</v>
      </c>
      <c r="G415" s="2" t="s">
        <v>640</v>
      </c>
      <c r="H415" s="2" t="s">
        <v>1458</v>
      </c>
      <c r="I415" s="3" t="str">
        <f t="shared" si="0"/>
        <v>https://dto.kemkes.go.id/kfacode/93001485</v>
      </c>
      <c r="J415" s="34" t="s">
        <v>3768</v>
      </c>
      <c r="K415" t="str">
        <f t="shared" si="7"/>
        <v>insert into mkatalog_kfa93 (kode, uraian, kode_92, uraian_92, nama_dagang, satuan_kecil, sediaan, golongan, url, userid_updt, sysdate_updt) values ('93001485','Doksisilin 100 mg Tablet (DOXYCYCLINE HYCLATE)','92000584','Doksisilin 100 mg Tablet','DOXYCYCLINE HYCLATE','Tablet','Tablet','Obat Keras','https://dto.kemkes.go.id/kfacode/93001485',0,'2023-05-01');</v>
      </c>
    </row>
    <row r="416" spans="1:11" ht="15.75" customHeight="1">
      <c r="A416" s="2">
        <v>93000768</v>
      </c>
      <c r="B416" s="2" t="s">
        <v>2169</v>
      </c>
      <c r="C416" s="2">
        <v>92000584</v>
      </c>
      <c r="D416" s="2" t="s">
        <v>877</v>
      </c>
      <c r="E416" s="2" t="s">
        <v>2167</v>
      </c>
      <c r="F416" s="2" t="s">
        <v>640</v>
      </c>
      <c r="G416" s="2" t="s">
        <v>640</v>
      </c>
      <c r="H416" s="2" t="s">
        <v>1458</v>
      </c>
      <c r="I416" s="3" t="str">
        <f t="shared" si="0"/>
        <v>https://dto.kemkes.go.id/kfacode/93000768</v>
      </c>
      <c r="J416" s="34" t="s">
        <v>3768</v>
      </c>
      <c r="K416" t="str">
        <f t="shared" si="7"/>
        <v>insert into mkatalog_kfa93 (kode, uraian, kode_92, uraian_92, nama_dagang, satuan_kecil, sediaan, golongan, url, userid_updt, sysdate_updt) values ('93000768','Doksisilin 100 mg Tablet (INDOFARMA - Indonesia - -)','92000584','Doksisilin 100 mg Tablet','DOXYCYCLINE HYCLATE','Tablet','Tablet','Obat Keras','https://dto.kemkes.go.id/kfacode/93000768',0,'2023-05-01');</v>
      </c>
    </row>
    <row r="417" spans="1:11" ht="15.75" customHeight="1">
      <c r="A417" s="2">
        <v>93000766</v>
      </c>
      <c r="B417" s="2" t="s">
        <v>2170</v>
      </c>
      <c r="C417" s="2">
        <v>92000584</v>
      </c>
      <c r="D417" s="2" t="s">
        <v>877</v>
      </c>
      <c r="E417" s="2" t="s">
        <v>2167</v>
      </c>
      <c r="F417" s="2" t="s">
        <v>640</v>
      </c>
      <c r="G417" s="2" t="s">
        <v>640</v>
      </c>
      <c r="H417" s="2" t="s">
        <v>1458</v>
      </c>
      <c r="I417" s="3" t="str">
        <f t="shared" si="0"/>
        <v>https://dto.kemkes.go.id/kfacode/93000766</v>
      </c>
      <c r="J417" s="34" t="s">
        <v>3768</v>
      </c>
      <c r="K417" t="str">
        <f t="shared" si="7"/>
        <v>insert into mkatalog_kfa93 (kode, uraian, kode_92, uraian_92, nama_dagang, satuan_kecil, sediaan, golongan, url, userid_updt, sysdate_updt) values ('93000766','Doksisilin 100 mg Tablet (KIMIA FARMA Tbk. - Indonesia - -)','92000584','Doksisilin 100 mg Tablet','DOXYCYCLINE HYCLATE','Tablet','Tablet','Obat Keras','https://dto.kemkes.go.id/kfacode/93000766',0,'2023-05-01');</v>
      </c>
    </row>
    <row r="418" spans="1:11" ht="15.75" customHeight="1">
      <c r="A418" s="2">
        <v>93001486</v>
      </c>
      <c r="B418" s="2" t="s">
        <v>2171</v>
      </c>
      <c r="C418" s="2">
        <v>92000584</v>
      </c>
      <c r="D418" s="2" t="s">
        <v>877</v>
      </c>
      <c r="E418" s="2"/>
      <c r="F418" s="2" t="s">
        <v>640</v>
      </c>
      <c r="G418" s="2" t="s">
        <v>640</v>
      </c>
      <c r="H418" s="2" t="s">
        <v>1458</v>
      </c>
      <c r="I418" s="3" t="str">
        <f t="shared" si="0"/>
        <v>https://dto.kemkes.go.id/kfacode/93001486</v>
      </c>
      <c r="J418" s="34" t="s">
        <v>3768</v>
      </c>
      <c r="K418" t="str">
        <f t="shared" si="7"/>
        <v>insert into mkatalog_kfa93 (kode, uraian, kode_92, uraian_92, nama_dagang, satuan_kecil, sediaan, golongan, url, userid_updt, sysdate_updt) values ('93001486','Doksisilin 100 mg Tablet (KIMIA FARMA, Jakarta - Indonesia - -)','92000584','Doksisilin 100 mg Tablet','','Tablet','Tablet','Obat Keras','https://dto.kemkes.go.id/kfacode/93001486',0,'2023-05-01');</v>
      </c>
    </row>
    <row r="419" spans="1:11" ht="15.75" customHeight="1">
      <c r="A419" s="2">
        <v>93000767</v>
      </c>
      <c r="B419" s="2" t="s">
        <v>2172</v>
      </c>
      <c r="C419" s="2">
        <v>92000584</v>
      </c>
      <c r="D419" s="2" t="s">
        <v>877</v>
      </c>
      <c r="E419" s="2" t="s">
        <v>2167</v>
      </c>
      <c r="F419" s="2" t="s">
        <v>640</v>
      </c>
      <c r="G419" s="2" t="s">
        <v>640</v>
      </c>
      <c r="H419" s="2" t="s">
        <v>1458</v>
      </c>
      <c r="I419" s="3" t="str">
        <f t="shared" si="0"/>
        <v>https://dto.kemkes.go.id/kfacode/93000767</v>
      </c>
      <c r="J419" s="34" t="s">
        <v>3768</v>
      </c>
      <c r="K419" t="str">
        <f t="shared" si="7"/>
        <v>insert into mkatalog_kfa93 (kode, uraian, kode_92, uraian_92, nama_dagang, satuan_kecil, sediaan, golongan, url, userid_updt, sysdate_updt) values ('93000767','Doksisilin 100 mg Tablet (PYRIDAM FARMA TBK - Indonesia - -)','92000584','Doksisilin 100 mg Tablet','DOXYCYCLINE HYCLATE','Tablet','Tablet','Obat Keras','https://dto.kemkes.go.id/kfacode/93000767',0,'2023-05-01');</v>
      </c>
    </row>
    <row r="420" spans="1:11" ht="15.75" customHeight="1">
      <c r="A420" s="2">
        <v>93000770</v>
      </c>
      <c r="B420" s="2" t="s">
        <v>2173</v>
      </c>
      <c r="C420" s="2">
        <v>92000584</v>
      </c>
      <c r="D420" s="2" t="s">
        <v>877</v>
      </c>
      <c r="E420" s="2" t="s">
        <v>2167</v>
      </c>
      <c r="F420" s="2" t="s">
        <v>640</v>
      </c>
      <c r="G420" s="2" t="s">
        <v>640</v>
      </c>
      <c r="H420" s="2" t="s">
        <v>1458</v>
      </c>
      <c r="I420" s="3" t="str">
        <f t="shared" si="0"/>
        <v>https://dto.kemkes.go.id/kfacode/93000770</v>
      </c>
      <c r="J420" s="34" t="s">
        <v>3768</v>
      </c>
      <c r="K420" t="str">
        <f t="shared" si="7"/>
        <v>insert into mkatalog_kfa93 (kode, uraian, kode_92, uraian_92, nama_dagang, satuan_kecil, sediaan, golongan, url, userid_updt, sysdate_updt) values ('93000770','Doksisilin 100 mg Tablet (SANBE FARMA - Indonesia - -)','92000584','Doksisilin 100 mg Tablet','DOXYCYCLINE HYCLATE','Tablet','Tablet','Obat Keras','https://dto.kemkes.go.id/kfacode/93000770',0,'2023-05-01');</v>
      </c>
    </row>
    <row r="421" spans="1:11" ht="15.75" customHeight="1">
      <c r="A421" s="2">
        <v>93000769</v>
      </c>
      <c r="B421" s="2" t="s">
        <v>2174</v>
      </c>
      <c r="C421" s="2">
        <v>92000584</v>
      </c>
      <c r="D421" s="2" t="s">
        <v>877</v>
      </c>
      <c r="E421" s="2" t="s">
        <v>2175</v>
      </c>
      <c r="F421" s="2" t="s">
        <v>640</v>
      </c>
      <c r="G421" s="2" t="s">
        <v>640</v>
      </c>
      <c r="H421" s="2" t="s">
        <v>1458</v>
      </c>
      <c r="I421" s="3" t="str">
        <f t="shared" si="0"/>
        <v>https://dto.kemkes.go.id/kfacode/93000769</v>
      </c>
      <c r="J421" s="34" t="s">
        <v>3768</v>
      </c>
      <c r="K421" t="str">
        <f t="shared" si="7"/>
        <v>insert into mkatalog_kfa93 (kode, uraian, kode_92, uraian_92, nama_dagang, satuan_kecil, sediaan, golongan, url, userid_updt, sysdate_updt) values ('93000769','Doksisilin 100 mg Tablet (YARINDO FARMATAMA - Indonesia - -)','92000584','Doksisilin 100 mg Tablet','DOXYCYCLINE','Tablet','Tablet','Obat Keras','https://dto.kemkes.go.id/kfacode/93000769',0,'2023-05-01');</v>
      </c>
    </row>
    <row r="422" spans="1:11" ht="15.75" customHeight="1">
      <c r="A422" s="2">
        <v>93001553</v>
      </c>
      <c r="B422" s="2" t="s">
        <v>2176</v>
      </c>
      <c r="C422" s="2">
        <v>92000892</v>
      </c>
      <c r="D422" s="2" t="s">
        <v>878</v>
      </c>
      <c r="E422" s="2" t="s">
        <v>2177</v>
      </c>
      <c r="F422" s="2" t="s">
        <v>640</v>
      </c>
      <c r="G422" s="2" t="s">
        <v>1457</v>
      </c>
      <c r="H422" s="2" t="s">
        <v>1458</v>
      </c>
      <c r="I422" s="3" t="str">
        <f t="shared" si="0"/>
        <v>https://dto.kemkes.go.id/kfacode/93001553</v>
      </c>
      <c r="J422" s="34" t="s">
        <v>3768</v>
      </c>
      <c r="K422" t="str">
        <f t="shared" si="7"/>
        <v>insert into mkatalog_kfa93 (kode, uraian, kode_92, uraian_92, nama_dagang, satuan_kecil, sediaan, golongan, url, userid_updt, sysdate_updt) values ('93001553','Dolutegravir 50 mg Tablet Salut Selaput (DINISVIR)','92000892','Dolutegravir 50 mg Tablet Salut Selaput','DINISVIR 50','Tablet','Tablet Salut Selaput','Obat Keras','https://dto.kemkes.go.id/kfacode/93001553',0,'2023-05-01');</v>
      </c>
    </row>
    <row r="423" spans="1:11" ht="15.75" customHeight="1">
      <c r="A423" s="2">
        <v>93001552</v>
      </c>
      <c r="B423" s="2" t="s">
        <v>2178</v>
      </c>
      <c r="C423" s="2">
        <v>92000892</v>
      </c>
      <c r="D423" s="2" t="s">
        <v>878</v>
      </c>
      <c r="E423" s="2" t="s">
        <v>2179</v>
      </c>
      <c r="F423" s="2" t="s">
        <v>640</v>
      </c>
      <c r="G423" s="2" t="s">
        <v>1457</v>
      </c>
      <c r="H423" s="2" t="s">
        <v>1458</v>
      </c>
      <c r="I423" s="3" t="str">
        <f t="shared" si="0"/>
        <v>https://dto.kemkes.go.id/kfacode/93001552</v>
      </c>
      <c r="J423" s="34" t="s">
        <v>3768</v>
      </c>
      <c r="K423" t="str">
        <f t="shared" si="7"/>
        <v>insert into mkatalog_kfa93 (kode, uraian, kode_92, uraian_92, nama_dagang, satuan_kecil, sediaan, golongan, url, userid_updt, sysdate_updt) values ('93001552','Dolutegravir 50 mg Tablet Salut Selaput (MYLTEGA)','92000892','Dolutegravir 50 mg Tablet Salut Selaput','MYLTEGA','Tablet','Tablet Salut Selaput','Obat Keras','https://dto.kemkes.go.id/kfacode/93001552',0,'2023-05-01');</v>
      </c>
    </row>
    <row r="424" spans="1:11" ht="15.75" customHeight="1">
      <c r="A424" s="2">
        <v>93000287</v>
      </c>
      <c r="B424" s="2" t="s">
        <v>2180</v>
      </c>
      <c r="C424" s="2">
        <v>92000139</v>
      </c>
      <c r="D424" s="2" t="s">
        <v>879</v>
      </c>
      <c r="E424" s="2" t="s">
        <v>2181</v>
      </c>
      <c r="F424" s="2" t="s">
        <v>660</v>
      </c>
      <c r="G424" s="2" t="s">
        <v>660</v>
      </c>
      <c r="H424" s="2" t="s">
        <v>1458</v>
      </c>
      <c r="I424" s="3" t="str">
        <f t="shared" si="0"/>
        <v>https://dto.kemkes.go.id/kfacode/93000287</v>
      </c>
      <c r="J424" s="34" t="s">
        <v>3768</v>
      </c>
      <c r="K424" t="str">
        <f t="shared" si="7"/>
        <v>insert into mkatalog_kfa93 (kode, uraian, kode_92, uraian_92, nama_dagang, satuan_kecil, sediaan, golongan, url, userid_updt, sysdate_updt) values ('93000287','Domperidone 10 mg Kaplet / Tablet (HEXPHARM JAYA LABORATORIES)','92000139','Domperidone 10 mg Kaplet / Tablet','DOMPERIDONE','Kaplet','Kaplet','Obat Keras','https://dto.kemkes.go.id/kfacode/93000287',0,'2023-05-01');</v>
      </c>
    </row>
    <row r="425" spans="1:11" ht="15.75" customHeight="1">
      <c r="A425" s="2">
        <v>93000259</v>
      </c>
      <c r="B425" s="2" t="s">
        <v>2182</v>
      </c>
      <c r="C425" s="2">
        <v>92000139</v>
      </c>
      <c r="D425" s="2" t="s">
        <v>879</v>
      </c>
      <c r="E425" s="2" t="s">
        <v>2183</v>
      </c>
      <c r="F425" s="2" t="s">
        <v>660</v>
      </c>
      <c r="G425" s="2" t="s">
        <v>660</v>
      </c>
      <c r="H425" s="2" t="s">
        <v>1458</v>
      </c>
      <c r="I425" s="3" t="str">
        <f t="shared" si="0"/>
        <v>https://dto.kemkes.go.id/kfacode/93000259</v>
      </c>
      <c r="J425" s="34" t="s">
        <v>3768</v>
      </c>
      <c r="K425" t="str">
        <f t="shared" si="7"/>
        <v>insert into mkatalog_kfa93 (kode, uraian, kode_92, uraian_92, nama_dagang, satuan_kecil, sediaan, golongan, url, userid_updt, sysdate_updt) values ('93000259','Domperidone 10 mg Kaplet / Tablet (HUFADON)','92000139','Domperidone 10 mg Kaplet / Tablet','HUFADON','Kaplet','Kaplet','Obat Keras','https://dto.kemkes.go.id/kfacode/93000259',0,'2023-05-01');</v>
      </c>
    </row>
    <row r="426" spans="1:11" ht="15.75" customHeight="1">
      <c r="A426" s="2">
        <v>93000260</v>
      </c>
      <c r="B426" s="2" t="s">
        <v>2184</v>
      </c>
      <c r="C426" s="2">
        <v>92000143</v>
      </c>
      <c r="D426" s="2" t="s">
        <v>880</v>
      </c>
      <c r="E426" s="2" t="s">
        <v>2185</v>
      </c>
      <c r="F426" s="2" t="s">
        <v>640</v>
      </c>
      <c r="G426" s="2" t="s">
        <v>1581</v>
      </c>
      <c r="H426" s="2" t="s">
        <v>1458</v>
      </c>
      <c r="I426" s="3" t="str">
        <f t="shared" si="0"/>
        <v>https://dto.kemkes.go.id/kfacode/93000260</v>
      </c>
      <c r="J426" s="34" t="s">
        <v>3768</v>
      </c>
      <c r="K426" t="str">
        <f t="shared" si="7"/>
        <v>insert into mkatalog_kfa93 (kode, uraian, kode_92, uraian_92, nama_dagang, satuan_kecil, sediaan, golongan, url, userid_updt, sysdate_updt) values ('93000260','Domperidone 10 mg Tablet Cepat Larut (VOMETA FT)','92000143','Domperidone 10 mg Tablet Cepat Larut','VOMETA FT','Tablet','Tablet Cepat Larut','Obat Keras','https://dto.kemkes.go.id/kfacode/93000260',0,'2023-05-01');</v>
      </c>
    </row>
    <row r="427" spans="1:11" ht="15.75" customHeight="1">
      <c r="A427" s="2">
        <v>93000261</v>
      </c>
      <c r="B427" s="2" t="s">
        <v>2186</v>
      </c>
      <c r="C427" s="2">
        <v>92000138</v>
      </c>
      <c r="D427" s="2" t="s">
        <v>881</v>
      </c>
      <c r="E427" s="2" t="s">
        <v>2187</v>
      </c>
      <c r="F427" s="2" t="s">
        <v>640</v>
      </c>
      <c r="G427" s="2" t="s">
        <v>1457</v>
      </c>
      <c r="H427" s="2" t="s">
        <v>1458</v>
      </c>
      <c r="I427" s="3" t="str">
        <f t="shared" si="0"/>
        <v>https://dto.kemkes.go.id/kfacode/93000261</v>
      </c>
      <c r="J427" s="34" t="s">
        <v>3768</v>
      </c>
      <c r="K427" t="str">
        <f t="shared" si="7"/>
        <v>insert into mkatalog_kfa93 (kode, uraian, kode_92, uraian_92, nama_dagang, satuan_kecil, sediaan, golongan, url, userid_updt, sysdate_updt) values ('93000261','Domperidone 10 mg Tablet Salut Selaput (MOTILIUM)','92000138','Domperidone 10 mg Tablet Salut Selaput','MOTILIUM','Tablet','Tablet Salut Selaput','Obat Keras','https://dto.kemkes.go.id/kfacode/93000261',0,'2023-05-01');</v>
      </c>
    </row>
    <row r="428" spans="1:11" ht="15.75" customHeight="1">
      <c r="A428" s="2">
        <v>93001223</v>
      </c>
      <c r="B428" s="2" t="s">
        <v>2188</v>
      </c>
      <c r="C428" s="2">
        <v>92000695</v>
      </c>
      <c r="D428" s="2" t="s">
        <v>882</v>
      </c>
      <c r="E428" s="2" t="s">
        <v>2181</v>
      </c>
      <c r="F428" s="2" t="s">
        <v>702</v>
      </c>
      <c r="G428" s="2" t="s">
        <v>1509</v>
      </c>
      <c r="H428" s="2" t="s">
        <v>1458</v>
      </c>
      <c r="I428" s="3" t="str">
        <f t="shared" si="0"/>
        <v>https://dto.kemkes.go.id/kfacode/93001223</v>
      </c>
      <c r="J428" s="34" t="s">
        <v>3768</v>
      </c>
      <c r="K428" t="str">
        <f t="shared" si="7"/>
        <v>insert into mkatalog_kfa93 (kode, uraian, kode_92, uraian_92, nama_dagang, satuan_kecil, sediaan, golongan, url, userid_updt, sysdate_updt) values ('93001223','Domperidone Maleat 5 mg / 5 mL Suspensi (AFI FARMA)','92000695','Domperidone Maleat 5 mg / 5 mL Suspensi','DOMPERIDONE','Botol Plastik','Suspensi','Obat Keras','https://dto.kemkes.go.id/kfacode/93001223',0,'2023-05-01');</v>
      </c>
    </row>
    <row r="429" spans="1:11" ht="15.75" customHeight="1">
      <c r="A429" s="2">
        <v>93001142</v>
      </c>
      <c r="B429" s="2" t="s">
        <v>2189</v>
      </c>
      <c r="C429" s="2">
        <v>92000137</v>
      </c>
      <c r="D429" s="2" t="s">
        <v>883</v>
      </c>
      <c r="E429" s="2" t="s">
        <v>2190</v>
      </c>
      <c r="F429" s="2" t="s">
        <v>658</v>
      </c>
      <c r="G429" s="2" t="s">
        <v>1562</v>
      </c>
      <c r="H429" s="2" t="s">
        <v>1458</v>
      </c>
      <c r="I429" s="3" t="str">
        <f t="shared" si="0"/>
        <v>https://dto.kemkes.go.id/kfacode/93001142</v>
      </c>
      <c r="J429" s="34" t="s">
        <v>3768</v>
      </c>
      <c r="K429" t="str">
        <f t="shared" si="7"/>
        <v>insert into mkatalog_kfa93 (kode, uraian, kode_92, uraian_92, nama_dagang, satuan_kecil, sediaan, golongan, url, userid_updt, sysdate_updt) values ('93001142','Domperidone Maleat 5 mg / mL Drops (AFIFARMA, 10 mL)','92000137','Domperidone Maleat 5 mg / mL Drops','DOMPERIDONE.','Botol','Tetes Oral (Oral Drops)','Obat Keras','https://dto.kemkes.go.id/kfacode/93001142',0,'2023-05-01');</v>
      </c>
    </row>
    <row r="430" spans="1:11" ht="15.75" customHeight="1">
      <c r="A430" s="2">
        <v>93000262</v>
      </c>
      <c r="B430" s="2" t="s">
        <v>2191</v>
      </c>
      <c r="C430" s="2">
        <v>92000137</v>
      </c>
      <c r="D430" s="2" t="s">
        <v>883</v>
      </c>
      <c r="E430" s="2" t="s">
        <v>2181</v>
      </c>
      <c r="F430" s="2" t="s">
        <v>658</v>
      </c>
      <c r="G430" s="2" t="s">
        <v>1562</v>
      </c>
      <c r="H430" s="2" t="s">
        <v>1458</v>
      </c>
      <c r="I430" s="3" t="str">
        <f t="shared" si="0"/>
        <v>https://dto.kemkes.go.id/kfacode/93000262</v>
      </c>
      <c r="J430" s="34" t="s">
        <v>3768</v>
      </c>
      <c r="K430" t="str">
        <f t="shared" si="7"/>
        <v>insert into mkatalog_kfa93 (kode, uraian, kode_92, uraian_92, nama_dagang, satuan_kecil, sediaan, golongan, url, userid_updt, sysdate_updt) values ('93000262','Domperidone Maleat 5 mg / mL Drops (BERNOFARM, 10 mL)','92000137','Domperidone Maleat 5 mg / mL Drops','DOMPERIDONE','Botol','Tetes Oral (Oral Drops)','Obat Keras','https://dto.kemkes.go.id/kfacode/93000262',0,'2023-05-01');</v>
      </c>
    </row>
    <row r="431" spans="1:11" ht="15.75" customHeight="1">
      <c r="A431" s="2">
        <v>93001487</v>
      </c>
      <c r="B431" s="2" t="s">
        <v>2192</v>
      </c>
      <c r="C431" s="2">
        <v>92000137</v>
      </c>
      <c r="D431" s="2" t="s">
        <v>883</v>
      </c>
      <c r="F431" s="2" t="s">
        <v>658</v>
      </c>
      <c r="G431" s="2" t="s">
        <v>1562</v>
      </c>
      <c r="H431" s="2" t="s">
        <v>1458</v>
      </c>
      <c r="I431" s="3" t="str">
        <f t="shared" si="0"/>
        <v>https://dto.kemkes.go.id/kfacode/93001487</v>
      </c>
      <c r="J431" s="34" t="s">
        <v>3768</v>
      </c>
      <c r="K431" t="str">
        <f t="shared" si="7"/>
        <v>insert into mkatalog_kfa93 (kode, uraian, kode_92, uraian_92, nama_dagang, satuan_kecil, sediaan, golongan, url, userid_updt, sysdate_updt) values ('93001487','Domperidone Maleat 5 mg / mL Drops (BERNOFARM, 12 mL)','92000137','Domperidone Maleat 5 mg / mL Drops','','Botol','Tetes Oral (Oral Drops)','Obat Keras','https://dto.kemkes.go.id/kfacode/93001487',0,'2023-05-01');</v>
      </c>
    </row>
    <row r="432" spans="1:11" ht="15.75" customHeight="1">
      <c r="A432" s="2">
        <v>93001141</v>
      </c>
      <c r="B432" s="2" t="s">
        <v>2193</v>
      </c>
      <c r="C432" s="2">
        <v>92000141</v>
      </c>
      <c r="D432" s="2" t="s">
        <v>885</v>
      </c>
      <c r="E432" s="2" t="s">
        <v>2194</v>
      </c>
      <c r="F432" s="2" t="s">
        <v>640</v>
      </c>
      <c r="G432" s="2" t="s">
        <v>640</v>
      </c>
      <c r="H432" s="2" t="s">
        <v>1458</v>
      </c>
      <c r="I432" s="3" t="str">
        <f t="shared" si="0"/>
        <v>https://dto.kemkes.go.id/kfacode/93001141</v>
      </c>
      <c r="J432" s="34" t="s">
        <v>3768</v>
      </c>
      <c r="K432" t="str">
        <f t="shared" si="7"/>
        <v>insert into mkatalog_kfa93 (kode, uraian, kode_92, uraian_92, nama_dagang, satuan_kecil, sediaan, golongan, url, userid_updt, sysdate_updt) values ('93001141','Domperidone Maleate 10 mg Tablet (SAMPHARINDO PERDANA)','92000141','Domperidone Maleate 10 mg Tablet','DOMPERIDONE MALEATE','Tablet','Tablet','Obat Keras','https://dto.kemkes.go.id/kfacode/93001141',0,'2023-05-01');</v>
      </c>
    </row>
    <row r="433" spans="1:11" ht="15.75" customHeight="1">
      <c r="A433" s="2">
        <v>93000263</v>
      </c>
      <c r="B433" s="2" t="s">
        <v>2195</v>
      </c>
      <c r="C433" s="2">
        <v>92000140</v>
      </c>
      <c r="D433" s="2" t="s">
        <v>886</v>
      </c>
      <c r="E433" s="2" t="s">
        <v>2196</v>
      </c>
      <c r="F433" s="2" t="s">
        <v>640</v>
      </c>
      <c r="G433" s="2" t="s">
        <v>1457</v>
      </c>
      <c r="H433" s="2" t="s">
        <v>1458</v>
      </c>
      <c r="I433" s="3" t="str">
        <f t="shared" si="0"/>
        <v>https://dto.kemkes.go.id/kfacode/93000263</v>
      </c>
      <c r="J433" s="34" t="s">
        <v>3768</v>
      </c>
      <c r="K433" t="str">
        <f t="shared" si="7"/>
        <v>insert into mkatalog_kfa93 (kode, uraian, kode_92, uraian_92, nama_dagang, satuan_kecil, sediaan, golongan, url, userid_updt, sysdate_updt) values ('93000263','Domperidone Maleate 10 mg Tablet Salut Selaput (BERNOFARM)','92000140','Domperidone Maleate 10 mg Tablet Salut Selaput','DOM','Tablet','Tablet Salut Selaput','Obat Keras','https://dto.kemkes.go.id/kfacode/93000263',0,'2023-05-01');</v>
      </c>
    </row>
    <row r="434" spans="1:11" ht="15.75" customHeight="1">
      <c r="A434" s="2">
        <v>93001109</v>
      </c>
      <c r="B434" s="2" t="s">
        <v>2197</v>
      </c>
      <c r="C434" s="2">
        <v>92000118</v>
      </c>
      <c r="D434" s="2" t="s">
        <v>887</v>
      </c>
      <c r="E434" s="2" t="s">
        <v>2198</v>
      </c>
      <c r="F434" s="2" t="s">
        <v>640</v>
      </c>
      <c r="G434" s="2" t="s">
        <v>1648</v>
      </c>
      <c r="H434" s="2" t="s">
        <v>1458</v>
      </c>
      <c r="I434" s="3" t="str">
        <f t="shared" si="0"/>
        <v>https://dto.kemkes.go.id/kfacode/93001109</v>
      </c>
      <c r="J434" s="34" t="s">
        <v>3768</v>
      </c>
      <c r="K434" t="str">
        <f t="shared" si="7"/>
        <v>insert into mkatalog_kfa93 (kode, uraian, kode_92, uraian_92, nama_dagang, satuan_kecil, sediaan, golongan, url, userid_updt, sysdate_updt) values ('93001109','Donepezil Hydrochloride 10 mg Tablet Dispersible (ARICEPT EVESS)','92000118','Donepezil Hydrochloride 10 mg Tablet Dispersible','ARICEPT EVESS','Tablet','Tablet Dispersibel','Obat Keras','https://dto.kemkes.go.id/kfacode/93001109',0,'2023-05-01');</v>
      </c>
    </row>
    <row r="435" spans="1:11" ht="15.75" customHeight="1">
      <c r="A435" s="2">
        <v>93000327</v>
      </c>
      <c r="B435" s="2" t="s">
        <v>2199</v>
      </c>
      <c r="C435" s="2">
        <v>92000255</v>
      </c>
      <c r="D435" s="2" t="s">
        <v>888</v>
      </c>
      <c r="E435" s="2" t="s">
        <v>2200</v>
      </c>
      <c r="F435" s="2" t="s">
        <v>640</v>
      </c>
      <c r="G435" s="2" t="s">
        <v>1457</v>
      </c>
      <c r="H435" s="2" t="s">
        <v>1458</v>
      </c>
      <c r="I435" s="3" t="str">
        <f t="shared" si="0"/>
        <v>https://dto.kemkes.go.id/kfacode/93000327</v>
      </c>
      <c r="J435" s="34" t="s">
        <v>3768</v>
      </c>
      <c r="K435" t="str">
        <f t="shared" si="7"/>
        <v>insert into mkatalog_kfa93 (kode, uraian, kode_92, uraian_92, nama_dagang, satuan_kecil, sediaan, golongan, url, userid_updt, sysdate_updt) values ('93000327','Donepezil Hydrochloride 5 mg Tablet Salut Selaput (ETERCON PHARMA)','92000255','Donepezil Hydrochloride 5 mg Tablet Salut Selaput','DONEPEZIL HCL','Tablet','Tablet Salut Selaput','Obat Keras','https://dto.kemkes.go.id/kfacode/93000327',0,'2023-05-01');</v>
      </c>
    </row>
    <row r="436" spans="1:11" ht="15.75" customHeight="1">
      <c r="A436" s="2">
        <v>93000611</v>
      </c>
      <c r="B436" s="2" t="s">
        <v>2201</v>
      </c>
      <c r="C436" s="2">
        <v>92000471</v>
      </c>
      <c r="D436" s="2" t="s">
        <v>889</v>
      </c>
      <c r="E436" s="2" t="s">
        <v>2202</v>
      </c>
      <c r="F436" s="2" t="s">
        <v>645</v>
      </c>
      <c r="G436" s="2" t="s">
        <v>1506</v>
      </c>
      <c r="H436" s="2" t="s">
        <v>1458</v>
      </c>
      <c r="I436" s="3" t="str">
        <f t="shared" si="0"/>
        <v>https://dto.kemkes.go.id/kfacode/93000611</v>
      </c>
      <c r="J436" s="34" t="s">
        <v>3768</v>
      </c>
      <c r="K436" t="str">
        <f t="shared" si="7"/>
        <v>insert into mkatalog_kfa93 (kode, uraian, kode_92, uraian_92, nama_dagang, satuan_kecil, sediaan, golongan, url, userid_updt, sysdate_updt) values ('93000611','Dopamine 40 mg/ml Cairan Injeksi (DEXA MEDICA)','92000471','Dopamine 40 mg/ml Cairan Injeksi','DOPAMINE HYDROCHLORIDE','Ampul','Larutan Injeksi','Obat Keras','https://dto.kemkes.go.id/kfacode/93000611',0,'2023-05-01');</v>
      </c>
    </row>
    <row r="437" spans="1:11" ht="15.75" customHeight="1">
      <c r="A437" s="2">
        <v>93000700</v>
      </c>
      <c r="B437" s="2" t="s">
        <v>2203</v>
      </c>
      <c r="C437" s="2">
        <v>92000154</v>
      </c>
      <c r="D437" s="2" t="s">
        <v>890</v>
      </c>
      <c r="E437" s="2" t="s">
        <v>2204</v>
      </c>
      <c r="F437" s="2" t="s">
        <v>653</v>
      </c>
      <c r="G437" s="2" t="s">
        <v>1506</v>
      </c>
      <c r="H437" s="2" t="s">
        <v>1458</v>
      </c>
      <c r="I437" s="3" t="str">
        <f t="shared" si="0"/>
        <v>https://dto.kemkes.go.id/kfacode/93000700</v>
      </c>
      <c r="J437" s="34" t="s">
        <v>3768</v>
      </c>
      <c r="K437" t="str">
        <f t="shared" si="7"/>
        <v>insert into mkatalog_kfa93 (kode, uraian, kode_92, uraian_92, nama_dagang, satuan_kecil, sediaan, golongan, url, userid_updt, sysdate_updt) values ('93000700','Doxorubicin Hydrochloride 10 mg / 5 mL Cairan Injeksi (GLOBAL ONKOLAB FARMA, 25 mL)','92000154','Doxorubicin Hydrochloride 10 mg / 5 mL Cairan Injeksi','DOXORUBICIN HCL','Vial','Larutan Injeksi','Obat Keras','https://dto.kemkes.go.id/kfacode/93000700',0,'2023-05-01');</v>
      </c>
    </row>
    <row r="438" spans="1:11" ht="15.75" customHeight="1">
      <c r="A438" s="2">
        <v>93000701</v>
      </c>
      <c r="B438" s="2" t="s">
        <v>2205</v>
      </c>
      <c r="C438" s="2">
        <v>92000154</v>
      </c>
      <c r="D438" s="2" t="s">
        <v>890</v>
      </c>
      <c r="E438" s="2" t="s">
        <v>2204</v>
      </c>
      <c r="F438" s="2" t="s">
        <v>653</v>
      </c>
      <c r="G438" s="2" t="s">
        <v>1506</v>
      </c>
      <c r="H438" s="2" t="s">
        <v>1458</v>
      </c>
      <c r="I438" s="3" t="str">
        <f t="shared" si="0"/>
        <v>https://dto.kemkes.go.id/kfacode/93000701</v>
      </c>
      <c r="J438" s="34" t="s">
        <v>3768</v>
      </c>
      <c r="K438" t="str">
        <f t="shared" si="7"/>
        <v>insert into mkatalog_kfa93 (kode, uraian, kode_92, uraian_92, nama_dagang, satuan_kecil, sediaan, golongan, url, userid_updt, sysdate_updt) values ('93000701','Doxorubicin Hydrochloride 10 mg / 5 mL Cairan Injeksi (GLOBAL ONKOLAB FARMA, 5 mL)','92000154','Doxorubicin Hydrochloride 10 mg / 5 mL Cairan Injeksi','DOXORUBICIN HCL','Vial','Larutan Injeksi','Obat Keras','https://dto.kemkes.go.id/kfacode/93000701',0,'2023-05-01');</v>
      </c>
    </row>
    <row r="439" spans="1:11" ht="15.75" customHeight="1">
      <c r="A439" s="2">
        <v>93000721</v>
      </c>
      <c r="B439" s="2" t="s">
        <v>2206</v>
      </c>
      <c r="C439" s="2">
        <v>92000154</v>
      </c>
      <c r="D439" s="2" t="s">
        <v>890</v>
      </c>
      <c r="E439" s="2" t="s">
        <v>2207</v>
      </c>
      <c r="F439" s="2" t="s">
        <v>653</v>
      </c>
      <c r="G439" s="2" t="s">
        <v>1506</v>
      </c>
      <c r="H439" s="2" t="s">
        <v>1458</v>
      </c>
      <c r="I439" s="3" t="str">
        <f t="shared" si="0"/>
        <v>https://dto.kemkes.go.id/kfacode/93000721</v>
      </c>
      <c r="J439" s="34" t="s">
        <v>3768</v>
      </c>
      <c r="K439" t="str">
        <f t="shared" si="7"/>
        <v>insert into mkatalog_kfa93 (kode, uraian, kode_92, uraian_92, nama_dagang, satuan_kecil, sediaan, golongan, url, userid_updt, sysdate_updt) values ('93000721','Doxorubicin Hydrochloride 10 mg / 5 mL Cairan Injeksi (NAPRODOX, 25 mL)','92000154','Doxorubicin Hydrochloride 10 mg / 5 mL Cairan Injeksi','NAPRODOX 50','Vial','Larutan Injeksi','Obat Keras','https://dto.kemkes.go.id/kfacode/93000721',0,'2023-05-01');</v>
      </c>
    </row>
    <row r="440" spans="1:11" ht="15.75" customHeight="1">
      <c r="A440" s="2">
        <v>93000724</v>
      </c>
      <c r="B440" s="2" t="s">
        <v>2208</v>
      </c>
      <c r="C440" s="2">
        <v>92000154</v>
      </c>
      <c r="D440" s="2" t="s">
        <v>890</v>
      </c>
      <c r="E440" s="2" t="s">
        <v>2209</v>
      </c>
      <c r="F440" s="2" t="s">
        <v>653</v>
      </c>
      <c r="G440" s="2" t="s">
        <v>1506</v>
      </c>
      <c r="H440" s="2" t="s">
        <v>1458</v>
      </c>
      <c r="I440" s="3" t="str">
        <f t="shared" si="0"/>
        <v>https://dto.kemkes.go.id/kfacode/93000724</v>
      </c>
      <c r="J440" s="34" t="s">
        <v>3768</v>
      </c>
      <c r="K440" t="str">
        <f t="shared" si="7"/>
        <v>insert into mkatalog_kfa93 (kode, uraian, kode_92, uraian_92, nama_dagang, satuan_kecil, sediaan, golongan, url, userid_updt, sysdate_updt) values ('93000724','Doxorubicin Hydrochloride 10 mg / 5 mL Cairan Injeksi (NAPRODOX, 5 mL)','92000154','Doxorubicin Hydrochloride 10 mg / 5 mL Cairan Injeksi','NAPRODOX 10','Vial','Larutan Injeksi','Obat Keras','https://dto.kemkes.go.id/kfacode/93000724',0,'2023-05-01');</v>
      </c>
    </row>
    <row r="441" spans="1:11" ht="15.75" customHeight="1">
      <c r="A441" s="2">
        <v>93000151</v>
      </c>
      <c r="B441" s="2" t="s">
        <v>2210</v>
      </c>
      <c r="C441" s="2">
        <v>92000154</v>
      </c>
      <c r="D441" s="2" t="s">
        <v>890</v>
      </c>
      <c r="E441" s="2" t="s">
        <v>2204</v>
      </c>
      <c r="F441" s="2" t="s">
        <v>653</v>
      </c>
      <c r="G441" s="2" t="s">
        <v>1506</v>
      </c>
      <c r="H441" s="2" t="s">
        <v>1458</v>
      </c>
      <c r="I441" s="3" t="str">
        <f t="shared" si="0"/>
        <v>https://dto.kemkes.go.id/kfacode/93000151</v>
      </c>
      <c r="J441" s="34" t="s">
        <v>3768</v>
      </c>
      <c r="K441" t="str">
        <f t="shared" si="7"/>
        <v>insert into mkatalog_kfa93 (kode, uraian, kode_92, uraian_92, nama_dagang, satuan_kecil, sediaan, golongan, url, userid_updt, sysdate_updt) values ('93000151','Doxorubicin Hydrochloride 10 mg / 5 mL Cairan Injeksi (SANBE FARMA)','92000154','Doxorubicin Hydrochloride 10 mg / 5 mL Cairan Injeksi','DOXORUBICIN HCL','Vial','Larutan Injeksi','Obat Keras','https://dto.kemkes.go.id/kfacode/93000151',0,'2023-05-01');</v>
      </c>
    </row>
    <row r="442" spans="1:11" ht="15.75" customHeight="1">
      <c r="A442" s="2">
        <v>93001408</v>
      </c>
      <c r="B442" s="2" t="s">
        <v>2211</v>
      </c>
      <c r="C442" s="2">
        <v>92000673</v>
      </c>
      <c r="D442" s="2" t="s">
        <v>891</v>
      </c>
      <c r="E442" s="2" t="s">
        <v>2204</v>
      </c>
      <c r="F442" s="2" t="s">
        <v>653</v>
      </c>
      <c r="G442" s="2" t="s">
        <v>1719</v>
      </c>
      <c r="H442" s="2" t="s">
        <v>1458</v>
      </c>
      <c r="I442" s="3" t="str">
        <f t="shared" si="0"/>
        <v>https://dto.kemkes.go.id/kfacode/93001408</v>
      </c>
      <c r="J442" s="34" t="s">
        <v>3768</v>
      </c>
      <c r="K442" t="str">
        <f t="shared" si="7"/>
        <v>insert into mkatalog_kfa93 (kode, uraian, kode_92, uraian_92, nama_dagang, satuan_kecil, sediaan, golongan, url, userid_updt, sysdate_updt) values ('93001408','Doxorubicin Hydrochloride 10 mg Serbuk Injeksi (CKD OTTO Pharmaceuticals, 25 mL)','92000673','Doxorubicin Hydrochloride 10 mg Serbuk Injeksi','DOXORUBICIN HCL','Vial','Serbuk Injeksi Liofilisasi','Obat Keras','https://dto.kemkes.go.id/kfacode/93001408',0,'2023-05-01');</v>
      </c>
    </row>
    <row r="443" spans="1:11" ht="15.75" customHeight="1">
      <c r="A443" s="2">
        <v>93001364</v>
      </c>
      <c r="B443" s="2" t="s">
        <v>2212</v>
      </c>
      <c r="C443" s="2">
        <v>92000673</v>
      </c>
      <c r="D443" s="2" t="s">
        <v>891</v>
      </c>
      <c r="E443" s="2" t="s">
        <v>2204</v>
      </c>
      <c r="F443" s="2" t="s">
        <v>653</v>
      </c>
      <c r="G443" s="2" t="s">
        <v>1719</v>
      </c>
      <c r="H443" s="2" t="s">
        <v>1458</v>
      </c>
      <c r="I443" s="3" t="str">
        <f t="shared" si="0"/>
        <v>https://dto.kemkes.go.id/kfacode/93001364</v>
      </c>
      <c r="J443" s="34" t="s">
        <v>3768</v>
      </c>
      <c r="K443" t="str">
        <f t="shared" si="7"/>
        <v>insert into mkatalog_kfa93 (kode, uraian, kode_92, uraian_92, nama_dagang, satuan_kecil, sediaan, golongan, url, userid_updt, sysdate_updt) values ('93001364','Doxorubicin Hydrochloride 10 mg Serbuk Injeksi (CKD OTTO Pharmaceuticals, 5 mL)','92000673','Doxorubicin Hydrochloride 10 mg Serbuk Injeksi','DOXORUBICIN HCL','Vial','Serbuk Injeksi Liofilisasi','Obat Keras','https://dto.kemkes.go.id/kfacode/93001364',0,'2023-05-01');</v>
      </c>
    </row>
    <row r="444" spans="1:11" ht="15.75" customHeight="1">
      <c r="A444" s="2">
        <v>93000976</v>
      </c>
      <c r="B444" s="2" t="s">
        <v>2213</v>
      </c>
      <c r="C444" s="2">
        <v>92000673</v>
      </c>
      <c r="D444" s="2" t="s">
        <v>891</v>
      </c>
      <c r="E444" s="2" t="s">
        <v>2209</v>
      </c>
      <c r="F444" s="2" t="s">
        <v>653</v>
      </c>
      <c r="G444" s="2" t="s">
        <v>1719</v>
      </c>
      <c r="H444" s="2" t="s">
        <v>1458</v>
      </c>
      <c r="I444" s="3" t="str">
        <f t="shared" si="0"/>
        <v>https://dto.kemkes.go.id/kfacode/93000976</v>
      </c>
      <c r="J444" s="34" t="s">
        <v>3768</v>
      </c>
      <c r="K444" t="str">
        <f t="shared" si="7"/>
        <v>insert into mkatalog_kfa93 (kode, uraian, kode_92, uraian_92, nama_dagang, satuan_kecil, sediaan, golongan, url, userid_updt, sysdate_updt) values ('93000976','Doxorubicin Hydrochloride 10 mg Serbuk Injeksi (NAPRODOX)','92000673','Doxorubicin Hydrochloride 10 mg Serbuk Injeksi','NAPRODOX 10','Vial','Serbuk Injeksi Liofilisasi','Obat Keras','https://dto.kemkes.go.id/kfacode/93000976',0,'2023-05-01');</v>
      </c>
    </row>
    <row r="445" spans="1:11" ht="15.75" customHeight="1">
      <c r="A445" s="2">
        <v>93000977</v>
      </c>
      <c r="B445" s="2" t="s">
        <v>2214</v>
      </c>
      <c r="C445" s="2">
        <v>92000673</v>
      </c>
      <c r="D445" s="2" t="s">
        <v>891</v>
      </c>
      <c r="E445" s="2" t="s">
        <v>2215</v>
      </c>
      <c r="F445" s="2" t="s">
        <v>653</v>
      </c>
      <c r="G445" s="2" t="s">
        <v>1719</v>
      </c>
      <c r="H445" s="2" t="s">
        <v>1458</v>
      </c>
      <c r="I445" s="3" t="str">
        <f t="shared" si="0"/>
        <v>https://dto.kemkes.go.id/kfacode/93000977</v>
      </c>
      <c r="J445" s="34" t="s">
        <v>3768</v>
      </c>
      <c r="K445" t="str">
        <f t="shared" si="7"/>
        <v>insert into mkatalog_kfa93 (kode, uraian, kode_92, uraian_92, nama_dagang, satuan_kecil, sediaan, golongan, url, userid_updt, sysdate_updt) values ('93000977','Doxorubicin Hydrochloride 10 mg Serbuk Injeksi (SINDROXOCIN)','92000673','Doxorubicin Hydrochloride 10 mg Serbuk Injeksi','SINDROXOCIN','Vial','Serbuk Injeksi Liofilisasi','Obat Keras','https://dto.kemkes.go.id/kfacode/93000977',0,'2023-05-01');</v>
      </c>
    </row>
    <row r="446" spans="1:11" ht="15.75" customHeight="1">
      <c r="A446" s="2">
        <v>93000717</v>
      </c>
      <c r="B446" s="2" t="s">
        <v>2216</v>
      </c>
      <c r="C446" s="2">
        <v>92000147</v>
      </c>
      <c r="D446" s="2" t="s">
        <v>892</v>
      </c>
      <c r="E446" s="2" t="s">
        <v>2217</v>
      </c>
      <c r="F446" s="2" t="s">
        <v>649</v>
      </c>
      <c r="G446" s="2" t="s">
        <v>1744</v>
      </c>
      <c r="H446" s="2" t="s">
        <v>1458</v>
      </c>
      <c r="I446" s="3" t="str">
        <f t="shared" si="0"/>
        <v>https://dto.kemkes.go.id/kfacode/93000717</v>
      </c>
      <c r="J446" s="34" t="s">
        <v>3768</v>
      </c>
      <c r="K446" t="str">
        <f t="shared" si="7"/>
        <v>insert into mkatalog_kfa93 (kode, uraian, kode_92, uraian_92, nama_dagang, satuan_kecil, sediaan, golongan, url, userid_updt, sysdate_updt) values ('93000717','Dutasteride 0,5 mg Kapsul Lunak (AVODART)','92000147','Dutasteride 0,5 mg Kapsul Lunak','AVODART','Kapsul','Kapsul Lunak','Obat Keras','https://dto.kemkes.go.id/kfacode/93000717',0,'2023-05-01');</v>
      </c>
    </row>
    <row r="447" spans="1:11" ht="15.75" customHeight="1">
      <c r="A447" s="2">
        <v>93000144</v>
      </c>
      <c r="B447" s="2" t="s">
        <v>2218</v>
      </c>
      <c r="C447" s="2">
        <v>92000147</v>
      </c>
      <c r="D447" s="2" t="s">
        <v>892</v>
      </c>
      <c r="E447" s="2" t="s">
        <v>2219</v>
      </c>
      <c r="F447" s="2" t="s">
        <v>649</v>
      </c>
      <c r="G447" s="2" t="s">
        <v>1744</v>
      </c>
      <c r="H447" s="2" t="s">
        <v>1458</v>
      </c>
      <c r="I447" s="3" t="str">
        <f t="shared" si="0"/>
        <v>https://dto.kemkes.go.id/kfacode/93000144</v>
      </c>
      <c r="J447" s="34" t="s">
        <v>3768</v>
      </c>
      <c r="K447" t="str">
        <f t="shared" si="7"/>
        <v>insert into mkatalog_kfa93 (kode, uraian, kode_92, uraian_92, nama_dagang, satuan_kecil, sediaan, golongan, url, userid_updt, sysdate_updt) values ('93000144','Dutasteride 0,5 mg Kapsul Lunak (NOVELL PHARMACEUTICAL LAB.)','92000147','Dutasteride 0,5 mg Kapsul Lunak','DUTASTERIDE','Kapsul','Kapsul Lunak','Obat Keras','https://dto.kemkes.go.id/kfacode/93000144',0,'2023-05-01');</v>
      </c>
    </row>
    <row r="448" spans="1:11" ht="15.75" customHeight="1">
      <c r="A448" s="2">
        <v>93001355</v>
      </c>
      <c r="B448" s="2" t="s">
        <v>2220</v>
      </c>
      <c r="C448" s="2">
        <v>92000779</v>
      </c>
      <c r="D448" s="2" t="s">
        <v>893</v>
      </c>
      <c r="E448" s="2" t="s">
        <v>2221</v>
      </c>
      <c r="F448" s="2" t="s">
        <v>640</v>
      </c>
      <c r="G448" s="2" t="s">
        <v>1457</v>
      </c>
      <c r="H448" s="2" t="s">
        <v>1458</v>
      </c>
      <c r="I448" s="3" t="str">
        <f t="shared" si="0"/>
        <v>https://dto.kemkes.go.id/kfacode/93001355</v>
      </c>
      <c r="J448" s="34" t="s">
        <v>3768</v>
      </c>
      <c r="K448" t="str">
        <f t="shared" si="7"/>
        <v>insert into mkatalog_kfa93 (kode, uraian, kode_92, uraian_92, nama_dagang, satuan_kecil, sediaan, golongan, url, userid_updt, sysdate_updt) values ('93001355','Efavirenz 600 mg Tablet Salut Selaput (KIMIA FARMA)','92000779','Efavirenz 600 mg Tablet Salut Selaput','EFAVIRENZ','Tablet','Tablet Salut Selaput','Obat Keras','https://dto.kemkes.go.id/kfacode/93001355',0,'2023-05-01');</v>
      </c>
    </row>
    <row r="449" spans="1:11" ht="15.75" customHeight="1">
      <c r="A449" s="2">
        <v>93000990</v>
      </c>
      <c r="B449" s="2" t="s">
        <v>2222</v>
      </c>
      <c r="C449" s="2">
        <v>92000677</v>
      </c>
      <c r="D449" s="2" t="s">
        <v>894</v>
      </c>
      <c r="E449" s="2" t="s">
        <v>2223</v>
      </c>
      <c r="F449" s="2" t="s">
        <v>640</v>
      </c>
      <c r="G449" s="2" t="s">
        <v>1457</v>
      </c>
      <c r="H449" s="2" t="s">
        <v>1458</v>
      </c>
      <c r="I449" s="3" t="str">
        <f t="shared" si="0"/>
        <v>https://dto.kemkes.go.id/kfacode/93000990</v>
      </c>
      <c r="J449" s="34" t="s">
        <v>3768</v>
      </c>
      <c r="K449" t="str">
        <f t="shared" si="7"/>
        <v>insert into mkatalog_kfa93 (kode, uraian, kode_92, uraian_92, nama_dagang, satuan_kecil, sediaan, golongan, url, userid_updt, sysdate_updt) values ('93000990','Elbasvir 50 mg / Grazoprevir 100 mg Tablet Salut Selaput (ZEPATIER)','92000677','Elbasvir 50 mg / Grazoprevir 100 mg Tablet Salut Selaput','ZEPATIER','Tablet','Tablet Salut Selaput','Obat Keras','https://dto.kemkes.go.id/kfacode/93000990',0,'2023-05-01');</v>
      </c>
    </row>
    <row r="450" spans="1:11" ht="15.75" customHeight="1">
      <c r="A450" s="2">
        <v>93000379</v>
      </c>
      <c r="B450" s="2" t="s">
        <v>2224</v>
      </c>
      <c r="C450" s="2">
        <v>92000279</v>
      </c>
      <c r="D450" s="2" t="s">
        <v>895</v>
      </c>
      <c r="E450" s="2" t="s">
        <v>2225</v>
      </c>
      <c r="F450" s="2" t="s">
        <v>673</v>
      </c>
      <c r="G450" s="2" t="s">
        <v>1530</v>
      </c>
      <c r="H450" s="2" t="s">
        <v>1458</v>
      </c>
      <c r="I450" s="3" t="str">
        <f t="shared" si="0"/>
        <v>https://dto.kemkes.go.id/kfacode/93000379</v>
      </c>
      <c r="J450" s="34" t="s">
        <v>3768</v>
      </c>
      <c r="K450" t="str">
        <f t="shared" si="7"/>
        <v>insert into mkatalog_kfa93 (kode, uraian, kode_92, uraian_92, nama_dagang, satuan_kecil, sediaan, golongan, url, userid_updt, sysdate_updt) values ('93000379','Electrolytes Larutan Infus (TUTOFUSIN OPS, 500 mL)','92000279','Electrolytes Larutan Infus','TUTOFUSIN OPS','Flexy Bag','Infus','Obat Keras','https://dto.kemkes.go.id/kfacode/93000379',0,'2023-05-01');</v>
      </c>
    </row>
    <row r="451" spans="1:11" ht="15.75" customHeight="1">
      <c r="A451" s="2">
        <v>93000955</v>
      </c>
      <c r="B451" s="2" t="s">
        <v>2226</v>
      </c>
      <c r="C451" s="2">
        <v>92000456</v>
      </c>
      <c r="D451" s="2" t="s">
        <v>896</v>
      </c>
      <c r="E451" s="2" t="s">
        <v>2227</v>
      </c>
      <c r="F451" s="2" t="s">
        <v>640</v>
      </c>
      <c r="G451" s="2" t="s">
        <v>1457</v>
      </c>
      <c r="H451" s="2" t="s">
        <v>1458</v>
      </c>
      <c r="I451" s="3" t="str">
        <f t="shared" si="0"/>
        <v>https://dto.kemkes.go.id/kfacode/93000955</v>
      </c>
      <c r="J451" s="34" t="s">
        <v>3768</v>
      </c>
      <c r="K451" t="str">
        <f t="shared" ref="K451:K514" si="8">CONCATENATE(J451,"('",A451,"','",B451,"','",C451,"','",D451,"','",E451,"','",F451,"','",G451,"','",H451,"','",I451,"',0,'2023-05-01');")</f>
        <v>insert into mkatalog_kfa93 (kode, uraian, kode_92, uraian_92, nama_dagang, satuan_kecil, sediaan, golongan, url, userid_updt, sysdate_updt) values ('93000955','Eltrombopag Olamine 25 mg Tablet Salut Selaput (REBOZET)','92000456','Eltrombopag Olamine 25 mg Tablet Salut Selaput','REBOZET','Tablet','Tablet Salut Selaput','Obat Keras','https://dto.kemkes.go.id/kfacode/93000955',0,'2023-05-01');</v>
      </c>
    </row>
    <row r="452" spans="1:11" ht="15.75" customHeight="1">
      <c r="A452" s="2">
        <v>93000957</v>
      </c>
      <c r="B452" s="2" t="s">
        <v>2228</v>
      </c>
      <c r="C452" s="2">
        <v>92000458</v>
      </c>
      <c r="D452" s="2" t="s">
        <v>897</v>
      </c>
      <c r="E452" s="2" t="s">
        <v>2227</v>
      </c>
      <c r="F452" s="2" t="s">
        <v>640</v>
      </c>
      <c r="G452" s="2" t="s">
        <v>1457</v>
      </c>
      <c r="H452" s="2" t="s">
        <v>1458</v>
      </c>
      <c r="I452" s="3" t="str">
        <f t="shared" si="0"/>
        <v>https://dto.kemkes.go.id/kfacode/93000957</v>
      </c>
      <c r="J452" s="34" t="s">
        <v>3768</v>
      </c>
      <c r="K452" t="str">
        <f t="shared" si="8"/>
        <v>insert into mkatalog_kfa93 (kode, uraian, kode_92, uraian_92, nama_dagang, satuan_kecil, sediaan, golongan, url, userid_updt, sysdate_updt) values ('93000957','Eltrombopag Olamine 50 mg Tablet Salut Selaput (REBOZET)','92000458','Eltrombopag Olamine 50 mg Tablet Salut Selaput','REBOZET','Tablet','Tablet Salut Selaput','Obat Keras','https://dto.kemkes.go.id/kfacode/93000957',0,'2023-05-01');</v>
      </c>
    </row>
    <row r="453" spans="1:11" ht="15.75" customHeight="1">
      <c r="A453" s="2">
        <v>93000863</v>
      </c>
      <c r="B453" s="2" t="s">
        <v>2229</v>
      </c>
      <c r="C453" s="2">
        <v>92000613</v>
      </c>
      <c r="D453" s="2" t="s">
        <v>898</v>
      </c>
      <c r="E453" s="2" t="s">
        <v>2230</v>
      </c>
      <c r="F453" s="2" t="s">
        <v>899</v>
      </c>
      <c r="G453" s="2" t="s">
        <v>1506</v>
      </c>
      <c r="H453" s="2" t="s">
        <v>1458</v>
      </c>
      <c r="I453" s="3" t="str">
        <f t="shared" si="0"/>
        <v>https://dto.kemkes.go.id/kfacode/93000863</v>
      </c>
      <c r="J453" s="34" t="s">
        <v>3768</v>
      </c>
      <c r="K453" t="str">
        <f t="shared" si="8"/>
        <v>insert into mkatalog_kfa93 (kode, uraian, kode_92, uraian_92, nama_dagang, satuan_kecil, sediaan, golongan, url, userid_updt, sysdate_updt) values ('93000863','Enoxaparin Sodium 10.000 IU / mL Injeksi (LOVENOX, 0.2 mL)','92000613','Enoxaparin Sodium 10.000 IU / mL Injeksi','LOVENOX','Prefilled Syringe','Larutan Injeksi','Obat Keras','https://dto.kemkes.go.id/kfacode/93000863',0,'2023-05-01');</v>
      </c>
    </row>
    <row r="454" spans="1:11" ht="15.75" customHeight="1">
      <c r="A454" s="2">
        <v>93000866</v>
      </c>
      <c r="B454" s="2" t="s">
        <v>2231</v>
      </c>
      <c r="C454" s="2">
        <v>92000613</v>
      </c>
      <c r="D454" s="2" t="s">
        <v>898</v>
      </c>
      <c r="E454" s="2" t="s">
        <v>2230</v>
      </c>
      <c r="F454" s="2" t="s">
        <v>899</v>
      </c>
      <c r="G454" s="2" t="s">
        <v>1506</v>
      </c>
      <c r="H454" s="2" t="s">
        <v>1458</v>
      </c>
      <c r="I454" s="3" t="str">
        <f t="shared" si="0"/>
        <v>https://dto.kemkes.go.id/kfacode/93000866</v>
      </c>
      <c r="J454" s="34" t="s">
        <v>3768</v>
      </c>
      <c r="K454" t="str">
        <f t="shared" si="8"/>
        <v>insert into mkatalog_kfa93 (kode, uraian, kode_92, uraian_92, nama_dagang, satuan_kecil, sediaan, golongan, url, userid_updt, sysdate_updt) values ('93000866','Enoxaparin Sodium 10.000 IU / mL Injeksi (LOVENOX, 0.4 mL)','92000613','Enoxaparin Sodium 10.000 IU / mL Injeksi','LOVENOX','Prefilled Syringe','Larutan Injeksi','Obat Keras','https://dto.kemkes.go.id/kfacode/93000866',0,'2023-05-01');</v>
      </c>
    </row>
    <row r="455" spans="1:11" ht="15.75" customHeight="1">
      <c r="A455" s="2">
        <v>93000864</v>
      </c>
      <c r="B455" s="2" t="s">
        <v>2232</v>
      </c>
      <c r="C455" s="2">
        <v>92000613</v>
      </c>
      <c r="D455" s="2" t="s">
        <v>898</v>
      </c>
      <c r="E455" s="2" t="s">
        <v>2230</v>
      </c>
      <c r="F455" s="2" t="s">
        <v>899</v>
      </c>
      <c r="G455" s="2" t="s">
        <v>1506</v>
      </c>
      <c r="H455" s="2" t="s">
        <v>1458</v>
      </c>
      <c r="I455" s="3" t="str">
        <f t="shared" si="0"/>
        <v>https://dto.kemkes.go.id/kfacode/93000864</v>
      </c>
      <c r="J455" s="34" t="s">
        <v>3768</v>
      </c>
      <c r="K455" t="str">
        <f t="shared" si="8"/>
        <v>insert into mkatalog_kfa93 (kode, uraian, kode_92, uraian_92, nama_dagang, satuan_kecil, sediaan, golongan, url, userid_updt, sysdate_updt) values ('93000864','Enoxaparin Sodium 10.000 IU / mL Injeksi (LOVENOX, 0.6 mL)','92000613','Enoxaparin Sodium 10.000 IU / mL Injeksi','LOVENOX','Prefilled Syringe','Larutan Injeksi','Obat Keras','https://dto.kemkes.go.id/kfacode/93000864',0,'2023-05-01');</v>
      </c>
    </row>
    <row r="456" spans="1:11" ht="15.75" customHeight="1">
      <c r="A456" s="2">
        <v>93001263</v>
      </c>
      <c r="B456" s="2" t="s">
        <v>2233</v>
      </c>
      <c r="C456" s="2">
        <v>92000713</v>
      </c>
      <c r="D456" s="2" t="s">
        <v>900</v>
      </c>
      <c r="E456" s="2" t="s">
        <v>2234</v>
      </c>
      <c r="F456" s="2" t="s">
        <v>640</v>
      </c>
      <c r="G456" s="2" t="s">
        <v>1457</v>
      </c>
      <c r="H456" s="2" t="s">
        <v>1458</v>
      </c>
      <c r="I456" s="3" t="str">
        <f t="shared" si="0"/>
        <v>https://dto.kemkes.go.id/kfacode/93001263</v>
      </c>
      <c r="J456" s="34" t="s">
        <v>3768</v>
      </c>
      <c r="K456" t="str">
        <f t="shared" si="8"/>
        <v>insert into mkatalog_kfa93 (kode, uraian, kode_92, uraian_92, nama_dagang, satuan_kecil, sediaan, golongan, url, userid_updt, sysdate_updt) values ('93001263','Entecavir 0,5 mg Tablet Salut Selaput (HEXPHARM JAYA LABORATORIES)','92000713','Entecavir 0,5 mg Tablet Salut Selaput','ENTECAVIR MONOHYDRATE','Tablet','Tablet Salut Selaput','Obat Keras','https://dto.kemkes.go.id/kfacode/93001263',0,'2023-05-01');</v>
      </c>
    </row>
    <row r="457" spans="1:11" ht="15.75" customHeight="1">
      <c r="A457" s="2">
        <v>93000887</v>
      </c>
      <c r="B457" s="2" t="s">
        <v>2235</v>
      </c>
      <c r="C457" s="2">
        <v>92000555</v>
      </c>
      <c r="D457" s="2" t="s">
        <v>901</v>
      </c>
      <c r="E457" s="2" t="s">
        <v>2234</v>
      </c>
      <c r="F457" s="2" t="s">
        <v>640</v>
      </c>
      <c r="G457" s="2" t="s">
        <v>1457</v>
      </c>
      <c r="H457" s="2" t="s">
        <v>1458</v>
      </c>
      <c r="I457" s="3" t="str">
        <f t="shared" si="0"/>
        <v>https://dto.kemkes.go.id/kfacode/93000887</v>
      </c>
      <c r="J457" s="34" t="s">
        <v>3768</v>
      </c>
      <c r="K457" t="str">
        <f t="shared" si="8"/>
        <v>insert into mkatalog_kfa93 (kode, uraian, kode_92, uraian_92, nama_dagang, satuan_kecil, sediaan, golongan, url, userid_updt, sysdate_updt) values ('93000887','Entecavir 1 mg Tablet Salut Selaput (KIMIA FARMA Tbk.)','92000555','Entecavir 1 mg Tablet Salut Selaput','ENTECAVIR MONOHYDRATE','Tablet','Tablet Salut Selaput','Obat Keras','https://dto.kemkes.go.id/kfacode/93000887',0,'2023-05-01');</v>
      </c>
    </row>
    <row r="458" spans="1:11" ht="15.75" customHeight="1">
      <c r="A458" s="2">
        <v>93001130</v>
      </c>
      <c r="B458" s="2" t="s">
        <v>2236</v>
      </c>
      <c r="C458" s="2">
        <v>92000683</v>
      </c>
      <c r="D458" s="2" t="s">
        <v>902</v>
      </c>
      <c r="E458" s="2" t="s">
        <v>2237</v>
      </c>
      <c r="F458" s="2" t="s">
        <v>645</v>
      </c>
      <c r="G458" s="2" t="s">
        <v>1506</v>
      </c>
      <c r="H458" s="2" t="s">
        <v>1458</v>
      </c>
      <c r="I458" s="3" t="str">
        <f t="shared" si="0"/>
        <v>https://dto.kemkes.go.id/kfacode/93001130</v>
      </c>
      <c r="J458" s="34" t="s">
        <v>3768</v>
      </c>
      <c r="K458" t="str">
        <f t="shared" si="8"/>
        <v>insert into mkatalog_kfa93 (kode, uraian, kode_92, uraian_92, nama_dagang, satuan_kecil, sediaan, golongan, url, userid_updt, sysdate_updt) values ('93001130','Ephedrine 50 mg / mL Injeksi (ETHICA INDUSTRI FARMASI)','92000683','Ephedrine 50 mg / mL Injeksi','EPHEDRINE HCL','Ampul','Larutan Injeksi','Obat Keras','https://dto.kemkes.go.id/kfacode/93001130',0,'2023-05-01');</v>
      </c>
    </row>
    <row r="459" spans="1:11" ht="15.75" customHeight="1">
      <c r="A459" s="2">
        <v>93001122</v>
      </c>
      <c r="B459" s="2" t="s">
        <v>2238</v>
      </c>
      <c r="C459" s="2">
        <v>92000634</v>
      </c>
      <c r="D459" s="2" t="s">
        <v>903</v>
      </c>
      <c r="E459" s="2" t="s">
        <v>2239</v>
      </c>
      <c r="F459" s="2" t="s">
        <v>645</v>
      </c>
      <c r="G459" s="2" t="s">
        <v>1506</v>
      </c>
      <c r="H459" s="2" t="s">
        <v>1458</v>
      </c>
      <c r="I459" s="3" t="str">
        <f t="shared" si="0"/>
        <v>https://dto.kemkes.go.id/kfacode/93001122</v>
      </c>
      <c r="J459" s="34" t="s">
        <v>3768</v>
      </c>
      <c r="K459" t="str">
        <f t="shared" si="8"/>
        <v>insert into mkatalog_kfa93 (kode, uraian, kode_92, uraian_92, nama_dagang, satuan_kecil, sediaan, golongan, url, userid_updt, sysdate_updt) values ('93001122','Epinephrine 1 mg / mL Injeksi (ETHICA)','92000634','Epinephrine 1 mg / mL Injeksi','EPINEPHRINE','Ampul','Larutan Injeksi','Obat Keras','https://dto.kemkes.go.id/kfacode/93001122',0,'2023-05-01');</v>
      </c>
    </row>
    <row r="460" spans="1:11" ht="15.75" customHeight="1">
      <c r="A460" s="2">
        <v>93000222</v>
      </c>
      <c r="B460" s="2" t="s">
        <v>2240</v>
      </c>
      <c r="C460" s="2">
        <v>92000231</v>
      </c>
      <c r="D460" s="2" t="s">
        <v>904</v>
      </c>
      <c r="E460" s="2" t="s">
        <v>2241</v>
      </c>
      <c r="F460" s="2" t="s">
        <v>653</v>
      </c>
      <c r="G460" s="2" t="s">
        <v>1506</v>
      </c>
      <c r="H460" s="2" t="s">
        <v>1458</v>
      </c>
      <c r="I460" s="3" t="str">
        <f t="shared" si="0"/>
        <v>https://dto.kemkes.go.id/kfacode/93000222</v>
      </c>
      <c r="J460" s="34" t="s">
        <v>3768</v>
      </c>
      <c r="K460" t="str">
        <f t="shared" si="8"/>
        <v>insert into mkatalog_kfa93 (kode, uraian, kode_92, uraian_92, nama_dagang, satuan_kecil, sediaan, golongan, url, userid_updt, sysdate_updt) values ('93000222','Epirubicin Hydrochloride 2 mg / mL Serbuk Injeksi (CKD OTTO Pharmaceuticals, 5mL)','92000231','Epirubicin Hydrochloride 2 mg / mL Serbuk Injeksi','EPIRUBICIN HCL','Vial','Larutan Injeksi','Obat Keras','https://dto.kemkes.go.id/kfacode/93000222',0,'2023-05-01');</v>
      </c>
    </row>
    <row r="461" spans="1:11" ht="15.75" customHeight="1">
      <c r="A461" s="2">
        <v>93001254</v>
      </c>
      <c r="B461" s="2" t="s">
        <v>2242</v>
      </c>
      <c r="C461" s="2">
        <v>92000231</v>
      </c>
      <c r="D461" s="2" t="s">
        <v>904</v>
      </c>
      <c r="E461" s="2" t="s">
        <v>2241</v>
      </c>
      <c r="F461" s="2" t="s">
        <v>653</v>
      </c>
      <c r="G461" s="2" t="s">
        <v>1506</v>
      </c>
      <c r="H461" s="2" t="s">
        <v>1458</v>
      </c>
      <c r="I461" s="3" t="str">
        <f t="shared" si="0"/>
        <v>https://dto.kemkes.go.id/kfacode/93001254</v>
      </c>
      <c r="J461" s="34" t="s">
        <v>3768</v>
      </c>
      <c r="K461" t="str">
        <f t="shared" si="8"/>
        <v>insert into mkatalog_kfa93 (kode, uraian, kode_92, uraian_92, nama_dagang, satuan_kecil, sediaan, golongan, url, userid_updt, sysdate_updt) values ('93001254','Epirubicin Hydrochloride 2 mg / mL Serbuk Injeksi (DANKOS FARMA, 25 mL)','92000231','Epirubicin Hydrochloride 2 mg / mL Serbuk Injeksi','EPIRUBICIN HCL','Vial','Larutan Injeksi','Obat Keras','https://dto.kemkes.go.id/kfacode/93001254',0,'2023-05-01');</v>
      </c>
    </row>
    <row r="462" spans="1:11" ht="15.75" customHeight="1">
      <c r="A462" s="2">
        <v>93001253</v>
      </c>
      <c r="B462" s="2" t="s">
        <v>2243</v>
      </c>
      <c r="C462" s="2">
        <v>92000231</v>
      </c>
      <c r="D462" s="2" t="s">
        <v>904</v>
      </c>
      <c r="E462" s="2" t="s">
        <v>2241</v>
      </c>
      <c r="F462" s="2" t="s">
        <v>653</v>
      </c>
      <c r="G462" s="2" t="s">
        <v>1506</v>
      </c>
      <c r="H462" s="2" t="s">
        <v>1458</v>
      </c>
      <c r="I462" s="3" t="str">
        <f t="shared" si="0"/>
        <v>https://dto.kemkes.go.id/kfacode/93001253</v>
      </c>
      <c r="J462" s="34" t="s">
        <v>3768</v>
      </c>
      <c r="K462" t="str">
        <f t="shared" si="8"/>
        <v>insert into mkatalog_kfa93 (kode, uraian, kode_92, uraian_92, nama_dagang, satuan_kecil, sediaan, golongan, url, userid_updt, sysdate_updt) values ('93001253','Epirubicin Hydrochloride 2 mg / mL Serbuk Injeksi (DANKOS FARMA, 5mL)','92000231','Epirubicin Hydrochloride 2 mg / mL Serbuk Injeksi','EPIRUBICIN HCL','Vial','Larutan Injeksi','Obat Keras','https://dto.kemkes.go.id/kfacode/93001253',0,'2023-05-01');</v>
      </c>
    </row>
    <row r="463" spans="1:11" ht="15.75" customHeight="1">
      <c r="A463" s="2">
        <v>93000224</v>
      </c>
      <c r="B463" s="2" t="s">
        <v>2244</v>
      </c>
      <c r="C463" s="2">
        <v>92000231</v>
      </c>
      <c r="D463" s="2" t="s">
        <v>904</v>
      </c>
      <c r="E463" s="2" t="s">
        <v>2245</v>
      </c>
      <c r="F463" s="2" t="s">
        <v>653</v>
      </c>
      <c r="G463" s="2" t="s">
        <v>1506</v>
      </c>
      <c r="H463" s="2" t="s">
        <v>1458</v>
      </c>
      <c r="I463" s="3" t="str">
        <f t="shared" si="0"/>
        <v>https://dto.kemkes.go.id/kfacode/93000224</v>
      </c>
      <c r="J463" s="34" t="s">
        <v>3768</v>
      </c>
      <c r="K463" t="str">
        <f t="shared" si="8"/>
        <v>insert into mkatalog_kfa93 (kode, uraian, kode_92, uraian_92, nama_dagang, satuan_kecil, sediaan, golongan, url, userid_updt, sysdate_updt) values ('93000224','Epirubicin Hydrochloride 2 mg / mL Serbuk Injeksi (EPIROL, 25 mL)','92000231','Epirubicin Hydrochloride 2 mg / mL Serbuk Injeksi','EPIROL','Vial','Larutan Injeksi','Obat Keras','https://dto.kemkes.go.id/kfacode/93000224',0,'2023-05-01');</v>
      </c>
    </row>
    <row r="464" spans="1:11" ht="15.75" customHeight="1">
      <c r="A464" s="2">
        <v>93000225</v>
      </c>
      <c r="B464" s="2" t="s">
        <v>2246</v>
      </c>
      <c r="C464" s="2">
        <v>92000231</v>
      </c>
      <c r="D464" s="2" t="s">
        <v>904</v>
      </c>
      <c r="E464" s="2" t="s">
        <v>2245</v>
      </c>
      <c r="F464" s="2" t="s">
        <v>653</v>
      </c>
      <c r="G464" s="2" t="s">
        <v>1506</v>
      </c>
      <c r="H464" s="2" t="s">
        <v>1458</v>
      </c>
      <c r="I464" s="3" t="str">
        <f t="shared" si="0"/>
        <v>https://dto.kemkes.go.id/kfacode/93000225</v>
      </c>
      <c r="J464" s="34" t="s">
        <v>3768</v>
      </c>
      <c r="K464" t="str">
        <f t="shared" si="8"/>
        <v>insert into mkatalog_kfa93 (kode, uraian, kode_92, uraian_92, nama_dagang, satuan_kecil, sediaan, golongan, url, userid_updt, sysdate_updt) values ('93000225','Epirubicin Hydrochloride 2 mg / mL Serbuk Injeksi (EPIROL, 5mL)','92000231','Epirubicin Hydrochloride 2 mg / mL Serbuk Injeksi','EPIROL','Vial','Larutan Injeksi','Obat Keras','https://dto.kemkes.go.id/kfacode/93000225',0,'2023-05-01');</v>
      </c>
    </row>
    <row r="465" spans="1:11" ht="15.75" customHeight="1">
      <c r="A465" s="2">
        <v>93001257</v>
      </c>
      <c r="B465" s="2" t="s">
        <v>2247</v>
      </c>
      <c r="C465" s="2">
        <v>92000231</v>
      </c>
      <c r="D465" s="2" t="s">
        <v>904</v>
      </c>
      <c r="E465" s="2" t="s">
        <v>2248</v>
      </c>
      <c r="F465" s="2" t="s">
        <v>653</v>
      </c>
      <c r="G465" s="2" t="s">
        <v>1506</v>
      </c>
      <c r="H465" s="2" t="s">
        <v>1458</v>
      </c>
      <c r="I465" s="3" t="str">
        <f t="shared" si="0"/>
        <v>https://dto.kemkes.go.id/kfacode/93001257</v>
      </c>
      <c r="J465" s="34" t="s">
        <v>3768</v>
      </c>
      <c r="K465" t="str">
        <f t="shared" si="8"/>
        <v>insert into mkatalog_kfa93 (kode, uraian, kode_92, uraian_92, nama_dagang, satuan_kecil, sediaan, golongan, url, userid_updt, sysdate_updt) values ('93001257','Epirubicin Hydrochloride 2 mg / mL Serbuk Injeksi (FERRON PAR PHARMACEUTICALS, 25 mL)','92000231','Epirubicin Hydrochloride 2 mg / mL Serbuk Injeksi','EPIRUBICIN HYDROCHLORIDE','Vial','Larutan Injeksi','Obat Keras','https://dto.kemkes.go.id/kfacode/93001257',0,'2023-05-01');</v>
      </c>
    </row>
    <row r="466" spans="1:11" ht="15.75" customHeight="1">
      <c r="A466" s="2">
        <v>93001256</v>
      </c>
      <c r="B466" s="2" t="s">
        <v>2249</v>
      </c>
      <c r="C466" s="2">
        <v>92000231</v>
      </c>
      <c r="D466" s="2" t="s">
        <v>904</v>
      </c>
      <c r="E466" s="2" t="s">
        <v>2248</v>
      </c>
      <c r="F466" s="2" t="s">
        <v>653</v>
      </c>
      <c r="G466" s="2" t="s">
        <v>1506</v>
      </c>
      <c r="H466" s="2" t="s">
        <v>1458</v>
      </c>
      <c r="I466" s="3" t="str">
        <f t="shared" si="0"/>
        <v>https://dto.kemkes.go.id/kfacode/93001256</v>
      </c>
      <c r="J466" s="34" t="s">
        <v>3768</v>
      </c>
      <c r="K466" t="str">
        <f t="shared" si="8"/>
        <v>insert into mkatalog_kfa93 (kode, uraian, kode_92, uraian_92, nama_dagang, satuan_kecil, sediaan, golongan, url, userid_updt, sysdate_updt) values ('93001256','Epirubicin Hydrochloride 2 mg / mL Serbuk Injeksi (FERRON PAR PHARMACEUTICALS, 5mL)','92000231','Epirubicin Hydrochloride 2 mg / mL Serbuk Injeksi','EPIRUBICIN HYDROCHLORIDE','Vial','Larutan Injeksi','Obat Keras','https://dto.kemkes.go.id/kfacode/93001256',0,'2023-05-01');</v>
      </c>
    </row>
    <row r="467" spans="1:11" ht="15.75" customHeight="1">
      <c r="A467" s="2">
        <v>93000220</v>
      </c>
      <c r="B467" s="2" t="s">
        <v>2250</v>
      </c>
      <c r="C467" s="2">
        <v>92000231</v>
      </c>
      <c r="D467" s="2" t="s">
        <v>904</v>
      </c>
      <c r="E467" s="2" t="s">
        <v>2241</v>
      </c>
      <c r="F467" s="2" t="s">
        <v>653</v>
      </c>
      <c r="G467" s="2" t="s">
        <v>1506</v>
      </c>
      <c r="H467" s="2" t="s">
        <v>1458</v>
      </c>
      <c r="I467" s="3" t="str">
        <f t="shared" si="0"/>
        <v>https://dto.kemkes.go.id/kfacode/93000220</v>
      </c>
      <c r="J467" s="34" t="s">
        <v>3768</v>
      </c>
      <c r="K467" t="str">
        <f t="shared" si="8"/>
        <v>insert into mkatalog_kfa93 (kode, uraian, kode_92, uraian_92, nama_dagang, satuan_kecil, sediaan, golongan, url, userid_updt, sysdate_updt) values ('93000220','Epirubicin Hydrochloride 2 mg / mL Serbuk Injeksi (SANBE FARMA, 25 mL)','92000231','Epirubicin Hydrochloride 2 mg / mL Serbuk Injeksi','EPIRUBICIN HCL','Vial','Larutan Injeksi','Obat Keras','https://dto.kemkes.go.id/kfacode/93000220',0,'2023-05-01');</v>
      </c>
    </row>
    <row r="468" spans="1:11" ht="15.75" customHeight="1">
      <c r="A468" s="2">
        <v>93000947</v>
      </c>
      <c r="B468" s="2" t="s">
        <v>2251</v>
      </c>
      <c r="C468" s="2">
        <v>92000512</v>
      </c>
      <c r="D468" s="2" t="s">
        <v>905</v>
      </c>
      <c r="E468" s="2" t="s">
        <v>2252</v>
      </c>
      <c r="F468" s="2" t="s">
        <v>899</v>
      </c>
      <c r="G468" s="2" t="s">
        <v>1506</v>
      </c>
      <c r="H468" s="2" t="s">
        <v>1458</v>
      </c>
      <c r="I468" s="3" t="str">
        <f t="shared" si="0"/>
        <v>https://dto.kemkes.go.id/kfacode/93000947</v>
      </c>
      <c r="J468" s="34" t="s">
        <v>3768</v>
      </c>
      <c r="K468" t="str">
        <f t="shared" si="8"/>
        <v>insert into mkatalog_kfa93 (kode, uraian, kode_92, uraian_92, nama_dagang, satuan_kecil, sediaan, golongan, url, userid_updt, sysdate_updt) values ('93000947','Epoetin Alfa 2000 IU Injeksi (EPODION)','92000512','Epoetin Alfa 2000 IU Injeksi','EPODION','Prefilled Syringe','Larutan Injeksi','Obat Keras','https://dto.kemkes.go.id/kfacode/93000947',0,'2023-05-01');</v>
      </c>
    </row>
    <row r="469" spans="1:11" ht="15.75" customHeight="1">
      <c r="A469" s="2">
        <v>93000950</v>
      </c>
      <c r="B469" s="2" t="s">
        <v>2253</v>
      </c>
      <c r="C469" s="2">
        <v>92000512</v>
      </c>
      <c r="D469" s="2" t="s">
        <v>905</v>
      </c>
      <c r="F469" s="2" t="s">
        <v>899</v>
      </c>
      <c r="G469" s="2" t="s">
        <v>1506</v>
      </c>
      <c r="H469" s="2" t="s">
        <v>1458</v>
      </c>
      <c r="I469" s="3" t="str">
        <f t="shared" si="0"/>
        <v>https://dto.kemkes.go.id/kfacode/93000950</v>
      </c>
      <c r="J469" s="34" t="s">
        <v>3768</v>
      </c>
      <c r="K469" t="str">
        <f t="shared" si="8"/>
        <v>insert into mkatalog_kfa93 (kode, uraian, kode_92, uraian_92, nama_dagang, satuan_kecil, sediaan, golongan, url, userid_updt, sysdate_updt) values ('93000950','Epoetin Alfa 2000 IU Injeksi (EPREX)','92000512','Epoetin Alfa 2000 IU Injeksi','','Prefilled Syringe','Larutan Injeksi','Obat Keras','https://dto.kemkes.go.id/kfacode/93000950',0,'2023-05-01');</v>
      </c>
    </row>
    <row r="470" spans="1:11" ht="15.75" customHeight="1">
      <c r="A470" s="2">
        <v>93000934</v>
      </c>
      <c r="B470" s="2" t="s">
        <v>2254</v>
      </c>
      <c r="C470" s="2">
        <v>92000512</v>
      </c>
      <c r="D470" s="2" t="s">
        <v>905</v>
      </c>
      <c r="F470" s="2" t="s">
        <v>899</v>
      </c>
      <c r="G470" s="2" t="s">
        <v>1506</v>
      </c>
      <c r="H470" s="2" t="s">
        <v>1458</v>
      </c>
      <c r="I470" s="3" t="str">
        <f t="shared" si="0"/>
        <v>https://dto.kemkes.go.id/kfacode/93000934</v>
      </c>
      <c r="J470" s="34" t="s">
        <v>3768</v>
      </c>
      <c r="K470" t="str">
        <f t="shared" si="8"/>
        <v>insert into mkatalog_kfa93 (kode, uraian, kode_92, uraian_92, nama_dagang, satuan_kecil, sediaan, golongan, url, userid_updt, sysdate_updt) values ('93000934','Epoetin Alfa 2000 IU Injeksi (RECORMON)','92000512','Epoetin Alfa 2000 IU Injeksi','','Prefilled Syringe','Larutan Injeksi','Obat Keras','https://dto.kemkes.go.id/kfacode/93000934',0,'2023-05-01');</v>
      </c>
    </row>
    <row r="471" spans="1:11" ht="15.75" customHeight="1">
      <c r="A471" s="2">
        <v>93001249</v>
      </c>
      <c r="B471" s="2" t="s">
        <v>2255</v>
      </c>
      <c r="C471" s="2">
        <v>92000512</v>
      </c>
      <c r="D471" s="2" t="s">
        <v>905</v>
      </c>
      <c r="E471" s="2" t="s">
        <v>2256</v>
      </c>
      <c r="F471" s="2" t="s">
        <v>899</v>
      </c>
      <c r="G471" s="2" t="s">
        <v>1506</v>
      </c>
      <c r="H471" s="2" t="s">
        <v>1458</v>
      </c>
      <c r="I471" s="3" t="str">
        <f t="shared" si="0"/>
        <v>https://dto.kemkes.go.id/kfacode/93001249</v>
      </c>
      <c r="J471" s="34" t="s">
        <v>3768</v>
      </c>
      <c r="K471" t="str">
        <f t="shared" si="8"/>
        <v>insert into mkatalog_kfa93 (kode, uraian, kode_92, uraian_92, nama_dagang, satuan_kecil, sediaan, golongan, url, userid_updt, sysdate_updt) values ('93001249','Epoetin Alfa 2000 IU Injeksi (RENOGEN)','92000512','Epoetin Alfa 2000 IU Injeksi','RENOGEN','Prefilled Syringe','Larutan Injeksi','Obat Keras','https://dto.kemkes.go.id/kfacode/93001249',0,'2023-05-01');</v>
      </c>
    </row>
    <row r="472" spans="1:11" ht="15.75" customHeight="1">
      <c r="A472" s="2">
        <v>93001445</v>
      </c>
      <c r="B472" s="2" t="s">
        <v>2257</v>
      </c>
      <c r="C472" s="2">
        <v>92000690</v>
      </c>
      <c r="D472" s="2" t="s">
        <v>906</v>
      </c>
      <c r="E472" s="2" t="s">
        <v>2252</v>
      </c>
      <c r="F472" s="2" t="s">
        <v>899</v>
      </c>
      <c r="G472" s="2" t="s">
        <v>1506</v>
      </c>
      <c r="H472" s="2" t="s">
        <v>1458</v>
      </c>
      <c r="I472" s="3" t="str">
        <f t="shared" si="0"/>
        <v>https://dto.kemkes.go.id/kfacode/93001445</v>
      </c>
      <c r="J472" s="34" t="s">
        <v>3768</v>
      </c>
      <c r="K472" t="str">
        <f t="shared" si="8"/>
        <v>insert into mkatalog_kfa93 (kode, uraian, kode_92, uraian_92, nama_dagang, satuan_kecil, sediaan, golongan, url, userid_updt, sysdate_updt) values ('93001445','Epoetin Alfa 3000 IU Injeksi (EPODION)','92000690','Epoetin Alfa 3000 IU Injeksi','EPODION','Prefilled Syringe','Larutan Injeksi','Obat Keras','https://dto.kemkes.go.id/kfacode/93001445',0,'2023-05-01');</v>
      </c>
    </row>
    <row r="473" spans="1:11" ht="15.75" customHeight="1">
      <c r="A473" s="2">
        <v>93001328</v>
      </c>
      <c r="B473" s="2" t="s">
        <v>2258</v>
      </c>
      <c r="C473" s="2">
        <v>92000690</v>
      </c>
      <c r="D473" s="2" t="s">
        <v>906</v>
      </c>
      <c r="E473" s="2" t="s">
        <v>2259</v>
      </c>
      <c r="F473" s="2" t="s">
        <v>899</v>
      </c>
      <c r="G473" s="2" t="s">
        <v>1506</v>
      </c>
      <c r="H473" s="2" t="s">
        <v>1458</v>
      </c>
      <c r="I473" s="3" t="str">
        <f t="shared" si="0"/>
        <v>https://dto.kemkes.go.id/kfacode/93001328</v>
      </c>
      <c r="J473" s="34" t="s">
        <v>3768</v>
      </c>
      <c r="K473" t="str">
        <f t="shared" si="8"/>
        <v>insert into mkatalog_kfa93 (kode, uraian, kode_92, uraian_92, nama_dagang, satuan_kecil, sediaan, golongan, url, userid_updt, sysdate_updt) values ('93001328','Epoetin Alfa 3000 IU Injeksi (HEMAPO)','92000690','Epoetin Alfa 3000 IU Injeksi','HEMAPO','Prefilled Syringe','Larutan Injeksi','Obat Keras','https://dto.kemkes.go.id/kfacode/93001328',0,'2023-05-01');</v>
      </c>
    </row>
    <row r="474" spans="1:11" ht="15.75" customHeight="1">
      <c r="A474" s="2">
        <v>93001346</v>
      </c>
      <c r="B474" s="2" t="s">
        <v>2260</v>
      </c>
      <c r="C474" s="2">
        <v>92000690</v>
      </c>
      <c r="D474" s="2" t="s">
        <v>906</v>
      </c>
      <c r="E474" s="2" t="s">
        <v>2256</v>
      </c>
      <c r="F474" s="2" t="s">
        <v>899</v>
      </c>
      <c r="G474" s="2" t="s">
        <v>1506</v>
      </c>
      <c r="H474" s="2" t="s">
        <v>1458</v>
      </c>
      <c r="I474" s="3" t="str">
        <f t="shared" si="0"/>
        <v>https://dto.kemkes.go.id/kfacode/93001346</v>
      </c>
      <c r="J474" s="34" t="s">
        <v>3768</v>
      </c>
      <c r="K474" t="str">
        <f t="shared" si="8"/>
        <v>insert into mkatalog_kfa93 (kode, uraian, kode_92, uraian_92, nama_dagang, satuan_kecil, sediaan, golongan, url, userid_updt, sysdate_updt) values ('93001346','Epoetin Alfa 3000 IU Injeksi (RENOGEN)','92000690','Epoetin Alfa 3000 IU Injeksi','RENOGEN','Prefilled Syringe','Larutan Injeksi','Obat Keras','https://dto.kemkes.go.id/kfacode/93001346',0,'2023-05-01');</v>
      </c>
    </row>
    <row r="475" spans="1:11" ht="15.75" customHeight="1">
      <c r="A475" s="2">
        <v>93001562</v>
      </c>
      <c r="B475" s="2" t="s">
        <v>2261</v>
      </c>
      <c r="C475" s="2">
        <v>92000896</v>
      </c>
      <c r="D475" s="2" t="s">
        <v>907</v>
      </c>
      <c r="E475" s="2" t="s">
        <v>2252</v>
      </c>
      <c r="F475" s="2" t="s">
        <v>899</v>
      </c>
      <c r="G475" s="2" t="s">
        <v>1506</v>
      </c>
      <c r="H475" s="2" t="s">
        <v>1458</v>
      </c>
      <c r="I475" s="3" t="str">
        <f t="shared" si="0"/>
        <v>https://dto.kemkes.go.id/kfacode/93001562</v>
      </c>
      <c r="J475" s="34" t="s">
        <v>3768</v>
      </c>
      <c r="K475" t="str">
        <f t="shared" si="8"/>
        <v>insert into mkatalog_kfa93 (kode, uraian, kode_92, uraian_92, nama_dagang, satuan_kecil, sediaan, golongan, url, userid_updt, sysdate_updt) values ('93001562','Epoetin Alfa 4000 IU Injeksi (EPODION)','92000896','Epoetin Alfa 4000 IU Injeksi','EPODION','Prefilled Syringe','Larutan Injeksi','Obat Keras','https://dto.kemkes.go.id/kfacode/93001562',0,'2023-05-01');</v>
      </c>
    </row>
    <row r="476" spans="1:11" ht="15.75" customHeight="1">
      <c r="A476" s="2">
        <v>93001606</v>
      </c>
      <c r="B476" s="2" t="s">
        <v>2262</v>
      </c>
      <c r="C476" s="2">
        <v>92000896</v>
      </c>
      <c r="D476" s="2" t="s">
        <v>907</v>
      </c>
      <c r="E476" s="2" t="s">
        <v>2263</v>
      </c>
      <c r="F476" s="2" t="s">
        <v>899</v>
      </c>
      <c r="G476" s="2" t="s">
        <v>1506</v>
      </c>
      <c r="H476" s="2" t="s">
        <v>1458</v>
      </c>
      <c r="I476" s="3" t="str">
        <f t="shared" si="0"/>
        <v>https://dto.kemkes.go.id/kfacode/93001606</v>
      </c>
      <c r="J476" s="34" t="s">
        <v>3768</v>
      </c>
      <c r="K476" t="str">
        <f t="shared" si="8"/>
        <v>insert into mkatalog_kfa93 (kode, uraian, kode_92, uraian_92, nama_dagang, satuan_kecil, sediaan, golongan, url, userid_updt, sysdate_updt) values ('93001606','Epoetin Alfa 4000 IU Injeksi (EPREX)','92000896','Epoetin Alfa 4000 IU Injeksi','EPREX 4000','Prefilled Syringe','Larutan Injeksi','Obat Keras','https://dto.kemkes.go.id/kfacode/93001606',0,'2023-05-01');</v>
      </c>
    </row>
    <row r="477" spans="1:11" ht="15.75" customHeight="1">
      <c r="A477" s="2">
        <v>93001569</v>
      </c>
      <c r="B477" s="2" t="s">
        <v>2264</v>
      </c>
      <c r="C477" s="2">
        <v>92000896</v>
      </c>
      <c r="D477" s="2" t="s">
        <v>907</v>
      </c>
      <c r="E477" s="2" t="s">
        <v>2265</v>
      </c>
      <c r="F477" s="2" t="s">
        <v>899</v>
      </c>
      <c r="G477" s="2" t="s">
        <v>1506</v>
      </c>
      <c r="H477" s="2" t="s">
        <v>1458</v>
      </c>
      <c r="I477" s="3" t="str">
        <f t="shared" si="0"/>
        <v>https://dto.kemkes.go.id/kfacode/93001569</v>
      </c>
      <c r="J477" s="34" t="s">
        <v>3768</v>
      </c>
      <c r="K477" t="str">
        <f t="shared" si="8"/>
        <v>insert into mkatalog_kfa93 (kode, uraian, kode_92, uraian_92, nama_dagang, satuan_kecil, sediaan, golongan, url, userid_updt, sysdate_updt) values ('93001569','Epoetin Alfa 4000 IU Injeksi (ERYKINE)','92000896','Epoetin Alfa 4000 IU Injeksi','ERYKINE','Prefilled Syringe','Larutan Injeksi','Obat Keras','https://dto.kemkes.go.id/kfacode/93001569',0,'2023-05-01');</v>
      </c>
    </row>
    <row r="478" spans="1:11" ht="15.75" customHeight="1">
      <c r="A478" s="2">
        <v>93001568</v>
      </c>
      <c r="B478" s="2" t="s">
        <v>2266</v>
      </c>
      <c r="C478" s="2">
        <v>92000896</v>
      </c>
      <c r="D478" s="2" t="s">
        <v>907</v>
      </c>
      <c r="E478" s="2" t="s">
        <v>2256</v>
      </c>
      <c r="F478" s="2" t="s">
        <v>899</v>
      </c>
      <c r="G478" s="2" t="s">
        <v>1506</v>
      </c>
      <c r="H478" s="2" t="s">
        <v>1458</v>
      </c>
      <c r="I478" s="3" t="str">
        <f t="shared" si="0"/>
        <v>https://dto.kemkes.go.id/kfacode/93001568</v>
      </c>
      <c r="J478" s="34" t="s">
        <v>3768</v>
      </c>
      <c r="K478" t="str">
        <f t="shared" si="8"/>
        <v>insert into mkatalog_kfa93 (kode, uraian, kode_92, uraian_92, nama_dagang, satuan_kecil, sediaan, golongan, url, userid_updt, sysdate_updt) values ('93001568','Epoetin Alfa 4000 IU Injeksi (RENOGEN)','92000896','Epoetin Alfa 4000 IU Injeksi','RENOGEN','Prefilled Syringe','Larutan Injeksi','Obat Keras','https://dto.kemkes.go.id/kfacode/93001568',0,'2023-05-01');</v>
      </c>
    </row>
    <row r="479" spans="1:11" ht="15.75" customHeight="1">
      <c r="A479" s="2">
        <v>93000688</v>
      </c>
      <c r="B479" s="2" t="s">
        <v>2267</v>
      </c>
      <c r="C479" s="2">
        <v>92000381</v>
      </c>
      <c r="D479" s="2" t="s">
        <v>908</v>
      </c>
      <c r="E479" s="2" t="s">
        <v>2268</v>
      </c>
      <c r="F479" s="2" t="s">
        <v>899</v>
      </c>
      <c r="G479" s="2" t="s">
        <v>1506</v>
      </c>
      <c r="H479" s="2" t="s">
        <v>1458</v>
      </c>
      <c r="I479" s="3" t="str">
        <f t="shared" si="0"/>
        <v>https://dto.kemkes.go.id/kfacode/93000688</v>
      </c>
      <c r="J479" s="34" t="s">
        <v>3768</v>
      </c>
      <c r="K479" t="str">
        <f t="shared" si="8"/>
        <v>insert into mkatalog_kfa93 (kode, uraian, kode_92, uraian_92, nama_dagang, satuan_kecil, sediaan, golongan, url, userid_updt, sysdate_updt) values ('93000688','Epoetin Beta 2000 IU Injeksi (RECORMON, BOEHRINGER INGELHEIM INDONESIA)','92000381','Epoetin Beta 2000 IU Injeksi','RECORMON 2000','Prefilled Syringe','Larutan Injeksi','Obat Keras','https://dto.kemkes.go.id/kfacode/93000688',0,'2023-05-01');</v>
      </c>
    </row>
    <row r="480" spans="1:11" ht="15.75" customHeight="1">
      <c r="A480" s="2">
        <v>93001071</v>
      </c>
      <c r="B480" s="2" t="s">
        <v>2269</v>
      </c>
      <c r="C480" s="2">
        <v>92000788</v>
      </c>
      <c r="D480" s="2" t="s">
        <v>909</v>
      </c>
      <c r="E480" s="2" t="s">
        <v>2270</v>
      </c>
      <c r="F480" s="2" t="s">
        <v>824</v>
      </c>
      <c r="G480" s="2" t="s">
        <v>1500</v>
      </c>
      <c r="H480" s="2" t="s">
        <v>1458</v>
      </c>
      <c r="I480" s="3" t="str">
        <f t="shared" si="0"/>
        <v>https://dto.kemkes.go.id/kfacode/93001071</v>
      </c>
      <c r="J480" s="34" t="s">
        <v>3768</v>
      </c>
      <c r="K480" t="str">
        <f t="shared" si="8"/>
        <v>insert into mkatalog_kfa93 (kode, uraian, kode_92, uraian_92, nama_dagang, satuan_kecil, sediaan, golongan, url, userid_updt, sysdate_updt) values ('93001071','Eptacog Alfa (activated) 1 mg Serbuk Injeksi (NOVOSEVEN RT)','92000788','Eptacog Alfa (activated) 1 mg Serbuk Injeksi','NOVOSEVEN RT','Vial + Ampul Pelarut','Serbuk Injeksi','Obat Keras','https://dto.kemkes.go.id/kfacode/93001071',0,'2023-05-01');</v>
      </c>
    </row>
    <row r="481" spans="1:11" ht="15.75" customHeight="1">
      <c r="A481" s="2">
        <v>93001630</v>
      </c>
      <c r="B481" s="2" t="s">
        <v>2271</v>
      </c>
      <c r="C481" s="2">
        <v>92000930</v>
      </c>
      <c r="D481" s="2" t="s">
        <v>910</v>
      </c>
      <c r="E481" s="2" t="s">
        <v>2272</v>
      </c>
      <c r="F481" s="2" t="s">
        <v>653</v>
      </c>
      <c r="G481" s="2" t="s">
        <v>1506</v>
      </c>
      <c r="H481" s="2" t="s">
        <v>1458</v>
      </c>
      <c r="I481" s="3" t="str">
        <f t="shared" si="0"/>
        <v>https://dto.kemkes.go.id/kfacode/93001630</v>
      </c>
      <c r="J481" s="34" t="s">
        <v>3768</v>
      </c>
      <c r="K481" t="str">
        <f t="shared" si="8"/>
        <v>insert into mkatalog_kfa93 (kode, uraian, kode_92, uraian_92, nama_dagang, satuan_kecil, sediaan, golongan, url, userid_updt, sysdate_updt) values ('93001630','Eribulin Mesylate 0,44 mg / mL Injeksi (HALAVEN)','92000930','Eribulin Mesylate 0,44 mg / mL Injeksi','HALAVEN','Vial','Larutan Injeksi','Obat Keras','https://dto.kemkes.go.id/kfacode/93001630',0,'2023-05-01');</v>
      </c>
    </row>
    <row r="482" spans="1:11" ht="15.75" customHeight="1">
      <c r="A482" s="2">
        <v>93001163</v>
      </c>
      <c r="B482" s="2" t="s">
        <v>2273</v>
      </c>
      <c r="C482" s="2">
        <v>92000802</v>
      </c>
      <c r="D482" s="2" t="s">
        <v>911</v>
      </c>
      <c r="E482" s="2" t="s">
        <v>2274</v>
      </c>
      <c r="F482" s="2" t="s">
        <v>640</v>
      </c>
      <c r="G482" s="2" t="s">
        <v>1457</v>
      </c>
      <c r="H482" s="2" t="s">
        <v>1458</v>
      </c>
      <c r="I482" s="3" t="str">
        <f t="shared" si="0"/>
        <v>https://dto.kemkes.go.id/kfacode/93001163</v>
      </c>
      <c r="J482" s="34" t="s">
        <v>3768</v>
      </c>
      <c r="K482" t="str">
        <f t="shared" si="8"/>
        <v>insert into mkatalog_kfa93 (kode, uraian, kode_92, uraian_92, nama_dagang, satuan_kecil, sediaan, golongan, url, userid_updt, sysdate_updt) values ('93001163','Erlotinib 100 mg Tablet Salut Selaput (ERLONAT)','92000802','Erlotinib 100 mg Tablet Salut Selaput','ERLONAT','Tablet','Tablet Salut Selaput','Obat Keras','https://dto.kemkes.go.id/kfacode/93001163',0,'2023-05-01');</v>
      </c>
    </row>
    <row r="483" spans="1:11" ht="15.75" customHeight="1">
      <c r="A483" s="2">
        <v>93000963</v>
      </c>
      <c r="B483" s="2" t="s">
        <v>2275</v>
      </c>
      <c r="C483" s="2">
        <v>92000534</v>
      </c>
      <c r="D483" s="2" t="s">
        <v>912</v>
      </c>
      <c r="E483" s="2" t="s">
        <v>2274</v>
      </c>
      <c r="F483" s="2" t="s">
        <v>640</v>
      </c>
      <c r="G483" s="2" t="s">
        <v>1457</v>
      </c>
      <c r="H483" s="2" t="s">
        <v>1458</v>
      </c>
      <c r="I483" s="3" t="str">
        <f t="shared" si="0"/>
        <v>https://dto.kemkes.go.id/kfacode/93000963</v>
      </c>
      <c r="J483" s="34" t="s">
        <v>3768</v>
      </c>
      <c r="K483" t="str">
        <f t="shared" si="8"/>
        <v>insert into mkatalog_kfa93 (kode, uraian, kode_92, uraian_92, nama_dagang, satuan_kecil, sediaan, golongan, url, userid_updt, sysdate_updt) values ('93000963','Erlotinib 150 mg Tablet Salut Selaput (ERLONAT)','92000534','Erlotinib 150 mg Tablet Salut Selaput','ERLONAT','Tablet','Tablet Salut Selaput','Obat Keras','https://dto.kemkes.go.id/kfacode/93000963',0,'2023-05-01');</v>
      </c>
    </row>
    <row r="484" spans="1:11" ht="15.75" customHeight="1">
      <c r="A484" s="2">
        <v>93001531</v>
      </c>
      <c r="B484" s="2" t="s">
        <v>2276</v>
      </c>
      <c r="C484" s="2">
        <v>92000877</v>
      </c>
      <c r="D484" s="2" t="s">
        <v>913</v>
      </c>
      <c r="E484" s="2" t="s">
        <v>2277</v>
      </c>
      <c r="F484" s="2" t="s">
        <v>658</v>
      </c>
      <c r="G484" s="2" t="s">
        <v>1553</v>
      </c>
      <c r="H484" s="2" t="s">
        <v>1458</v>
      </c>
      <c r="I484" s="3" t="str">
        <f t="shared" si="0"/>
        <v>https://dto.kemkes.go.id/kfacode/93001531</v>
      </c>
      <c r="J484" s="34" t="s">
        <v>3768</v>
      </c>
      <c r="K484" t="str">
        <f t="shared" si="8"/>
        <v>insert into mkatalog_kfa93 (kode, uraian, kode_92, uraian_92, nama_dagang, satuan_kecil, sediaan, golongan, url, userid_updt, sysdate_updt) values ('93001531','Erythromycin 250 mg / 5 mL Sirup Kering (HOLI PHARMA)','92000877','Erythromycin 250 mg / 5 mL Sirup Kering','ERYTHROMYCIN ETHYL SUCCINATE','Botol','Sirup Kering','Obat Keras','https://dto.kemkes.go.id/kfacode/93001531',0,'2023-05-01');</v>
      </c>
    </row>
    <row r="485" spans="1:11" ht="15.75" customHeight="1">
      <c r="A485" s="2">
        <v>93001527</v>
      </c>
      <c r="B485" s="2" t="s">
        <v>2278</v>
      </c>
      <c r="C485" s="2">
        <v>92000874</v>
      </c>
      <c r="D485" s="2" t="s">
        <v>914</v>
      </c>
      <c r="E485" s="2" t="s">
        <v>2279</v>
      </c>
      <c r="F485" s="2" t="s">
        <v>649</v>
      </c>
      <c r="G485" s="2" t="s">
        <v>649</v>
      </c>
      <c r="H485" s="2" t="s">
        <v>1458</v>
      </c>
      <c r="I485" s="3" t="str">
        <f t="shared" si="0"/>
        <v>https://dto.kemkes.go.id/kfacode/93001527</v>
      </c>
      <c r="J485" s="34" t="s">
        <v>3768</v>
      </c>
      <c r="K485" t="str">
        <f t="shared" si="8"/>
        <v>insert into mkatalog_kfa93 (kode, uraian, kode_92, uraian_92, nama_dagang, satuan_kecil, sediaan, golongan, url, userid_updt, sysdate_updt) values ('93001527','Erythromycin 250 mg Kapsul (LUCAS DJAJA)','92000874','Erythromycin 250 mg Kapsul','ERYTHROMYCIN STEARATE','Kapsul','Kapsul','Obat Keras','https://dto.kemkes.go.id/kfacode/93001527',0,'2023-05-01');</v>
      </c>
    </row>
    <row r="486" spans="1:11" ht="15.75" customHeight="1">
      <c r="A486" s="2">
        <v>93000869</v>
      </c>
      <c r="B486" s="2" t="s">
        <v>2280</v>
      </c>
      <c r="C486" s="2">
        <v>92000614</v>
      </c>
      <c r="D486" s="2" t="s">
        <v>915</v>
      </c>
      <c r="E486" s="2" t="s">
        <v>2252</v>
      </c>
      <c r="F486" s="2" t="s">
        <v>899</v>
      </c>
      <c r="G486" s="2" t="s">
        <v>1506</v>
      </c>
      <c r="H486" s="2" t="s">
        <v>1458</v>
      </c>
      <c r="I486" s="3" t="str">
        <f t="shared" si="0"/>
        <v>https://dto.kemkes.go.id/kfacode/93000869</v>
      </c>
      <c r="J486" s="34" t="s">
        <v>3768</v>
      </c>
      <c r="K486" t="str">
        <f t="shared" si="8"/>
        <v>insert into mkatalog_kfa93 (kode, uraian, kode_92, uraian_92, nama_dagang, satuan_kecil, sediaan, golongan, url, userid_updt, sysdate_updt) values ('93000869','Erythropoietin Alfa 10.000 IU / mL Injeksi (EPODION, 1 mL)','92000614','Erythropoietin Alfa 10.000 IU / mL Injeksi','EPODION','Prefilled Syringe','Larutan Injeksi','Obat Keras','https://dto.kemkes.go.id/kfacode/93000869',0,'2023-05-01');</v>
      </c>
    </row>
    <row r="487" spans="1:11" ht="15.75" customHeight="1">
      <c r="A487" s="2">
        <v>93000180</v>
      </c>
      <c r="B487" s="2" t="s">
        <v>2281</v>
      </c>
      <c r="C487" s="2">
        <v>92000177</v>
      </c>
      <c r="D487" s="2" t="s">
        <v>916</v>
      </c>
      <c r="E487" s="2" t="s">
        <v>2265</v>
      </c>
      <c r="F487" s="2" t="s">
        <v>899</v>
      </c>
      <c r="G487" s="2" t="s">
        <v>1506</v>
      </c>
      <c r="H487" s="2" t="s">
        <v>1458</v>
      </c>
      <c r="I487" s="3" t="str">
        <f t="shared" si="0"/>
        <v>https://dto.kemkes.go.id/kfacode/93000180</v>
      </c>
      <c r="J487" s="34" t="s">
        <v>3768</v>
      </c>
      <c r="K487" t="str">
        <f t="shared" si="8"/>
        <v>insert into mkatalog_kfa93 (kode, uraian, kode_92, uraian_92, nama_dagang, satuan_kecil, sediaan, golongan, url, userid_updt, sysdate_updt) values ('93000180','Erythropoietin Alfa 2.000 IU / mL Injeksi (ERYKINE)','92000177','Erythropoietin Alfa 2.000 IU / mL Injeksi','ERYKINE','Prefilled Syringe','Larutan Injeksi','Obat Keras','https://dto.kemkes.go.id/kfacode/93000180',0,'2023-05-01');</v>
      </c>
    </row>
    <row r="488" spans="1:11" ht="15.75" customHeight="1">
      <c r="A488" s="2">
        <v>93000862</v>
      </c>
      <c r="B488" s="2" t="s">
        <v>2282</v>
      </c>
      <c r="C488" s="2">
        <v>92000569</v>
      </c>
      <c r="D488" s="2" t="s">
        <v>917</v>
      </c>
      <c r="E488" s="2" t="s">
        <v>2256</v>
      </c>
      <c r="F488" s="2" t="s">
        <v>899</v>
      </c>
      <c r="G488" s="2" t="s">
        <v>1506</v>
      </c>
      <c r="H488" s="2" t="s">
        <v>1458</v>
      </c>
      <c r="I488" s="3" t="str">
        <f t="shared" si="0"/>
        <v>https://dto.kemkes.go.id/kfacode/93000862</v>
      </c>
      <c r="J488" s="34" t="s">
        <v>3768</v>
      </c>
      <c r="K488" t="str">
        <f t="shared" si="8"/>
        <v>insert into mkatalog_kfa93 (kode, uraian, kode_92, uraian_92, nama_dagang, satuan_kecil, sediaan, golongan, url, userid_updt, sysdate_updt) values ('93000862','Erythropoietin Alpha 4000 IU Injeksi (RENOGEN)','92000569','Erythropoietin Alpha 4000 IU Injeksi','RENOGEN','Prefilled Syringe','Larutan Injeksi','Obat Keras','https://dto.kemkes.go.id/kfacode/93000862',0,'2023-05-01');</v>
      </c>
    </row>
    <row r="489" spans="1:11" ht="15.75" customHeight="1">
      <c r="A489" s="2">
        <v>93000980</v>
      </c>
      <c r="B489" s="2" t="s">
        <v>2283</v>
      </c>
      <c r="C489" s="2">
        <v>92000674</v>
      </c>
      <c r="D489" s="2" t="s">
        <v>918</v>
      </c>
      <c r="E489" s="2" t="s">
        <v>2284</v>
      </c>
      <c r="F489" s="2" t="s">
        <v>899</v>
      </c>
      <c r="G489" s="2" t="s">
        <v>1506</v>
      </c>
      <c r="H489" s="2" t="s">
        <v>1458</v>
      </c>
      <c r="I489" s="3" t="str">
        <f t="shared" si="0"/>
        <v>https://dto.kemkes.go.id/kfacode/93000980</v>
      </c>
      <c r="J489" s="34" t="s">
        <v>3768</v>
      </c>
      <c r="K489" t="str">
        <f t="shared" si="8"/>
        <v>insert into mkatalog_kfa93 (kode, uraian, kode_92, uraian_92, nama_dagang, satuan_kecil, sediaan, golongan, url, userid_updt, sysdate_updt) values ('93000980','Erythropoietin Beta 2.000 IU / mL Injeksi (RECORMON)','92000674','Erythropoietin Beta 2.000 IU / mL Injeksi','RECORMON','Prefilled Syringe','Larutan Injeksi','Obat Keras','https://dto.kemkes.go.id/kfacode/93000980',0,'2023-05-01');</v>
      </c>
    </row>
    <row r="490" spans="1:11" ht="15.75" customHeight="1">
      <c r="A490" s="2">
        <v>93001113</v>
      </c>
      <c r="B490" s="2" t="s">
        <v>2285</v>
      </c>
      <c r="C490" s="2">
        <v>92000348</v>
      </c>
      <c r="D490" s="2" t="s">
        <v>919</v>
      </c>
      <c r="E490" s="2" t="s">
        <v>2286</v>
      </c>
      <c r="F490" s="2" t="s">
        <v>653</v>
      </c>
      <c r="G490" s="2" t="s">
        <v>1500</v>
      </c>
      <c r="H490" s="2" t="s">
        <v>1458</v>
      </c>
      <c r="I490" s="3" t="str">
        <f t="shared" si="0"/>
        <v>https://dto.kemkes.go.id/kfacode/93001113</v>
      </c>
      <c r="J490" s="34" t="s">
        <v>3768</v>
      </c>
      <c r="K490" t="str">
        <f t="shared" si="8"/>
        <v>insert into mkatalog_kfa93 (kode, uraian, kode_92, uraian_92, nama_dagang, satuan_kecil, sediaan, golongan, url, userid_updt, sysdate_updt) values ('93001113','Esomeprazole 40 mg Serbuk Injeksi (DEXA MEDICA)','92000348','Esomeprazole 40 mg Serbuk Injeksi','ESOMEPRAZOLE SODIUM','Vial','Serbuk Injeksi','Obat Keras','https://dto.kemkes.go.id/kfacode/93001113',0,'2023-05-01');</v>
      </c>
    </row>
    <row r="491" spans="1:11" ht="15.75" customHeight="1">
      <c r="A491" s="2">
        <v>93001577</v>
      </c>
      <c r="B491" s="2" t="s">
        <v>2287</v>
      </c>
      <c r="C491" s="2">
        <v>92000902</v>
      </c>
      <c r="D491" s="2" t="s">
        <v>920</v>
      </c>
      <c r="E491" s="2" t="s">
        <v>2288</v>
      </c>
      <c r="F491" s="2" t="s">
        <v>899</v>
      </c>
      <c r="G491" s="2" t="s">
        <v>1506</v>
      </c>
      <c r="H491" s="2" t="s">
        <v>1458</v>
      </c>
      <c r="I491" s="3" t="str">
        <f t="shared" si="0"/>
        <v>https://dto.kemkes.go.id/kfacode/93001577</v>
      </c>
      <c r="J491" s="34" t="s">
        <v>3768</v>
      </c>
      <c r="K491" t="str">
        <f t="shared" si="8"/>
        <v>insert into mkatalog_kfa93 (kode, uraian, kode_92, uraian_92, nama_dagang, satuan_kecil, sediaan, golongan, url, userid_updt, sysdate_updt) values ('93001577','Etanercept 50 mg/ mL Injeksi (ENBREL)','92000902','Etanercept 50 mg/ mL Injeksi','ENBREL','Prefilled Syringe','Larutan Injeksi','Obat Keras','https://dto.kemkes.go.id/kfacode/93001577',0,'2023-05-01');</v>
      </c>
    </row>
    <row r="492" spans="1:11" ht="15.75" customHeight="1">
      <c r="A492" s="2">
        <v>93000146</v>
      </c>
      <c r="B492" s="2" t="s">
        <v>2289</v>
      </c>
      <c r="C492" s="2">
        <v>92000149</v>
      </c>
      <c r="D492" s="2" t="s">
        <v>922</v>
      </c>
      <c r="E492" s="2" t="s">
        <v>2290</v>
      </c>
      <c r="F492" s="2" t="s">
        <v>645</v>
      </c>
      <c r="G492" s="2" t="s">
        <v>1506</v>
      </c>
      <c r="H492" s="2" t="s">
        <v>1458</v>
      </c>
      <c r="I492" s="3" t="str">
        <f t="shared" si="0"/>
        <v>https://dto.kemkes.go.id/kfacode/93000146</v>
      </c>
      <c r="J492" s="34" t="s">
        <v>3768</v>
      </c>
      <c r="K492" t="str">
        <f t="shared" si="8"/>
        <v>insert into mkatalog_kfa93 (kode, uraian, kode_92, uraian_92, nama_dagang, satuan_kecil, sediaan, golongan, url, userid_updt, sysdate_updt) values ('93000146','Etoposide 20 mg Injeksi (ETOPUL)','92000149','Etoposide 20 mg Injeksi','ETOPUL','Ampul','Larutan Injeksi','Obat Keras','https://dto.kemkes.go.id/kfacode/93000146',0,'2023-05-01');</v>
      </c>
    </row>
    <row r="493" spans="1:11" ht="15.75" customHeight="1">
      <c r="A493" s="2">
        <v>93001205</v>
      </c>
      <c r="B493" s="2" t="s">
        <v>2291</v>
      </c>
      <c r="C493" s="2">
        <v>92000806</v>
      </c>
      <c r="D493" s="2" t="s">
        <v>923</v>
      </c>
      <c r="F493" s="2" t="s">
        <v>658</v>
      </c>
      <c r="G493" s="2" t="s">
        <v>2017</v>
      </c>
      <c r="I493" s="3" t="str">
        <f t="shared" si="0"/>
        <v>https://dto.kemkes.go.id/kfacode/93001205</v>
      </c>
      <c r="J493" s="34" t="s">
        <v>3768</v>
      </c>
      <c r="K493" t="str">
        <f t="shared" si="8"/>
        <v>insert into mkatalog_kfa93 (kode, uraian, kode_92, uraian_92, nama_dagang, satuan_kecil, sediaan, golongan, url, userid_updt, sysdate_updt) values ('93001205','Eugenol 99% Cairan (KIMIA FARMA)','92000806','Eugenol 99% Cairan','','Botol','Larutan','','https://dto.kemkes.go.id/kfacode/93001205',0,'2023-05-01');</v>
      </c>
    </row>
    <row r="494" spans="1:11" ht="15.75" customHeight="1">
      <c r="A494" s="2">
        <v>93001426</v>
      </c>
      <c r="B494" s="2" t="s">
        <v>2292</v>
      </c>
      <c r="C494" s="2">
        <v>92000564</v>
      </c>
      <c r="D494" s="2" t="s">
        <v>924</v>
      </c>
      <c r="E494" s="2" t="s">
        <v>2293</v>
      </c>
      <c r="F494" s="2" t="s">
        <v>640</v>
      </c>
      <c r="G494" s="2" t="s">
        <v>1457</v>
      </c>
      <c r="H494" s="2" t="s">
        <v>1458</v>
      </c>
      <c r="I494" s="3" t="str">
        <f t="shared" si="0"/>
        <v>https://dto.kemkes.go.id/kfacode/93001426</v>
      </c>
      <c r="J494" s="34" t="s">
        <v>3768</v>
      </c>
      <c r="K494" t="str">
        <f t="shared" si="8"/>
        <v>insert into mkatalog_kfa93 (kode, uraian, kode_92, uraian_92, nama_dagang, satuan_kecil, sediaan, golongan, url, userid_updt, sysdate_updt) values ('93001426','Evafirenz 600 mg / Lamivudine 300 mg / Tenofovir 300 mg Tablet Salut Selaput (AMAROX PHARMA GLOBAL)','92000564','Evafirenz 600 mg / Lamivudine 300 mg / Tenofovir 300 mg Tablet Salut Selaput','EFAVIRENZ/ LAMIVUDINE/ TENOFOVIR DISOPROXIL FUMARATE','Tablet','Tablet Salut Selaput','Obat Keras','https://dto.kemkes.go.id/kfacode/93001426',0,'2023-05-01');</v>
      </c>
    </row>
    <row r="495" spans="1:11" ht="15.75" customHeight="1">
      <c r="A495" s="2">
        <v>93001427</v>
      </c>
      <c r="B495" s="2" t="s">
        <v>2294</v>
      </c>
      <c r="C495" s="2">
        <v>92000564</v>
      </c>
      <c r="D495" s="2" t="s">
        <v>924</v>
      </c>
      <c r="E495" s="2" t="s">
        <v>2293</v>
      </c>
      <c r="F495" s="2" t="s">
        <v>640</v>
      </c>
      <c r="G495" s="2" t="s">
        <v>1457</v>
      </c>
      <c r="H495" s="2" t="s">
        <v>1458</v>
      </c>
      <c r="I495" s="3" t="str">
        <f t="shared" si="0"/>
        <v>https://dto.kemkes.go.id/kfacode/93001427</v>
      </c>
      <c r="J495" s="34" t="s">
        <v>3768</v>
      </c>
      <c r="K495" t="str">
        <f t="shared" si="8"/>
        <v>insert into mkatalog_kfa93 (kode, uraian, kode_92, uraian_92, nama_dagang, satuan_kecil, sediaan, golongan, url, userid_updt, sysdate_updt) values ('93001427','Evafirenz 600 mg / Lamivudine 300 mg / Tenofovir 300 mg Tablet Salut Selaput (KIMIA FARMA Tbk.)','92000564','Evafirenz 600 mg / Lamivudine 300 mg / Tenofovir 300 mg Tablet Salut Selaput','EFAVIRENZ/ LAMIVUDINE/ TENOFOVIR DISOPROXIL FUMARATE','Tablet','Tablet Salut Selaput','Obat Keras','https://dto.kemkes.go.id/kfacode/93001427',0,'2023-05-01');</v>
      </c>
    </row>
    <row r="496" spans="1:11" ht="15.75" customHeight="1">
      <c r="A496" s="2">
        <v>93001429</v>
      </c>
      <c r="B496" s="2" t="s">
        <v>2295</v>
      </c>
      <c r="C496" s="2">
        <v>92000564</v>
      </c>
      <c r="D496" s="2" t="s">
        <v>924</v>
      </c>
      <c r="E496" s="2" t="s">
        <v>2293</v>
      </c>
      <c r="F496" s="2" t="s">
        <v>640</v>
      </c>
      <c r="G496" s="2" t="s">
        <v>1457</v>
      </c>
      <c r="H496" s="2" t="s">
        <v>1458</v>
      </c>
      <c r="I496" s="3" t="str">
        <f t="shared" si="0"/>
        <v>https://dto.kemkes.go.id/kfacode/93001429</v>
      </c>
      <c r="J496" s="34" t="s">
        <v>3768</v>
      </c>
      <c r="K496" t="str">
        <f t="shared" si="8"/>
        <v>insert into mkatalog_kfa93 (kode, uraian, kode_92, uraian_92, nama_dagang, satuan_kecil, sediaan, golongan, url, userid_updt, sysdate_updt) values ('93001429','Evafirenz 600 mg / Lamivudine 300 mg / Tenofovir 300 mg Tablet Salut Selaput (SAMPHARINDO RETROVIRAL INDONESIA)','92000564','Evafirenz 600 mg / Lamivudine 300 mg / Tenofovir 300 mg Tablet Salut Selaput','EFAVIRENZ/ LAMIVUDINE/ TENOFOVIR DISOPROXIL FUMARATE','Tablet','Tablet Salut Selaput','Obat Keras','https://dto.kemkes.go.id/kfacode/93001429',0,'2023-05-01');</v>
      </c>
    </row>
    <row r="497" spans="1:11" ht="15.75" customHeight="1">
      <c r="A497" s="2">
        <v>93001410</v>
      </c>
      <c r="B497" s="2" t="s">
        <v>2296</v>
      </c>
      <c r="C497" s="2">
        <v>92000564</v>
      </c>
      <c r="D497" s="2" t="s">
        <v>924</v>
      </c>
      <c r="E497" s="2" t="s">
        <v>2297</v>
      </c>
      <c r="F497" s="2" t="s">
        <v>640</v>
      </c>
      <c r="G497" s="2" t="s">
        <v>1457</v>
      </c>
      <c r="H497" s="2" t="s">
        <v>1458</v>
      </c>
      <c r="I497" s="3" t="str">
        <f t="shared" si="0"/>
        <v>https://dto.kemkes.go.id/kfacode/93001410</v>
      </c>
      <c r="J497" s="34" t="s">
        <v>3768</v>
      </c>
      <c r="K497" t="str">
        <f t="shared" si="8"/>
        <v>insert into mkatalog_kfa93 (kode, uraian, kode_92, uraian_92, nama_dagang, satuan_kecil, sediaan, golongan, url, userid_updt, sysdate_updt) values ('93001410','Evafirenz 600 mg / Lamivudine 300 mg / Tenofovir 300 mg Tablet Salut Selaput (TELAVIR)','92000564','Evafirenz 600 mg / Lamivudine 300 mg / Tenofovir 300 mg Tablet Salut Selaput','TELAVIR','Tablet','Tablet Salut Selaput','Obat Keras','https://dto.kemkes.go.id/kfacode/93001410',0,'2023-05-01');</v>
      </c>
    </row>
    <row r="498" spans="1:11" ht="15.75" customHeight="1">
      <c r="A498" s="2">
        <v>93001428</v>
      </c>
      <c r="B498" s="2" t="s">
        <v>2298</v>
      </c>
      <c r="C498" s="2">
        <v>92000564</v>
      </c>
      <c r="D498" s="2" t="s">
        <v>924</v>
      </c>
      <c r="E498" s="2" t="s">
        <v>2299</v>
      </c>
      <c r="F498" s="2" t="s">
        <v>640</v>
      </c>
      <c r="G498" s="2" t="s">
        <v>1457</v>
      </c>
      <c r="H498" s="2" t="s">
        <v>1458</v>
      </c>
      <c r="I498" s="3" t="str">
        <f t="shared" si="0"/>
        <v>https://dto.kemkes.go.id/kfacode/93001428</v>
      </c>
      <c r="J498" s="34" t="s">
        <v>3768</v>
      </c>
      <c r="K498" t="str">
        <f t="shared" si="8"/>
        <v>insert into mkatalog_kfa93 (kode, uraian, kode_92, uraian_92, nama_dagang, satuan_kecil, sediaan, golongan, url, userid_updt, sysdate_updt) values ('93001428','Evafirenz 600 mg / Lamivudine 300 mg / Tenofovir 300 mg Tablet Salut Selaput (TELURA)','92000564','Evafirenz 600 mg / Lamivudine 300 mg / Tenofovir 300 mg Tablet Salut Selaput','TELURA','Tablet','Tablet Salut Selaput','Obat Keras','https://dto.kemkes.go.id/kfacode/93001428',0,'2023-05-01');</v>
      </c>
    </row>
    <row r="499" spans="1:11" ht="15.75" customHeight="1">
      <c r="A499" s="2">
        <v>93000876</v>
      </c>
      <c r="B499" s="2" t="s">
        <v>2300</v>
      </c>
      <c r="C499" s="2">
        <v>92000564</v>
      </c>
      <c r="D499" s="2" t="s">
        <v>924</v>
      </c>
      <c r="E499" s="2" t="s">
        <v>2301</v>
      </c>
      <c r="F499" s="2" t="s">
        <v>640</v>
      </c>
      <c r="G499" s="2" t="s">
        <v>1457</v>
      </c>
      <c r="H499" s="2" t="s">
        <v>1458</v>
      </c>
      <c r="I499" s="3" t="str">
        <f t="shared" si="0"/>
        <v>https://dto.kemkes.go.id/kfacode/93000876</v>
      </c>
      <c r="J499" s="34" t="s">
        <v>3768</v>
      </c>
      <c r="K499" t="str">
        <f t="shared" si="8"/>
        <v>insert into mkatalog_kfa93 (kode, uraian, kode_92, uraian_92, nama_dagang, satuan_kecil, sediaan, golongan, url, userid_updt, sysdate_updt) values ('93000876','Evafirenz 600 mg / Lamivudine 300 mg / Tenofovir 300 mg Tablet Salut Selaput (TENOLAM-E)','92000564','Evafirenz 600 mg / Lamivudine 300 mg / Tenofovir 300 mg Tablet Salut Selaput','TENOLAM-E','Tablet','Tablet Salut Selaput','Obat Keras','https://dto.kemkes.go.id/kfacode/93000876',0,'2023-05-01');</v>
      </c>
    </row>
    <row r="500" spans="1:11" ht="15.75" customHeight="1">
      <c r="A500" s="2">
        <v>93000920</v>
      </c>
      <c r="B500" s="2" t="s">
        <v>2302</v>
      </c>
      <c r="C500" s="2">
        <v>92000643</v>
      </c>
      <c r="D500" s="2" t="s">
        <v>925</v>
      </c>
      <c r="E500" s="2" t="s">
        <v>2303</v>
      </c>
      <c r="F500" s="2" t="s">
        <v>640</v>
      </c>
      <c r="G500" s="2" t="s">
        <v>640</v>
      </c>
      <c r="H500" s="2" t="s">
        <v>1458</v>
      </c>
      <c r="I500" s="3" t="str">
        <f t="shared" si="0"/>
        <v>https://dto.kemkes.go.id/kfacode/93000920</v>
      </c>
      <c r="J500" s="34" t="s">
        <v>3768</v>
      </c>
      <c r="K500" t="str">
        <f t="shared" si="8"/>
        <v>insert into mkatalog_kfa93 (kode, uraian, kode_92, uraian_92, nama_dagang, satuan_kecil, sediaan, golongan, url, userid_updt, sysdate_updt) values ('93000920','Everolimus 0,25 mg Tablet (CERTICAN)','92000643','Everolimus 0,25 mg Tablet','CERTICAN','Tablet','Tablet','Obat Keras','https://dto.kemkes.go.id/kfacode/93000920',0,'2023-05-01');</v>
      </c>
    </row>
    <row r="501" spans="1:11" ht="15.75" customHeight="1">
      <c r="A501" s="2">
        <v>93000919</v>
      </c>
      <c r="B501" s="2" t="s">
        <v>2304</v>
      </c>
      <c r="C501" s="2">
        <v>92000642</v>
      </c>
      <c r="D501" s="2" t="s">
        <v>926</v>
      </c>
      <c r="E501" s="2" t="s">
        <v>2303</v>
      </c>
      <c r="F501" s="2" t="s">
        <v>640</v>
      </c>
      <c r="G501" s="2" t="s">
        <v>640</v>
      </c>
      <c r="H501" s="2" t="s">
        <v>1458</v>
      </c>
      <c r="I501" s="3" t="str">
        <f t="shared" si="0"/>
        <v>https://dto.kemkes.go.id/kfacode/93000919</v>
      </c>
      <c r="J501" s="34" t="s">
        <v>3768</v>
      </c>
      <c r="K501" t="str">
        <f t="shared" si="8"/>
        <v>insert into mkatalog_kfa93 (kode, uraian, kode_92, uraian_92, nama_dagang, satuan_kecil, sediaan, golongan, url, userid_updt, sysdate_updt) values ('93000919','Everolimus 0,5 mg Tablet (CERTICAN)','92000642','Everolimus 0,5 mg Tablet','CERTICAN','Tablet','Tablet','Obat Keras','https://dto.kemkes.go.id/kfacode/93000919',0,'2023-05-01');</v>
      </c>
    </row>
    <row r="502" spans="1:11" ht="15.75" customHeight="1">
      <c r="A502" s="2">
        <v>93001390</v>
      </c>
      <c r="B502" s="2" t="s">
        <v>2305</v>
      </c>
      <c r="C502" s="2">
        <v>92000748</v>
      </c>
      <c r="D502" s="2" t="s">
        <v>927</v>
      </c>
      <c r="E502" s="2" t="s">
        <v>2306</v>
      </c>
      <c r="F502" s="2" t="s">
        <v>640</v>
      </c>
      <c r="G502" s="2" t="s">
        <v>2307</v>
      </c>
      <c r="H502" s="2" t="s">
        <v>1458</v>
      </c>
      <c r="I502" s="3" t="str">
        <f t="shared" si="0"/>
        <v>https://dto.kemkes.go.id/kfacode/93001390</v>
      </c>
      <c r="J502" s="34" t="s">
        <v>3768</v>
      </c>
      <c r="K502" t="str">
        <f t="shared" si="8"/>
        <v>insert into mkatalog_kfa93 (kode, uraian, kode_92, uraian_92, nama_dagang, satuan_kecil, sediaan, golongan, url, userid_updt, sysdate_updt) values ('93001390','Exemestane 25 mg Tablet Salut Gula (AROMASIN)','92000748','Exemestane 25 mg Tablet Salut Gula','AROMASIN','Tablet','Tablet Salut Gula','Obat Keras','https://dto.kemkes.go.id/kfacode/93001390',0,'2023-05-01');</v>
      </c>
    </row>
    <row r="503" spans="1:11" ht="15.75" customHeight="1">
      <c r="A503" s="2">
        <v>93000992</v>
      </c>
      <c r="B503" s="2" t="s">
        <v>2308</v>
      </c>
      <c r="C503" s="2">
        <v>92000675</v>
      </c>
      <c r="D503" s="2" t="s">
        <v>928</v>
      </c>
      <c r="E503" s="2" t="s">
        <v>2309</v>
      </c>
      <c r="F503" s="2" t="s">
        <v>649</v>
      </c>
      <c r="G503" s="2" t="s">
        <v>649</v>
      </c>
      <c r="H503" s="2" t="s">
        <v>1458</v>
      </c>
      <c r="I503" s="3" t="str">
        <f t="shared" si="0"/>
        <v>https://dto.kemkes.go.id/kfacode/93000992</v>
      </c>
      <c r="J503" s="34" t="s">
        <v>3768</v>
      </c>
      <c r="K503" t="str">
        <f t="shared" si="8"/>
        <v>insert into mkatalog_kfa93 (kode, uraian, kode_92, uraian_92, nama_dagang, satuan_kecil, sediaan, golongan, url, userid_updt, sysdate_updt) values ('93000992','Fenitoin / Phenytoin 100 mg Kapsul (CURELEPZ)','92000675','Fenitoin / Phenytoin 100 mg Kapsul','CURELEPZ','Kapsul','Kapsul','Obat Keras','https://dto.kemkes.go.id/kfacode/93000992',0,'2023-05-01');</v>
      </c>
    </row>
    <row r="504" spans="1:11" ht="15.75" customHeight="1">
      <c r="A504" s="2">
        <v>93000985</v>
      </c>
      <c r="B504" s="2" t="s">
        <v>2310</v>
      </c>
      <c r="C504" s="2">
        <v>92000675</v>
      </c>
      <c r="D504" s="2" t="s">
        <v>928</v>
      </c>
      <c r="E504" s="2" t="s">
        <v>2311</v>
      </c>
      <c r="F504" s="2" t="s">
        <v>649</v>
      </c>
      <c r="G504" s="2" t="s">
        <v>649</v>
      </c>
      <c r="H504" s="2" t="s">
        <v>1458</v>
      </c>
      <c r="I504" s="3" t="str">
        <f t="shared" si="0"/>
        <v>https://dto.kemkes.go.id/kfacode/93000985</v>
      </c>
      <c r="J504" s="34" t="s">
        <v>3768</v>
      </c>
      <c r="K504" t="str">
        <f t="shared" si="8"/>
        <v>insert into mkatalog_kfa93 (kode, uraian, kode_92, uraian_92, nama_dagang, satuan_kecil, sediaan, golongan, url, userid_updt, sysdate_updt) values ('93000985','Fenitoin / Phenytoin 100 mg Kapsul (DECATONA)','92000675','Fenitoin / Phenytoin 100 mg Kapsul','DECATONA','Kapsul','Kapsul','Obat Keras','https://dto.kemkes.go.id/kfacode/93000985',0,'2023-05-01');</v>
      </c>
    </row>
    <row r="505" spans="1:11" ht="15.75" customHeight="1">
      <c r="A505" s="2">
        <v>93000987</v>
      </c>
      <c r="B505" s="2" t="s">
        <v>2312</v>
      </c>
      <c r="C505" s="2">
        <v>92000675</v>
      </c>
      <c r="D505" s="2" t="s">
        <v>928</v>
      </c>
      <c r="E505" s="2" t="s">
        <v>2313</v>
      </c>
      <c r="F505" s="2" t="s">
        <v>649</v>
      </c>
      <c r="G505" s="2" t="s">
        <v>649</v>
      </c>
      <c r="H505" s="2" t="s">
        <v>1458</v>
      </c>
      <c r="I505" s="3" t="str">
        <f t="shared" si="0"/>
        <v>https://dto.kemkes.go.id/kfacode/93000987</v>
      </c>
      <c r="J505" s="34" t="s">
        <v>3768</v>
      </c>
      <c r="K505" t="str">
        <f t="shared" si="8"/>
        <v>insert into mkatalog_kfa93 (kode, uraian, kode_92, uraian_92, nama_dagang, satuan_kecil, sediaan, golongan, url, userid_updt, sysdate_updt) values ('93000987','Fenitoin / Phenytoin 100 mg Kapsul (DILANTIN)','92000675','Fenitoin / Phenytoin 100 mg Kapsul','DILANTIN','Kapsul','Kapsul','Obat Keras','https://dto.kemkes.go.id/kfacode/93000987',0,'2023-05-01');</v>
      </c>
    </row>
    <row r="506" spans="1:11" ht="15.75" customHeight="1">
      <c r="A506" s="2">
        <v>93000983</v>
      </c>
      <c r="B506" s="2" t="s">
        <v>2314</v>
      </c>
      <c r="C506" s="2">
        <v>92000675</v>
      </c>
      <c r="D506" s="2" t="s">
        <v>928</v>
      </c>
      <c r="E506" s="2" t="s">
        <v>2315</v>
      </c>
      <c r="F506" s="2" t="s">
        <v>649</v>
      </c>
      <c r="G506" s="2" t="s">
        <v>649</v>
      </c>
      <c r="H506" s="2" t="s">
        <v>1458</v>
      </c>
      <c r="I506" s="3" t="str">
        <f t="shared" si="0"/>
        <v>https://dto.kemkes.go.id/kfacode/93000983</v>
      </c>
      <c r="J506" s="34" t="s">
        <v>3768</v>
      </c>
      <c r="K506" t="str">
        <f t="shared" si="8"/>
        <v>insert into mkatalog_kfa93 (kode, uraian, kode_92, uraian_92, nama_dagang, satuan_kecil, sediaan, golongan, url, userid_updt, sysdate_updt) values ('93000983','Fenitoin / Phenytoin 100 mg Kapsul (ETERCON PHARMA - Indonesia - -)','92000675','Fenitoin / Phenytoin 100 mg Kapsul','PHENYTOIN SODIUM','Kapsul','Kapsul','Obat Keras','https://dto.kemkes.go.id/kfacode/93000983',0,'2023-05-01');</v>
      </c>
    </row>
    <row r="507" spans="1:11" ht="15.75" customHeight="1">
      <c r="A507" s="2">
        <v>93000991</v>
      </c>
      <c r="B507" s="2" t="s">
        <v>2316</v>
      </c>
      <c r="C507" s="2">
        <v>92000675</v>
      </c>
      <c r="D507" s="2" t="s">
        <v>928</v>
      </c>
      <c r="E507" s="2" t="s">
        <v>2315</v>
      </c>
      <c r="F507" s="2" t="s">
        <v>649</v>
      </c>
      <c r="G507" s="2" t="s">
        <v>649</v>
      </c>
      <c r="H507" s="2" t="s">
        <v>1458</v>
      </c>
      <c r="I507" s="3" t="str">
        <f t="shared" si="0"/>
        <v>https://dto.kemkes.go.id/kfacode/93000991</v>
      </c>
      <c r="J507" s="34" t="s">
        <v>3768</v>
      </c>
      <c r="K507" t="str">
        <f t="shared" si="8"/>
        <v>insert into mkatalog_kfa93 (kode, uraian, kode_92, uraian_92, nama_dagang, satuan_kecil, sediaan, golongan, url, userid_updt, sysdate_updt) values ('93000991','Fenitoin / Phenytoin 100 mg Kapsul (IKAPHARMINDO PUTRAMAS - -)','92000675','Fenitoin / Phenytoin 100 mg Kapsul','PHENYTOIN SODIUM','Kapsul','Kapsul','Obat Keras','https://dto.kemkes.go.id/kfacode/93000991',0,'2023-05-01');</v>
      </c>
    </row>
    <row r="508" spans="1:11" ht="15.75" customHeight="1">
      <c r="A508" s="2">
        <v>93000994</v>
      </c>
      <c r="B508" s="2" t="s">
        <v>2317</v>
      </c>
      <c r="C508" s="2">
        <v>92000675</v>
      </c>
      <c r="D508" s="2" t="s">
        <v>928</v>
      </c>
      <c r="E508" s="2" t="s">
        <v>2318</v>
      </c>
      <c r="F508" s="2" t="s">
        <v>649</v>
      </c>
      <c r="G508" s="2" t="s">
        <v>649</v>
      </c>
      <c r="H508" s="2" t="s">
        <v>1458</v>
      </c>
      <c r="I508" s="3" t="str">
        <f t="shared" si="0"/>
        <v>https://dto.kemkes.go.id/kfacode/93000994</v>
      </c>
      <c r="J508" s="34" t="s">
        <v>3768</v>
      </c>
      <c r="K508" t="str">
        <f t="shared" si="8"/>
        <v>insert into mkatalog_kfa93 (kode, uraian, kode_92, uraian_92, nama_dagang, satuan_kecil, sediaan, golongan, url, userid_updt, sysdate_updt) values ('93000994','Fenitoin / Phenytoin 100 mg Kapsul (IKAPHEN)','92000675','Fenitoin / Phenytoin 100 mg Kapsul','IKAPHEN','Kapsul','Kapsul','Obat Keras','https://dto.kemkes.go.id/kfacode/93000994',0,'2023-05-01');</v>
      </c>
    </row>
    <row r="509" spans="1:11" ht="15.75" customHeight="1">
      <c r="A509" s="2">
        <v>93000988</v>
      </c>
      <c r="B509" s="2" t="s">
        <v>2319</v>
      </c>
      <c r="C509" s="2">
        <v>92000675</v>
      </c>
      <c r="D509" s="2" t="s">
        <v>928</v>
      </c>
      <c r="E509" s="2" t="s">
        <v>2320</v>
      </c>
      <c r="F509" s="2" t="s">
        <v>649</v>
      </c>
      <c r="G509" s="2" t="s">
        <v>649</v>
      </c>
      <c r="H509" s="2" t="s">
        <v>1458</v>
      </c>
      <c r="I509" s="3" t="str">
        <f t="shared" si="0"/>
        <v>https://dto.kemkes.go.id/kfacode/93000988</v>
      </c>
      <c r="J509" s="34" t="s">
        <v>3768</v>
      </c>
      <c r="K509" t="str">
        <f t="shared" si="8"/>
        <v>insert into mkatalog_kfa93 (kode, uraian, kode_92, uraian_92, nama_dagang, satuan_kecil, sediaan, golongan, url, userid_updt, sysdate_updt) values ('93000988','Fenitoin / Phenytoin 100 mg Kapsul (KUTOIN)','92000675','Fenitoin / Phenytoin 100 mg Kapsul','KUTOIN','Kapsul','Kapsul','Obat Keras','https://dto.kemkes.go.id/kfacode/93000988',0,'2023-05-01');</v>
      </c>
    </row>
    <row r="510" spans="1:11" ht="15.75" customHeight="1">
      <c r="A510" s="2">
        <v>93000332</v>
      </c>
      <c r="B510" s="2" t="s">
        <v>2321</v>
      </c>
      <c r="C510" s="2">
        <v>92000260</v>
      </c>
      <c r="D510" s="2" t="s">
        <v>929</v>
      </c>
      <c r="E510" s="2" t="s">
        <v>2322</v>
      </c>
      <c r="F510" s="2" t="s">
        <v>649</v>
      </c>
      <c r="G510" s="2" t="s">
        <v>649</v>
      </c>
      <c r="H510" s="2" t="s">
        <v>1458</v>
      </c>
      <c r="I510" s="3" t="str">
        <f t="shared" si="0"/>
        <v>https://dto.kemkes.go.id/kfacode/93000332</v>
      </c>
      <c r="J510" s="34" t="s">
        <v>3768</v>
      </c>
      <c r="K510" t="str">
        <f t="shared" si="8"/>
        <v>insert into mkatalog_kfa93 (kode, uraian, kode_92, uraian_92, nama_dagang, satuan_kecil, sediaan, golongan, url, userid_updt, sysdate_updt) values ('93000332','Fenofibrate 100 mg Kapsul (DEXA MEDICA)','92000260','Fenofibrate 100 mg Kapsul','FENOFIBRATE','Kapsul','Kapsul','Obat Keras','https://dto.kemkes.go.id/kfacode/93000332',0,'2023-05-01');</v>
      </c>
    </row>
    <row r="511" spans="1:11" ht="15.75" customHeight="1">
      <c r="A511" s="2">
        <v>93001488</v>
      </c>
      <c r="B511" s="2" t="s">
        <v>2323</v>
      </c>
      <c r="C511" s="2">
        <v>92000261</v>
      </c>
      <c r="D511" s="2" t="s">
        <v>930</v>
      </c>
      <c r="E511" s="2" t="s">
        <v>2322</v>
      </c>
      <c r="F511" s="2" t="s">
        <v>649</v>
      </c>
      <c r="G511" s="2" t="s">
        <v>649</v>
      </c>
      <c r="H511" s="2" t="s">
        <v>1458</v>
      </c>
      <c r="I511" s="3" t="str">
        <f t="shared" si="0"/>
        <v>https://dto.kemkes.go.id/kfacode/93001488</v>
      </c>
      <c r="J511" s="34" t="s">
        <v>3768</v>
      </c>
      <c r="K511" t="str">
        <f t="shared" si="8"/>
        <v>insert into mkatalog_kfa93 (kode, uraian, kode_92, uraian_92, nama_dagang, satuan_kecil, sediaan, golongan, url, userid_updt, sysdate_updt) values ('93001488','Fenofibrate 300 mg Kapsul (DEXA MEDICA)','92000261','Fenofibrate 300 mg Kapsul','FENOFIBRATE','Kapsul','Kapsul','Obat Keras','https://dto.kemkes.go.id/kfacode/93001488',0,'2023-05-01');</v>
      </c>
    </row>
    <row r="512" spans="1:11" ht="15.75" customHeight="1">
      <c r="A512" s="2">
        <v>93001493</v>
      </c>
      <c r="B512" s="2" t="s">
        <v>2324</v>
      </c>
      <c r="C512" s="2">
        <v>92000261</v>
      </c>
      <c r="D512" s="2" t="s">
        <v>930</v>
      </c>
      <c r="E512" s="2" t="s">
        <v>2325</v>
      </c>
      <c r="F512" s="2" t="s">
        <v>649</v>
      </c>
      <c r="G512" s="2" t="s">
        <v>649</v>
      </c>
      <c r="H512" s="2" t="s">
        <v>1458</v>
      </c>
      <c r="I512" s="3" t="str">
        <f t="shared" si="0"/>
        <v>https://dto.kemkes.go.id/kfacode/93001493</v>
      </c>
      <c r="J512" s="34" t="s">
        <v>3768</v>
      </c>
      <c r="K512" t="str">
        <f t="shared" si="8"/>
        <v>insert into mkatalog_kfa93 (kode, uraian, kode_92, uraian_92, nama_dagang, satuan_kecil, sediaan, golongan, url, userid_updt, sysdate_updt) values ('93001493','Fenofibrate 300 mg Kapsul (FIBESCO)','92000261','Fenofibrate 300 mg Kapsul','FIBESCO','Kapsul','Kapsul','Obat Keras','https://dto.kemkes.go.id/kfacode/93001493',0,'2023-05-01');</v>
      </c>
    </row>
    <row r="513" spans="1:11" ht="15.75" customHeight="1">
      <c r="A513" s="2">
        <v>93001492</v>
      </c>
      <c r="B513" s="2" t="s">
        <v>2326</v>
      </c>
      <c r="C513" s="2">
        <v>92000261</v>
      </c>
      <c r="D513" s="2" t="s">
        <v>930</v>
      </c>
      <c r="E513" s="2" t="s">
        <v>2327</v>
      </c>
      <c r="F513" s="2" t="s">
        <v>649</v>
      </c>
      <c r="G513" s="2" t="s">
        <v>649</v>
      </c>
      <c r="H513" s="2" t="s">
        <v>1458</v>
      </c>
      <c r="I513" s="3" t="str">
        <f t="shared" si="0"/>
        <v>https://dto.kemkes.go.id/kfacode/93001492</v>
      </c>
      <c r="J513" s="34" t="s">
        <v>3768</v>
      </c>
      <c r="K513" t="str">
        <f t="shared" si="8"/>
        <v>insert into mkatalog_kfa93 (kode, uraian, kode_92, uraian_92, nama_dagang, satuan_kecil, sediaan, golongan, url, userid_updt, sysdate_updt) values ('93001492','Fenofibrate 300 mg Kapsul (FIBRAMED 300)','92000261','Fenofibrate 300 mg Kapsul','FIBRAMED 300','Kapsul','Kapsul','Obat Keras','https://dto.kemkes.go.id/kfacode/93001492',0,'2023-05-01');</v>
      </c>
    </row>
    <row r="514" spans="1:11" ht="15.75" customHeight="1">
      <c r="A514" s="2">
        <v>93001490</v>
      </c>
      <c r="B514" s="2" t="s">
        <v>2328</v>
      </c>
      <c r="C514" s="2">
        <v>92000261</v>
      </c>
      <c r="D514" s="2" t="s">
        <v>930</v>
      </c>
      <c r="E514" s="2" t="s">
        <v>2329</v>
      </c>
      <c r="F514" s="2" t="s">
        <v>649</v>
      </c>
      <c r="G514" s="2" t="s">
        <v>649</v>
      </c>
      <c r="H514" s="2" t="s">
        <v>1458</v>
      </c>
      <c r="I514" s="3" t="str">
        <f t="shared" si="0"/>
        <v>https://dto.kemkes.go.id/kfacode/93001490</v>
      </c>
      <c r="J514" s="34" t="s">
        <v>3768</v>
      </c>
      <c r="K514" t="str">
        <f t="shared" si="8"/>
        <v>insert into mkatalog_kfa93 (kode, uraian, kode_92, uraian_92, nama_dagang, satuan_kecil, sediaan, golongan, url, userid_updt, sysdate_updt) values ('93001490','Fenofibrate 300 mg Kapsul (HICHOLFEN 300)','92000261','Fenofibrate 300 mg Kapsul','HICHOLFEN','Kapsul','Kapsul','Obat Keras','https://dto.kemkes.go.id/kfacode/93001490',0,'2023-05-01');</v>
      </c>
    </row>
    <row r="515" spans="1:11" ht="15.75" customHeight="1">
      <c r="A515" s="2">
        <v>93001491</v>
      </c>
      <c r="B515" s="2" t="s">
        <v>2330</v>
      </c>
      <c r="C515" s="2">
        <v>92000261</v>
      </c>
      <c r="D515" s="2" t="s">
        <v>930</v>
      </c>
      <c r="E515" s="2" t="s">
        <v>2331</v>
      </c>
      <c r="F515" s="2" t="s">
        <v>649</v>
      </c>
      <c r="G515" s="2" t="s">
        <v>649</v>
      </c>
      <c r="H515" s="2" t="s">
        <v>1458</v>
      </c>
      <c r="I515" s="3" t="str">
        <f t="shared" si="0"/>
        <v>https://dto.kemkes.go.id/kfacode/93001491</v>
      </c>
      <c r="J515" s="34" t="s">
        <v>3768</v>
      </c>
      <c r="K515" t="str">
        <f t="shared" ref="K515:K578" si="9">CONCATENATE(J515,"('",A515,"','",B515,"','",C515,"','",D515,"','",E515,"','",F515,"','",G515,"','",H515,"','",I515,"',0,'2023-05-01');")</f>
        <v>insert into mkatalog_kfa93 (kode, uraian, kode_92, uraian_92, nama_dagang, satuan_kecil, sediaan, golongan, url, userid_updt, sysdate_updt) values ('93001491','Fenofibrate 300 mg Kapsul (LIPANTHYL 300)','92000261','Fenofibrate 300 mg Kapsul','LIPANTHYL 300','Kapsul','Kapsul','Obat Keras','https://dto.kemkes.go.id/kfacode/93001491',0,'2023-05-01');</v>
      </c>
    </row>
    <row r="516" spans="1:11" ht="15.75" customHeight="1">
      <c r="A516" s="2">
        <v>93001489</v>
      </c>
      <c r="B516" s="2" t="s">
        <v>2332</v>
      </c>
      <c r="C516" s="2">
        <v>92000261</v>
      </c>
      <c r="D516" s="2" t="s">
        <v>930</v>
      </c>
      <c r="E516" s="2" t="s">
        <v>2322</v>
      </c>
      <c r="F516" s="2" t="s">
        <v>649</v>
      </c>
      <c r="G516" s="2" t="s">
        <v>649</v>
      </c>
      <c r="H516" s="2" t="s">
        <v>1458</v>
      </c>
      <c r="I516" s="3" t="str">
        <f t="shared" si="0"/>
        <v>https://dto.kemkes.go.id/kfacode/93001489</v>
      </c>
      <c r="J516" s="34" t="s">
        <v>3768</v>
      </c>
      <c r="K516" t="str">
        <f t="shared" si="9"/>
        <v>insert into mkatalog_kfa93 (kode, uraian, kode_92, uraian_92, nama_dagang, satuan_kecil, sediaan, golongan, url, userid_updt, sysdate_updt) values ('93001489','Fenofibrate 300 mg Kapsul (PROMEDRAHARDJO FARMASI INDUSTRI)','92000261','Fenofibrate 300 mg Kapsul','FENOFIBRATE','Kapsul','Kapsul','Obat Keras','https://dto.kemkes.go.id/kfacode/93001489',0,'2023-05-01');</v>
      </c>
    </row>
    <row r="517" spans="1:11" ht="15.75" customHeight="1">
      <c r="A517" s="2">
        <v>93001495</v>
      </c>
      <c r="B517" s="2" t="s">
        <v>2333</v>
      </c>
      <c r="C517" s="2">
        <v>92000261</v>
      </c>
      <c r="D517" s="2" t="s">
        <v>930</v>
      </c>
      <c r="E517" s="2" t="s">
        <v>2334</v>
      </c>
      <c r="F517" s="2" t="s">
        <v>649</v>
      </c>
      <c r="G517" s="2" t="s">
        <v>649</v>
      </c>
      <c r="H517" s="2" t="s">
        <v>1458</v>
      </c>
      <c r="I517" s="3" t="str">
        <f t="shared" si="0"/>
        <v>https://dto.kemkes.go.id/kfacode/93001495</v>
      </c>
      <c r="J517" s="34" t="s">
        <v>3768</v>
      </c>
      <c r="K517" t="str">
        <f t="shared" si="9"/>
        <v>insert into mkatalog_kfa93 (kode, uraian, kode_92, uraian_92, nama_dagang, satuan_kecil, sediaan, golongan, url, userid_updt, sysdate_updt) values ('93001495','Fenofibrate 300 mg Kapsul (TROLIP 300)','92000261','Fenofibrate 300 mg Kapsul','TROLIP','Kapsul','Kapsul','Obat Keras','https://dto.kemkes.go.id/kfacode/93001495',0,'2023-05-01');</v>
      </c>
    </row>
    <row r="518" spans="1:11" ht="15.75" customHeight="1">
      <c r="A518" s="2">
        <v>93001494</v>
      </c>
      <c r="B518" s="2" t="s">
        <v>2335</v>
      </c>
      <c r="C518" s="2">
        <v>92000261</v>
      </c>
      <c r="D518" s="2" t="s">
        <v>930</v>
      </c>
      <c r="E518" s="2" t="s">
        <v>2336</v>
      </c>
      <c r="F518" s="2" t="s">
        <v>649</v>
      </c>
      <c r="G518" s="2" t="s">
        <v>649</v>
      </c>
      <c r="H518" s="2" t="s">
        <v>1458</v>
      </c>
      <c r="I518" s="3" t="str">
        <f t="shared" si="0"/>
        <v>https://dto.kemkes.go.id/kfacode/93001494</v>
      </c>
      <c r="J518" s="34" t="s">
        <v>3768</v>
      </c>
      <c r="K518" t="str">
        <f t="shared" si="9"/>
        <v>insert into mkatalog_kfa93 (kode, uraian, kode_92, uraian_92, nama_dagang, satuan_kecil, sediaan, golongan, url, userid_updt, sysdate_updt) values ('93001494','Fenofibrate 300 mg Kapsul (YOSENOB 300)','92000261','Fenofibrate 300 mg Kapsul','YOSENOB 300','Kapsul','Kapsul','Obat Keras','https://dto.kemkes.go.id/kfacode/93001494',0,'2023-05-01');</v>
      </c>
    </row>
    <row r="519" spans="1:11" ht="15.75" customHeight="1">
      <c r="A519" s="2">
        <v>93001631</v>
      </c>
      <c r="B519" s="2" t="s">
        <v>2337</v>
      </c>
      <c r="C519" s="2">
        <v>92000931</v>
      </c>
      <c r="D519" s="2" t="s">
        <v>931</v>
      </c>
      <c r="E519" s="2" t="s">
        <v>2338</v>
      </c>
      <c r="F519" s="2" t="s">
        <v>932</v>
      </c>
      <c r="G519" s="2" t="s">
        <v>2339</v>
      </c>
      <c r="H519" s="2" t="s">
        <v>1458</v>
      </c>
      <c r="I519" s="3" t="str">
        <f t="shared" si="0"/>
        <v>https://dto.kemkes.go.id/kfacode/93001631</v>
      </c>
      <c r="J519" s="34" t="s">
        <v>3768</v>
      </c>
      <c r="K519" t="str">
        <f t="shared" si="9"/>
        <v>insert into mkatalog_kfa93 (kode, uraian, kode_92, uraian_92, nama_dagang, satuan_kecil, sediaan, golongan, url, userid_updt, sysdate_updt) values ('93001631','Fenoterol Hydrobromide 0,05 mg / Ipratropium Bromide 0,021 mg Aerosol (BERODUAL)','92000931','Fenoterol Hydrobromide 0,05 mg / Ipratropium Bromide 0,021 mg Aerosol','BERODUAL','Canister','Aerosol Metered Dose','Obat Keras','https://dto.kemkes.go.id/kfacode/93001631',0,'2023-05-01');</v>
      </c>
    </row>
    <row r="520" spans="1:11" ht="15.75" customHeight="1">
      <c r="A520" s="2">
        <v>93001532</v>
      </c>
      <c r="B520" s="2" t="s">
        <v>2340</v>
      </c>
      <c r="C520" s="2">
        <v>92000878</v>
      </c>
      <c r="D520" s="2" t="s">
        <v>933</v>
      </c>
      <c r="E520" s="2" t="s">
        <v>2341</v>
      </c>
      <c r="F520" s="2" t="s">
        <v>934</v>
      </c>
      <c r="G520" s="2" t="s">
        <v>2342</v>
      </c>
      <c r="H520" s="2" t="s">
        <v>1973</v>
      </c>
      <c r="I520" s="3" t="str">
        <f t="shared" si="0"/>
        <v>https://dto.kemkes.go.id/kfacode/93001532</v>
      </c>
      <c r="J520" s="34" t="s">
        <v>3768</v>
      </c>
      <c r="K520" t="str">
        <f t="shared" si="9"/>
        <v>insert into mkatalog_kfa93 (kode, uraian, kode_92, uraian_92, nama_dagang, satuan_kecil, sediaan, golongan, url, userid_updt, sysdate_updt) values ('93001532','Fentanyl 25 mcg / h Trandermal Patch (DUROGESIC)','92000878','Fentanyl 25 mcg / h Trandermal Patch','DUROGESIC 25 mcg/h','Pieces','Patch','Obat Narkotik','https://dto.kemkes.go.id/kfacode/93001532',0,'2023-05-01');</v>
      </c>
    </row>
    <row r="521" spans="1:11" ht="15.75" customHeight="1">
      <c r="A521" s="2">
        <v>93001567</v>
      </c>
      <c r="B521" s="2" t="s">
        <v>2343</v>
      </c>
      <c r="C521" s="2">
        <v>92000900</v>
      </c>
      <c r="D521" s="2" t="s">
        <v>935</v>
      </c>
      <c r="E521" s="2" t="s">
        <v>2344</v>
      </c>
      <c r="F521" s="2" t="s">
        <v>934</v>
      </c>
      <c r="G521" s="2" t="s">
        <v>2342</v>
      </c>
      <c r="H521" s="2" t="s">
        <v>1973</v>
      </c>
      <c r="I521" s="3" t="str">
        <f t="shared" si="0"/>
        <v>https://dto.kemkes.go.id/kfacode/93001567</v>
      </c>
      <c r="J521" s="34" t="s">
        <v>3768</v>
      </c>
      <c r="K521" t="str">
        <f t="shared" si="9"/>
        <v>insert into mkatalog_kfa93 (kode, uraian, kode_92, uraian_92, nama_dagang, satuan_kecil, sediaan, golongan, url, userid_updt, sysdate_updt) values ('93001567','Fentanyl 50 mcg / h Trandermal Patch (DUROGESIC)','92000900','Fentanyl 50 mcg / h Trandermal Patch','DUROGESIC 50 mcg/h','Pieces','Patch','Obat Narkotik','https://dto.kemkes.go.id/kfacode/93001567',0,'2023-05-01');</v>
      </c>
    </row>
    <row r="522" spans="1:11" ht="15.75" customHeight="1">
      <c r="A522" s="2">
        <v>93001031</v>
      </c>
      <c r="B522" s="2" t="s">
        <v>2345</v>
      </c>
      <c r="C522" s="2">
        <v>92000128</v>
      </c>
      <c r="D522" s="2" t="s">
        <v>936</v>
      </c>
      <c r="E522" s="2" t="s">
        <v>2346</v>
      </c>
      <c r="F522" s="2" t="s">
        <v>645</v>
      </c>
      <c r="G522" s="2" t="s">
        <v>1506</v>
      </c>
      <c r="H522" s="2" t="s">
        <v>1973</v>
      </c>
      <c r="I522" s="3" t="str">
        <f t="shared" si="0"/>
        <v>https://dto.kemkes.go.id/kfacode/93001031</v>
      </c>
      <c r="J522" s="34" t="s">
        <v>3768</v>
      </c>
      <c r="K522" t="str">
        <f t="shared" si="9"/>
        <v>insert into mkatalog_kfa93 (kode, uraian, kode_92, uraian_92, nama_dagang, satuan_kecil, sediaan, golongan, url, userid_updt, sysdate_updt) values ('93001031','Fentanyl Citrate 0,05 mg / mL Injeksi (MAHAKAM BETA FARMA, 10)','92000128','Fentanyl Citrate 0,05 mg / mL Injeksi','FENTANYL CITRATE','Ampul','Larutan Injeksi','Obat Narkotik','https://dto.kemkes.go.id/kfacode/93001031',0,'2023-05-01');</v>
      </c>
    </row>
    <row r="523" spans="1:11" ht="15.75" customHeight="1">
      <c r="A523" s="2">
        <v>93001033</v>
      </c>
      <c r="B523" s="2" t="s">
        <v>2347</v>
      </c>
      <c r="C523" s="2">
        <v>92000128</v>
      </c>
      <c r="D523" s="2" t="s">
        <v>936</v>
      </c>
      <c r="E523" s="2" t="s">
        <v>2346</v>
      </c>
      <c r="F523" s="2" t="s">
        <v>645</v>
      </c>
      <c r="G523" s="2" t="s">
        <v>1506</v>
      </c>
      <c r="H523" s="2" t="s">
        <v>1973</v>
      </c>
      <c r="I523" s="3" t="str">
        <f t="shared" si="0"/>
        <v>https://dto.kemkes.go.id/kfacode/93001033</v>
      </c>
      <c r="J523" s="34" t="s">
        <v>3768</v>
      </c>
      <c r="K523" t="str">
        <f t="shared" si="9"/>
        <v>insert into mkatalog_kfa93 (kode, uraian, kode_92, uraian_92, nama_dagang, satuan_kecil, sediaan, golongan, url, userid_updt, sysdate_updt) values ('93001033','Fentanyl Citrate 0,05 mg / mL Injeksi (MAHAKAM BETA FARMA, 2)','92000128','Fentanyl Citrate 0,05 mg / mL Injeksi','FENTANYL CITRATE','Ampul','Larutan Injeksi','Obat Narkotik','https://dto.kemkes.go.id/kfacode/93001033',0,'2023-05-01');</v>
      </c>
    </row>
    <row r="524" spans="1:11" ht="15.75" customHeight="1">
      <c r="A524" s="2">
        <v>93001004</v>
      </c>
      <c r="B524" s="2" t="s">
        <v>2348</v>
      </c>
      <c r="C524" s="2">
        <v>92000700</v>
      </c>
      <c r="D524" s="2" t="s">
        <v>937</v>
      </c>
      <c r="E524" s="2" t="s">
        <v>2349</v>
      </c>
      <c r="F524" s="2" t="s">
        <v>640</v>
      </c>
      <c r="G524" s="2" t="s">
        <v>1457</v>
      </c>
      <c r="H524" s="2" t="s">
        <v>1458</v>
      </c>
      <c r="I524" s="3" t="str">
        <f t="shared" si="0"/>
        <v>https://dto.kemkes.go.id/kfacode/93001004</v>
      </c>
      <c r="J524" s="34" t="s">
        <v>3768</v>
      </c>
      <c r="K524" t="str">
        <f t="shared" si="9"/>
        <v>insert into mkatalog_kfa93 (kode, uraian, kode_92, uraian_92, nama_dagang, satuan_kecil, sediaan, golongan, url, userid_updt, sysdate_updt) values ('93001004','Ferrous Fumarate 180 mg / Folic Acid 0,4 mg Tablet Salut Gula (ORYZA FARMA)','92000700','Ferrous Fumarate 180 mg / Folic Acid 0,4 mg Tablet Salut Gula','TABLET TAMBAH DARAH','Tablet','Tablet Salut Selaput','Obat Keras','https://dto.kemkes.go.id/kfacode/93001004',0,'2023-05-01');</v>
      </c>
    </row>
    <row r="525" spans="1:11" ht="15.75" customHeight="1">
      <c r="A525" s="2">
        <v>93001468</v>
      </c>
      <c r="B525" s="2" t="s">
        <v>2350</v>
      </c>
      <c r="C525" s="2">
        <v>92000653</v>
      </c>
      <c r="D525" s="2" t="s">
        <v>938</v>
      </c>
      <c r="E525" s="2" t="s">
        <v>2349</v>
      </c>
      <c r="F525" s="2" t="s">
        <v>640</v>
      </c>
      <c r="G525" s="2" t="s">
        <v>2307</v>
      </c>
      <c r="H525" s="2" t="s">
        <v>1525</v>
      </c>
      <c r="I525" s="3" t="str">
        <f t="shared" si="0"/>
        <v>https://dto.kemkes.go.id/kfacode/93001468</v>
      </c>
      <c r="J525" s="34" t="s">
        <v>3768</v>
      </c>
      <c r="K525" t="str">
        <f t="shared" si="9"/>
        <v>insert into mkatalog_kfa93 (kode, uraian, kode_92, uraian_92, nama_dagang, satuan_kecil, sediaan, golongan, url, userid_updt, sysdate_updt) values ('93001468','Ferrous Fumarate 60 mg / Folic Acid 0,4 mg Tablet Salut Gula (ERLANGGA EDI LABORATORIES (ERELA))','92000653','Ferrous Fumarate 60 mg / Folic Acid 0,4 mg Tablet Salut Gula','TABLET TAMBAH DARAH','Tablet','Tablet Salut Gula','Obat Bebas','https://dto.kemkes.go.id/kfacode/93001468',0,'2023-05-01');</v>
      </c>
    </row>
    <row r="526" spans="1:11" ht="15.75" customHeight="1">
      <c r="A526" s="2">
        <v>93001054</v>
      </c>
      <c r="B526" s="2" t="s">
        <v>2351</v>
      </c>
      <c r="C526" s="2">
        <v>92000653</v>
      </c>
      <c r="D526" s="2" t="s">
        <v>938</v>
      </c>
      <c r="E526" s="2" t="s">
        <v>2349</v>
      </c>
      <c r="F526" s="2" t="s">
        <v>640</v>
      </c>
      <c r="G526" s="2" t="s">
        <v>2307</v>
      </c>
      <c r="H526" s="2" t="s">
        <v>1525</v>
      </c>
      <c r="I526" s="3" t="str">
        <f t="shared" si="0"/>
        <v>https://dto.kemkes.go.id/kfacode/93001054</v>
      </c>
      <c r="J526" s="34" t="s">
        <v>3768</v>
      </c>
      <c r="K526" t="str">
        <f t="shared" si="9"/>
        <v>insert into mkatalog_kfa93 (kode, uraian, kode_92, uraian_92, nama_dagang, satuan_kecil, sediaan, golongan, url, userid_updt, sysdate_updt) values ('93001054','Ferrous Fumarate 60 mg / Folic Acid 0,4 mg Tablet Salut Gula (INDOFARMA)','92000653','Ferrous Fumarate 60 mg / Folic Acid 0,4 mg Tablet Salut Gula','TABLET TAMBAH DARAH','Tablet','Tablet Salut Gula','Obat Bebas','https://dto.kemkes.go.id/kfacode/93001054',0,'2023-05-01');</v>
      </c>
    </row>
    <row r="527" spans="1:11" ht="15.75" customHeight="1">
      <c r="A527" s="2">
        <v>93000935</v>
      </c>
      <c r="B527" s="2" t="s">
        <v>2352</v>
      </c>
      <c r="C527" s="2">
        <v>92000653</v>
      </c>
      <c r="D527" s="2" t="s">
        <v>938</v>
      </c>
      <c r="E527" s="2" t="s">
        <v>2353</v>
      </c>
      <c r="F527" s="2" t="s">
        <v>640</v>
      </c>
      <c r="G527" s="2" t="s">
        <v>2307</v>
      </c>
      <c r="H527" s="2" t="s">
        <v>1525</v>
      </c>
      <c r="I527" s="3" t="str">
        <f t="shared" si="0"/>
        <v>https://dto.kemkes.go.id/kfacode/93000935</v>
      </c>
      <c r="J527" s="34" t="s">
        <v>3768</v>
      </c>
      <c r="K527" t="str">
        <f t="shared" si="9"/>
        <v>insert into mkatalog_kfa93 (kode, uraian, kode_92, uraian_92, nama_dagang, satuan_kecil, sediaan, golongan, url, userid_updt, sysdate_updt) values ('93000935','Ferrous Fumarate 60 mg / Folic Acid 0,4 mg Tablet Salut Gula (KIMIA FARMA)','92000653','Ferrous Fumarate 60 mg / Folic Acid 0,4 mg Tablet Salut Gula','TABLET TAMBAH DARAH NEO','Tablet','Tablet Salut Gula','Obat Bebas','https://dto.kemkes.go.id/kfacode/93000935',0,'2023-05-01');</v>
      </c>
    </row>
    <row r="528" spans="1:11" ht="15.75" customHeight="1">
      <c r="A528" s="2">
        <v>93000936</v>
      </c>
      <c r="B528" s="2" t="s">
        <v>2354</v>
      </c>
      <c r="C528" s="2">
        <v>92000653</v>
      </c>
      <c r="D528" s="2" t="s">
        <v>938</v>
      </c>
      <c r="E528" s="2" t="s">
        <v>2349</v>
      </c>
      <c r="F528" s="2" t="s">
        <v>640</v>
      </c>
      <c r="G528" s="2" t="s">
        <v>2307</v>
      </c>
      <c r="H528" s="2" t="s">
        <v>1525</v>
      </c>
      <c r="I528" s="3" t="str">
        <f t="shared" si="0"/>
        <v>https://dto.kemkes.go.id/kfacode/93000936</v>
      </c>
      <c r="J528" s="34" t="s">
        <v>3768</v>
      </c>
      <c r="K528" t="str">
        <f t="shared" si="9"/>
        <v>insert into mkatalog_kfa93 (kode, uraian, kode_92, uraian_92, nama_dagang, satuan_kecil, sediaan, golongan, url, userid_updt, sysdate_updt) values ('93000936','Ferrous Fumarate 60 mg / Folic Acid 0,4 mg Tablet Salut Gula (MERSIFARMA TIRMAKU MERCUSANA)','92000653','Ferrous Fumarate 60 mg / Folic Acid 0,4 mg Tablet Salut Gula','TABLET TAMBAH DARAH','Tablet','Tablet Salut Gula','Obat Bebas','https://dto.kemkes.go.id/kfacode/93000936',0,'2023-05-01');</v>
      </c>
    </row>
    <row r="529" spans="1:11" ht="15.75" customHeight="1">
      <c r="A529" s="2">
        <v>93000937</v>
      </c>
      <c r="B529" s="2" t="s">
        <v>2355</v>
      </c>
      <c r="C529" s="2">
        <v>92000653</v>
      </c>
      <c r="D529" s="2" t="s">
        <v>938</v>
      </c>
      <c r="E529" s="2" t="s">
        <v>2349</v>
      </c>
      <c r="F529" s="2" t="s">
        <v>640</v>
      </c>
      <c r="G529" s="2" t="s">
        <v>2307</v>
      </c>
      <c r="H529" s="2" t="s">
        <v>1525</v>
      </c>
      <c r="I529" s="3" t="str">
        <f t="shared" si="0"/>
        <v>https://dto.kemkes.go.id/kfacode/93000937</v>
      </c>
      <c r="J529" s="34" t="s">
        <v>3768</v>
      </c>
      <c r="K529" t="str">
        <f t="shared" si="9"/>
        <v>insert into mkatalog_kfa93 (kode, uraian, kode_92, uraian_92, nama_dagang, satuan_kecil, sediaan, golongan, url, userid_updt, sysdate_updt) values ('93000937','Ferrous Fumarate 60 mg / Folic Acid 0,4 mg Tablet Salut Gula (PHAPROS Tbk)','92000653','Ferrous Fumarate 60 mg / Folic Acid 0,4 mg Tablet Salut Gula','TABLET TAMBAH DARAH','Tablet','Tablet Salut Gula','Obat Bebas','https://dto.kemkes.go.id/kfacode/93000937',0,'2023-05-01');</v>
      </c>
    </row>
    <row r="530" spans="1:11" ht="15.75" customHeight="1">
      <c r="A530" s="2">
        <v>93001289</v>
      </c>
      <c r="B530" s="2" t="s">
        <v>2356</v>
      </c>
      <c r="C530" s="2">
        <v>92000157</v>
      </c>
      <c r="D530" s="2" t="s">
        <v>939</v>
      </c>
      <c r="E530" s="2" t="s">
        <v>2357</v>
      </c>
      <c r="F530" s="2" t="s">
        <v>899</v>
      </c>
      <c r="G530" s="2" t="s">
        <v>1506</v>
      </c>
      <c r="H530" s="2" t="s">
        <v>1458</v>
      </c>
      <c r="I530" s="3" t="str">
        <f t="shared" si="0"/>
        <v>https://dto.kemkes.go.id/kfacode/93001289</v>
      </c>
      <c r="J530" s="34" t="s">
        <v>3768</v>
      </c>
      <c r="K530" t="str">
        <f t="shared" si="9"/>
        <v>insert into mkatalog_kfa93 (kode, uraian, kode_92, uraian_92, nama_dagang, satuan_kecil, sediaan, golongan, url, userid_updt, sysdate_updt) values ('93001289','Filgastrim 300 ug / mL Cairan Injeksi (FILGIA)','92000157','Filgastrim 300 ug / mL Cairan Injeksi','FILGIA','Prefilled Syringe','Larutan Injeksi','Obat Keras','https://dto.kemkes.go.id/kfacode/93001289',0,'2023-05-01');</v>
      </c>
    </row>
    <row r="531" spans="1:11" ht="15.75" customHeight="1">
      <c r="A531" s="2">
        <v>93000727</v>
      </c>
      <c r="B531" s="2" t="s">
        <v>2358</v>
      </c>
      <c r="C531" s="2">
        <v>92000157</v>
      </c>
      <c r="D531" s="2" t="s">
        <v>939</v>
      </c>
      <c r="E531" s="2" t="s">
        <v>2359</v>
      </c>
      <c r="F531" s="2" t="s">
        <v>899</v>
      </c>
      <c r="G531" s="2" t="s">
        <v>1506</v>
      </c>
      <c r="H531" s="2" t="s">
        <v>1458</v>
      </c>
      <c r="I531" s="3" t="str">
        <f t="shared" si="0"/>
        <v>https://dto.kemkes.go.id/kfacode/93000727</v>
      </c>
      <c r="J531" s="34" t="s">
        <v>3768</v>
      </c>
      <c r="K531" t="str">
        <f t="shared" si="9"/>
        <v>insert into mkatalog_kfa93 (kode, uraian, kode_92, uraian_92, nama_dagang, satuan_kecil, sediaan, golongan, url, userid_updt, sysdate_updt) values ('93000727','Filgastrim 300 ug / mL Cairan Injeksi (LEUCOGEN)','92000157','Filgastrim 300 ug / mL Cairan Injeksi','LEUCOGEN','Prefilled Syringe','Larutan Injeksi','Obat Keras','https://dto.kemkes.go.id/kfacode/93000727',0,'2023-05-01');</v>
      </c>
    </row>
    <row r="532" spans="1:11" ht="15.75" customHeight="1">
      <c r="A532" s="2">
        <v>93000154</v>
      </c>
      <c r="B532" s="2" t="s">
        <v>2360</v>
      </c>
      <c r="C532" s="2">
        <v>92000157</v>
      </c>
      <c r="D532" s="2" t="s">
        <v>939</v>
      </c>
      <c r="E532" s="2" t="s">
        <v>2361</v>
      </c>
      <c r="F532" s="2" t="s">
        <v>899</v>
      </c>
      <c r="G532" s="2" t="s">
        <v>1506</v>
      </c>
      <c r="H532" s="2" t="s">
        <v>1458</v>
      </c>
      <c r="I532" s="3" t="str">
        <f t="shared" si="0"/>
        <v>https://dto.kemkes.go.id/kfacode/93000154</v>
      </c>
      <c r="J532" s="34" t="s">
        <v>3768</v>
      </c>
      <c r="K532" t="str">
        <f t="shared" si="9"/>
        <v>insert into mkatalog_kfa93 (kode, uraian, kode_92, uraian_92, nama_dagang, satuan_kecil, sediaan, golongan, url, userid_updt, sysdate_updt) values ('93000154','Filgastrim 300 ug / mL Cairan Injeksi (NEUKINE)','92000157','Filgastrim 300 ug / mL Cairan Injeksi','NEUKINE','Prefilled Syringe','Larutan Injeksi','Obat Keras','https://dto.kemkes.go.id/kfacode/93000154',0,'2023-05-01');</v>
      </c>
    </row>
    <row r="533" spans="1:11" ht="15.75" customHeight="1">
      <c r="A533" s="2">
        <v>93000492</v>
      </c>
      <c r="B533" s="2" t="s">
        <v>2362</v>
      </c>
      <c r="C533" s="2">
        <v>92000399</v>
      </c>
      <c r="D533" s="2" t="s">
        <v>940</v>
      </c>
      <c r="E533" s="2" t="s">
        <v>2359</v>
      </c>
      <c r="F533" s="2" t="s">
        <v>899</v>
      </c>
      <c r="G533" s="2" t="s">
        <v>1506</v>
      </c>
      <c r="H533" s="2" t="s">
        <v>1458</v>
      </c>
      <c r="I533" s="3" t="str">
        <f t="shared" si="0"/>
        <v>https://dto.kemkes.go.id/kfacode/93000492</v>
      </c>
      <c r="J533" s="34" t="s">
        <v>3768</v>
      </c>
      <c r="K533" t="str">
        <f t="shared" si="9"/>
        <v>insert into mkatalog_kfa93 (kode, uraian, kode_92, uraian_92, nama_dagang, satuan_kecil, sediaan, golongan, url, userid_updt, sysdate_updt) values ('93000492','Filgrastim 300 ug/ml Cairan Injeksi (LEUCOGEN)','92000399','Filgrastim 300 ug/ml Cairan Injeksi','LEUCOGEN','Prefilled Syringe','Larutan Injeksi','Obat Keras','https://dto.kemkes.go.id/kfacode/93000492',0,'2023-05-01');</v>
      </c>
    </row>
    <row r="534" spans="1:11" ht="15.75" customHeight="1">
      <c r="A534" s="2">
        <v>93000496</v>
      </c>
      <c r="B534" s="2" t="s">
        <v>2363</v>
      </c>
      <c r="C534" s="2">
        <v>92000399</v>
      </c>
      <c r="D534" s="2" t="s">
        <v>940</v>
      </c>
      <c r="E534" s="2" t="s">
        <v>2361</v>
      </c>
      <c r="F534" s="2" t="s">
        <v>899</v>
      </c>
      <c r="G534" s="2" t="s">
        <v>1506</v>
      </c>
      <c r="H534" s="2" t="s">
        <v>1458</v>
      </c>
      <c r="I534" s="3" t="str">
        <f t="shared" si="0"/>
        <v>https://dto.kemkes.go.id/kfacode/93000496</v>
      </c>
      <c r="J534" s="34" t="s">
        <v>3768</v>
      </c>
      <c r="K534" t="str">
        <f t="shared" si="9"/>
        <v>insert into mkatalog_kfa93 (kode, uraian, kode_92, uraian_92, nama_dagang, satuan_kecil, sediaan, golongan, url, userid_updt, sysdate_updt) values ('93000496','Filgrastim 300 ug/ml Cairan Injeksi (NEUKINE)','92000399','Filgrastim 300 ug/ml Cairan Injeksi','NEUKINE','Prefilled Syringe','Larutan Injeksi','Obat Keras','https://dto.kemkes.go.id/kfacode/93000496',0,'2023-05-01');</v>
      </c>
    </row>
    <row r="535" spans="1:11" ht="15.75" customHeight="1">
      <c r="A535" s="2">
        <v>93000798</v>
      </c>
      <c r="B535" s="2" t="s">
        <v>2364</v>
      </c>
      <c r="C535" s="2">
        <v>92000576</v>
      </c>
      <c r="D535" s="2" t="s">
        <v>941</v>
      </c>
      <c r="E535" s="2" t="s">
        <v>2365</v>
      </c>
      <c r="F535" s="2" t="s">
        <v>640</v>
      </c>
      <c r="G535" s="2" t="s">
        <v>1457</v>
      </c>
      <c r="H535" s="2" t="s">
        <v>1458</v>
      </c>
      <c r="I535" s="3" t="str">
        <f t="shared" si="0"/>
        <v>https://dto.kemkes.go.id/kfacode/93000798</v>
      </c>
      <c r="J535" s="34" t="s">
        <v>3768</v>
      </c>
      <c r="K535" t="str">
        <f t="shared" si="9"/>
        <v>insert into mkatalog_kfa93 (kode, uraian, kode_92, uraian_92, nama_dagang, satuan_kecil, sediaan, golongan, url, userid_updt, sysdate_updt) values ('93000798','Finasteride 5 mg Tablet Salut Selaput (COMBIPHAR)','92000576','Finasteride 5 mg Tablet Salut Selaput','FINASTERIDE','Tablet','Tablet Salut Selaput','Obat Keras','https://dto.kemkes.go.id/kfacode/93000798',0,'2023-05-01');</v>
      </c>
    </row>
    <row r="536" spans="1:11" ht="15.75" customHeight="1">
      <c r="A536" s="2">
        <v>93001166</v>
      </c>
      <c r="B536" s="2" t="s">
        <v>2366</v>
      </c>
      <c r="C536" s="2">
        <v>92000514</v>
      </c>
      <c r="D536" s="2" t="s">
        <v>942</v>
      </c>
      <c r="E536" s="2" t="s">
        <v>2367</v>
      </c>
      <c r="F536" s="2" t="s">
        <v>649</v>
      </c>
      <c r="G536" s="2" t="s">
        <v>649</v>
      </c>
      <c r="H536" s="2" t="s">
        <v>1458</v>
      </c>
      <c r="I536" s="3" t="str">
        <f t="shared" si="0"/>
        <v>https://dto.kemkes.go.id/kfacode/93001166</v>
      </c>
      <c r="J536" s="34" t="s">
        <v>3768</v>
      </c>
      <c r="K536" t="str">
        <f t="shared" si="9"/>
        <v>insert into mkatalog_kfa93 (kode, uraian, kode_92, uraian_92, nama_dagang, satuan_kecil, sediaan, golongan, url, userid_updt, sysdate_updt) values ('93001166','Fluconazole 150 mg Kapsul (KIMIA FARMA Tbk.)','92000514','Fluconazole 150 mg Kapsul','FLUCONAZOLE','Kapsul','Kapsul','Obat Keras','https://dto.kemkes.go.id/kfacode/93001166',0,'2023-05-01');</v>
      </c>
    </row>
    <row r="537" spans="1:11" ht="15.75" customHeight="1">
      <c r="A537" s="2">
        <v>93000474</v>
      </c>
      <c r="B537" s="2" t="s">
        <v>2368</v>
      </c>
      <c r="C537" s="2">
        <v>92000392</v>
      </c>
      <c r="D537" s="2" t="s">
        <v>943</v>
      </c>
      <c r="E537" s="2" t="s">
        <v>2367</v>
      </c>
      <c r="F537" s="2" t="s">
        <v>702</v>
      </c>
      <c r="G537" s="2" t="s">
        <v>1506</v>
      </c>
      <c r="H537" s="2" t="s">
        <v>1458</v>
      </c>
      <c r="I537" s="3" t="str">
        <f t="shared" si="0"/>
        <v>https://dto.kemkes.go.id/kfacode/93000474</v>
      </c>
      <c r="J537" s="34" t="s">
        <v>3768</v>
      </c>
      <c r="K537" t="str">
        <f t="shared" si="9"/>
        <v>insert into mkatalog_kfa93 (kode, uraian, kode_92, uraian_92, nama_dagang, satuan_kecil, sediaan, golongan, url, userid_updt, sysdate_updt) values ('93000474','Fluconazole 2 mg / mL Injeksi (DEXA MEDICA)','92000392','Fluconazole 2 mg / mL Injeksi','FLUCONAZOLE','Botol Plastik','Larutan Injeksi','Obat Keras','https://dto.kemkes.go.id/kfacode/93000474',0,'2023-05-01');</v>
      </c>
    </row>
    <row r="538" spans="1:11" ht="15.75" customHeight="1">
      <c r="A538" s="2">
        <v>93001635</v>
      </c>
      <c r="B538" s="2" t="s">
        <v>2369</v>
      </c>
      <c r="C538" s="2">
        <v>92000934</v>
      </c>
      <c r="D538" s="2" t="s">
        <v>944</v>
      </c>
      <c r="E538" s="2" t="s">
        <v>2370</v>
      </c>
      <c r="F538" s="2" t="s">
        <v>640</v>
      </c>
      <c r="G538" s="2" t="s">
        <v>1457</v>
      </c>
      <c r="H538" s="2" t="s">
        <v>1458</v>
      </c>
      <c r="I538" s="3" t="str">
        <f t="shared" si="0"/>
        <v>https://dto.kemkes.go.id/kfacode/93001635</v>
      </c>
      <c r="J538" s="34" t="s">
        <v>3768</v>
      </c>
      <c r="K538" t="str">
        <f t="shared" si="9"/>
        <v>insert into mkatalog_kfa93 (kode, uraian, kode_92, uraian_92, nama_dagang, satuan_kecil, sediaan, golongan, url, userid_updt, sysdate_updt) values ('93001635','Fludarabine 10 mg Tablet Salut Selaput (FLUDARA)','92000934','Fludarabine 10 mg Tablet Salut Selaput','FLUDARA','Tablet','Tablet Salut Selaput','Obat Keras','https://dto.kemkes.go.id/kfacode/93001635',0,'2023-05-01');</v>
      </c>
    </row>
    <row r="539" spans="1:11" ht="15.75" customHeight="1">
      <c r="A539" s="2">
        <v>93000893</v>
      </c>
      <c r="B539" s="2" t="s">
        <v>2371</v>
      </c>
      <c r="C539" s="2">
        <v>92000627</v>
      </c>
      <c r="D539" s="2" t="s">
        <v>945</v>
      </c>
      <c r="E539" s="2" t="s">
        <v>2370</v>
      </c>
      <c r="F539" s="2" t="s">
        <v>653</v>
      </c>
      <c r="G539" s="2" t="s">
        <v>1500</v>
      </c>
      <c r="H539" s="2" t="s">
        <v>1458</v>
      </c>
      <c r="I539" s="3" t="str">
        <f t="shared" si="0"/>
        <v>https://dto.kemkes.go.id/kfacode/93000893</v>
      </c>
      <c r="J539" s="34" t="s">
        <v>3768</v>
      </c>
      <c r="K539" t="str">
        <f t="shared" si="9"/>
        <v>insert into mkatalog_kfa93 (kode, uraian, kode_92, uraian_92, nama_dagang, satuan_kecil, sediaan, golongan, url, userid_updt, sysdate_updt) values ('93000893','Fludarabine 50 mg Serbuk Injeksi (FLUDARA)','92000627','Fludarabine 50 mg Serbuk Injeksi','FLUDARA','Vial','Serbuk Injeksi','Obat Keras','https://dto.kemkes.go.id/kfacode/93000893',0,'2023-05-01');</v>
      </c>
    </row>
    <row r="540" spans="1:11" ht="15.75" customHeight="1">
      <c r="A540" s="2">
        <v>93001217</v>
      </c>
      <c r="B540" s="2" t="s">
        <v>2372</v>
      </c>
      <c r="C540" s="2">
        <v>92000401</v>
      </c>
      <c r="D540" s="2" t="s">
        <v>946</v>
      </c>
      <c r="E540" s="2" t="s">
        <v>2373</v>
      </c>
      <c r="F540" s="2" t="s">
        <v>653</v>
      </c>
      <c r="G540" s="2" t="s">
        <v>1506</v>
      </c>
      <c r="H540" s="2" t="s">
        <v>1458</v>
      </c>
      <c r="I540" s="3" t="str">
        <f t="shared" si="0"/>
        <v>https://dto.kemkes.go.id/kfacode/93001217</v>
      </c>
      <c r="J540" s="34" t="s">
        <v>3768</v>
      </c>
      <c r="K540" t="str">
        <f t="shared" si="9"/>
        <v>insert into mkatalog_kfa93 (kode, uraian, kode_92, uraian_92, nama_dagang, satuan_kecil, sediaan, golongan, url, userid_updt, sysdate_updt) values ('93001217','Fluorouracil 50 mg / mL Injeksi (CURACIL)','92000401','Fluorouracil 50 mg / mL Injeksi','CURACIL','Vial','Larutan Injeksi','Obat Keras','https://dto.kemkes.go.id/kfacode/93001217',0,'2023-05-01');</v>
      </c>
    </row>
    <row r="541" spans="1:11" ht="15.75" customHeight="1">
      <c r="A541" s="2">
        <v>93001291</v>
      </c>
      <c r="B541" s="2" t="s">
        <v>2374</v>
      </c>
      <c r="C541" s="2">
        <v>92000401</v>
      </c>
      <c r="D541" s="2" t="s">
        <v>946</v>
      </c>
      <c r="E541" s="2" t="s">
        <v>2375</v>
      </c>
      <c r="F541" s="2" t="s">
        <v>653</v>
      </c>
      <c r="G541" s="2" t="s">
        <v>1506</v>
      </c>
      <c r="H541" s="2" t="s">
        <v>1458</v>
      </c>
      <c r="I541" s="3" t="str">
        <f t="shared" si="0"/>
        <v>https://dto.kemkes.go.id/kfacode/93001291</v>
      </c>
      <c r="J541" s="34" t="s">
        <v>3768</v>
      </c>
      <c r="K541" t="str">
        <f t="shared" si="9"/>
        <v>insert into mkatalog_kfa93 (kode, uraian, kode_92, uraian_92, nama_dagang, satuan_kecil, sediaan, golongan, url, userid_updt, sysdate_updt) values ('93001291','Fluorouracil 50 mg / mL Injeksi (DANKOS FARMA)','92000401','Fluorouracil 50 mg / mL Injeksi','FLUOROURACIL','Vial','Larutan Injeksi','Obat Keras','https://dto.kemkes.go.id/kfacode/93001291',0,'2023-05-01');</v>
      </c>
    </row>
    <row r="542" spans="1:11" ht="15.75" customHeight="1">
      <c r="A542" s="2">
        <v>93001248</v>
      </c>
      <c r="B542" s="2" t="s">
        <v>2376</v>
      </c>
      <c r="C542" s="2">
        <v>92000401</v>
      </c>
      <c r="D542" s="2" t="s">
        <v>946</v>
      </c>
      <c r="E542" s="2" t="s">
        <v>2375</v>
      </c>
      <c r="F542" s="2" t="s">
        <v>653</v>
      </c>
      <c r="G542" s="2" t="s">
        <v>1506</v>
      </c>
      <c r="H542" s="2" t="s">
        <v>1458</v>
      </c>
      <c r="I542" s="3" t="str">
        <f t="shared" si="0"/>
        <v>https://dto.kemkes.go.id/kfacode/93001248</v>
      </c>
      <c r="J542" s="34" t="s">
        <v>3768</v>
      </c>
      <c r="K542" t="str">
        <f t="shared" si="9"/>
        <v>insert into mkatalog_kfa93 (kode, uraian, kode_92, uraian_92, nama_dagang, satuan_kecil, sediaan, golongan, url, userid_updt, sysdate_updt) values ('93001248','Fluorouracil 50 mg / mL Injeksi (FERRON PAR PHARMACEUTICALS, 10 mL)','92000401','Fluorouracil 50 mg / mL Injeksi','FLUOROURACIL','Vial','Larutan Injeksi','Obat Keras','https://dto.kemkes.go.id/kfacode/93001248',0,'2023-05-01');</v>
      </c>
    </row>
    <row r="543" spans="1:11" ht="15.75" customHeight="1">
      <c r="A543" s="2">
        <v>93000773</v>
      </c>
      <c r="B543" s="2" t="s">
        <v>2377</v>
      </c>
      <c r="C543" s="2">
        <v>92000586</v>
      </c>
      <c r="D543" s="2" t="s">
        <v>947</v>
      </c>
      <c r="E543" s="2" t="s">
        <v>2378</v>
      </c>
      <c r="F543" s="2" t="s">
        <v>640</v>
      </c>
      <c r="G543" s="2" t="s">
        <v>640</v>
      </c>
      <c r="H543" s="2" t="s">
        <v>1458</v>
      </c>
      <c r="I543" s="3" t="str">
        <f t="shared" si="0"/>
        <v>https://dto.kemkes.go.id/kfacode/93000773</v>
      </c>
      <c r="J543" s="34" t="s">
        <v>3768</v>
      </c>
      <c r="K543" t="str">
        <f t="shared" si="9"/>
        <v>insert into mkatalog_kfa93 (kode, uraian, kode_92, uraian_92, nama_dagang, satuan_kecil, sediaan, golongan, url, userid_updt, sysdate_updt) values ('93000773','Fluoxetine 20 mg Tablet (DEXA MEDICA - Indonesia - -)','92000586','Fluoxetine 20 mg Tablet','PROPYLTHIOURACIL','Tablet','Tablet','Obat Keras','https://dto.kemkes.go.id/kfacode/93000773',0,'2023-05-01');</v>
      </c>
    </row>
    <row r="544" spans="1:11" ht="15.75" customHeight="1">
      <c r="A544" s="2">
        <v>93000774</v>
      </c>
      <c r="B544" s="2" t="s">
        <v>2379</v>
      </c>
      <c r="C544" s="2">
        <v>92000586</v>
      </c>
      <c r="D544" s="2" t="s">
        <v>947</v>
      </c>
      <c r="E544" s="2" t="s">
        <v>2378</v>
      </c>
      <c r="F544" s="2" t="s">
        <v>640</v>
      </c>
      <c r="G544" s="2" t="s">
        <v>640</v>
      </c>
      <c r="H544" s="2" t="s">
        <v>1458</v>
      </c>
      <c r="I544" s="3" t="str">
        <f t="shared" si="0"/>
        <v>https://dto.kemkes.go.id/kfacode/93000774</v>
      </c>
      <c r="J544" s="34" t="s">
        <v>3768</v>
      </c>
      <c r="K544" t="str">
        <f t="shared" si="9"/>
        <v>insert into mkatalog_kfa93 (kode, uraian, kode_92, uraian_92, nama_dagang, satuan_kecil, sediaan, golongan, url, userid_updt, sysdate_updt) values ('93000774','Fluoxetine 20 mg Tablet (INDOFARMA - Indonesia - -)','92000586','Fluoxetine 20 mg Tablet','PROPYLTHIOURACIL','Tablet','Tablet','Obat Keras','https://dto.kemkes.go.id/kfacode/93000774',0,'2023-05-01');</v>
      </c>
    </row>
    <row r="545" spans="1:11" ht="15.75" customHeight="1">
      <c r="A545" s="2">
        <v>93001176</v>
      </c>
      <c r="B545" s="2" t="s">
        <v>2380</v>
      </c>
      <c r="C545" s="2">
        <v>92000599</v>
      </c>
      <c r="D545" s="2" t="s">
        <v>948</v>
      </c>
      <c r="E545" s="2" t="s">
        <v>2381</v>
      </c>
      <c r="F545" s="2" t="s">
        <v>649</v>
      </c>
      <c r="G545" s="2" t="s">
        <v>649</v>
      </c>
      <c r="H545" s="2" t="s">
        <v>1458</v>
      </c>
      <c r="I545" s="3" t="str">
        <f t="shared" si="0"/>
        <v>https://dto.kemkes.go.id/kfacode/93001176</v>
      </c>
      <c r="J545" s="34" t="s">
        <v>3768</v>
      </c>
      <c r="K545" t="str">
        <f t="shared" si="9"/>
        <v>insert into mkatalog_kfa93 (kode, uraian, kode_92, uraian_92, nama_dagang, satuan_kecil, sediaan, golongan, url, userid_updt, sysdate_updt) values ('93001176','Fluoxetine Hydrochloride 10 mg Kapsul (KALXETIN)','92000599','Fluoxetine Hydrochloride 10 mg Kapsul','KALXETIN 10 MG','Kapsul','Kapsul','Obat Keras','https://dto.kemkes.go.id/kfacode/93001176',0,'2023-05-01');</v>
      </c>
    </row>
    <row r="546" spans="1:11" ht="15.75" customHeight="1">
      <c r="A546" s="2">
        <v>93001177</v>
      </c>
      <c r="B546" s="2" t="s">
        <v>2382</v>
      </c>
      <c r="C546" s="2">
        <v>92000599</v>
      </c>
      <c r="D546" s="2" t="s">
        <v>948</v>
      </c>
      <c r="E546" s="2" t="s">
        <v>2383</v>
      </c>
      <c r="F546" s="2" t="s">
        <v>649</v>
      </c>
      <c r="G546" s="2" t="s">
        <v>649</v>
      </c>
      <c r="H546" s="2" t="s">
        <v>1458</v>
      </c>
      <c r="I546" s="3" t="str">
        <f t="shared" si="0"/>
        <v>https://dto.kemkes.go.id/kfacode/93001177</v>
      </c>
      <c r="J546" s="34" t="s">
        <v>3768</v>
      </c>
      <c r="K546" t="str">
        <f t="shared" si="9"/>
        <v>insert into mkatalog_kfa93 (kode, uraian, kode_92, uraian_92, nama_dagang, satuan_kecil, sediaan, golongan, url, userid_updt, sysdate_updt) values ('93001177','Fluoxetine Hydrochloride 10 mg Kapsul (ZAC)','92000599','Fluoxetine Hydrochloride 10 mg Kapsul','ZAC 10','Kapsul','Kapsul','Obat Keras','https://dto.kemkes.go.id/kfacode/93001177',0,'2023-05-01');</v>
      </c>
    </row>
    <row r="547" spans="1:11" ht="15.75" customHeight="1">
      <c r="A547" s="2">
        <v>93000196</v>
      </c>
      <c r="B547" s="2" t="s">
        <v>2384</v>
      </c>
      <c r="C547" s="2">
        <v>92000197</v>
      </c>
      <c r="D547" s="2" t="s">
        <v>949</v>
      </c>
      <c r="E547" s="2" t="s">
        <v>2385</v>
      </c>
      <c r="F547" s="2" t="s">
        <v>649</v>
      </c>
      <c r="G547" s="2" t="s">
        <v>649</v>
      </c>
      <c r="H547" s="2" t="s">
        <v>1458</v>
      </c>
      <c r="I547" s="3" t="str">
        <f t="shared" si="0"/>
        <v>https://dto.kemkes.go.id/kfacode/93000196</v>
      </c>
      <c r="J547" s="34" t="s">
        <v>3768</v>
      </c>
      <c r="K547" t="str">
        <f t="shared" si="9"/>
        <v>insert into mkatalog_kfa93 (kode, uraian, kode_92, uraian_92, nama_dagang, satuan_kecil, sediaan, golongan, url, userid_updt, sysdate_updt) values ('93000196','Fluoxetine Hydrochloride 20 mg Kapsul (MERSIFARMA TIRMAKU MERCUSANA)','92000197','Fluoxetine Hydrochloride 20 mg Kapsul','FLUOXETINE HCL','Kapsul','Kapsul','Obat Keras','https://dto.kemkes.go.id/kfacode/93000196',0,'2023-05-01');</v>
      </c>
    </row>
    <row r="548" spans="1:11" ht="15.75" customHeight="1">
      <c r="A548" s="2">
        <v>93001042</v>
      </c>
      <c r="B548" s="2" t="s">
        <v>2386</v>
      </c>
      <c r="C548" s="2">
        <v>92000726</v>
      </c>
      <c r="D548" s="2" t="s">
        <v>950</v>
      </c>
      <c r="E548" s="2" t="s">
        <v>2387</v>
      </c>
      <c r="F548" s="2" t="s">
        <v>655</v>
      </c>
      <c r="G548" s="2" t="s">
        <v>1661</v>
      </c>
      <c r="H548" s="2" t="s">
        <v>1458</v>
      </c>
      <c r="I548" s="3" t="str">
        <f t="shared" si="0"/>
        <v>https://dto.kemkes.go.id/kfacode/93001042</v>
      </c>
      <c r="J548" s="34" t="s">
        <v>3768</v>
      </c>
      <c r="K548" t="str">
        <f t="shared" si="9"/>
        <v>insert into mkatalog_kfa93 (kode, uraian, kode_92, uraian_92, nama_dagang, satuan_kecil, sediaan, golongan, url, userid_updt, sysdate_updt) values ('93001042','Flusinolon / Fluocinolone Acetonide 0,025 % Krim (SYNARCUS)','92000726','Flusinolon / Fluocinolone Acetonide 0,025 % Krim','SYNARCUS','Tube','Krim','Obat Keras','https://dto.kemkes.go.id/kfacode/93001042',0,'2023-05-01');</v>
      </c>
    </row>
    <row r="549" spans="1:11" ht="15.75" customHeight="1">
      <c r="A549" s="2">
        <v>93000478</v>
      </c>
      <c r="B549" s="2" t="s">
        <v>2388</v>
      </c>
      <c r="C549" s="2">
        <v>92000404</v>
      </c>
      <c r="D549" s="2" t="s">
        <v>951</v>
      </c>
      <c r="E549" s="2" t="s">
        <v>2389</v>
      </c>
      <c r="F549" s="2" t="s">
        <v>658</v>
      </c>
      <c r="G549" s="2" t="s">
        <v>1509</v>
      </c>
      <c r="H549" s="2" t="s">
        <v>1458</v>
      </c>
      <c r="I549" s="3" t="str">
        <f t="shared" si="0"/>
        <v>https://dto.kemkes.go.id/kfacode/93000478</v>
      </c>
      <c r="J549" s="34" t="s">
        <v>3768</v>
      </c>
      <c r="K549" t="str">
        <f t="shared" si="9"/>
        <v>insert into mkatalog_kfa93 (kode, uraian, kode_92, uraian_92, nama_dagang, satuan_kecil, sediaan, golongan, url, userid_updt, sysdate_updt) values ('93000478','Fluticasone Furoate 27.5 mcg/spray Suspensi (AVAMYS)','92000404','Fluticasone Furoate 27.5 mcg/spray Suspensi','AVAMYS','Botol','Suspensi','Obat Keras','https://dto.kemkes.go.id/kfacode/93000478',0,'2023-05-01');</v>
      </c>
    </row>
    <row r="550" spans="1:11" ht="15.75" customHeight="1">
      <c r="A550" s="2">
        <v>93001399</v>
      </c>
      <c r="B550" s="2" t="s">
        <v>2390</v>
      </c>
      <c r="C550" s="2">
        <v>92000759</v>
      </c>
      <c r="D550" s="2" t="s">
        <v>952</v>
      </c>
      <c r="E550" s="2" t="s">
        <v>2391</v>
      </c>
      <c r="F550" s="2" t="s">
        <v>953</v>
      </c>
      <c r="G550" s="2" t="s">
        <v>1489</v>
      </c>
      <c r="H550" s="2" t="s">
        <v>1458</v>
      </c>
      <c r="I550" s="3" t="str">
        <f t="shared" si="0"/>
        <v>https://dto.kemkes.go.id/kfacode/93001399</v>
      </c>
      <c r="J550" s="34" t="s">
        <v>3768</v>
      </c>
      <c r="K550" t="str">
        <f t="shared" si="9"/>
        <v>insert into mkatalog_kfa93 (kode, uraian, kode_92, uraian_92, nama_dagang, satuan_kecil, sediaan, golongan, url, userid_updt, sysdate_updt) values ('93001399','Fluticasone Propionate 0,5 mg/ 2 mL Cairan Inhalasi (FLIXOTIDE)','92000759','Fluticasone Propionate 0,5 mg/ 2 mL Cairan Inhalasi','FLIXOTIDE','Nebules','Larutan Inhalasi','Obat Keras','https://dto.kemkes.go.id/kfacode/93001399',0,'2023-05-01');</v>
      </c>
    </row>
    <row r="551" spans="1:11" ht="15.75" customHeight="1">
      <c r="A551" s="2">
        <v>93001069</v>
      </c>
      <c r="B551" s="2" t="s">
        <v>2392</v>
      </c>
      <c r="C551" s="2">
        <v>92000784</v>
      </c>
      <c r="D551" s="2" t="s">
        <v>954</v>
      </c>
      <c r="E551" s="2" t="s">
        <v>2391</v>
      </c>
      <c r="F551" s="2" t="s">
        <v>932</v>
      </c>
      <c r="G551" s="2" t="s">
        <v>2339</v>
      </c>
      <c r="H551" s="2" t="s">
        <v>1458</v>
      </c>
      <c r="I551" s="3" t="str">
        <f t="shared" si="0"/>
        <v>https://dto.kemkes.go.id/kfacode/93001069</v>
      </c>
      <c r="J551" s="34" t="s">
        <v>3768</v>
      </c>
      <c r="K551" t="str">
        <f t="shared" si="9"/>
        <v>insert into mkatalog_kfa93 (kode, uraian, kode_92, uraian_92, nama_dagang, satuan_kecil, sediaan, golongan, url, userid_updt, sysdate_updt) values ('93001069','Fluticasone Propionate 50 ug Aerosol (FLIXOTIDE)','92000784','Fluticasone Propionate 50 ug Aerosol','FLIXOTIDE','Canister','Aerosol Metered Dose','Obat Keras','https://dto.kemkes.go.id/kfacode/93001069',0,'2023-05-01');</v>
      </c>
    </row>
    <row r="552" spans="1:11" ht="15.75" customHeight="1">
      <c r="A552" s="2">
        <v>93001380</v>
      </c>
      <c r="B552" s="2" t="s">
        <v>2393</v>
      </c>
      <c r="C552" s="2">
        <v>92000762</v>
      </c>
      <c r="D552" s="2" t="s">
        <v>955</v>
      </c>
      <c r="E552" s="2" t="s">
        <v>2394</v>
      </c>
      <c r="F552" s="2" t="s">
        <v>899</v>
      </c>
      <c r="G552" s="2" t="s">
        <v>1506</v>
      </c>
      <c r="H552" s="2" t="s">
        <v>1458</v>
      </c>
      <c r="I552" s="3" t="str">
        <f t="shared" si="0"/>
        <v>https://dto.kemkes.go.id/kfacode/93001380</v>
      </c>
      <c r="J552" s="34" t="s">
        <v>3768</v>
      </c>
      <c r="K552" t="str">
        <f t="shared" si="9"/>
        <v>insert into mkatalog_kfa93 (kode, uraian, kode_92, uraian_92, nama_dagang, satuan_kecil, sediaan, golongan, url, userid_updt, sysdate_updt) values ('93001380','Fondaparinux Sodium 2,5 mg / 0,5 mL Injeksi (ARIXTRA)','92000762','Fondaparinux Sodium 2,5 mg / 0,5 mL Injeksi','ARIXTRA','Prefilled Syringe','Larutan Injeksi','Obat Keras','https://dto.kemkes.go.id/kfacode/93001380',0,'2023-05-01');</v>
      </c>
    </row>
    <row r="553" spans="1:11" ht="15.75" customHeight="1">
      <c r="A553" s="2">
        <v>93001032</v>
      </c>
      <c r="B553" s="2" t="s">
        <v>2395</v>
      </c>
      <c r="C553" s="2">
        <v>92000720</v>
      </c>
      <c r="D553" s="2" t="s">
        <v>956</v>
      </c>
      <c r="E553" s="2" t="s">
        <v>2396</v>
      </c>
      <c r="F553" s="2" t="s">
        <v>647</v>
      </c>
      <c r="G553" s="2" t="s">
        <v>1492</v>
      </c>
      <c r="H553" s="2" t="s">
        <v>1458</v>
      </c>
      <c r="I553" s="3" t="str">
        <f t="shared" si="0"/>
        <v>https://dto.kemkes.go.id/kfacode/93001032</v>
      </c>
      <c r="J553" s="34" t="s">
        <v>3768</v>
      </c>
      <c r="K553" t="str">
        <f t="shared" si="9"/>
        <v>insert into mkatalog_kfa93 (kode, uraian, kode_92, uraian_92, nama_dagang, satuan_kecil, sediaan, golongan, url, userid_updt, sysdate_updt) values ('93001032','Fosfomisin / Fosfomycin Trometramol 3 gram Granule (MONURIL)','92000720','Fosfomisin / Fosfomycin Trometramol 3 gram Granule','MONURIL','Sachet','Granula','Obat Keras','https://dto.kemkes.go.id/kfacode/93001032',0,'2023-05-01');</v>
      </c>
    </row>
    <row r="554" spans="1:11" ht="15.75" customHeight="1">
      <c r="A554" s="2">
        <v>93000840</v>
      </c>
      <c r="B554" s="2" t="s">
        <v>2397</v>
      </c>
      <c r="C554" s="2">
        <v>92000596</v>
      </c>
      <c r="D554" s="2" t="s">
        <v>957</v>
      </c>
      <c r="E554" s="2" t="s">
        <v>2398</v>
      </c>
      <c r="F554" s="2" t="s">
        <v>673</v>
      </c>
      <c r="G554" s="2" t="s">
        <v>1530</v>
      </c>
      <c r="H554" s="2" t="s">
        <v>1458</v>
      </c>
      <c r="I554" s="3" t="str">
        <f t="shared" si="0"/>
        <v>https://dto.kemkes.go.id/kfacode/93000840</v>
      </c>
      <c r="J554" s="34" t="s">
        <v>3768</v>
      </c>
      <c r="K554" t="str">
        <f t="shared" si="9"/>
        <v>insert into mkatalog_kfa93 (kode, uraian, kode_92, uraian_92, nama_dagang, satuan_kecil, sediaan, golongan, url, userid_updt, sysdate_updt) values ('93000840','Fructose 100 g / Dextrose Monohydrate 55 g / Xylitol 50 g Infus (TRIOMIX 1600, 500 mL)','92000596','Fructose 100 g / Dextrose Monohydrate 55 g / Xylitol 50 g Infus','TRIOMIX 1600','Flexy Bag','Infus','Obat Keras','https://dto.kemkes.go.id/kfacode/93000840',0,'2023-05-01');</v>
      </c>
    </row>
    <row r="555" spans="1:11" ht="15.75" customHeight="1">
      <c r="A555" s="2">
        <v>93000849</v>
      </c>
      <c r="B555" s="2" t="s">
        <v>2399</v>
      </c>
      <c r="C555" s="2">
        <v>92000603</v>
      </c>
      <c r="D555" s="2" t="s">
        <v>958</v>
      </c>
      <c r="E555" s="2" t="s">
        <v>2400</v>
      </c>
      <c r="F555" s="2" t="s">
        <v>673</v>
      </c>
      <c r="G555" s="2" t="s">
        <v>1530</v>
      </c>
      <c r="H555" s="2" t="s">
        <v>1458</v>
      </c>
      <c r="I555" s="3" t="str">
        <f t="shared" si="0"/>
        <v>https://dto.kemkes.go.id/kfacode/93000849</v>
      </c>
      <c r="J555" s="34" t="s">
        <v>3768</v>
      </c>
      <c r="K555" t="str">
        <f t="shared" si="9"/>
        <v>insert into mkatalog_kfa93 (kode, uraian, kode_92, uraian_92, nama_dagang, satuan_kecil, sediaan, golongan, url, userid_updt, sysdate_updt) values ('93000849','Fructose 30 g / Dextrose Monohydrate 16.319 g / Xylitol 15 g Infus (ENERTON 500, 500 mL)','92000603','Fructose 30 g / Dextrose Monohydrate 16.319 g / Xylitol 15 g Infus','ENERTON 500','Flexy Bag','Infus','Obat Keras','https://dto.kemkes.go.id/kfacode/93000849',0,'2023-05-01');</v>
      </c>
    </row>
    <row r="556" spans="1:11" ht="15.75" customHeight="1">
      <c r="A556" s="2">
        <v>93000822</v>
      </c>
      <c r="B556" s="2" t="s">
        <v>2401</v>
      </c>
      <c r="C556" s="2">
        <v>92000171</v>
      </c>
      <c r="D556" s="2" t="s">
        <v>959</v>
      </c>
      <c r="E556" s="2" t="s">
        <v>2402</v>
      </c>
      <c r="F556" s="2" t="s">
        <v>673</v>
      </c>
      <c r="G556" s="2" t="s">
        <v>1530</v>
      </c>
      <c r="H556" s="2" t="s">
        <v>1458</v>
      </c>
      <c r="I556" s="3" t="str">
        <f t="shared" si="0"/>
        <v>https://dto.kemkes.go.id/kfacode/93000822</v>
      </c>
      <c r="J556" s="34" t="s">
        <v>3768</v>
      </c>
      <c r="K556" t="str">
        <f t="shared" si="9"/>
        <v>insert into mkatalog_kfa93 (kode, uraian, kode_92, uraian_92, nama_dagang, satuan_kecil, sediaan, golongan, url, userid_updt, sysdate_updt) values ('93000822','Fructose 60 mg / Dextrose Monohydrate 33 mg / xylitol 30 mg / Electrolyte / Vitamin Infus (TRIOFUSIN E 1000)','92000171','Fructose 60 mg / Dextrose Monohydrate 33 mg / xylitol 30 mg / Electrolyte / Vitamin Infus','TRIOFUSIN E 1000','Flexy Bag','Infus','Obat Keras','https://dto.kemkes.go.id/kfacode/93000822',0,'2023-05-01');</v>
      </c>
    </row>
    <row r="557" spans="1:11" ht="15.75" customHeight="1">
      <c r="A557" s="2">
        <v>93000685</v>
      </c>
      <c r="B557" s="2" t="s">
        <v>2403</v>
      </c>
      <c r="C557" s="2">
        <v>92000171</v>
      </c>
      <c r="D557" s="2" t="s">
        <v>959</v>
      </c>
      <c r="E557" s="2" t="s">
        <v>2404</v>
      </c>
      <c r="F557" s="2" t="s">
        <v>673</v>
      </c>
      <c r="G557" s="2" t="s">
        <v>1530</v>
      </c>
      <c r="H557" s="2" t="s">
        <v>1458</v>
      </c>
      <c r="I557" s="3" t="str">
        <f t="shared" si="0"/>
        <v>https://dto.kemkes.go.id/kfacode/93000685</v>
      </c>
      <c r="J557" s="34" t="s">
        <v>3768</v>
      </c>
      <c r="K557" t="str">
        <f t="shared" si="9"/>
        <v>insert into mkatalog_kfa93 (kode, uraian, kode_92, uraian_92, nama_dagang, satuan_kecil, sediaan, golongan, url, userid_updt, sysdate_updt) values ('93000685','Fructose 60 mg / Dextrose Monohydrate 33 mg / xylitol 30 mg / Electrolyte / Vitamin Infus (TRIOMIX E1000)','92000171','Fructose 60 mg / Dextrose Monohydrate 33 mg / xylitol 30 mg / Electrolyte / Vitamin Infus','TRIOMIX E1000','Flexy Bag','Infus','Obat Keras','https://dto.kemkes.go.id/kfacode/93000685',0,'2023-05-01');</v>
      </c>
    </row>
    <row r="558" spans="1:11" ht="15.75" customHeight="1">
      <c r="A558" s="2">
        <v>93001224</v>
      </c>
      <c r="B558" s="2" t="s">
        <v>2405</v>
      </c>
      <c r="C558" s="2">
        <v>92000696</v>
      </c>
      <c r="D558" s="2" t="s">
        <v>960</v>
      </c>
      <c r="E558" s="2" t="s">
        <v>2406</v>
      </c>
      <c r="F558" s="2" t="s">
        <v>645</v>
      </c>
      <c r="G558" s="2" t="s">
        <v>1506</v>
      </c>
      <c r="H558" s="2" t="s">
        <v>1458</v>
      </c>
      <c r="I558" s="3" t="str">
        <f t="shared" si="0"/>
        <v>https://dto.kemkes.go.id/kfacode/93001224</v>
      </c>
      <c r="J558" s="34" t="s">
        <v>3768</v>
      </c>
      <c r="K558" t="str">
        <f t="shared" si="9"/>
        <v>insert into mkatalog_kfa93 (kode, uraian, kode_92, uraian_92, nama_dagang, satuan_kecil, sediaan, golongan, url, userid_updt, sysdate_updt) values ('93001224','Furosemide 10 mg / mL Injeksi (DEXA MEDICA)','92000696','Furosemide 10 mg / mL Injeksi','FUROSEMIDE','Ampul','Larutan Injeksi','Obat Keras','https://dto.kemkes.go.id/kfacode/93001224',0,'2023-05-01');</v>
      </c>
    </row>
    <row r="559" spans="1:11" ht="15.75" customHeight="1">
      <c r="A559" s="2">
        <v>93001603</v>
      </c>
      <c r="B559" s="2" t="s">
        <v>2407</v>
      </c>
      <c r="C559" s="2">
        <v>92000914</v>
      </c>
      <c r="D559" s="2" t="s">
        <v>961</v>
      </c>
      <c r="E559" s="2" t="s">
        <v>2406</v>
      </c>
      <c r="F559" s="2" t="s">
        <v>640</v>
      </c>
      <c r="G559" s="2" t="s">
        <v>640</v>
      </c>
      <c r="H559" s="2" t="s">
        <v>1458</v>
      </c>
      <c r="I559" s="3" t="str">
        <f t="shared" si="0"/>
        <v>https://dto.kemkes.go.id/kfacode/93001603</v>
      </c>
      <c r="J559" s="34" t="s">
        <v>3768</v>
      </c>
      <c r="K559" t="str">
        <f t="shared" si="9"/>
        <v>insert into mkatalog_kfa93 (kode, uraian, kode_92, uraian_92, nama_dagang, satuan_kecil, sediaan, golongan, url, userid_updt, sysdate_updt) values ('93001603','Furosemide 40 mg Tablet (KIMIA FARMA)','92000914','Furosemide 40 mg Tablet','FUROSEMIDE','Tablet','Tablet','Obat Keras','https://dto.kemkes.go.id/kfacode/93001603',0,'2023-05-01');</v>
      </c>
    </row>
    <row r="560" spans="1:11" ht="15.75" customHeight="1">
      <c r="A560" s="2">
        <v>93001011</v>
      </c>
      <c r="B560" s="2" t="s">
        <v>2408</v>
      </c>
      <c r="C560" s="2">
        <v>92000712</v>
      </c>
      <c r="D560" s="2" t="s">
        <v>962</v>
      </c>
      <c r="E560" s="2" t="s">
        <v>2409</v>
      </c>
      <c r="F560" s="2" t="s">
        <v>655</v>
      </c>
      <c r="G560" s="2" t="s">
        <v>1661</v>
      </c>
      <c r="H560" s="2" t="s">
        <v>1458</v>
      </c>
      <c r="I560" s="3" t="str">
        <f t="shared" si="0"/>
        <v>https://dto.kemkes.go.id/kfacode/93001011</v>
      </c>
      <c r="J560" s="34" t="s">
        <v>3768</v>
      </c>
      <c r="K560" t="str">
        <f t="shared" si="9"/>
        <v>insert into mkatalog_kfa93 (kode, uraian, kode_92, uraian_92, nama_dagang, satuan_kecil, sediaan, golongan, url, userid_updt, sysdate_updt) values ('93001011','Fusidic Acid 2% Krim (FUSYCOM)','92000712','Fusidic Acid 2% Krim','FUSYCOM','Tube','Krim','Obat Keras','https://dto.kemkes.go.id/kfacode/93001011',0,'2023-05-01');</v>
      </c>
    </row>
    <row r="561" spans="1:11" ht="15.75" customHeight="1">
      <c r="A561" s="2">
        <v>93000358</v>
      </c>
      <c r="B561" s="2" t="s">
        <v>2410</v>
      </c>
      <c r="C561" s="2">
        <v>92000254</v>
      </c>
      <c r="D561" s="2" t="s">
        <v>963</v>
      </c>
      <c r="E561" s="2" t="s">
        <v>2411</v>
      </c>
      <c r="F561" s="2" t="s">
        <v>649</v>
      </c>
      <c r="G561" s="2" t="s">
        <v>649</v>
      </c>
      <c r="H561" s="2" t="s">
        <v>1458</v>
      </c>
      <c r="I561" s="3" t="str">
        <f t="shared" si="0"/>
        <v>https://dto.kemkes.go.id/kfacode/93000358</v>
      </c>
      <c r="J561" s="34" t="s">
        <v>3768</v>
      </c>
      <c r="K561" t="str">
        <f t="shared" si="9"/>
        <v>insert into mkatalog_kfa93 (kode, uraian, kode_92, uraian_92, nama_dagang, satuan_kecil, sediaan, golongan, url, userid_updt, sysdate_updt) values ('93000358','Gabapentin 100 mg Kapsul (KIMIA FARMA Tbk)','92000254','Gabapentin 100 mg Kapsul','GABAPENTIN','Kapsul','Kapsul','Obat Keras','https://dto.kemkes.go.id/kfacode/93000358',0,'2023-05-01');</v>
      </c>
    </row>
    <row r="562" spans="1:11" ht="15.75" customHeight="1">
      <c r="A562" s="2">
        <v>93000341</v>
      </c>
      <c r="B562" s="2" t="s">
        <v>2412</v>
      </c>
      <c r="C562" s="2">
        <v>92000254</v>
      </c>
      <c r="D562" s="2" t="s">
        <v>963</v>
      </c>
      <c r="E562" s="2" t="s">
        <v>2411</v>
      </c>
      <c r="F562" s="2" t="s">
        <v>649</v>
      </c>
      <c r="G562" s="2" t="s">
        <v>649</v>
      </c>
      <c r="H562" s="2" t="s">
        <v>1458</v>
      </c>
      <c r="I562" s="3" t="str">
        <f t="shared" si="0"/>
        <v>https://dto.kemkes.go.id/kfacode/93000341</v>
      </c>
      <c r="J562" s="34" t="s">
        <v>3768</v>
      </c>
      <c r="K562" t="str">
        <f t="shared" si="9"/>
        <v>insert into mkatalog_kfa93 (kode, uraian, kode_92, uraian_92, nama_dagang, satuan_kecil, sediaan, golongan, url, userid_updt, sysdate_updt) values ('93000341','Gabapentin 100 mg Kapsul (MERSIFARMA TIRMAKU MERCUSANA)','92000254','Gabapentin 100 mg Kapsul','GABAPENTIN','Kapsul','Kapsul','Obat Keras','https://dto.kemkes.go.id/kfacode/93000341',0,'2023-05-01');</v>
      </c>
    </row>
    <row r="563" spans="1:11" ht="15.75" customHeight="1">
      <c r="A563" s="2">
        <v>93001329</v>
      </c>
      <c r="B563" s="2" t="s">
        <v>2413</v>
      </c>
      <c r="C563" s="2">
        <v>92000693</v>
      </c>
      <c r="D563" s="2" t="s">
        <v>964</v>
      </c>
      <c r="E563" s="2" t="s">
        <v>2411</v>
      </c>
      <c r="F563" s="2" t="s">
        <v>649</v>
      </c>
      <c r="G563" s="2" t="s">
        <v>649</v>
      </c>
      <c r="H563" s="2" t="s">
        <v>1458</v>
      </c>
      <c r="I563" s="3" t="str">
        <f t="shared" si="0"/>
        <v>https://dto.kemkes.go.id/kfacode/93001329</v>
      </c>
      <c r="J563" s="34" t="s">
        <v>3768</v>
      </c>
      <c r="K563" t="str">
        <f t="shared" si="9"/>
        <v>insert into mkatalog_kfa93 (kode, uraian, kode_92, uraian_92, nama_dagang, satuan_kecil, sediaan, golongan, url, userid_updt, sysdate_updt) values ('93001329','Gabapentin 300 mg Kapsul (DEXA MEDICA)','92000693','Gabapentin 300 mg Kapsul','GABAPENTIN','Kapsul','Kapsul','Obat Keras','https://dto.kemkes.go.id/kfacode/93001329',0,'2023-05-01');</v>
      </c>
    </row>
    <row r="564" spans="1:11" ht="15.75" customHeight="1">
      <c r="A564" s="2">
        <v>93000928</v>
      </c>
      <c r="B564" s="2" t="s">
        <v>2414</v>
      </c>
      <c r="C564" s="2">
        <v>92000648</v>
      </c>
      <c r="D564" s="2" t="s">
        <v>965</v>
      </c>
      <c r="E564" s="2" t="s">
        <v>2415</v>
      </c>
      <c r="F564" s="2" t="s">
        <v>899</v>
      </c>
      <c r="G564" s="2" t="s">
        <v>1506</v>
      </c>
      <c r="H564" s="2" t="s">
        <v>1458</v>
      </c>
      <c r="I564" s="3" t="str">
        <f t="shared" si="0"/>
        <v>https://dto.kemkes.go.id/kfacode/93000928</v>
      </c>
      <c r="J564" s="34" t="s">
        <v>3768</v>
      </c>
      <c r="K564" t="str">
        <f t="shared" si="9"/>
        <v>insert into mkatalog_kfa93 (kode, uraian, kode_92, uraian_92, nama_dagang, satuan_kecil, sediaan, golongan, url, userid_updt, sysdate_updt) values ('93000928','Gadobutrol 1 mmol / mL Cairan Injeksi (GADOVIST, 5mL)','92000648','Gadobutrol 1 mmol / mL Cairan Injeksi','GADOVIST','Prefilled Syringe','Larutan Injeksi','Obat Keras','https://dto.kemkes.go.id/kfacode/93000928',0,'2023-05-01');</v>
      </c>
    </row>
    <row r="565" spans="1:11" ht="15.75" customHeight="1">
      <c r="A565" s="2">
        <v>93000929</v>
      </c>
      <c r="B565" s="2" t="s">
        <v>2416</v>
      </c>
      <c r="C565" s="2">
        <v>92000648</v>
      </c>
      <c r="D565" s="2" t="s">
        <v>965</v>
      </c>
      <c r="E565" s="2" t="s">
        <v>2415</v>
      </c>
      <c r="F565" s="2" t="s">
        <v>899</v>
      </c>
      <c r="G565" s="2" t="s">
        <v>1506</v>
      </c>
      <c r="H565" s="2" t="s">
        <v>1458</v>
      </c>
      <c r="I565" s="3" t="str">
        <f t="shared" si="0"/>
        <v>https://dto.kemkes.go.id/kfacode/93000929</v>
      </c>
      <c r="J565" s="34" t="s">
        <v>3768</v>
      </c>
      <c r="K565" t="str">
        <f t="shared" si="9"/>
        <v>insert into mkatalog_kfa93 (kode, uraian, kode_92, uraian_92, nama_dagang, satuan_kecil, sediaan, golongan, url, userid_updt, sysdate_updt) values ('93000929','Gadobutrol 1 mmol / mL Cairan Injeksi (GADOVIST, 7.5 mL)','92000648','Gadobutrol 1 mmol / mL Cairan Injeksi','GADOVIST','Prefilled Syringe','Larutan Injeksi','Obat Keras','https://dto.kemkes.go.id/kfacode/93000929',0,'2023-05-01');</v>
      </c>
    </row>
    <row r="566" spans="1:11" ht="15.75" customHeight="1">
      <c r="A566" s="2">
        <v>93001558</v>
      </c>
      <c r="B566" s="2" t="s">
        <v>2417</v>
      </c>
      <c r="C566" s="2">
        <v>92000894</v>
      </c>
      <c r="D566" s="2" t="s">
        <v>966</v>
      </c>
      <c r="E566" s="2" t="s">
        <v>2418</v>
      </c>
      <c r="F566" s="2" t="s">
        <v>899</v>
      </c>
      <c r="G566" s="2" t="s">
        <v>1506</v>
      </c>
      <c r="H566" s="2" t="s">
        <v>1458</v>
      </c>
      <c r="I566" s="3" t="str">
        <f t="shared" si="0"/>
        <v>https://dto.kemkes.go.id/kfacode/93001558</v>
      </c>
      <c r="J566" s="34" t="s">
        <v>3768</v>
      </c>
      <c r="K566" t="str">
        <f t="shared" si="9"/>
        <v>insert into mkatalog_kfa93 (kode, uraian, kode_92, uraian_92, nama_dagang, satuan_kecil, sediaan, golongan, url, userid_updt, sysdate_updt) values ('93001558','Gadoxetic Acid 0,25 mmol / mL Injeksi (PRIMOVIST)','92000894','Gadoxetic Acid 0,25 mmol / mL Injeksi','PRIMOVIST','Prefilled Syringe','Larutan Injeksi','Obat Keras','https://dto.kemkes.go.id/kfacode/93001558',0,'2023-05-01');</v>
      </c>
    </row>
    <row r="567" spans="1:11" ht="15.75" customHeight="1">
      <c r="A567" s="2">
        <v>93001204</v>
      </c>
      <c r="B567" s="2" t="s">
        <v>2419</v>
      </c>
      <c r="C567" s="2">
        <v>92000220</v>
      </c>
      <c r="D567" s="2" t="s">
        <v>967</v>
      </c>
      <c r="E567" s="2" t="s">
        <v>2420</v>
      </c>
      <c r="F567" s="2" t="s">
        <v>640</v>
      </c>
      <c r="G567" s="2" t="s">
        <v>1457</v>
      </c>
      <c r="H567" s="2" t="s">
        <v>1458</v>
      </c>
      <c r="I567" s="3" t="str">
        <f t="shared" si="0"/>
        <v>https://dto.kemkes.go.id/kfacode/93001204</v>
      </c>
      <c r="J567" s="34" t="s">
        <v>3768</v>
      </c>
      <c r="K567" t="str">
        <f t="shared" si="9"/>
        <v>insert into mkatalog_kfa93 (kode, uraian, kode_92, uraian_92, nama_dagang, satuan_kecil, sediaan, golongan, url, userid_updt, sysdate_updt) values ('93001204','Gefitinib 250 mg Tablet Salut Selaput (GEFITERO)','92000220','Gefitinib 250 mg Tablet Salut Selaput','GEFITERO','Tablet','Tablet Salut Selaput','Obat Keras','https://dto.kemkes.go.id/kfacode/93001204',0,'2023-05-01');</v>
      </c>
    </row>
    <row r="568" spans="1:11" ht="15.75" customHeight="1">
      <c r="A568" s="2">
        <v>93000386</v>
      </c>
      <c r="B568" s="2" t="s">
        <v>2421</v>
      </c>
      <c r="C568" s="2">
        <v>92000220</v>
      </c>
      <c r="D568" s="2" t="s">
        <v>967</v>
      </c>
      <c r="E568" s="2" t="s">
        <v>2422</v>
      </c>
      <c r="F568" s="2" t="s">
        <v>640</v>
      </c>
      <c r="G568" s="2" t="s">
        <v>1457</v>
      </c>
      <c r="H568" s="2" t="s">
        <v>1458</v>
      </c>
      <c r="I568" s="3" t="str">
        <f t="shared" si="0"/>
        <v>https://dto.kemkes.go.id/kfacode/93000386</v>
      </c>
      <c r="J568" s="34" t="s">
        <v>3768</v>
      </c>
      <c r="K568" t="str">
        <f t="shared" si="9"/>
        <v>insert into mkatalog_kfa93 (kode, uraian, kode_92, uraian_92, nama_dagang, satuan_kecil, sediaan, golongan, url, userid_updt, sysdate_updt) values ('93000386','Gefitinib 250 mg Tablet Salut Selaput (IRETINIB)','92000220','Gefitinib 250 mg Tablet Salut Selaput','IRETINIB','Tablet','Tablet Salut Selaput','Obat Keras','https://dto.kemkes.go.id/kfacode/93000386',0,'2023-05-01');</v>
      </c>
    </row>
    <row r="569" spans="1:11" ht="15.75" customHeight="1">
      <c r="A569" s="2">
        <v>93000755</v>
      </c>
      <c r="B569" s="2" t="s">
        <v>2423</v>
      </c>
      <c r="C569" s="2">
        <v>92000550</v>
      </c>
      <c r="D569" s="2" t="s">
        <v>968</v>
      </c>
      <c r="E569" s="2" t="s">
        <v>2424</v>
      </c>
      <c r="F569" s="2" t="s">
        <v>653</v>
      </c>
      <c r="G569" s="2" t="s">
        <v>1506</v>
      </c>
      <c r="H569" s="2" t="s">
        <v>1458</v>
      </c>
      <c r="I569" s="3" t="str">
        <f t="shared" si="0"/>
        <v>https://dto.kemkes.go.id/kfacode/93000755</v>
      </c>
      <c r="J569" s="34" t="s">
        <v>3768</v>
      </c>
      <c r="K569" t="str">
        <f t="shared" si="9"/>
        <v>insert into mkatalog_kfa93 (kode, uraian, kode_92, uraian_92, nama_dagang, satuan_kecil, sediaan, golongan, url, userid_updt, sysdate_updt) values ('93000755','Gemcitabine 38 mg/mL Larutan Injeksi (KABIGETA, 26,3 mL)','92000550','Gemcitabine 38 mg/mL Larutan Injeksi','KABIGETA','Vial','Larutan Injeksi','Obat Keras','https://dto.kemkes.go.id/kfacode/93000755',0,'2023-05-01');</v>
      </c>
    </row>
    <row r="570" spans="1:11" ht="15.75" customHeight="1">
      <c r="A570" s="2">
        <v>93001161</v>
      </c>
      <c r="B570" s="2" t="s">
        <v>2425</v>
      </c>
      <c r="C570" s="2">
        <v>92000550</v>
      </c>
      <c r="D570" s="2" t="s">
        <v>968</v>
      </c>
      <c r="E570" s="2" t="s">
        <v>2424</v>
      </c>
      <c r="F570" s="2" t="s">
        <v>653</v>
      </c>
      <c r="G570" s="2" t="s">
        <v>1506</v>
      </c>
      <c r="H570" s="2" t="s">
        <v>1458</v>
      </c>
      <c r="I570" s="3" t="str">
        <f t="shared" si="0"/>
        <v>https://dto.kemkes.go.id/kfacode/93001161</v>
      </c>
      <c r="J570" s="34" t="s">
        <v>3768</v>
      </c>
      <c r="K570" t="str">
        <f t="shared" si="9"/>
        <v>insert into mkatalog_kfa93 (kode, uraian, kode_92, uraian_92, nama_dagang, satuan_kecil, sediaan, golongan, url, userid_updt, sysdate_updt) values ('93001161','Gemcitabine 38 mg/mL Larutan Injeksi (KABIGETA, 5,26 mL)','92000550','Gemcitabine 38 mg/mL Larutan Injeksi','KABIGETA','Vial','Larutan Injeksi','Obat Keras','https://dto.kemkes.go.id/kfacode/93001161',0,'2023-05-01');</v>
      </c>
    </row>
    <row r="571" spans="1:11" ht="15.75" customHeight="1">
      <c r="A571" s="2">
        <v>93000108</v>
      </c>
      <c r="B571" s="2" t="s">
        <v>2426</v>
      </c>
      <c r="C571" s="2">
        <v>92000106</v>
      </c>
      <c r="D571" s="2" t="s">
        <v>969</v>
      </c>
      <c r="E571" s="2" t="s">
        <v>2427</v>
      </c>
      <c r="F571" s="2" t="s">
        <v>653</v>
      </c>
      <c r="G571" s="2" t="s">
        <v>1500</v>
      </c>
      <c r="H571" s="2" t="s">
        <v>1458</v>
      </c>
      <c r="I571" s="3" t="str">
        <f t="shared" si="0"/>
        <v>https://dto.kemkes.go.id/kfacode/93000108</v>
      </c>
      <c r="J571" s="34" t="s">
        <v>3768</v>
      </c>
      <c r="K571" t="str">
        <f t="shared" si="9"/>
        <v>insert into mkatalog_kfa93 (kode, uraian, kode_92, uraian_92, nama_dagang, satuan_kecil, sediaan, golongan, url, userid_updt, sysdate_updt) values ('93000108','Gemcitabine Hydrochloride 1000 mg Serbuk Injeksi (ABINGEM)','92000106','Gemcitabine Hydrochloride 1000 mg Serbuk Injeksi','ABINGEM 1000','Vial','Serbuk Injeksi','Obat Keras','https://dto.kemkes.go.id/kfacode/93000108',0,'2023-05-01');</v>
      </c>
    </row>
    <row r="572" spans="1:11" ht="15.75" customHeight="1">
      <c r="A572" s="2">
        <v>93001457</v>
      </c>
      <c r="B572" s="2" t="s">
        <v>2428</v>
      </c>
      <c r="C572" s="2">
        <v>92000106</v>
      </c>
      <c r="D572" s="2" t="s">
        <v>969</v>
      </c>
      <c r="E572" s="2" t="s">
        <v>2429</v>
      </c>
      <c r="F572" s="2" t="s">
        <v>653</v>
      </c>
      <c r="G572" s="2" t="s">
        <v>1500</v>
      </c>
      <c r="H572" s="2" t="s">
        <v>1458</v>
      </c>
      <c r="I572" s="3" t="str">
        <f t="shared" si="0"/>
        <v>https://dto.kemkes.go.id/kfacode/93001457</v>
      </c>
      <c r="J572" s="34" t="s">
        <v>3768</v>
      </c>
      <c r="K572" t="str">
        <f t="shared" si="9"/>
        <v>insert into mkatalog_kfa93 (kode, uraian, kode_92, uraian_92, nama_dagang, satuan_kecil, sediaan, golongan, url, userid_updt, sysdate_updt) values ('93001457','Gemcitabine Hydrochloride 1000 mg Serbuk Injeksi (CKD OTTO PHARMACEUTICAL)','92000106','Gemcitabine Hydrochloride 1000 mg Serbuk Injeksi','GEMCITABINE','Vial','Serbuk Injeksi','Obat Keras','https://dto.kemkes.go.id/kfacode/93001457',0,'2023-05-01');</v>
      </c>
    </row>
    <row r="573" spans="1:11" ht="15.75" customHeight="1">
      <c r="A573" s="2">
        <v>93001099</v>
      </c>
      <c r="B573" s="2" t="s">
        <v>2430</v>
      </c>
      <c r="C573" s="2">
        <v>92000106</v>
      </c>
      <c r="D573" s="2" t="s">
        <v>969</v>
      </c>
      <c r="E573" s="2" t="s">
        <v>2431</v>
      </c>
      <c r="F573" s="2" t="s">
        <v>653</v>
      </c>
      <c r="G573" s="2" t="s">
        <v>1500</v>
      </c>
      <c r="H573" s="2" t="s">
        <v>1458</v>
      </c>
      <c r="I573" s="3" t="str">
        <f t="shared" si="0"/>
        <v>https://dto.kemkes.go.id/kfacode/93001099</v>
      </c>
      <c r="J573" s="34" t="s">
        <v>3768</v>
      </c>
      <c r="K573" t="str">
        <f t="shared" si="9"/>
        <v>insert into mkatalog_kfa93 (kode, uraian, kode_92, uraian_92, nama_dagang, satuan_kecil, sediaan, golongan, url, userid_updt, sysdate_updt) values ('93001099','Gemcitabine Hydrochloride 1000 mg Serbuk Injeksi (FONKOGEM)','92000106','Gemcitabine Hydrochloride 1000 mg Serbuk Injeksi','FONKOGEM','Vial','Serbuk Injeksi','Obat Keras','https://dto.kemkes.go.id/kfacode/93001099',0,'2023-05-01');</v>
      </c>
    </row>
    <row r="574" spans="1:11" ht="15.75" customHeight="1">
      <c r="A574" s="2">
        <v>93001272</v>
      </c>
      <c r="B574" s="2" t="s">
        <v>2432</v>
      </c>
      <c r="C574" s="2">
        <v>92000106</v>
      </c>
      <c r="D574" s="2" t="s">
        <v>969</v>
      </c>
      <c r="E574" s="2" t="s">
        <v>2433</v>
      </c>
      <c r="F574" s="2" t="s">
        <v>653</v>
      </c>
      <c r="G574" s="2" t="s">
        <v>1500</v>
      </c>
      <c r="H574" s="2" t="s">
        <v>1458</v>
      </c>
      <c r="I574" s="3" t="str">
        <f t="shared" si="0"/>
        <v>https://dto.kemkes.go.id/kfacode/93001272</v>
      </c>
      <c r="J574" s="34" t="s">
        <v>3768</v>
      </c>
      <c r="K574" t="str">
        <f t="shared" si="9"/>
        <v>insert into mkatalog_kfa93 (kode, uraian, kode_92, uraian_92, nama_dagang, satuan_kecil, sediaan, golongan, url, userid_updt, sysdate_updt) values ('93001272','Gemcitabine Hydrochloride 1000 mg Serbuk Injeksi (GEMCIKAL)','92000106','Gemcitabine Hydrochloride 1000 mg Serbuk Injeksi','GEMCIKAL','Vial','Serbuk Injeksi','Obat Keras','https://dto.kemkes.go.id/kfacode/93001272',0,'2023-05-01');</v>
      </c>
    </row>
    <row r="575" spans="1:11" ht="15.75" customHeight="1">
      <c r="A575" s="2">
        <v>93000202</v>
      </c>
      <c r="B575" s="2" t="s">
        <v>2434</v>
      </c>
      <c r="C575" s="2">
        <v>92000106</v>
      </c>
      <c r="D575" s="2" t="s">
        <v>969</v>
      </c>
      <c r="E575" s="2" t="s">
        <v>2435</v>
      </c>
      <c r="F575" s="2" t="s">
        <v>653</v>
      </c>
      <c r="G575" s="2" t="s">
        <v>1500</v>
      </c>
      <c r="H575" s="2" t="s">
        <v>1458</v>
      </c>
      <c r="I575" s="3" t="str">
        <f t="shared" si="0"/>
        <v>https://dto.kemkes.go.id/kfacode/93000202</v>
      </c>
      <c r="J575" s="34" t="s">
        <v>3768</v>
      </c>
      <c r="K575" t="str">
        <f t="shared" si="9"/>
        <v>insert into mkatalog_kfa93 (kode, uraian, kode_92, uraian_92, nama_dagang, satuan_kecil, sediaan, golongan, url, userid_updt, sysdate_updt) values ('93000202','Gemcitabine Hydrochloride 1000 mg Serbuk Injeksi (GEMHOPE)','92000106','Gemcitabine Hydrochloride 1000 mg Serbuk Injeksi','GEMHOPE','Vial','Serbuk Injeksi','Obat Keras','https://dto.kemkes.go.id/kfacode/93000202',0,'2023-05-01');</v>
      </c>
    </row>
    <row r="576" spans="1:11" ht="15.75" customHeight="1">
      <c r="A576" s="2">
        <v>93000257</v>
      </c>
      <c r="B576" s="2" t="s">
        <v>2436</v>
      </c>
      <c r="C576" s="2">
        <v>92000106</v>
      </c>
      <c r="D576" s="2" t="s">
        <v>969</v>
      </c>
      <c r="E576" s="2" t="s">
        <v>2437</v>
      </c>
      <c r="F576" s="2" t="s">
        <v>653</v>
      </c>
      <c r="G576" s="2" t="s">
        <v>1500</v>
      </c>
      <c r="H576" s="2" t="s">
        <v>1458</v>
      </c>
      <c r="I576" s="3" t="str">
        <f t="shared" si="0"/>
        <v>https://dto.kemkes.go.id/kfacode/93000257</v>
      </c>
      <c r="J576" s="34" t="s">
        <v>3768</v>
      </c>
      <c r="K576" t="str">
        <f t="shared" si="9"/>
        <v>insert into mkatalog_kfa93 (kode, uraian, kode_92, uraian_92, nama_dagang, satuan_kecil, sediaan, golongan, url, userid_updt, sysdate_updt) values ('93000257','Gemcitabine Hydrochloride 1000 mg Serbuk Injeksi (GEMTAVIS)','92000106','Gemcitabine Hydrochloride 1000 mg Serbuk Injeksi','GEMTAVIS','Vial','Serbuk Injeksi','Obat Keras','https://dto.kemkes.go.id/kfacode/93000257',0,'2023-05-01');</v>
      </c>
    </row>
    <row r="577" spans="1:11" ht="15.75" customHeight="1">
      <c r="A577" s="2">
        <v>93000193</v>
      </c>
      <c r="B577" s="2" t="s">
        <v>2438</v>
      </c>
      <c r="C577" s="2">
        <v>92000106</v>
      </c>
      <c r="D577" s="2" t="s">
        <v>969</v>
      </c>
      <c r="E577" s="2" t="s">
        <v>2439</v>
      </c>
      <c r="F577" s="2" t="s">
        <v>653</v>
      </c>
      <c r="G577" s="2" t="s">
        <v>1500</v>
      </c>
      <c r="H577" s="2" t="s">
        <v>1458</v>
      </c>
      <c r="I577" s="3" t="str">
        <f t="shared" si="0"/>
        <v>https://dto.kemkes.go.id/kfacode/93000193</v>
      </c>
      <c r="J577" s="34" t="s">
        <v>3768</v>
      </c>
      <c r="K577" t="str">
        <f t="shared" si="9"/>
        <v>insert into mkatalog_kfa93 (kode, uraian, kode_92, uraian_92, nama_dagang, satuan_kecil, sediaan, golongan, url, userid_updt, sysdate_updt) values ('93000193','Gemcitabine Hydrochloride 1000 mg Serbuk Injeksi (GEMTERO)','92000106','Gemcitabine Hydrochloride 1000 mg Serbuk Injeksi','GEMTERO 1 G','Vial','Serbuk Injeksi','Obat Keras','https://dto.kemkes.go.id/kfacode/93000193',0,'2023-05-01');</v>
      </c>
    </row>
    <row r="578" spans="1:11" ht="15.75" customHeight="1">
      <c r="A578" s="2">
        <v>93000203</v>
      </c>
      <c r="B578" s="2" t="s">
        <v>2440</v>
      </c>
      <c r="C578" s="2">
        <v>92000106</v>
      </c>
      <c r="D578" s="2" t="s">
        <v>969</v>
      </c>
      <c r="E578" s="2" t="s">
        <v>2441</v>
      </c>
      <c r="F578" s="2" t="s">
        <v>653</v>
      </c>
      <c r="G578" s="2" t="s">
        <v>1500</v>
      </c>
      <c r="H578" s="2" t="s">
        <v>1458</v>
      </c>
      <c r="I578" s="3" t="str">
        <f t="shared" si="0"/>
        <v>https://dto.kemkes.go.id/kfacode/93000203</v>
      </c>
      <c r="J578" s="34" t="s">
        <v>3768</v>
      </c>
      <c r="K578" t="str">
        <f t="shared" si="9"/>
        <v>insert into mkatalog_kfa93 (kode, uraian, kode_92, uraian_92, nama_dagang, satuan_kecil, sediaan, golongan, url, userid_updt, sysdate_updt) values ('93000203','Gemcitabine Hydrochloride 1000 mg Serbuk Injeksi (SANBE FARMA)','92000106','Gemcitabine Hydrochloride 1000 mg Serbuk Injeksi','GEMCITABINE HCL','Vial','Serbuk Injeksi','Obat Keras','https://dto.kemkes.go.id/kfacode/93000203',0,'2023-05-01');</v>
      </c>
    </row>
    <row r="579" spans="1:11" ht="15.75" customHeight="1">
      <c r="A579" s="2">
        <v>93000137</v>
      </c>
      <c r="B579" s="2" t="s">
        <v>2442</v>
      </c>
      <c r="C579" s="2">
        <v>92000107</v>
      </c>
      <c r="D579" s="2" t="s">
        <v>970</v>
      </c>
      <c r="E579" s="2" t="s">
        <v>2443</v>
      </c>
      <c r="F579" s="2" t="s">
        <v>653</v>
      </c>
      <c r="G579" s="2" t="s">
        <v>1500</v>
      </c>
      <c r="H579" s="2" t="s">
        <v>1458</v>
      </c>
      <c r="I579" s="3" t="str">
        <f t="shared" si="0"/>
        <v>https://dto.kemkes.go.id/kfacode/93000137</v>
      </c>
      <c r="J579" s="34" t="s">
        <v>3768</v>
      </c>
      <c r="K579" t="str">
        <f t="shared" ref="K579:K642" si="10">CONCATENATE(J579,"('",A579,"','",B579,"','",C579,"','",D579,"','",E579,"','",F579,"','",G579,"','",H579,"','",I579,"',0,'2023-05-01');")</f>
        <v>insert into mkatalog_kfa93 (kode, uraian, kode_92, uraian_92, nama_dagang, satuan_kecil, sediaan, golongan, url, userid_updt, sysdate_updt) values ('93000137','Gemcitabine Hydrochloride 200 mg Serbuk Injeksi Liofilisasi (ABINGEM)','92000107','Gemcitabine Hydrochloride 200 mg Serbuk Injeksi Liofilisasi','ABINGEM 200','Vial','Serbuk Injeksi','Obat Keras','https://dto.kemkes.go.id/kfacode/93000137',0,'2023-05-01');</v>
      </c>
    </row>
    <row r="580" spans="1:11" ht="15.75" customHeight="1">
      <c r="A580" s="2">
        <v>93001458</v>
      </c>
      <c r="B580" s="2" t="s">
        <v>2444</v>
      </c>
      <c r="C580" s="2">
        <v>92000107</v>
      </c>
      <c r="D580" s="2" t="s">
        <v>970</v>
      </c>
      <c r="E580" s="2" t="s">
        <v>2429</v>
      </c>
      <c r="F580" s="2" t="s">
        <v>653</v>
      </c>
      <c r="G580" s="2" t="s">
        <v>1500</v>
      </c>
      <c r="H580" s="2" t="s">
        <v>1458</v>
      </c>
      <c r="I580" s="3" t="str">
        <f t="shared" si="0"/>
        <v>https://dto.kemkes.go.id/kfacode/93001458</v>
      </c>
      <c r="J580" s="34" t="s">
        <v>3768</v>
      </c>
      <c r="K580" t="str">
        <f t="shared" si="10"/>
        <v>insert into mkatalog_kfa93 (kode, uraian, kode_92, uraian_92, nama_dagang, satuan_kecil, sediaan, golongan, url, userid_updt, sysdate_updt) values ('93001458','Gemcitabine Hydrochloride 200 mg Serbuk Injeksi Liofilisasi (CKD OTTO PHARMACEUTICAL)','92000107','Gemcitabine Hydrochloride 200 mg Serbuk Injeksi Liofilisasi','GEMCITABINE','Vial','Serbuk Injeksi','Obat Keras','https://dto.kemkes.go.id/kfacode/93001458',0,'2023-05-01');</v>
      </c>
    </row>
    <row r="581" spans="1:11" ht="15.75" customHeight="1">
      <c r="A581" s="2">
        <v>93001503</v>
      </c>
      <c r="B581" s="2" t="s">
        <v>2445</v>
      </c>
      <c r="C581" s="2">
        <v>92000107</v>
      </c>
      <c r="D581" s="2" t="s">
        <v>970</v>
      </c>
      <c r="E581" s="2" t="s">
        <v>2334</v>
      </c>
      <c r="F581" s="2" t="s">
        <v>653</v>
      </c>
      <c r="G581" s="2" t="s">
        <v>1500</v>
      </c>
      <c r="H581" s="2" t="s">
        <v>1458</v>
      </c>
      <c r="I581" s="3" t="str">
        <f t="shared" si="0"/>
        <v>https://dto.kemkes.go.id/kfacode/93001503</v>
      </c>
      <c r="J581" s="34" t="s">
        <v>3768</v>
      </c>
      <c r="K581" t="str">
        <f t="shared" si="10"/>
        <v>insert into mkatalog_kfa93 (kode, uraian, kode_92, uraian_92, nama_dagang, satuan_kecil, sediaan, golongan, url, userid_updt, sysdate_updt) values ('93001503','Gemcitabine Hydrochloride 200 mg Serbuk Injeksi Liofilisasi (FERRON PAR PHARMACEUTICALS)','92000107','Gemcitabine Hydrochloride 200 mg Serbuk Injeksi Liofilisasi','TROLIP','Vial','Serbuk Injeksi','Obat Keras','https://dto.kemkes.go.id/kfacode/93001503',0,'2023-05-01');</v>
      </c>
    </row>
    <row r="582" spans="1:11" ht="15.75" customHeight="1">
      <c r="A582" s="2">
        <v>93001499</v>
      </c>
      <c r="B582" s="2" t="s">
        <v>2446</v>
      </c>
      <c r="C582" s="2">
        <v>92000107</v>
      </c>
      <c r="D582" s="2" t="s">
        <v>970</v>
      </c>
      <c r="E582" s="2" t="s">
        <v>2431</v>
      </c>
      <c r="F582" s="2" t="s">
        <v>653</v>
      </c>
      <c r="G582" s="2" t="s">
        <v>1500</v>
      </c>
      <c r="H582" s="2" t="s">
        <v>1458</v>
      </c>
      <c r="I582" s="3" t="str">
        <f t="shared" si="0"/>
        <v>https://dto.kemkes.go.id/kfacode/93001499</v>
      </c>
      <c r="J582" s="34" t="s">
        <v>3768</v>
      </c>
      <c r="K582" t="str">
        <f t="shared" si="10"/>
        <v>insert into mkatalog_kfa93 (kode, uraian, kode_92, uraian_92, nama_dagang, satuan_kecil, sediaan, golongan, url, userid_updt, sysdate_updt) values ('93001499','Gemcitabine Hydrochloride 200 mg Serbuk Injeksi Liofilisasi (FONKOGEM)','92000107','Gemcitabine Hydrochloride 200 mg Serbuk Injeksi Liofilisasi','FONKOGEM','Vial','Serbuk Injeksi','Obat Keras','https://dto.kemkes.go.id/kfacode/93001499',0,'2023-05-01');</v>
      </c>
    </row>
    <row r="583" spans="1:11" ht="15.75" customHeight="1">
      <c r="A583" s="2">
        <v>93001500</v>
      </c>
      <c r="B583" s="2" t="s">
        <v>2447</v>
      </c>
      <c r="C583" s="2">
        <v>92000107</v>
      </c>
      <c r="D583" s="2" t="s">
        <v>970</v>
      </c>
      <c r="F583" s="2" t="s">
        <v>653</v>
      </c>
      <c r="G583" s="2" t="s">
        <v>1500</v>
      </c>
      <c r="H583" s="2" t="s">
        <v>1458</v>
      </c>
      <c r="I583" s="3" t="str">
        <f t="shared" si="0"/>
        <v>https://dto.kemkes.go.id/kfacode/93001500</v>
      </c>
      <c r="J583" s="34" t="s">
        <v>3768</v>
      </c>
      <c r="K583" t="str">
        <f t="shared" si="10"/>
        <v>insert into mkatalog_kfa93 (kode, uraian, kode_92, uraian_92, nama_dagang, satuan_kecil, sediaan, golongan, url, userid_updt, sysdate_updt) values ('93001500','Gemcitabine Hydrochloride 200 mg Serbuk Injeksi Liofilisasi (GEMCIKAL)','92000107','Gemcitabine Hydrochloride 200 mg Serbuk Injeksi Liofilisasi','','Vial','Serbuk Injeksi','Obat Keras','https://dto.kemkes.go.id/kfacode/93001500',0,'2023-05-01');</v>
      </c>
    </row>
    <row r="584" spans="1:11" ht="15.75" customHeight="1">
      <c r="A584" s="2">
        <v>93001504</v>
      </c>
      <c r="B584" s="2" t="s">
        <v>2448</v>
      </c>
      <c r="C584" s="2">
        <v>92000107</v>
      </c>
      <c r="D584" s="2" t="s">
        <v>970</v>
      </c>
      <c r="E584" s="2"/>
      <c r="F584" s="2" t="s">
        <v>653</v>
      </c>
      <c r="G584" s="2" t="s">
        <v>1500</v>
      </c>
      <c r="H584" s="2" t="s">
        <v>1458</v>
      </c>
      <c r="I584" s="3" t="str">
        <f t="shared" si="0"/>
        <v>https://dto.kemkes.go.id/kfacode/93001504</v>
      </c>
      <c r="J584" s="34" t="s">
        <v>3768</v>
      </c>
      <c r="K584" t="str">
        <f t="shared" si="10"/>
        <v>insert into mkatalog_kfa93 (kode, uraian, kode_92, uraian_92, nama_dagang, satuan_kecil, sediaan, golongan, url, userid_updt, sysdate_updt) values ('93001504','Gemcitabine Hydrochloride 200 mg Serbuk Injeksi Liofilisasi (GEMHOPE)','92000107','Gemcitabine Hydrochloride 200 mg Serbuk Injeksi Liofilisasi','','Vial','Serbuk Injeksi','Obat Keras','https://dto.kemkes.go.id/kfacode/93001504',0,'2023-05-01');</v>
      </c>
    </row>
    <row r="585" spans="1:11" ht="15.75" customHeight="1">
      <c r="A585" s="2">
        <v>93000247</v>
      </c>
      <c r="B585" s="2" t="s">
        <v>2449</v>
      </c>
      <c r="C585" s="2">
        <v>92000107</v>
      </c>
      <c r="D585" s="2" t="s">
        <v>970</v>
      </c>
      <c r="E585" s="2" t="s">
        <v>2437</v>
      </c>
      <c r="F585" s="2" t="s">
        <v>653</v>
      </c>
      <c r="G585" s="2" t="s">
        <v>1500</v>
      </c>
      <c r="H585" s="2" t="s">
        <v>1458</v>
      </c>
      <c r="I585" s="3" t="str">
        <f t="shared" si="0"/>
        <v>https://dto.kemkes.go.id/kfacode/93000247</v>
      </c>
      <c r="J585" s="34" t="s">
        <v>3768</v>
      </c>
      <c r="K585" t="str">
        <f t="shared" si="10"/>
        <v>insert into mkatalog_kfa93 (kode, uraian, kode_92, uraian_92, nama_dagang, satuan_kecil, sediaan, golongan, url, userid_updt, sysdate_updt) values ('93000247','Gemcitabine Hydrochloride 200 mg Serbuk Injeksi Liofilisasi (GEMTAVIS)','92000107','Gemcitabine Hydrochloride 200 mg Serbuk Injeksi Liofilisasi','GEMTAVIS','Vial','Serbuk Injeksi','Obat Keras','https://dto.kemkes.go.id/kfacode/93000247',0,'2023-05-01');</v>
      </c>
    </row>
    <row r="586" spans="1:11" ht="15.75" customHeight="1">
      <c r="A586" s="2">
        <v>93000194</v>
      </c>
      <c r="B586" s="2" t="s">
        <v>2450</v>
      </c>
      <c r="C586" s="2">
        <v>92000107</v>
      </c>
      <c r="D586" s="2" t="s">
        <v>970</v>
      </c>
      <c r="E586" s="2" t="s">
        <v>2451</v>
      </c>
      <c r="F586" s="2" t="s">
        <v>653</v>
      </c>
      <c r="G586" s="2" t="s">
        <v>1500</v>
      </c>
      <c r="H586" s="2" t="s">
        <v>1458</v>
      </c>
      <c r="I586" s="3" t="str">
        <f t="shared" si="0"/>
        <v>https://dto.kemkes.go.id/kfacode/93000194</v>
      </c>
      <c r="J586" s="34" t="s">
        <v>3768</v>
      </c>
      <c r="K586" t="str">
        <f t="shared" si="10"/>
        <v>insert into mkatalog_kfa93 (kode, uraian, kode_92, uraian_92, nama_dagang, satuan_kecil, sediaan, golongan, url, userid_updt, sysdate_updt) values ('93000194','Gemcitabine Hydrochloride 200 mg Serbuk Injeksi Liofilisasi (GEMTERO)','92000107','Gemcitabine Hydrochloride 200 mg Serbuk Injeksi Liofilisasi','GEMTERO 200 MG','Vial','Serbuk Injeksi','Obat Keras','https://dto.kemkes.go.id/kfacode/93000194',0,'2023-05-01');</v>
      </c>
    </row>
    <row r="587" spans="1:11" ht="15.75" customHeight="1">
      <c r="A587" s="2">
        <v>93001501</v>
      </c>
      <c r="B587" s="2" t="s">
        <v>2452</v>
      </c>
      <c r="C587" s="2">
        <v>92000107</v>
      </c>
      <c r="D587" s="2" t="s">
        <v>970</v>
      </c>
      <c r="E587" s="2"/>
      <c r="F587" s="2" t="s">
        <v>653</v>
      </c>
      <c r="G587" s="2" t="s">
        <v>1500</v>
      </c>
      <c r="H587" s="2" t="s">
        <v>1458</v>
      </c>
      <c r="I587" s="3" t="str">
        <f t="shared" si="0"/>
        <v>https://dto.kemkes.go.id/kfacode/93001501</v>
      </c>
      <c r="J587" s="34" t="s">
        <v>3768</v>
      </c>
      <c r="K587" t="str">
        <f t="shared" si="10"/>
        <v>insert into mkatalog_kfa93 (kode, uraian, kode_92, uraian_92, nama_dagang, satuan_kecil, sediaan, golongan, url, userid_updt, sysdate_updt) values ('93001501','Gemcitabine Hydrochloride 200 mg Serbuk Injeksi Liofilisasi (GEMZAR)','92000107','Gemcitabine Hydrochloride 200 mg Serbuk Injeksi Liofilisasi','','Vial','Serbuk Injeksi','Obat Keras','https://dto.kemkes.go.id/kfacode/93001501',0,'2023-05-01');</v>
      </c>
    </row>
    <row r="588" spans="1:11" ht="15.75" customHeight="1">
      <c r="A588" s="2">
        <v>93000142</v>
      </c>
      <c r="B588" s="2" t="s">
        <v>2453</v>
      </c>
      <c r="C588" s="2">
        <v>92000107</v>
      </c>
      <c r="D588" s="2" t="s">
        <v>970</v>
      </c>
      <c r="E588" s="2" t="s">
        <v>2424</v>
      </c>
      <c r="F588" s="2" t="s">
        <v>653</v>
      </c>
      <c r="G588" s="2" t="s">
        <v>1500</v>
      </c>
      <c r="H588" s="2" t="s">
        <v>1458</v>
      </c>
      <c r="I588" s="3" t="str">
        <f t="shared" si="0"/>
        <v>https://dto.kemkes.go.id/kfacode/93000142</v>
      </c>
      <c r="J588" s="34" t="s">
        <v>3768</v>
      </c>
      <c r="K588" t="str">
        <f t="shared" si="10"/>
        <v>insert into mkatalog_kfa93 (kode, uraian, kode_92, uraian_92, nama_dagang, satuan_kecil, sediaan, golongan, url, userid_updt, sysdate_updt) values ('93000142','Gemcitabine Hydrochloride 200 mg Serbuk Injeksi Liofilisasi (KABIGETA)','92000107','Gemcitabine Hydrochloride 200 mg Serbuk Injeksi Liofilisasi','KABIGETA','Vial','Serbuk Injeksi','Obat Keras','https://dto.kemkes.go.id/kfacode/93000142',0,'2023-05-01');</v>
      </c>
    </row>
    <row r="589" spans="1:11" ht="15.75" customHeight="1">
      <c r="A589" s="2">
        <v>93001502</v>
      </c>
      <c r="B589" s="2" t="s">
        <v>2454</v>
      </c>
      <c r="C589" s="2">
        <v>92000107</v>
      </c>
      <c r="D589" s="2" t="s">
        <v>970</v>
      </c>
      <c r="F589" s="2" t="s">
        <v>653</v>
      </c>
      <c r="G589" s="2" t="s">
        <v>1500</v>
      </c>
      <c r="H589" s="2" t="s">
        <v>1458</v>
      </c>
      <c r="I589" s="3" t="str">
        <f t="shared" si="0"/>
        <v>https://dto.kemkes.go.id/kfacode/93001502</v>
      </c>
      <c r="J589" s="34" t="s">
        <v>3768</v>
      </c>
      <c r="K589" t="str">
        <f t="shared" si="10"/>
        <v>insert into mkatalog_kfa93 (kode, uraian, kode_92, uraian_92, nama_dagang, satuan_kecil, sediaan, golongan, url, userid_updt, sysdate_updt) values ('93001502','Gemcitabine Hydrochloride 200 mg Serbuk Injeksi Liofilisasi (SANBE FARMA)','92000107','Gemcitabine Hydrochloride 200 mg Serbuk Injeksi Liofilisasi','','Vial','Serbuk Injeksi','Obat Keras','https://dto.kemkes.go.id/kfacode/93001502',0,'2023-05-01');</v>
      </c>
    </row>
    <row r="590" spans="1:11" ht="15.75" customHeight="1">
      <c r="A590" s="2">
        <v>93000915</v>
      </c>
      <c r="B590" s="2" t="s">
        <v>2455</v>
      </c>
      <c r="C590" s="2">
        <v>92000638</v>
      </c>
      <c r="D590" s="2" t="s">
        <v>971</v>
      </c>
      <c r="E590" s="2" t="s">
        <v>2456</v>
      </c>
      <c r="F590" s="2" t="s">
        <v>660</v>
      </c>
      <c r="G590" s="2" t="s">
        <v>1619</v>
      </c>
      <c r="H590" s="2" t="s">
        <v>1458</v>
      </c>
      <c r="I590" s="3" t="str">
        <f t="shared" si="0"/>
        <v>https://dto.kemkes.go.id/kfacode/93000915</v>
      </c>
      <c r="J590" s="34" t="s">
        <v>3768</v>
      </c>
      <c r="K590" t="str">
        <f t="shared" si="10"/>
        <v>insert into mkatalog_kfa93 (kode, uraian, kode_92, uraian_92, nama_dagang, satuan_kecil, sediaan, golongan, url, userid_updt, sysdate_updt) values ('93000915','Gemfibrozil 600 mg Kaplet Salut Selaput (INDOFARMA)','92000638','Gemfibrozil 600 mg Kaplet Salut Selaput','GEMFIBROZIL','Kaplet','Kaplet Salut Selaput','Obat Keras','https://dto.kemkes.go.id/kfacode/93000915',0,'2023-05-01');</v>
      </c>
    </row>
    <row r="591" spans="1:11" ht="15.75" customHeight="1">
      <c r="A591" s="2">
        <v>93001400</v>
      </c>
      <c r="B591" s="2" t="s">
        <v>2457</v>
      </c>
      <c r="C591" s="2">
        <v>92000731</v>
      </c>
      <c r="D591" s="2" t="s">
        <v>972</v>
      </c>
      <c r="E591" s="2" t="s">
        <v>2458</v>
      </c>
      <c r="F591" s="2" t="s">
        <v>655</v>
      </c>
      <c r="G591" s="2" t="s">
        <v>1503</v>
      </c>
      <c r="H591" s="2" t="s">
        <v>1458</v>
      </c>
      <c r="I591" s="3" t="str">
        <f t="shared" si="0"/>
        <v>https://dto.kemkes.go.id/kfacode/93001400</v>
      </c>
      <c r="J591" s="34" t="s">
        <v>3768</v>
      </c>
      <c r="K591" t="str">
        <f t="shared" si="10"/>
        <v>insert into mkatalog_kfa93 (kode, uraian, kode_92, uraian_92, nama_dagang, satuan_kecil, sediaan, golongan, url, userid_updt, sysdate_updt) values ('93001400','Gentamicin Sulfate 0,3 % Salep Mata (ERELA)','92000731','Gentamicin Sulfate 0,3 % Salep Mata','GENTAMICIN SULFATE','Tube','Salep Mata','Obat Keras','https://dto.kemkes.go.id/kfacode/93001400',0,'2023-05-01');</v>
      </c>
    </row>
    <row r="592" spans="1:11" ht="15.75" customHeight="1">
      <c r="A592" s="2">
        <v>93001537</v>
      </c>
      <c r="B592" s="2" t="s">
        <v>2459</v>
      </c>
      <c r="C592" s="2">
        <v>92000883</v>
      </c>
      <c r="D592" s="2" t="s">
        <v>973</v>
      </c>
      <c r="E592" s="2" t="s">
        <v>2458</v>
      </c>
      <c r="F592" s="2" t="s">
        <v>702</v>
      </c>
      <c r="G592" s="2" t="s">
        <v>2125</v>
      </c>
      <c r="H592" s="2" t="s">
        <v>1458</v>
      </c>
      <c r="I592" s="3" t="str">
        <f t="shared" si="0"/>
        <v>https://dto.kemkes.go.id/kfacode/93001537</v>
      </c>
      <c r="J592" s="34" t="s">
        <v>3768</v>
      </c>
      <c r="K592" t="str">
        <f t="shared" si="10"/>
        <v>insert into mkatalog_kfa93 (kode, uraian, kode_92, uraian_92, nama_dagang, satuan_kecil, sediaan, golongan, url, userid_updt, sysdate_updt) values ('93001537','Gentamicin Sulfate 0,3 % Tetes Mata (ERELA)','92000883','Gentamicin Sulfate 0,3 % Tetes Mata','GENTAMICIN SULFATE','Botol Plastik','Tetes Mata','Obat Keras','https://dto.kemkes.go.id/kfacode/93001537',0,'2023-05-01');</v>
      </c>
    </row>
    <row r="593" spans="1:11" ht="15.75" customHeight="1">
      <c r="A593" s="2">
        <v>93001580</v>
      </c>
      <c r="B593" s="2" t="s">
        <v>2460</v>
      </c>
      <c r="C593" s="2">
        <v>92000904</v>
      </c>
      <c r="D593" s="2" t="s">
        <v>974</v>
      </c>
      <c r="E593" s="2" t="s">
        <v>2461</v>
      </c>
      <c r="F593" s="2" t="s">
        <v>702</v>
      </c>
      <c r="G593" s="2" t="s">
        <v>2125</v>
      </c>
      <c r="H593" s="2" t="s">
        <v>1458</v>
      </c>
      <c r="I593" s="3" t="str">
        <f t="shared" si="0"/>
        <v>https://dto.kemkes.go.id/kfacode/93001580</v>
      </c>
      <c r="J593" s="34" t="s">
        <v>3768</v>
      </c>
      <c r="K593" t="str">
        <f t="shared" si="10"/>
        <v>insert into mkatalog_kfa93 (kode, uraian, kode_92, uraian_92, nama_dagang, satuan_kecil, sediaan, golongan, url, userid_updt, sysdate_updt) values ('93001580','Gentamicin Sulfate 1 % Tetes Mata (GENTA, 5 mL)','92000904','Gentamicin Sulfate 1 % Tetes Mata','GENTA','Botol Plastik','Tetes Mata','Obat Keras','https://dto.kemkes.go.id/kfacode/93001580',0,'2023-05-01');</v>
      </c>
    </row>
    <row r="594" spans="1:11" ht="15.75" customHeight="1">
      <c r="A594" s="2">
        <v>93000839</v>
      </c>
      <c r="B594" s="2" t="s">
        <v>2462</v>
      </c>
      <c r="C594" s="2">
        <v>92000450</v>
      </c>
      <c r="D594" s="2" t="s">
        <v>975</v>
      </c>
      <c r="E594" s="2" t="s">
        <v>2458</v>
      </c>
      <c r="F594" s="2" t="s">
        <v>645</v>
      </c>
      <c r="G594" s="2" t="s">
        <v>1506</v>
      </c>
      <c r="H594" s="2" t="s">
        <v>1458</v>
      </c>
      <c r="I594" s="3" t="str">
        <f t="shared" si="0"/>
        <v>https://dto.kemkes.go.id/kfacode/93000839</v>
      </c>
      <c r="J594" s="34" t="s">
        <v>3768</v>
      </c>
      <c r="K594" t="str">
        <f t="shared" si="10"/>
        <v>insert into mkatalog_kfa93 (kode, uraian, kode_92, uraian_92, nama_dagang, satuan_kecil, sediaan, golongan, url, userid_updt, sysdate_updt) values ('93000839','Gentamicin Sulfate 40 mg / mL Injeksi (INDOFARMA)','92000450','Gentamicin Sulfate 40 mg / mL Injeksi','GENTAMICIN SULFATE','Ampul','Larutan Injeksi','Obat Keras','https://dto.kemkes.go.id/kfacode/93000839',0,'2023-05-01');</v>
      </c>
    </row>
    <row r="595" spans="1:11" ht="15.75" customHeight="1">
      <c r="A595" s="2">
        <v>93000385</v>
      </c>
      <c r="B595" s="2" t="s">
        <v>2463</v>
      </c>
      <c r="C595" s="2">
        <v>92000216</v>
      </c>
      <c r="D595" s="2" t="s">
        <v>977</v>
      </c>
      <c r="E595" s="2" t="s">
        <v>2464</v>
      </c>
      <c r="F595" s="2" t="s">
        <v>640</v>
      </c>
      <c r="G595" s="2" t="s">
        <v>640</v>
      </c>
      <c r="H595" s="2" t="s">
        <v>1458</v>
      </c>
      <c r="I595" s="3" t="str">
        <f t="shared" si="0"/>
        <v>https://dto.kemkes.go.id/kfacode/93000385</v>
      </c>
      <c r="J595" s="34" t="s">
        <v>3768</v>
      </c>
      <c r="K595" t="str">
        <f t="shared" si="10"/>
        <v>insert into mkatalog_kfa93 (kode, uraian, kode_92, uraian_92, nama_dagang, satuan_kecil, sediaan, golongan, url, userid_updt, sysdate_updt) values ('93000385','Glibenclamide 5 mg Tablet (KIMIA FARMA)','92000216','Glibenclamide 5 mg Tablet','GLIBENCLAMIDE','Tablet','Tablet','Obat Keras','https://dto.kemkes.go.id/kfacode/93000385',0,'2023-05-01');</v>
      </c>
    </row>
    <row r="596" spans="1:11" ht="15.75" customHeight="1">
      <c r="A596" s="2">
        <v>93001220</v>
      </c>
      <c r="B596" s="2" t="s">
        <v>2465</v>
      </c>
      <c r="C596" s="2">
        <v>92000216</v>
      </c>
      <c r="D596" s="2" t="s">
        <v>977</v>
      </c>
      <c r="E596" s="2" t="s">
        <v>2464</v>
      </c>
      <c r="F596" s="2" t="s">
        <v>640</v>
      </c>
      <c r="G596" s="2" t="s">
        <v>640</v>
      </c>
      <c r="H596" s="2" t="s">
        <v>1458</v>
      </c>
      <c r="I596" s="3" t="str">
        <f t="shared" si="0"/>
        <v>https://dto.kemkes.go.id/kfacode/93001220</v>
      </c>
      <c r="J596" s="34" t="s">
        <v>3768</v>
      </c>
      <c r="K596" t="str">
        <f t="shared" si="10"/>
        <v>insert into mkatalog_kfa93 (kode, uraian, kode_92, uraian_92, nama_dagang, satuan_kecil, sediaan, golongan, url, userid_updt, sysdate_updt) values ('93001220','Glibenclamide 5 mg Tablet (PHAPROS Tbk)','92000216','Glibenclamide 5 mg Tablet','GLIBENCLAMIDE','Tablet','Tablet','Obat Keras','https://dto.kemkes.go.id/kfacode/93001220',0,'2023-05-01');</v>
      </c>
    </row>
    <row r="597" spans="1:11" ht="15.75" customHeight="1">
      <c r="A597" s="2">
        <v>93000796</v>
      </c>
      <c r="B597" s="2" t="s">
        <v>2466</v>
      </c>
      <c r="C597" s="2">
        <v>92000591</v>
      </c>
      <c r="D597" s="2" t="s">
        <v>978</v>
      </c>
      <c r="E597" s="2" t="s">
        <v>2467</v>
      </c>
      <c r="F597" s="2" t="s">
        <v>640</v>
      </c>
      <c r="G597" s="2" t="s">
        <v>640</v>
      </c>
      <c r="H597" s="2" t="s">
        <v>1458</v>
      </c>
      <c r="I597" s="3" t="str">
        <f t="shared" si="0"/>
        <v>https://dto.kemkes.go.id/kfacode/93000796</v>
      </c>
      <c r="J597" s="34" t="s">
        <v>3768</v>
      </c>
      <c r="K597" t="str">
        <f t="shared" si="10"/>
        <v>insert into mkatalog_kfa93 (kode, uraian, kode_92, uraian_92, nama_dagang, satuan_kecil, sediaan, golongan, url, userid_updt, sysdate_updt) values ('93000796','Gliclazid 80 mg Tablet (BERNOFARM - Indonesia - -)','92000591','Gliclazid 80 mg Tablet','GLICLAZIDE','Tablet','Tablet','Obat Keras','https://dto.kemkes.go.id/kfacode/93000796',0,'2023-05-01');</v>
      </c>
    </row>
    <row r="598" spans="1:11" ht="15.75" customHeight="1">
      <c r="A598" s="2">
        <v>93000793</v>
      </c>
      <c r="B598" s="2" t="s">
        <v>2468</v>
      </c>
      <c r="C598" s="2">
        <v>92000591</v>
      </c>
      <c r="D598" s="2" t="s">
        <v>978</v>
      </c>
      <c r="E598" s="2" t="s">
        <v>2467</v>
      </c>
      <c r="F598" s="2" t="s">
        <v>640</v>
      </c>
      <c r="G598" s="2" t="s">
        <v>640</v>
      </c>
      <c r="H598" s="2" t="s">
        <v>1458</v>
      </c>
      <c r="I598" s="3" t="str">
        <f t="shared" si="0"/>
        <v>https://dto.kemkes.go.id/kfacode/93000793</v>
      </c>
      <c r="J598" s="34" t="s">
        <v>3768</v>
      </c>
      <c r="K598" t="str">
        <f t="shared" si="10"/>
        <v>insert into mkatalog_kfa93 (kode, uraian, kode_92, uraian_92, nama_dagang, satuan_kecil, sediaan, golongan, url, userid_updt, sysdate_updt) values ('93000793','Gliclazid 80 mg Tablet (DEXA MEDICA - Indonesia - -)','92000591','Gliclazid 80 mg Tablet','GLICLAZIDE','Tablet','Tablet','Obat Keras','https://dto.kemkes.go.id/kfacode/93000793',0,'2023-05-01');</v>
      </c>
    </row>
    <row r="599" spans="1:11" ht="15.75" customHeight="1">
      <c r="A599" s="2">
        <v>93000794</v>
      </c>
      <c r="B599" s="2" t="s">
        <v>2469</v>
      </c>
      <c r="C599" s="2">
        <v>92000591</v>
      </c>
      <c r="D599" s="2" t="s">
        <v>978</v>
      </c>
      <c r="E599" s="2" t="s">
        <v>2467</v>
      </c>
      <c r="F599" s="2" t="s">
        <v>640</v>
      </c>
      <c r="G599" s="2" t="s">
        <v>640</v>
      </c>
      <c r="H599" s="2" t="s">
        <v>1458</v>
      </c>
      <c r="I599" s="3" t="str">
        <f t="shared" si="0"/>
        <v>https://dto.kemkes.go.id/kfacode/93000794</v>
      </c>
      <c r="J599" s="34" t="s">
        <v>3768</v>
      </c>
      <c r="K599" t="str">
        <f t="shared" si="10"/>
        <v>insert into mkatalog_kfa93 (kode, uraian, kode_92, uraian_92, nama_dagang, satuan_kecil, sediaan, golongan, url, userid_updt, sysdate_updt) values ('93000794','Gliclazid 80 mg Tablet (TEMPO SCAN PACIFIC Tbk - Indonesia - -)','92000591','Gliclazid 80 mg Tablet','GLICLAZIDE','Tablet','Tablet','Obat Keras','https://dto.kemkes.go.id/kfacode/93000794',0,'2023-05-01');</v>
      </c>
    </row>
    <row r="600" spans="1:11" ht="15.75" customHeight="1">
      <c r="A600" s="2">
        <v>93001116</v>
      </c>
      <c r="B600" s="2" t="s">
        <v>2470</v>
      </c>
      <c r="C600" s="2">
        <v>92000352</v>
      </c>
      <c r="D600" s="2" t="s">
        <v>979</v>
      </c>
      <c r="E600" s="2" t="s">
        <v>2471</v>
      </c>
      <c r="F600" s="2" t="s">
        <v>640</v>
      </c>
      <c r="G600" s="2" t="s">
        <v>1608</v>
      </c>
      <c r="H600" s="2" t="s">
        <v>1458</v>
      </c>
      <c r="I600" s="3" t="str">
        <f t="shared" si="0"/>
        <v>https://dto.kemkes.go.id/kfacode/93001116</v>
      </c>
      <c r="J600" s="34" t="s">
        <v>3768</v>
      </c>
      <c r="K600" t="str">
        <f t="shared" si="10"/>
        <v>insert into mkatalog_kfa93 (kode, uraian, kode_92, uraian_92, nama_dagang, satuan_kecil, sediaan, golongan, url, userid_updt, sysdate_updt) values ('93001116','Gliclazide 60 mg Tablet Pelepasan Lambat (FONYLIN)','92000352','Gliclazide 60 mg Tablet Pelepasan Lambat','FONYLIN MR','Tablet','Tablet Pelepasan Lambat','Obat Keras','https://dto.kemkes.go.id/kfacode/93001116',0,'2023-05-01');</v>
      </c>
    </row>
    <row r="601" spans="1:11" ht="15.75" customHeight="1">
      <c r="A601" s="2">
        <v>93000730</v>
      </c>
      <c r="B601" s="2" t="s">
        <v>2472</v>
      </c>
      <c r="C601" s="2">
        <v>92000523</v>
      </c>
      <c r="D601" s="2" t="s">
        <v>980</v>
      </c>
      <c r="E601" s="2" t="s">
        <v>2473</v>
      </c>
      <c r="F601" s="2" t="s">
        <v>640</v>
      </c>
      <c r="G601" s="2" t="s">
        <v>640</v>
      </c>
      <c r="H601" s="2" t="s">
        <v>1458</v>
      </c>
      <c r="I601" s="3" t="str">
        <f t="shared" si="0"/>
        <v>https://dto.kemkes.go.id/kfacode/93000730</v>
      </c>
      <c r="J601" s="34" t="s">
        <v>3768</v>
      </c>
      <c r="K601" t="str">
        <f t="shared" si="10"/>
        <v>insert into mkatalog_kfa93 (kode, uraian, kode_92, uraian_92, nama_dagang, satuan_kecil, sediaan, golongan, url, userid_updt, sysdate_updt) values ('93000730','Glikuidon 30 mg Tablet (DEXA MEDICA - Indonesia - -)','92000523','Glikuidon 30 mg Tablet','GLIQUIDONE','Tablet','Tablet','Obat Keras','https://dto.kemkes.go.id/kfacode/93000730',0,'2023-05-01');</v>
      </c>
    </row>
    <row r="602" spans="1:11" ht="15.75" customHeight="1">
      <c r="A602" s="2">
        <v>93000799</v>
      </c>
      <c r="B602" s="2" t="s">
        <v>2474</v>
      </c>
      <c r="C602" s="2">
        <v>92000594</v>
      </c>
      <c r="D602" s="2" t="s">
        <v>981</v>
      </c>
      <c r="E602" s="2" t="s">
        <v>2475</v>
      </c>
      <c r="F602" s="2" t="s">
        <v>640</v>
      </c>
      <c r="G602" s="2" t="s">
        <v>640</v>
      </c>
      <c r="H602" s="2" t="s">
        <v>1458</v>
      </c>
      <c r="I602" s="3" t="str">
        <f t="shared" si="0"/>
        <v>https://dto.kemkes.go.id/kfacode/93000799</v>
      </c>
      <c r="J602" s="34" t="s">
        <v>3768</v>
      </c>
      <c r="K602" t="str">
        <f t="shared" si="10"/>
        <v>insert into mkatalog_kfa93 (kode, uraian, kode_92, uraian_92, nama_dagang, satuan_kecil, sediaan, golongan, url, userid_updt, sysdate_updt) values ('93000799','Glimepiride 1 mg Tablet (DEXA MEDICA - Indonesia - -)','92000594','Glimepiride 1 mg Tablet','GLIMEPIRIDE','Tablet','Tablet','Obat Keras','https://dto.kemkes.go.id/kfacode/93000799',0,'2023-05-01');</v>
      </c>
    </row>
    <row r="603" spans="1:11" ht="15.75" customHeight="1">
      <c r="A603" s="2">
        <v>93000803</v>
      </c>
      <c r="B603" s="2" t="s">
        <v>2476</v>
      </c>
      <c r="C603" s="2">
        <v>92000594</v>
      </c>
      <c r="D603" s="2" t="s">
        <v>981</v>
      </c>
      <c r="E603" s="2" t="s">
        <v>2475</v>
      </c>
      <c r="F603" s="2" t="s">
        <v>640</v>
      </c>
      <c r="G603" s="2" t="s">
        <v>640</v>
      </c>
      <c r="H603" s="2" t="s">
        <v>1458</v>
      </c>
      <c r="I603" s="3" t="str">
        <f t="shared" si="0"/>
        <v>https://dto.kemkes.go.id/kfacode/93000803</v>
      </c>
      <c r="J603" s="34" t="s">
        <v>3768</v>
      </c>
      <c r="K603" t="str">
        <f t="shared" si="10"/>
        <v>insert into mkatalog_kfa93 (kode, uraian, kode_92, uraian_92, nama_dagang, satuan_kecil, sediaan, golongan, url, userid_updt, sysdate_updt) values ('93000803','Glimepiride 1 mg Tablet (ERNOFARM - Indonesia - -)','92000594','Glimepiride 1 mg Tablet','GLIMEPIRIDE','Tablet','Tablet','Obat Keras','https://dto.kemkes.go.id/kfacode/93000803',0,'2023-05-01');</v>
      </c>
    </row>
    <row r="604" spans="1:11" ht="15.75" customHeight="1">
      <c r="A604" s="2">
        <v>93000805</v>
      </c>
      <c r="B604" s="2" t="s">
        <v>2477</v>
      </c>
      <c r="C604" s="2">
        <v>92000594</v>
      </c>
      <c r="D604" s="2" t="s">
        <v>981</v>
      </c>
      <c r="E604" s="2" t="s">
        <v>2475</v>
      </c>
      <c r="F604" s="2" t="s">
        <v>640</v>
      </c>
      <c r="G604" s="2" t="s">
        <v>640</v>
      </c>
      <c r="H604" s="2" t="s">
        <v>1458</v>
      </c>
      <c r="I604" s="3" t="str">
        <f t="shared" si="0"/>
        <v>https://dto.kemkes.go.id/kfacode/93000805</v>
      </c>
      <c r="J604" s="34" t="s">
        <v>3768</v>
      </c>
      <c r="K604" t="str">
        <f t="shared" si="10"/>
        <v>insert into mkatalog_kfa93 (kode, uraian, kode_92, uraian_92, nama_dagang, satuan_kecil, sediaan, golongan, url, userid_updt, sysdate_updt) values ('93000805','Glimepiride 1 mg Tablet (GUARDIAN PHARMATAMA - Indonesia - -)','92000594','Glimepiride 1 mg Tablet','GLIMEPIRIDE','Tablet','Tablet','Obat Keras','https://dto.kemkes.go.id/kfacode/93000805',0,'2023-05-01');</v>
      </c>
    </row>
    <row r="605" spans="1:11" ht="15.75" customHeight="1">
      <c r="A605" s="2">
        <v>93001461</v>
      </c>
      <c r="B605" s="2" t="s">
        <v>2478</v>
      </c>
      <c r="C605" s="2">
        <v>92000594</v>
      </c>
      <c r="D605" s="2" t="s">
        <v>981</v>
      </c>
      <c r="E605" s="2" t="s">
        <v>2475</v>
      </c>
      <c r="F605" s="2" t="s">
        <v>640</v>
      </c>
      <c r="G605" s="2" t="s">
        <v>640</v>
      </c>
      <c r="H605" s="2" t="s">
        <v>1458</v>
      </c>
      <c r="I605" s="3" t="str">
        <f t="shared" si="0"/>
        <v>https://dto.kemkes.go.id/kfacode/93001461</v>
      </c>
      <c r="J605" s="34" t="s">
        <v>3768</v>
      </c>
      <c r="K605" t="str">
        <f t="shared" si="10"/>
        <v>insert into mkatalog_kfa93 (kode, uraian, kode_92, uraian_92, nama_dagang, satuan_kecil, sediaan, golongan, url, userid_updt, sysdate_updt) values ('93001461','Glimepiride 1 mg Tablet (HEXPHARM JAYA LABORATORIES)','92000594','Glimepiride 1 mg Tablet','GLIMEPIRIDE','Tablet','Tablet','Obat Keras','https://dto.kemkes.go.id/kfacode/93001461',0,'2023-05-01');</v>
      </c>
    </row>
    <row r="606" spans="1:11" ht="15.75" customHeight="1">
      <c r="A606" s="2">
        <v>93000806</v>
      </c>
      <c r="B606" s="2" t="s">
        <v>2479</v>
      </c>
      <c r="C606" s="2">
        <v>92000594</v>
      </c>
      <c r="D606" s="2" t="s">
        <v>981</v>
      </c>
      <c r="E606" s="2" t="s">
        <v>2475</v>
      </c>
      <c r="F606" s="2" t="s">
        <v>640</v>
      </c>
      <c r="G606" s="2" t="s">
        <v>640</v>
      </c>
      <c r="H606" s="2" t="s">
        <v>1458</v>
      </c>
      <c r="I606" s="3" t="str">
        <f t="shared" si="0"/>
        <v>https://dto.kemkes.go.id/kfacode/93000806</v>
      </c>
      <c r="J606" s="34" t="s">
        <v>3768</v>
      </c>
      <c r="K606" t="str">
        <f t="shared" si="10"/>
        <v>insert into mkatalog_kfa93 (kode, uraian, kode_92, uraian_92, nama_dagang, satuan_kecil, sediaan, golongan, url, userid_updt, sysdate_updt) values ('93000806','Glimepiride 1 mg Tablet (INFION - Indonesia - -)','92000594','Glimepiride 1 mg Tablet','GLIMEPIRIDE','Tablet','Tablet','Obat Keras','https://dto.kemkes.go.id/kfacode/93000806',0,'2023-05-01');</v>
      </c>
    </row>
    <row r="607" spans="1:11" ht="15.75" customHeight="1">
      <c r="A607" s="2">
        <v>93000802</v>
      </c>
      <c r="B607" s="2" t="s">
        <v>2480</v>
      </c>
      <c r="C607" s="2">
        <v>92000594</v>
      </c>
      <c r="D607" s="2" t="s">
        <v>981</v>
      </c>
      <c r="E607" s="2" t="s">
        <v>2475</v>
      </c>
      <c r="F607" s="2" t="s">
        <v>640</v>
      </c>
      <c r="G607" s="2" t="s">
        <v>640</v>
      </c>
      <c r="H607" s="2" t="s">
        <v>1458</v>
      </c>
      <c r="I607" s="3" t="str">
        <f t="shared" si="0"/>
        <v>https://dto.kemkes.go.id/kfacode/93000802</v>
      </c>
      <c r="J607" s="34" t="s">
        <v>3768</v>
      </c>
      <c r="K607" t="str">
        <f t="shared" si="10"/>
        <v>insert into mkatalog_kfa93 (kode, uraian, kode_92, uraian_92, nama_dagang, satuan_kecil, sediaan, golongan, url, userid_updt, sysdate_updt) values ('93000802','Glimepiride 1 mg Tablet (KIMIA FARMA Tbk. - Indonesia - -)','92000594','Glimepiride 1 mg Tablet','GLIMEPIRIDE','Tablet','Tablet','Obat Keras','https://dto.kemkes.go.id/kfacode/93000802',0,'2023-05-01');</v>
      </c>
    </row>
    <row r="608" spans="1:11" ht="15.75" customHeight="1">
      <c r="A608" s="2">
        <v>93000356</v>
      </c>
      <c r="B608" s="2" t="s">
        <v>2481</v>
      </c>
      <c r="C608" s="2">
        <v>92000163</v>
      </c>
      <c r="D608" s="2" t="s">
        <v>982</v>
      </c>
      <c r="E608" s="2" t="s">
        <v>2475</v>
      </c>
      <c r="F608" s="2" t="s">
        <v>640</v>
      </c>
      <c r="G608" s="2" t="s">
        <v>640</v>
      </c>
      <c r="H608" s="2" t="s">
        <v>1458</v>
      </c>
      <c r="I608" s="3" t="str">
        <f t="shared" si="0"/>
        <v>https://dto.kemkes.go.id/kfacode/93000356</v>
      </c>
      <c r="J608" s="34" t="s">
        <v>3768</v>
      </c>
      <c r="K608" t="str">
        <f t="shared" si="10"/>
        <v>insert into mkatalog_kfa93 (kode, uraian, kode_92, uraian_92, nama_dagang, satuan_kecil, sediaan, golongan, url, userid_updt, sysdate_updt) values ('93000356','Glimepiride 2 mg Tablet (DEXA MEDICA)','92000163','Glimepiride 2 mg Tablet','GLIMEPIRIDE','Tablet','Tablet','Obat Keras','https://dto.kemkes.go.id/kfacode/93000356',0,'2023-05-01');</v>
      </c>
    </row>
    <row r="609" spans="1:11" ht="15.75" customHeight="1">
      <c r="A609" s="2">
        <v>93000817</v>
      </c>
      <c r="B609" s="2" t="s">
        <v>2482</v>
      </c>
      <c r="C609" s="2">
        <v>92000595</v>
      </c>
      <c r="D609" s="2" t="s">
        <v>983</v>
      </c>
      <c r="E609" s="2" t="s">
        <v>2475</v>
      </c>
      <c r="F609" s="2" t="s">
        <v>640</v>
      </c>
      <c r="G609" s="2" t="s">
        <v>640</v>
      </c>
      <c r="H609" s="2" t="s">
        <v>1458</v>
      </c>
      <c r="I609" s="3" t="str">
        <f t="shared" si="0"/>
        <v>https://dto.kemkes.go.id/kfacode/93000817</v>
      </c>
      <c r="J609" s="34" t="s">
        <v>3768</v>
      </c>
      <c r="K609" t="str">
        <f t="shared" si="10"/>
        <v>insert into mkatalog_kfa93 (kode, uraian, kode_92, uraian_92, nama_dagang, satuan_kecil, sediaan, golongan, url, userid_updt, sysdate_updt) values ('93000817','Glimepiride 3 mg Tablet (API LABORATORIES - Indonesia - -)','92000595','Glimepiride 3 mg Tablet','GLIMEPIRIDE','Tablet','Tablet','Obat Keras','https://dto.kemkes.go.id/kfacode/93000817',0,'2023-05-01');</v>
      </c>
    </row>
    <row r="610" spans="1:11" ht="15.75" customHeight="1">
      <c r="A610" s="2">
        <v>93000814</v>
      </c>
      <c r="B610" s="2" t="s">
        <v>2483</v>
      </c>
      <c r="C610" s="2">
        <v>92000595</v>
      </c>
      <c r="D610" s="2" t="s">
        <v>983</v>
      </c>
      <c r="E610" s="2" t="s">
        <v>2475</v>
      </c>
      <c r="F610" s="2" t="s">
        <v>640</v>
      </c>
      <c r="G610" s="2" t="s">
        <v>640</v>
      </c>
      <c r="H610" s="2" t="s">
        <v>1458</v>
      </c>
      <c r="I610" s="3" t="str">
        <f t="shared" si="0"/>
        <v>https://dto.kemkes.go.id/kfacode/93000814</v>
      </c>
      <c r="J610" s="34" t="s">
        <v>3768</v>
      </c>
      <c r="K610" t="str">
        <f t="shared" si="10"/>
        <v>insert into mkatalog_kfa93 (kode, uraian, kode_92, uraian_92, nama_dagang, satuan_kecil, sediaan, golongan, url, userid_updt, sysdate_updt) values ('93000814','Glimepiride 3 mg Tablet (BERNOFARM - Indonesia - -)','92000595','Glimepiride 3 mg Tablet','GLIMEPIRIDE','Tablet','Tablet','Obat Keras','https://dto.kemkes.go.id/kfacode/93000814',0,'2023-05-01');</v>
      </c>
    </row>
    <row r="611" spans="1:11" ht="15.75" customHeight="1">
      <c r="A611" s="2">
        <v>93000809</v>
      </c>
      <c r="B611" s="2" t="s">
        <v>2484</v>
      </c>
      <c r="C611" s="2">
        <v>92000595</v>
      </c>
      <c r="D611" s="2" t="s">
        <v>983</v>
      </c>
      <c r="E611" s="2" t="s">
        <v>2475</v>
      </c>
      <c r="F611" s="2" t="s">
        <v>640</v>
      </c>
      <c r="G611" s="2" t="s">
        <v>640</v>
      </c>
      <c r="H611" s="2" t="s">
        <v>1458</v>
      </c>
      <c r="I611" s="3" t="str">
        <f t="shared" si="0"/>
        <v>https://dto.kemkes.go.id/kfacode/93000809</v>
      </c>
      <c r="J611" s="34" t="s">
        <v>3768</v>
      </c>
      <c r="K611" t="str">
        <f t="shared" si="10"/>
        <v>insert into mkatalog_kfa93 (kode, uraian, kode_92, uraian_92, nama_dagang, satuan_kecil, sediaan, golongan, url, userid_updt, sysdate_updt) values ('93000809','Glimepiride 3 mg Tablet (DEXA MEDICA - Indonesia - -)','92000595','Glimepiride 3 mg Tablet','GLIMEPIRIDE','Tablet','Tablet','Obat Keras','https://dto.kemkes.go.id/kfacode/93000809',0,'2023-05-01');</v>
      </c>
    </row>
    <row r="612" spans="1:11" ht="15.75" customHeight="1">
      <c r="A612" s="2">
        <v>93000815</v>
      </c>
      <c r="B612" s="2" t="s">
        <v>2485</v>
      </c>
      <c r="C612" s="2">
        <v>92000595</v>
      </c>
      <c r="D612" s="2" t="s">
        <v>983</v>
      </c>
      <c r="E612" s="2" t="s">
        <v>2475</v>
      </c>
      <c r="F612" s="2" t="s">
        <v>640</v>
      </c>
      <c r="G612" s="2" t="s">
        <v>640</v>
      </c>
      <c r="H612" s="2" t="s">
        <v>1458</v>
      </c>
      <c r="I612" s="3" t="str">
        <f t="shared" si="0"/>
        <v>https://dto.kemkes.go.id/kfacode/93000815</v>
      </c>
      <c r="J612" s="34" t="s">
        <v>3768</v>
      </c>
      <c r="K612" t="str">
        <f t="shared" si="10"/>
        <v>insert into mkatalog_kfa93 (kode, uraian, kode_92, uraian_92, nama_dagang, satuan_kecil, sediaan, golongan, url, userid_updt, sysdate_updt) values ('93000815','Glimepiride 3 mg Tablet (GUARDIAN PHARMATAMA - Indonesia - -)','92000595','Glimepiride 3 mg Tablet','GLIMEPIRIDE','Tablet','Tablet','Obat Keras','https://dto.kemkes.go.id/kfacode/93000815',0,'2023-05-01');</v>
      </c>
    </row>
    <row r="613" spans="1:11" ht="15.75" customHeight="1">
      <c r="A613" s="2">
        <v>93001430</v>
      </c>
      <c r="B613" s="2" t="s">
        <v>2486</v>
      </c>
      <c r="C613" s="2">
        <v>92000595</v>
      </c>
      <c r="D613" s="2" t="s">
        <v>983</v>
      </c>
      <c r="E613" s="2" t="s">
        <v>2475</v>
      </c>
      <c r="F613" s="2" t="s">
        <v>640</v>
      </c>
      <c r="G613" s="2" t="s">
        <v>640</v>
      </c>
      <c r="H613" s="2" t="s">
        <v>1458</v>
      </c>
      <c r="I613" s="3" t="str">
        <f t="shared" si="0"/>
        <v>https://dto.kemkes.go.id/kfacode/93001430</v>
      </c>
      <c r="J613" s="34" t="s">
        <v>3768</v>
      </c>
      <c r="K613" t="str">
        <f t="shared" si="10"/>
        <v>insert into mkatalog_kfa93 (kode, uraian, kode_92, uraian_92, nama_dagang, satuan_kecil, sediaan, golongan, url, userid_updt, sysdate_updt) values ('93001430','Glimepiride 3 mg Tablet (HEXPHARM JAYA LABORATORIES)','92000595','Glimepiride 3 mg Tablet','GLIMEPIRIDE','Tablet','Tablet','Obat Keras','https://dto.kemkes.go.id/kfacode/93001430',0,'2023-05-01');</v>
      </c>
    </row>
    <row r="614" spans="1:11" ht="15.75" customHeight="1">
      <c r="A614" s="2">
        <v>93001290</v>
      </c>
      <c r="B614" s="2" t="s">
        <v>2487</v>
      </c>
      <c r="C614" s="2">
        <v>92000595</v>
      </c>
      <c r="D614" s="2" t="s">
        <v>983</v>
      </c>
      <c r="F614" s="2" t="s">
        <v>640</v>
      </c>
      <c r="G614" s="2" t="s">
        <v>640</v>
      </c>
      <c r="H614" s="2" t="s">
        <v>1458</v>
      </c>
      <c r="I614" s="3" t="str">
        <f t="shared" si="0"/>
        <v>https://dto.kemkes.go.id/kfacode/93001290</v>
      </c>
      <c r="J614" s="34" t="s">
        <v>3768</v>
      </c>
      <c r="K614" t="str">
        <f t="shared" si="10"/>
        <v>insert into mkatalog_kfa93 (kode, uraian, kode_92, uraian_92, nama_dagang, satuan_kecil, sediaan, golongan, url, userid_updt, sysdate_updt) values ('93001290','Glimepiride 3 mg Tablet (INFION - Indonesia - -)','92000595','Glimepiride 3 mg Tablet','','Tablet','Tablet','Obat Keras','https://dto.kemkes.go.id/kfacode/93001290',0,'2023-05-01');</v>
      </c>
    </row>
    <row r="615" spans="1:11" ht="15.75" customHeight="1">
      <c r="A615" s="2">
        <v>93000812</v>
      </c>
      <c r="B615" s="2" t="s">
        <v>2488</v>
      </c>
      <c r="C615" s="2">
        <v>92000595</v>
      </c>
      <c r="D615" s="2" t="s">
        <v>983</v>
      </c>
      <c r="E615" s="2" t="s">
        <v>2475</v>
      </c>
      <c r="F615" s="2" t="s">
        <v>640</v>
      </c>
      <c r="G615" s="2" t="s">
        <v>640</v>
      </c>
      <c r="H615" s="2" t="s">
        <v>1458</v>
      </c>
      <c r="I615" s="3" t="str">
        <f t="shared" si="0"/>
        <v>https://dto.kemkes.go.id/kfacode/93000812</v>
      </c>
      <c r="J615" s="34" t="s">
        <v>3768</v>
      </c>
      <c r="K615" t="str">
        <f t="shared" si="10"/>
        <v>insert into mkatalog_kfa93 (kode, uraian, kode_92, uraian_92, nama_dagang, satuan_kecil, sediaan, golongan, url, userid_updt, sysdate_updt) values ('93000812','Glimepiride 3 mg Tablet (KIMIA FARMA, Jakarta - Indonesia - -)','92000595','Glimepiride 3 mg Tablet','GLIMEPIRIDE','Tablet','Tablet','Obat Keras','https://dto.kemkes.go.id/kfacode/93000812',0,'2023-05-01');</v>
      </c>
    </row>
    <row r="616" spans="1:11" ht="15.75" customHeight="1">
      <c r="A616" s="2">
        <v>93000760</v>
      </c>
      <c r="B616" s="2" t="s">
        <v>2489</v>
      </c>
      <c r="C616" s="2">
        <v>92000417</v>
      </c>
      <c r="D616" s="2" t="s">
        <v>984</v>
      </c>
      <c r="E616" s="2" t="s">
        <v>2475</v>
      </c>
      <c r="F616" s="2" t="s">
        <v>640</v>
      </c>
      <c r="G616" s="2" t="s">
        <v>640</v>
      </c>
      <c r="H616" s="2" t="s">
        <v>1458</v>
      </c>
      <c r="I616" s="3" t="str">
        <f t="shared" si="0"/>
        <v>https://dto.kemkes.go.id/kfacode/93000760</v>
      </c>
      <c r="J616" s="34" t="s">
        <v>3768</v>
      </c>
      <c r="K616" t="str">
        <f t="shared" si="10"/>
        <v>insert into mkatalog_kfa93 (kode, uraian, kode_92, uraian_92, nama_dagang, satuan_kecil, sediaan, golongan, url, userid_updt, sysdate_updt) values ('93000760','Glimepiride 4 mg Tablet (DEXA MEDICA)','92000417','Glimepiride 4 mg Tablet','GLIMEPIRIDE','Tablet','Tablet','Obat Keras','https://dto.kemkes.go.id/kfacode/93000760',0,'2023-05-01');</v>
      </c>
    </row>
    <row r="617" spans="1:11" ht="15.75" customHeight="1">
      <c r="A617" s="2">
        <v>93001358</v>
      </c>
      <c r="B617" s="2" t="s">
        <v>2490</v>
      </c>
      <c r="C617" s="2">
        <v>92000417</v>
      </c>
      <c r="D617" s="2" t="s">
        <v>984</v>
      </c>
      <c r="E617" s="2" t="s">
        <v>2475</v>
      </c>
      <c r="F617" s="2" t="s">
        <v>640</v>
      </c>
      <c r="G617" s="2" t="s">
        <v>640</v>
      </c>
      <c r="H617" s="2" t="s">
        <v>1458</v>
      </c>
      <c r="I617" s="3" t="str">
        <f t="shared" si="0"/>
        <v>https://dto.kemkes.go.id/kfacode/93001358</v>
      </c>
      <c r="J617" s="34" t="s">
        <v>3768</v>
      </c>
      <c r="K617" t="str">
        <f t="shared" si="10"/>
        <v>insert into mkatalog_kfa93 (kode, uraian, kode_92, uraian_92, nama_dagang, satuan_kecil, sediaan, golongan, url, userid_updt, sysdate_updt) values ('93001358','Glimepiride 4 mg Tablet (KIMIA FARMA)','92000417','Glimepiride 4 mg Tablet','GLIMEPIRIDE','Tablet','Tablet','Obat Keras','https://dto.kemkes.go.id/kfacode/93001358',0,'2023-05-01');</v>
      </c>
    </row>
    <row r="618" spans="1:11" ht="15.75" customHeight="1">
      <c r="A618" s="2">
        <v>93001522</v>
      </c>
      <c r="B618" s="2" t="s">
        <v>2491</v>
      </c>
      <c r="C618" s="2">
        <v>92000869</v>
      </c>
      <c r="D618" s="2" t="s">
        <v>985</v>
      </c>
      <c r="E618" s="2" t="s">
        <v>2492</v>
      </c>
      <c r="F618" s="2" t="s">
        <v>640</v>
      </c>
      <c r="G618" s="2" t="s">
        <v>1608</v>
      </c>
      <c r="H618" s="2" t="s">
        <v>1458</v>
      </c>
      <c r="I618" s="3" t="str">
        <f t="shared" si="0"/>
        <v>https://dto.kemkes.go.id/kfacode/93001522</v>
      </c>
      <c r="J618" s="34" t="s">
        <v>3768</v>
      </c>
      <c r="K618" t="str">
        <f t="shared" si="10"/>
        <v>insert into mkatalog_kfa93 (kode, uraian, kode_92, uraian_92, nama_dagang, satuan_kecil, sediaan, golongan, url, userid_updt, sysdate_updt) values ('93001522','Glipizide 10 mg Tablet  Pelepasan Lambat (GLUCOTROL XL)','92000869','Glipizide 10 mg Tablet  Pelepasan Lambat','GLUCOTROL XL','Tablet','Tablet Pelepasan Lambat','Obat Keras','https://dto.kemkes.go.id/kfacode/93001522',0,'2023-05-01');</v>
      </c>
    </row>
    <row r="619" spans="1:11" ht="15.75" customHeight="1">
      <c r="A619" s="2">
        <v>93001523</v>
      </c>
      <c r="B619" s="2" t="s">
        <v>2493</v>
      </c>
      <c r="C619" s="2">
        <v>92000870</v>
      </c>
      <c r="D619" s="2" t="s">
        <v>986</v>
      </c>
      <c r="E619" s="2" t="s">
        <v>2492</v>
      </c>
      <c r="F619" s="2" t="s">
        <v>640</v>
      </c>
      <c r="G619" s="2" t="s">
        <v>1608</v>
      </c>
      <c r="H619" s="2" t="s">
        <v>1458</v>
      </c>
      <c r="I619" s="3" t="str">
        <f t="shared" si="0"/>
        <v>https://dto.kemkes.go.id/kfacode/93001523</v>
      </c>
      <c r="J619" s="34" t="s">
        <v>3768</v>
      </c>
      <c r="K619" t="str">
        <f t="shared" si="10"/>
        <v>insert into mkatalog_kfa93 (kode, uraian, kode_92, uraian_92, nama_dagang, satuan_kecil, sediaan, golongan, url, userid_updt, sysdate_updt) values ('93001523','Glipizide 5 mg Tablet Pelepasan Lambat (GLUCOTROL XL)','92000870','Glipizide 5 mg Tablet Pelepasan Lambat','GLUCOTROL XL','Tablet','Tablet Pelepasan Lambat','Obat Keras','https://dto.kemkes.go.id/kfacode/93001523',0,'2023-05-01');</v>
      </c>
    </row>
    <row r="620" spans="1:11" ht="15.75" customHeight="1">
      <c r="A620" s="2">
        <v>93000564</v>
      </c>
      <c r="B620" s="2" t="s">
        <v>2494</v>
      </c>
      <c r="C620" s="2">
        <v>92000376</v>
      </c>
      <c r="D620" s="2" t="s">
        <v>987</v>
      </c>
      <c r="E620" s="2" t="s">
        <v>2495</v>
      </c>
      <c r="F620" s="2" t="s">
        <v>640</v>
      </c>
      <c r="G620" s="2" t="s">
        <v>2114</v>
      </c>
      <c r="H620" s="2" t="s">
        <v>1458</v>
      </c>
      <c r="I620" s="3" t="str">
        <f t="shared" si="0"/>
        <v>https://dto.kemkes.go.id/kfacode/93000564</v>
      </c>
      <c r="J620" s="34" t="s">
        <v>3768</v>
      </c>
      <c r="K620" t="str">
        <f t="shared" si="10"/>
        <v>insert into mkatalog_kfa93 (kode, uraian, kode_92, uraian_92, nama_dagang, satuan_kecil, sediaan, golongan, url, userid_updt, sysdate_updt) values ('93000564','Glyceryl Trinitrate 2,5 mg Kapsul Pelepasan Lambat (NITROKAF RETARD)','92000376','Glyceryl Trinitrate 2,5 mg Kapsul Pelepasan Lambat','NITROKAF RETARD','Tablet','Kapsul Pelepasan Lambat','Obat Keras','https://dto.kemkes.go.id/kfacode/93000564',0,'2023-05-01');</v>
      </c>
    </row>
    <row r="621" spans="1:11" ht="15.75" customHeight="1">
      <c r="A621" s="2">
        <v>93001517</v>
      </c>
      <c r="B621" s="2" t="s">
        <v>2496</v>
      </c>
      <c r="C621" s="2">
        <v>92000854</v>
      </c>
      <c r="D621" s="2" t="s">
        <v>988</v>
      </c>
      <c r="E621" s="2" t="s">
        <v>2495</v>
      </c>
      <c r="F621" s="2" t="s">
        <v>649</v>
      </c>
      <c r="G621" s="2" t="s">
        <v>2114</v>
      </c>
      <c r="H621" s="2" t="s">
        <v>1458</v>
      </c>
      <c r="I621" s="3" t="str">
        <f t="shared" si="0"/>
        <v>https://dto.kemkes.go.id/kfacode/93001517</v>
      </c>
      <c r="J621" s="34" t="s">
        <v>3768</v>
      </c>
      <c r="K621" t="str">
        <f t="shared" si="10"/>
        <v>insert into mkatalog_kfa93 (kode, uraian, kode_92, uraian_92, nama_dagang, satuan_kecil, sediaan, golongan, url, userid_updt, sysdate_updt) values ('93001517','Glyceryl Trinitrate 5 mg Kapsul Pelepasan Lambat (NITROKAF RETARD)','92000854','Glyceryl Trinitrate 5 mg Kapsul Pelepasan Lambat','NITROKAF RETARD','Kapsul','Kapsul Pelepasan Lambat','Obat Keras','https://dto.kemkes.go.id/kfacode/93001517',0,'2023-05-01');</v>
      </c>
    </row>
    <row r="622" spans="1:11" ht="15.75" customHeight="1">
      <c r="A622" s="2">
        <v>93001393</v>
      </c>
      <c r="B622" s="2" t="s">
        <v>2497</v>
      </c>
      <c r="C622" s="2">
        <v>92000743</v>
      </c>
      <c r="D622" s="2" t="s">
        <v>989</v>
      </c>
      <c r="E622" s="2" t="s">
        <v>2498</v>
      </c>
      <c r="F622" s="2" t="s">
        <v>640</v>
      </c>
      <c r="G622" s="2" t="s">
        <v>2499</v>
      </c>
      <c r="H622" s="2" t="s">
        <v>1458</v>
      </c>
      <c r="I622" s="3" t="str">
        <f t="shared" si="0"/>
        <v>https://dto.kemkes.go.id/kfacode/93001393</v>
      </c>
      <c r="J622" s="34" t="s">
        <v>3768</v>
      </c>
      <c r="K622" t="str">
        <f t="shared" si="10"/>
        <v>insert into mkatalog_kfa93 (kode, uraian, kode_92, uraian_92, nama_dagang, satuan_kecil, sediaan, golongan, url, userid_updt, sysdate_updt) values ('93001393','Glyceryl Trinitrate 500 mcg Tablet Sublingual (NITRAL)','92000743','Glyceryl Trinitrate 500 mcg Tablet Sublingual','NITRAL','Tablet','Tablet Sublingual','Obat Keras','https://dto.kemkes.go.id/kfacode/93001393',0,'2023-05-01');</v>
      </c>
    </row>
    <row r="623" spans="1:11" ht="15.75" customHeight="1">
      <c r="A623" s="2">
        <v>93001016</v>
      </c>
      <c r="B623" s="2" t="s">
        <v>2500</v>
      </c>
      <c r="C623" s="2">
        <v>92000528</v>
      </c>
      <c r="D623" s="2" t="s">
        <v>990</v>
      </c>
      <c r="E623" s="2" t="s">
        <v>2501</v>
      </c>
      <c r="F623" s="2" t="s">
        <v>649</v>
      </c>
      <c r="G623" s="2" t="s">
        <v>1738</v>
      </c>
      <c r="H623" s="2" t="s">
        <v>1458</v>
      </c>
      <c r="I623" s="3" t="str">
        <f t="shared" si="0"/>
        <v>https://dto.kemkes.go.id/kfacode/93001016</v>
      </c>
      <c r="J623" s="34" t="s">
        <v>3768</v>
      </c>
      <c r="K623" t="str">
        <f t="shared" si="10"/>
        <v>insert into mkatalog_kfa93 (kode, uraian, kode_92, uraian_92, nama_dagang, satuan_kecil, sediaan, golongan, url, userid_updt, sysdate_updt) values ('93001016','Glycopyrronium 50 mcg Serbuk Inhaler (SEEBRI BREEZHALER)','92000528','Glycopyrronium 50 mcg Serbuk Inhaler','SEEBRI BREEZHALER','Kapsul','Serbuk Inhaler','Obat Keras','https://dto.kemkes.go.id/kfacode/93001016',0,'2023-05-01');</v>
      </c>
    </row>
    <row r="624" spans="1:11" ht="15.75" customHeight="1">
      <c r="A624" s="2">
        <v>93000413</v>
      </c>
      <c r="B624" s="2" t="s">
        <v>2502</v>
      </c>
      <c r="C624" s="2">
        <v>92000296</v>
      </c>
      <c r="D624" s="2" t="s">
        <v>991</v>
      </c>
      <c r="E624" s="2" t="s">
        <v>2503</v>
      </c>
      <c r="F624" s="2" t="s">
        <v>899</v>
      </c>
      <c r="G624" s="2" t="s">
        <v>1500</v>
      </c>
      <c r="H624" s="2" t="s">
        <v>1458</v>
      </c>
      <c r="I624" s="3" t="str">
        <f t="shared" si="0"/>
        <v>https://dto.kemkes.go.id/kfacode/93000413</v>
      </c>
      <c r="J624" s="34" t="s">
        <v>3768</v>
      </c>
      <c r="K624" t="str">
        <f t="shared" si="10"/>
        <v>insert into mkatalog_kfa93 (kode, uraian, kode_92, uraian_92, nama_dagang, satuan_kecil, sediaan, golongan, url, userid_updt, sysdate_updt) values ('93000413','Goserelin Acetat 3,6 mg Serbuk Injeksi (ZOLADEX)','92000296','Goserelin Acetat 3,6 mg Serbuk Injeksi','ZOLADEX','Prefilled Syringe','Serbuk Injeksi','Obat Keras','https://dto.kemkes.go.id/kfacode/93000413',0,'2023-05-01');</v>
      </c>
    </row>
    <row r="625" spans="1:11" ht="15.75" customHeight="1">
      <c r="A625" s="2">
        <v>93000412</v>
      </c>
      <c r="B625" s="2" t="s">
        <v>2504</v>
      </c>
      <c r="C625" s="2">
        <v>92000295</v>
      </c>
      <c r="D625" s="2" t="s">
        <v>992</v>
      </c>
      <c r="E625" s="2" t="s">
        <v>2505</v>
      </c>
      <c r="F625" s="2" t="s">
        <v>899</v>
      </c>
      <c r="G625" s="2" t="s">
        <v>1500</v>
      </c>
      <c r="H625" s="2" t="s">
        <v>1458</v>
      </c>
      <c r="I625" s="3" t="str">
        <f t="shared" si="0"/>
        <v>https://dto.kemkes.go.id/kfacode/93000412</v>
      </c>
      <c r="J625" s="34" t="s">
        <v>3768</v>
      </c>
      <c r="K625" t="str">
        <f t="shared" si="10"/>
        <v>insert into mkatalog_kfa93 (kode, uraian, kode_92, uraian_92, nama_dagang, satuan_kecil, sediaan, golongan, url, userid_updt, sysdate_updt) values ('93000412','Goserelin Acetate 10,8 mg Serbuk Injeksi (ZOLADEX LA)','92000295','Goserelin Acetate 10,8 mg Serbuk Injeksi','ZOLADEX LA','Prefilled Syringe','Serbuk Injeksi','Obat Keras','https://dto.kemkes.go.id/kfacode/93000412',0,'2023-05-01');</v>
      </c>
    </row>
    <row r="626" spans="1:11" ht="15.75" customHeight="1">
      <c r="A626" s="2">
        <v>93000881</v>
      </c>
      <c r="B626" s="2" t="s">
        <v>2506</v>
      </c>
      <c r="C626" s="2">
        <v>92000561</v>
      </c>
      <c r="D626" s="2" t="s">
        <v>993</v>
      </c>
      <c r="E626" s="2" t="s">
        <v>2507</v>
      </c>
      <c r="F626" s="2" t="s">
        <v>640</v>
      </c>
      <c r="G626" s="2" t="s">
        <v>640</v>
      </c>
      <c r="H626" s="2" t="s">
        <v>1458</v>
      </c>
      <c r="I626" s="3" t="str">
        <f t="shared" si="0"/>
        <v>https://dto.kemkes.go.id/kfacode/93000881</v>
      </c>
      <c r="J626" s="34" t="s">
        <v>3768</v>
      </c>
      <c r="K626" t="str">
        <f t="shared" si="10"/>
        <v>insert into mkatalog_kfa93 (kode, uraian, kode_92, uraian_92, nama_dagang, satuan_kecil, sediaan, golongan, url, userid_updt, sysdate_updt) values ('93000881','Griseofulvin 125 mg Tablet (KIMIA FARMA)','92000561','Griseofulvin 125 mg Tablet','GRISEOFULVIN','Tablet','Tablet','Obat Keras','https://dto.kemkes.go.id/kfacode/93000881',0,'2023-05-01');</v>
      </c>
    </row>
    <row r="627" spans="1:11" ht="15.75" customHeight="1">
      <c r="A627" s="2">
        <v>93000921</v>
      </c>
      <c r="B627" s="2" t="s">
        <v>2508</v>
      </c>
      <c r="C627" s="2">
        <v>92000644</v>
      </c>
      <c r="D627" s="2" t="s">
        <v>994</v>
      </c>
      <c r="E627" s="2" t="s">
        <v>2509</v>
      </c>
      <c r="F627" s="2" t="s">
        <v>640</v>
      </c>
      <c r="G627" s="2" t="s">
        <v>640</v>
      </c>
      <c r="H627" s="2" t="s">
        <v>1458</v>
      </c>
      <c r="I627" s="3" t="str">
        <f t="shared" si="0"/>
        <v>https://dto.kemkes.go.id/kfacode/93000921</v>
      </c>
      <c r="J627" s="34" t="s">
        <v>3768</v>
      </c>
      <c r="K627" t="str">
        <f t="shared" si="10"/>
        <v>insert into mkatalog_kfa93 (kode, uraian, kode_92, uraian_92, nama_dagang, satuan_kecil, sediaan, golongan, url, userid_updt, sysdate_updt) values ('93000921','Griseofulvin 250 mg Tablet (MYCOSTOP 250)','92000644','Griseofulvin 250 mg Tablet','MYCOSTOP 250','Tablet','Tablet','Obat Keras','https://dto.kemkes.go.id/kfacode/93000921',0,'2023-05-01');</v>
      </c>
    </row>
    <row r="628" spans="1:11" ht="15.75" customHeight="1">
      <c r="A628" s="2">
        <v>93000922</v>
      </c>
      <c r="B628" s="2" t="s">
        <v>2510</v>
      </c>
      <c r="C628" s="2">
        <v>92000644</v>
      </c>
      <c r="D628" s="2" t="s">
        <v>994</v>
      </c>
      <c r="E628" s="2" t="s">
        <v>2507</v>
      </c>
      <c r="F628" s="2" t="s">
        <v>640</v>
      </c>
      <c r="G628" s="2" t="s">
        <v>640</v>
      </c>
      <c r="H628" s="2" t="s">
        <v>1458</v>
      </c>
      <c r="I628" s="3" t="str">
        <f t="shared" si="0"/>
        <v>https://dto.kemkes.go.id/kfacode/93000922</v>
      </c>
      <c r="J628" s="34" t="s">
        <v>3768</v>
      </c>
      <c r="K628" t="str">
        <f t="shared" si="10"/>
        <v>insert into mkatalog_kfa93 (kode, uraian, kode_92, uraian_92, nama_dagang, satuan_kecil, sediaan, golongan, url, userid_updt, sysdate_updt) values ('93000922','Griseofulvin 250 mg Tablet (PHARMA LABORATORIES)','92000644','Griseofulvin 250 mg Tablet','GRISEOFULVIN','Tablet','Tablet','Obat Keras','https://dto.kemkes.go.id/kfacode/93000922',0,'2023-05-01');</v>
      </c>
    </row>
    <row r="629" spans="1:11" ht="15.75" customHeight="1">
      <c r="A629" s="2">
        <v>93001571</v>
      </c>
      <c r="B629" s="2" t="s">
        <v>2511</v>
      </c>
      <c r="C629" s="2">
        <v>92000889</v>
      </c>
      <c r="D629" s="2" t="s">
        <v>995</v>
      </c>
      <c r="E629" s="2" t="s">
        <v>2507</v>
      </c>
      <c r="F629" s="2" t="s">
        <v>640</v>
      </c>
      <c r="G629" s="2" t="s">
        <v>640</v>
      </c>
      <c r="H629" s="2" t="s">
        <v>1458</v>
      </c>
      <c r="I629" s="3" t="str">
        <f t="shared" si="0"/>
        <v>https://dto.kemkes.go.id/kfacode/93001571</v>
      </c>
      <c r="J629" s="34" t="s">
        <v>3768</v>
      </c>
      <c r="K629" t="str">
        <f t="shared" si="10"/>
        <v>insert into mkatalog_kfa93 (kode, uraian, kode_92, uraian_92, nama_dagang, satuan_kecil, sediaan, golongan, url, userid_updt, sysdate_updt) values ('93001571','Griseofulvin 500 mg Tablet (DARYA-VARIA LABORATORIA TBK)','92000889','Griseofulvin 500 mg Tablet','GRISEOFULVIN','Tablet','Tablet','Obat Keras','https://dto.kemkes.go.id/kfacode/93001571',0,'2023-05-01');</v>
      </c>
    </row>
    <row r="630" spans="1:11" ht="15.75" customHeight="1">
      <c r="A630" s="2">
        <v>93001547</v>
      </c>
      <c r="B630" s="2" t="s">
        <v>2512</v>
      </c>
      <c r="C630" s="2">
        <v>92000889</v>
      </c>
      <c r="D630" s="2" t="s">
        <v>995</v>
      </c>
      <c r="E630" s="2" t="s">
        <v>2507</v>
      </c>
      <c r="F630" s="2" t="s">
        <v>640</v>
      </c>
      <c r="G630" s="2" t="s">
        <v>640</v>
      </c>
      <c r="H630" s="2" t="s">
        <v>1458</v>
      </c>
      <c r="I630" s="3" t="str">
        <f t="shared" si="0"/>
        <v>https://dto.kemkes.go.id/kfacode/93001547</v>
      </c>
      <c r="J630" s="34" t="s">
        <v>3768</v>
      </c>
      <c r="K630" t="str">
        <f t="shared" si="10"/>
        <v>insert into mkatalog_kfa93 (kode, uraian, kode_92, uraian_92, nama_dagang, satuan_kecil, sediaan, golongan, url, userid_updt, sysdate_updt) values ('93001547','Griseofulvin 500 mg Tablet (PHARMA LABORATORIES)','92000889','Griseofulvin 500 mg Tablet','GRISEOFULVIN','Tablet','Tablet','Obat Keras','https://dto.kemkes.go.id/kfacode/93001547',0,'2023-05-01');</v>
      </c>
    </row>
    <row r="631" spans="1:11" ht="15.75" customHeight="1">
      <c r="A631" s="2">
        <v>93001239</v>
      </c>
      <c r="B631" s="2" t="s">
        <v>2513</v>
      </c>
      <c r="C631" s="2">
        <v>92000527</v>
      </c>
      <c r="D631" s="2" t="s">
        <v>996</v>
      </c>
      <c r="E631" s="2" t="s">
        <v>2514</v>
      </c>
      <c r="F631" s="2" t="s">
        <v>640</v>
      </c>
      <c r="G631" s="2" t="s">
        <v>640</v>
      </c>
      <c r="H631" s="2" t="s">
        <v>1517</v>
      </c>
      <c r="I631" s="3" t="str">
        <f t="shared" si="0"/>
        <v>https://dto.kemkes.go.id/kfacode/93001239</v>
      </c>
      <c r="J631" s="34" t="s">
        <v>3768</v>
      </c>
      <c r="K631" t="str">
        <f t="shared" si="10"/>
        <v>insert into mkatalog_kfa93 (kode, uraian, kode_92, uraian_92, nama_dagang, satuan_kecil, sediaan, golongan, url, userid_updt, sysdate_updt) values ('93001239','Haloperidol 0,5 mg Tablet (HOLI PHARMA)','92000527','Haloperidol 0,5 mg Tablet','HALOPERIDOL','Tablet','Tablet','Obat Psikotropika','https://dto.kemkes.go.id/kfacode/93001239',0,'2023-05-01');</v>
      </c>
    </row>
    <row r="632" spans="1:11" ht="15.75" customHeight="1">
      <c r="A632" s="2">
        <v>93001347</v>
      </c>
      <c r="B632" s="2" t="s">
        <v>2515</v>
      </c>
      <c r="C632" s="2">
        <v>92000772</v>
      </c>
      <c r="D632" s="2" t="s">
        <v>997</v>
      </c>
      <c r="E632" s="2" t="s">
        <v>2514</v>
      </c>
      <c r="F632" s="2" t="s">
        <v>640</v>
      </c>
      <c r="G632" s="2" t="s">
        <v>640</v>
      </c>
      <c r="H632" s="2" t="s">
        <v>1517</v>
      </c>
      <c r="I632" s="3" t="str">
        <f t="shared" si="0"/>
        <v>https://dto.kemkes.go.id/kfacode/93001347</v>
      </c>
      <c r="J632" s="34" t="s">
        <v>3768</v>
      </c>
      <c r="K632" t="str">
        <f t="shared" si="10"/>
        <v>insert into mkatalog_kfa93 (kode, uraian, kode_92, uraian_92, nama_dagang, satuan_kecil, sediaan, golongan, url, userid_updt, sysdate_updt) values ('93001347','Haloperidol 1,5 mg Tablet (HOLI PHARMA)','92000772','Haloperidol 1,5 mg Tablet','HALOPERIDOL','Tablet','Tablet','Obat Psikotropika','https://dto.kemkes.go.id/kfacode/93001347',0,'2023-05-01');</v>
      </c>
    </row>
    <row r="633" spans="1:11" ht="15.75" customHeight="1">
      <c r="A633" s="2">
        <v>93000776</v>
      </c>
      <c r="B633" s="2" t="s">
        <v>2516</v>
      </c>
      <c r="C633" s="2">
        <v>92000426</v>
      </c>
      <c r="D633" s="2" t="s">
        <v>999</v>
      </c>
      <c r="E633" s="2" t="s">
        <v>2517</v>
      </c>
      <c r="F633" s="2" t="s">
        <v>640</v>
      </c>
      <c r="G633" s="2" t="s">
        <v>640</v>
      </c>
      <c r="H633" s="2" t="s">
        <v>1517</v>
      </c>
      <c r="I633" s="3" t="str">
        <f t="shared" si="0"/>
        <v>https://dto.kemkes.go.id/kfacode/93000776</v>
      </c>
      <c r="J633" s="34" t="s">
        <v>3768</v>
      </c>
      <c r="K633" t="str">
        <f t="shared" si="10"/>
        <v>insert into mkatalog_kfa93 (kode, uraian, kode_92, uraian_92, nama_dagang, satuan_kecil, sediaan, golongan, url, userid_updt, sysdate_updt) values ('93000776','Haloperidol 2 mg Tablet (LODOMER)','92000426','Haloperidol 2 mg Tablet','LODOMER','Tablet','Tablet','Obat Psikotropika','https://dto.kemkes.go.id/kfacode/93000776',0,'2023-05-01');</v>
      </c>
    </row>
    <row r="634" spans="1:11" ht="15.75" customHeight="1">
      <c r="A634" s="2">
        <v>93001454</v>
      </c>
      <c r="B634" s="2" t="s">
        <v>2518</v>
      </c>
      <c r="C634" s="2">
        <v>92000851</v>
      </c>
      <c r="D634" s="2" t="s">
        <v>1000</v>
      </c>
      <c r="E634" s="2" t="s">
        <v>2517</v>
      </c>
      <c r="F634" s="2" t="s">
        <v>658</v>
      </c>
      <c r="G634" s="2" t="s">
        <v>1562</v>
      </c>
      <c r="H634" s="2" t="s">
        <v>1458</v>
      </c>
      <c r="I634" s="3" t="str">
        <f t="shared" si="0"/>
        <v>https://dto.kemkes.go.id/kfacode/93001454</v>
      </c>
      <c r="J634" s="34" t="s">
        <v>3768</v>
      </c>
      <c r="K634" t="str">
        <f t="shared" si="10"/>
        <v>insert into mkatalog_kfa93 (kode, uraian, kode_92, uraian_92, nama_dagang, satuan_kecil, sediaan, golongan, url, userid_updt, sysdate_updt) values ('93001454','Haloperidol 2 mg/mL Drops (LODOMER)','92000851','Haloperidol 2 mg/mL Drops','LODOMER','Botol','Tetes Oral (Oral Drops)','Obat Keras','https://dto.kemkes.go.id/kfacode/93001454',0,'2023-05-01');</v>
      </c>
    </row>
    <row r="635" spans="1:11" ht="15.75" customHeight="1">
      <c r="A635" s="2">
        <v>93001533</v>
      </c>
      <c r="B635" s="2" t="s">
        <v>2519</v>
      </c>
      <c r="C635" s="2">
        <v>92000879</v>
      </c>
      <c r="D635" s="2" t="s">
        <v>1001</v>
      </c>
      <c r="E635" s="2" t="s">
        <v>2514</v>
      </c>
      <c r="F635" s="2" t="s">
        <v>645</v>
      </c>
      <c r="G635" s="2" t="s">
        <v>1506</v>
      </c>
      <c r="H635" s="2" t="s">
        <v>1517</v>
      </c>
      <c r="I635" s="3" t="str">
        <f t="shared" si="0"/>
        <v>https://dto.kemkes.go.id/kfacode/93001533</v>
      </c>
      <c r="J635" s="34" t="s">
        <v>3768</v>
      </c>
      <c r="K635" t="str">
        <f t="shared" si="10"/>
        <v>insert into mkatalog_kfa93 (kode, uraian, kode_92, uraian_92, nama_dagang, satuan_kecil, sediaan, golongan, url, userid_updt, sysdate_updt) values ('93001533','Haloperidol 5 mg / mL Injeksi (DEXA MEDICA)','92000879','Haloperidol 5 mg / mL Injeksi','HALOPERIDOL','Ampul','Larutan Injeksi','Obat Psikotropika','https://dto.kemkes.go.id/kfacode/93001533',0,'2023-05-01');</v>
      </c>
    </row>
    <row r="636" spans="1:11" ht="15.75" customHeight="1">
      <c r="A636" s="2">
        <v>93001563</v>
      </c>
      <c r="B636" s="2" t="s">
        <v>2520</v>
      </c>
      <c r="C636" s="2">
        <v>92000879</v>
      </c>
      <c r="D636" s="2" t="s">
        <v>1001</v>
      </c>
      <c r="E636" s="2" t="s">
        <v>2514</v>
      </c>
      <c r="F636" s="2" t="s">
        <v>645</v>
      </c>
      <c r="G636" s="2" t="s">
        <v>1506</v>
      </c>
      <c r="H636" s="2" t="s">
        <v>1517</v>
      </c>
      <c r="I636" s="3" t="str">
        <f t="shared" si="0"/>
        <v>https://dto.kemkes.go.id/kfacode/93001563</v>
      </c>
      <c r="J636" s="34" t="s">
        <v>3768</v>
      </c>
      <c r="K636" t="str">
        <f t="shared" si="10"/>
        <v>insert into mkatalog_kfa93 (kode, uraian, kode_92, uraian_92, nama_dagang, satuan_kecil, sediaan, golongan, url, userid_updt, sysdate_updt) values ('93001563','Haloperidol 5 mg / mL Injeksi (MERSIFARMA TIRMAKU MERCUSANA)','92000879','Haloperidol 5 mg / mL Injeksi','HALOPERIDOL','Ampul','Larutan Injeksi','Obat Psikotropika','https://dto.kemkes.go.id/kfacode/93001563',0,'2023-05-01');</v>
      </c>
    </row>
    <row r="637" spans="1:11" ht="15.75" customHeight="1">
      <c r="A637" s="2">
        <v>93000534</v>
      </c>
      <c r="B637" s="2" t="s">
        <v>2521</v>
      </c>
      <c r="C637" s="2">
        <v>92000445</v>
      </c>
      <c r="D637" s="2" t="s">
        <v>1002</v>
      </c>
      <c r="E637" s="2" t="s">
        <v>2514</v>
      </c>
      <c r="F637" s="2" t="s">
        <v>640</v>
      </c>
      <c r="G637" s="2" t="s">
        <v>1457</v>
      </c>
      <c r="H637" s="2" t="s">
        <v>1458</v>
      </c>
      <c r="I637" s="3" t="str">
        <f t="shared" si="0"/>
        <v>https://dto.kemkes.go.id/kfacode/93000534</v>
      </c>
      <c r="J637" s="34" t="s">
        <v>3768</v>
      </c>
      <c r="K637" t="str">
        <f t="shared" si="10"/>
        <v>insert into mkatalog_kfa93 (kode, uraian, kode_92, uraian_92, nama_dagang, satuan_kecil, sediaan, golongan, url, userid_updt, sysdate_updt) values ('93000534','Haloperidol 5 mg Tablet Salut Selaput (MERSIFARMA TIRMAKU MERCUSANA)','92000445','Haloperidol 5 mg Tablet Salut Selaput','HALOPERIDOL','Tablet','Tablet Salut Selaput','Obat Keras','https://dto.kemkes.go.id/kfacode/93000534',0,'2023-05-01');</v>
      </c>
    </row>
    <row r="638" spans="1:11" ht="15.75" customHeight="1">
      <c r="A638" s="2">
        <v>93001064</v>
      </c>
      <c r="B638" s="2" t="s">
        <v>2522</v>
      </c>
      <c r="C638" s="2">
        <v>92000763</v>
      </c>
      <c r="D638" s="2" t="s">
        <v>1004</v>
      </c>
      <c r="E638" s="2" t="s">
        <v>2523</v>
      </c>
      <c r="F638" s="2" t="s">
        <v>658</v>
      </c>
      <c r="G638" s="2" t="s">
        <v>1489</v>
      </c>
      <c r="H638" s="2" t="s">
        <v>1458</v>
      </c>
      <c r="I638" s="3" t="str">
        <f t="shared" si="0"/>
        <v>https://dto.kemkes.go.id/kfacode/93001064</v>
      </c>
      <c r="J638" s="34" t="s">
        <v>3768</v>
      </c>
      <c r="K638" t="str">
        <f t="shared" si="10"/>
        <v>insert into mkatalog_kfa93 (kode, uraian, kode_92, uraian_92, nama_dagang, satuan_kecil, sediaan, golongan, url, userid_updt, sysdate_updt) values ('93001064','Halotan / Halothane Inhalasi (FLUOTHANE)','92000763','Halotan / Halothane Inhalasi','FLUOTHANE','Botol','Larutan Inhalasi','Obat Keras','https://dto.kemkes.go.id/kfacode/93001064',0,'2023-05-01');</v>
      </c>
    </row>
    <row r="639" spans="1:11" ht="15.75" customHeight="1">
      <c r="A639" s="2">
        <v>93001446</v>
      </c>
      <c r="B639" s="2" t="s">
        <v>2524</v>
      </c>
      <c r="C639" s="2">
        <v>92000487</v>
      </c>
      <c r="D639" s="2" t="s">
        <v>1005</v>
      </c>
      <c r="E639" s="2" t="s">
        <v>2525</v>
      </c>
      <c r="F639" s="2" t="s">
        <v>653</v>
      </c>
      <c r="G639" s="2" t="s">
        <v>1530</v>
      </c>
      <c r="H639" s="2" t="s">
        <v>1458</v>
      </c>
      <c r="I639" s="3" t="str">
        <f t="shared" si="0"/>
        <v>https://dto.kemkes.go.id/kfacode/93001446</v>
      </c>
      <c r="J639" s="34" t="s">
        <v>3768</v>
      </c>
      <c r="K639" t="str">
        <f t="shared" si="10"/>
        <v>insert into mkatalog_kfa93 (kode, uraian, kode_92, uraian_92, nama_dagang, satuan_kecil, sediaan, golongan, url, userid_updt, sysdate_updt) values ('93001446','Human Albumin 20 g / 100 mL Infus (ALBAPURE, 100 mL)','92000487','Human Albumin 20 g / 100 mL Infus','ALBAPURE 20','Vial','Infus','Obat Keras','https://dto.kemkes.go.id/kfacode/93001446',0,'2023-05-01');</v>
      </c>
    </row>
    <row r="640" spans="1:11" ht="15.75" customHeight="1">
      <c r="A640" s="2">
        <v>93001175</v>
      </c>
      <c r="B640" s="2" t="s">
        <v>2526</v>
      </c>
      <c r="C640" s="2">
        <v>92000487</v>
      </c>
      <c r="D640" s="2" t="s">
        <v>1005</v>
      </c>
      <c r="E640" s="2" t="s">
        <v>2527</v>
      </c>
      <c r="F640" s="2" t="s">
        <v>653</v>
      </c>
      <c r="G640" s="2" t="s">
        <v>1530</v>
      </c>
      <c r="H640" s="2" t="s">
        <v>1458</v>
      </c>
      <c r="I640" s="3" t="str">
        <f t="shared" si="0"/>
        <v>https://dto.kemkes.go.id/kfacode/93001175</v>
      </c>
      <c r="J640" s="34" t="s">
        <v>3768</v>
      </c>
      <c r="K640" t="str">
        <f t="shared" si="10"/>
        <v>insert into mkatalog_kfa93 (kode, uraian, kode_92, uraian_92, nama_dagang, satuan_kecil, sediaan, golongan, url, userid_updt, sysdate_updt) values ('93001175','Human Albumin 20 g / 100 mL Infus (HUMAN ALBUMIN 20% BIOTEST, 100 mL)','92000487','Human Albumin 20 g / 100 mL Infus','HUMAN ALBUMIN 20% BIOTEST','Vial','Infus','Obat Keras','https://dto.kemkes.go.id/kfacode/93001175',0,'2023-05-01');</v>
      </c>
    </row>
    <row r="641" spans="1:11" ht="15.75" customHeight="1">
      <c r="A641" s="2">
        <v>93001433</v>
      </c>
      <c r="B641" s="2" t="s">
        <v>2528</v>
      </c>
      <c r="C641" s="2">
        <v>92000487</v>
      </c>
      <c r="D641" s="2" t="s">
        <v>1005</v>
      </c>
      <c r="E641" s="2" t="s">
        <v>2529</v>
      </c>
      <c r="F641" s="2" t="s">
        <v>653</v>
      </c>
      <c r="G641" s="2" t="s">
        <v>1530</v>
      </c>
      <c r="H641" s="2" t="s">
        <v>1458</v>
      </c>
      <c r="I641" s="3" t="str">
        <f t="shared" si="0"/>
        <v>https://dto.kemkes.go.id/kfacode/93001433</v>
      </c>
      <c r="J641" s="34" t="s">
        <v>3768</v>
      </c>
      <c r="K641" t="str">
        <f t="shared" si="10"/>
        <v>insert into mkatalog_kfa93 (kode, uraian, kode_92, uraian_92, nama_dagang, satuan_kecil, sediaan, golongan, url, userid_updt, sysdate_updt) values ('93001433','Human Albumin 20 g / 100 mL Infus (KEDRIALB, 50 mL)','92000487','Human Albumin 20 g / 100 mL Infus','KEDRIALB','Vial','Infus','Obat Keras','https://dto.kemkes.go.id/kfacode/93001433',0,'2023-05-01');</v>
      </c>
    </row>
    <row r="642" spans="1:11" ht="15.75" customHeight="1">
      <c r="A642" s="2">
        <v>93001276</v>
      </c>
      <c r="B642" s="2" t="s">
        <v>2530</v>
      </c>
      <c r="C642" s="2">
        <v>92000487</v>
      </c>
      <c r="D642" s="2" t="s">
        <v>1005</v>
      </c>
      <c r="E642" s="2" t="s">
        <v>2531</v>
      </c>
      <c r="F642" s="2" t="s">
        <v>653</v>
      </c>
      <c r="G642" s="2" t="s">
        <v>1530</v>
      </c>
      <c r="H642" s="2" t="s">
        <v>1458</v>
      </c>
      <c r="I642" s="3" t="str">
        <f t="shared" si="0"/>
        <v>https://dto.kemkes.go.id/kfacode/93001276</v>
      </c>
      <c r="J642" s="34" t="s">
        <v>3768</v>
      </c>
      <c r="K642" t="str">
        <f t="shared" si="10"/>
        <v>insert into mkatalog_kfa93 (kode, uraian, kode_92, uraian_92, nama_dagang, satuan_kecil, sediaan, golongan, url, userid_updt, sysdate_updt) values ('93001276','Human Albumin 20 g / 100 mL Infus (OCTALBIN, 100 mL)','92000487','Human Albumin 20 g / 100 mL Infus','OCTALBIN','Vial','Infus','Obat Keras','https://dto.kemkes.go.id/kfacode/93001276',0,'2023-05-01');</v>
      </c>
    </row>
    <row r="643" spans="1:11" ht="15.75" customHeight="1">
      <c r="A643" s="2">
        <v>93000824</v>
      </c>
      <c r="B643" s="2" t="s">
        <v>2532</v>
      </c>
      <c r="C643" s="2">
        <v>92000487</v>
      </c>
      <c r="D643" s="2" t="s">
        <v>1005</v>
      </c>
      <c r="E643" s="2" t="s">
        <v>2533</v>
      </c>
      <c r="F643" s="2" t="s">
        <v>653</v>
      </c>
      <c r="G643" s="2" t="s">
        <v>1530</v>
      </c>
      <c r="H643" s="2" t="s">
        <v>1458</v>
      </c>
      <c r="I643" s="3" t="str">
        <f t="shared" si="0"/>
        <v>https://dto.kemkes.go.id/kfacode/93000824</v>
      </c>
      <c r="J643" s="34" t="s">
        <v>3768</v>
      </c>
      <c r="K643" t="str">
        <f t="shared" ref="K643:K706" si="11">CONCATENATE(J643,"('",A643,"','",B643,"','",C643,"','",D643,"','",E643,"','",F643,"','",G643,"','",H643,"','",I643,"',0,'2023-05-01');")</f>
        <v>insert into mkatalog_kfa93 (kode, uraian, kode_92, uraian_92, nama_dagang, satuan_kecil, sediaan, golongan, url, userid_updt, sysdate_updt) values ('93000824','Human Albumin 20 g / 100 mL Infus (PLASBUMIN 20, 100 mL)','92000487','Human Albumin 20 g / 100 mL Infus','PLASBUMIN 20','Vial','Infus','Obat Keras','https://dto.kemkes.go.id/kfacode/93000824',0,'2023-05-01');</v>
      </c>
    </row>
    <row r="644" spans="1:11" ht="15.75" customHeight="1">
      <c r="A644" s="2">
        <v>93001277</v>
      </c>
      <c r="B644" s="2" t="s">
        <v>2534</v>
      </c>
      <c r="C644" s="2">
        <v>92000487</v>
      </c>
      <c r="D644" s="2" t="s">
        <v>1005</v>
      </c>
      <c r="E644" s="2" t="s">
        <v>2533</v>
      </c>
      <c r="F644" s="2" t="s">
        <v>653</v>
      </c>
      <c r="G644" s="2" t="s">
        <v>1530</v>
      </c>
      <c r="H644" s="2" t="s">
        <v>1458</v>
      </c>
      <c r="I644" s="3" t="str">
        <f t="shared" si="0"/>
        <v>https://dto.kemkes.go.id/kfacode/93001277</v>
      </c>
      <c r="J644" s="34" t="s">
        <v>3768</v>
      </c>
      <c r="K644" t="str">
        <f t="shared" si="11"/>
        <v>insert into mkatalog_kfa93 (kode, uraian, kode_92, uraian_92, nama_dagang, satuan_kecil, sediaan, golongan, url, userid_updt, sysdate_updt) values ('93001277','Human Albumin 20 g / 100 mL Infus (PLASBUMIN 20, 50 mL)','92000487','Human Albumin 20 g / 100 mL Infus','PLASBUMIN 20','Vial','Infus','Obat Keras','https://dto.kemkes.go.id/kfacode/93001277',0,'2023-05-01');</v>
      </c>
    </row>
    <row r="645" spans="1:11" ht="15.75" customHeight="1">
      <c r="A645" s="2">
        <v>93000938</v>
      </c>
      <c r="B645" s="2" t="s">
        <v>2535</v>
      </c>
      <c r="C645" s="2">
        <v>92000136</v>
      </c>
      <c r="D645" s="2" t="s">
        <v>1006</v>
      </c>
      <c r="E645" s="2" t="s">
        <v>2536</v>
      </c>
      <c r="F645" s="2" t="s">
        <v>653</v>
      </c>
      <c r="G645" s="2" t="s">
        <v>1530</v>
      </c>
      <c r="H645" s="2" t="s">
        <v>1458</v>
      </c>
      <c r="I645" s="3" t="str">
        <f t="shared" si="0"/>
        <v>https://dto.kemkes.go.id/kfacode/93000938</v>
      </c>
      <c r="J645" s="34" t="s">
        <v>3768</v>
      </c>
      <c r="K645" t="str">
        <f t="shared" si="11"/>
        <v>insert into mkatalog_kfa93 (kode, uraian, kode_92, uraian_92, nama_dagang, satuan_kecil, sediaan, golongan, url, userid_updt, sysdate_updt) values ('93000938','Human Albumin 25 g / 100 mL Infus (ALBUMINAR, 100 mL)','92000136','Human Albumin 25 g / 100 mL Infus','ALBUMINAR 25','Vial','Infus','Obat Keras','https://dto.kemkes.go.id/kfacode/93000938',0,'2023-05-01');</v>
      </c>
    </row>
    <row r="646" spans="1:11" ht="15.75" customHeight="1">
      <c r="A646" s="2">
        <v>93001447</v>
      </c>
      <c r="B646" s="2" t="s">
        <v>2537</v>
      </c>
      <c r="C646" s="2">
        <v>92000136</v>
      </c>
      <c r="D646" s="2" t="s">
        <v>1006</v>
      </c>
      <c r="E646" s="2" t="s">
        <v>2538</v>
      </c>
      <c r="F646" s="2" t="s">
        <v>653</v>
      </c>
      <c r="G646" s="2" t="s">
        <v>1530</v>
      </c>
      <c r="H646" s="2" t="s">
        <v>1458</v>
      </c>
      <c r="I646" s="3" t="str">
        <f t="shared" si="0"/>
        <v>https://dto.kemkes.go.id/kfacode/93001447</v>
      </c>
      <c r="J646" s="34" t="s">
        <v>3768</v>
      </c>
      <c r="K646" t="str">
        <f t="shared" si="11"/>
        <v>insert into mkatalog_kfa93 (kode, uraian, kode_92, uraian_92, nama_dagang, satuan_kecil, sediaan, golongan, url, userid_updt, sysdate_updt) values ('93001447','Human Albumin 25 g / 100 mL Infus (ALBUNORM, 100 mL)','92000136','Human Albumin 25 g / 100 mL Infus','ALBUNORM 25%','Vial','Infus','Obat Keras','https://dto.kemkes.go.id/kfacode/93001447',0,'2023-05-01');</v>
      </c>
    </row>
    <row r="647" spans="1:11" ht="15.75" customHeight="1">
      <c r="A647" s="2">
        <v>93001009</v>
      </c>
      <c r="B647" s="2" t="s">
        <v>2539</v>
      </c>
      <c r="C647" s="2">
        <v>92000136</v>
      </c>
      <c r="D647" s="2" t="s">
        <v>1006</v>
      </c>
      <c r="E647" s="2" t="s">
        <v>2529</v>
      </c>
      <c r="F647" s="2" t="s">
        <v>653</v>
      </c>
      <c r="G647" s="2" t="s">
        <v>1530</v>
      </c>
      <c r="H647" s="2" t="s">
        <v>1458</v>
      </c>
      <c r="I647" s="3" t="str">
        <f t="shared" si="0"/>
        <v>https://dto.kemkes.go.id/kfacode/93001009</v>
      </c>
      <c r="J647" s="34" t="s">
        <v>3768</v>
      </c>
      <c r="K647" t="str">
        <f t="shared" si="11"/>
        <v>insert into mkatalog_kfa93 (kode, uraian, kode_92, uraian_92, nama_dagang, satuan_kecil, sediaan, golongan, url, userid_updt, sysdate_updt) values ('93001009','Human Albumin 25 g / 100 mL Infus (KEDRIALB, 50 mL)','92000136','Human Albumin 25 g / 100 mL Infus','KEDRIALB','Vial','Infus','Obat Keras','https://dto.kemkes.go.id/kfacode/93001009',0,'2023-05-01');</v>
      </c>
    </row>
    <row r="648" spans="1:11" ht="15.75" customHeight="1">
      <c r="A648" s="2">
        <v>93000825</v>
      </c>
      <c r="B648" s="2" t="s">
        <v>2540</v>
      </c>
      <c r="C648" s="2">
        <v>92000136</v>
      </c>
      <c r="D648" s="2" t="s">
        <v>1006</v>
      </c>
      <c r="E648" s="2" t="s">
        <v>2541</v>
      </c>
      <c r="F648" s="2" t="s">
        <v>653</v>
      </c>
      <c r="G648" s="2" t="s">
        <v>1530</v>
      </c>
      <c r="H648" s="2" t="s">
        <v>1458</v>
      </c>
      <c r="I648" s="3" t="str">
        <f t="shared" si="0"/>
        <v>https://dto.kemkes.go.id/kfacode/93000825</v>
      </c>
      <c r="J648" s="34" t="s">
        <v>3768</v>
      </c>
      <c r="K648" t="str">
        <f t="shared" si="11"/>
        <v>insert into mkatalog_kfa93 (kode, uraian, kode_92, uraian_92, nama_dagang, satuan_kecil, sediaan, golongan, url, userid_updt, sysdate_updt) values ('93000825','Human Albumin 25 g / 100 mL Infus (PLASBUMIN 25, 100 mL)','92000136','Human Albumin 25 g / 100 mL Infus','PLASBUMIN 25','Vial','Infus','Obat Keras','https://dto.kemkes.go.id/kfacode/93000825',0,'2023-05-01');</v>
      </c>
    </row>
    <row r="649" spans="1:11" ht="15.75" customHeight="1">
      <c r="A649" s="2">
        <v>93001250</v>
      </c>
      <c r="B649" s="2" t="s">
        <v>2542</v>
      </c>
      <c r="C649" s="2">
        <v>92000136</v>
      </c>
      <c r="D649" s="2" t="s">
        <v>1006</v>
      </c>
      <c r="E649" s="2" t="s">
        <v>2541</v>
      </c>
      <c r="F649" s="2" t="s">
        <v>653</v>
      </c>
      <c r="G649" s="2" t="s">
        <v>1530</v>
      </c>
      <c r="H649" s="2" t="s">
        <v>1458</v>
      </c>
      <c r="I649" s="3" t="str">
        <f t="shared" si="0"/>
        <v>https://dto.kemkes.go.id/kfacode/93001250</v>
      </c>
      <c r="J649" s="34" t="s">
        <v>3768</v>
      </c>
      <c r="K649" t="str">
        <f t="shared" si="11"/>
        <v>insert into mkatalog_kfa93 (kode, uraian, kode_92, uraian_92, nama_dagang, satuan_kecil, sediaan, golongan, url, userid_updt, sysdate_updt) values ('93001250','Human Albumin 25 g / 100 mL Infus (PLASBUMIN 25, 20 mL)','92000136','Human Albumin 25 g / 100 mL Infus','PLASBUMIN 25','Vial','Infus','Obat Keras','https://dto.kemkes.go.id/kfacode/93001250',0,'2023-05-01');</v>
      </c>
    </row>
    <row r="650" spans="1:11" ht="15.75" customHeight="1">
      <c r="A650" s="2">
        <v>93001443</v>
      </c>
      <c r="B650" s="2" t="s">
        <v>2543</v>
      </c>
      <c r="C650" s="2">
        <v>92000812</v>
      </c>
      <c r="D650" s="2" t="s">
        <v>1007</v>
      </c>
      <c r="E650" s="2" t="s">
        <v>2544</v>
      </c>
      <c r="F650" s="2" t="s">
        <v>653</v>
      </c>
      <c r="G650" s="2" t="s">
        <v>1530</v>
      </c>
      <c r="H650" s="2" t="s">
        <v>1458</v>
      </c>
      <c r="I650" s="3" t="str">
        <f t="shared" si="0"/>
        <v>https://dto.kemkes.go.id/kfacode/93001443</v>
      </c>
      <c r="J650" s="34" t="s">
        <v>3768</v>
      </c>
      <c r="K650" t="str">
        <f t="shared" si="11"/>
        <v>insert into mkatalog_kfa93 (kode, uraian, kode_92, uraian_92, nama_dagang, satuan_kecil, sediaan, golongan, url, userid_updt, sysdate_updt) values ('93001443','Human Albumin 5 g / 100 mL Infus (PLASBUMIN-5, 250 mL)','92000812','Human Albumin 5 g / 100 mL Infus','PLASBUMIN-5','Vial','Infus','Obat Keras','https://dto.kemkes.go.id/kfacode/93001443',0,'2023-05-01');</v>
      </c>
    </row>
    <row r="651" spans="1:11" ht="15.75" customHeight="1">
      <c r="A651" s="2">
        <v>93001138</v>
      </c>
      <c r="B651" s="2" t="s">
        <v>2545</v>
      </c>
      <c r="C651" s="2">
        <v>92000105</v>
      </c>
      <c r="D651" s="2" t="s">
        <v>1008</v>
      </c>
      <c r="E651" s="2" t="s">
        <v>2546</v>
      </c>
      <c r="F651" s="2" t="s">
        <v>824</v>
      </c>
      <c r="G651" s="2" t="s">
        <v>1500</v>
      </c>
      <c r="H651" s="2" t="s">
        <v>1458</v>
      </c>
      <c r="I651" s="3" t="str">
        <f t="shared" si="0"/>
        <v>https://dto.kemkes.go.id/kfacode/93001138</v>
      </c>
      <c r="J651" s="34" t="s">
        <v>3768</v>
      </c>
      <c r="K651" t="str">
        <f t="shared" si="11"/>
        <v>insert into mkatalog_kfa93 (kode, uraian, kode_92, uraian_92, nama_dagang, satuan_kecil, sediaan, golongan, url, userid_updt, sysdate_updt) values ('93001138','Human Coagulation Factor VIII 1.000 IU Serbuk Injeksi (HAEMOCTIN)','92000105','Human Coagulation Factor VIII 1.000 IU Serbuk Injeksi','HAEMOCTIN 1000','Vial + Ampul Pelarut','Serbuk Injeksi','Obat Keras','https://dto.kemkes.go.id/kfacode/93001138',0,'2023-05-01');</v>
      </c>
    </row>
    <row r="652" spans="1:11" ht="15.75" customHeight="1">
      <c r="A652" s="2">
        <v>93001275</v>
      </c>
      <c r="B652" s="2" t="s">
        <v>2547</v>
      </c>
      <c r="C652" s="2">
        <v>92000105</v>
      </c>
      <c r="D652" s="2" t="s">
        <v>1008</v>
      </c>
      <c r="E652" s="2" t="s">
        <v>2548</v>
      </c>
      <c r="F652" s="2" t="s">
        <v>824</v>
      </c>
      <c r="G652" s="2" t="s">
        <v>1500</v>
      </c>
      <c r="H652" s="2" t="s">
        <v>1458</v>
      </c>
      <c r="I652" s="3" t="str">
        <f t="shared" si="0"/>
        <v>https://dto.kemkes.go.id/kfacode/93001275</v>
      </c>
      <c r="J652" s="34" t="s">
        <v>3768</v>
      </c>
      <c r="K652" t="str">
        <f t="shared" si="11"/>
        <v>insert into mkatalog_kfa93 (kode, uraian, kode_92, uraian_92, nama_dagang, satuan_kecil, sediaan, golongan, url, userid_updt, sysdate_updt) values ('93001275','Human Coagulation Factor VIII 1.000 IU Serbuk Injeksi (KOATE-DVI)','92000105','Human Coagulation Factor VIII 1.000 IU Serbuk Injeksi','KOATE-DVI','Vial + Ampul Pelarut','Serbuk Injeksi','Obat Keras','https://dto.kemkes.go.id/kfacode/93001275',0,'2023-05-01');</v>
      </c>
    </row>
    <row r="653" spans="1:11" ht="15.75" customHeight="1">
      <c r="A653" s="2">
        <v>93000706</v>
      </c>
      <c r="B653" s="2" t="s">
        <v>2549</v>
      </c>
      <c r="C653" s="2">
        <v>92000105</v>
      </c>
      <c r="D653" s="2" t="s">
        <v>1008</v>
      </c>
      <c r="E653" s="2" t="s">
        <v>2550</v>
      </c>
      <c r="F653" s="2" t="s">
        <v>824</v>
      </c>
      <c r="G653" s="2" t="s">
        <v>1500</v>
      </c>
      <c r="H653" s="2" t="s">
        <v>1458</v>
      </c>
      <c r="I653" s="3" t="str">
        <f t="shared" si="0"/>
        <v>https://dto.kemkes.go.id/kfacode/93000706</v>
      </c>
      <c r="J653" s="34" t="s">
        <v>3768</v>
      </c>
      <c r="K653" t="str">
        <f t="shared" si="11"/>
        <v>insert into mkatalog_kfa93 (kode, uraian, kode_92, uraian_92, nama_dagang, satuan_kecil, sediaan, golongan, url, userid_updt, sysdate_updt) values ('93000706','Human Coagulation Factor VIII 1.000 IU Serbuk Injeksi (NOVOEIGHT)','92000105','Human Coagulation Factor VIII 1.000 IU Serbuk Injeksi','NOVOEIGHT','Vial + Ampul Pelarut','Serbuk Injeksi','Obat Keras','https://dto.kemkes.go.id/kfacode/93000706',0,'2023-05-01');</v>
      </c>
    </row>
    <row r="654" spans="1:11" ht="15.75" customHeight="1">
      <c r="A654" s="2">
        <v>93001243</v>
      </c>
      <c r="B654" s="2" t="s">
        <v>2551</v>
      </c>
      <c r="C654" s="2">
        <v>92000105</v>
      </c>
      <c r="D654" s="2" t="s">
        <v>1008</v>
      </c>
      <c r="E654" s="2" t="s">
        <v>2552</v>
      </c>
      <c r="F654" s="2" t="s">
        <v>824</v>
      </c>
      <c r="G654" s="2" t="s">
        <v>1500</v>
      </c>
      <c r="H654" s="2" t="s">
        <v>1458</v>
      </c>
      <c r="I654" s="3" t="str">
        <f t="shared" si="0"/>
        <v>https://dto.kemkes.go.id/kfacode/93001243</v>
      </c>
      <c r="J654" s="34" t="s">
        <v>3768</v>
      </c>
      <c r="K654" t="str">
        <f t="shared" si="11"/>
        <v>insert into mkatalog_kfa93 (kode, uraian, kode_92, uraian_92, nama_dagang, satuan_kecil, sediaan, golongan, url, userid_updt, sysdate_updt) values ('93001243','Human Coagulation Factor VIII 1.000 IU Serbuk Injeksi (OCTANATE)','92000105','Human Coagulation Factor VIII 1.000 IU Serbuk Injeksi','OCTANATE 1000 IU','Vial + Ampul Pelarut','Serbuk Injeksi','Obat Keras','https://dto.kemkes.go.id/kfacode/93001243',0,'2023-05-01');</v>
      </c>
    </row>
    <row r="655" spans="1:11" ht="15.75" customHeight="1">
      <c r="A655" s="2">
        <v>93001146</v>
      </c>
      <c r="B655" s="2" t="s">
        <v>2553</v>
      </c>
      <c r="C655" s="2">
        <v>92000490</v>
      </c>
      <c r="D655" s="2" t="s">
        <v>1009</v>
      </c>
      <c r="E655" s="2" t="s">
        <v>2554</v>
      </c>
      <c r="F655" s="2" t="s">
        <v>824</v>
      </c>
      <c r="G655" s="2" t="s">
        <v>1500</v>
      </c>
      <c r="H655" s="2" t="s">
        <v>1458</v>
      </c>
      <c r="I655" s="3" t="str">
        <f t="shared" si="0"/>
        <v>https://dto.kemkes.go.id/kfacode/93001146</v>
      </c>
      <c r="J655" s="34" t="s">
        <v>3768</v>
      </c>
      <c r="K655" t="str">
        <f t="shared" si="11"/>
        <v>insert into mkatalog_kfa93 (kode, uraian, kode_92, uraian_92, nama_dagang, satuan_kecil, sediaan, golongan, url, userid_updt, sysdate_updt) values ('93001146','Human Coagulation Factor VIII 250 IU Serbuk Injeksi (HAEMOCTIN)','92000490','Human Coagulation Factor VIII 250 IU Serbuk Injeksi','HAEMOCTIN','Vial + Ampul Pelarut','Serbuk Injeksi','Obat Keras','https://dto.kemkes.go.id/kfacode/93001146',0,'2023-05-01');</v>
      </c>
    </row>
    <row r="656" spans="1:11" ht="15.75" customHeight="1">
      <c r="A656" s="2">
        <v>93000296</v>
      </c>
      <c r="B656" s="2" t="s">
        <v>2555</v>
      </c>
      <c r="C656" s="2">
        <v>92000490</v>
      </c>
      <c r="D656" s="2" t="s">
        <v>1009</v>
      </c>
      <c r="E656" s="2" t="s">
        <v>2548</v>
      </c>
      <c r="F656" s="2" t="s">
        <v>824</v>
      </c>
      <c r="G656" s="2" t="s">
        <v>1500</v>
      </c>
      <c r="H656" s="2" t="s">
        <v>1458</v>
      </c>
      <c r="I656" s="3" t="str">
        <f t="shared" si="0"/>
        <v>https://dto.kemkes.go.id/kfacode/93000296</v>
      </c>
      <c r="J656" s="34" t="s">
        <v>3768</v>
      </c>
      <c r="K656" t="str">
        <f t="shared" si="11"/>
        <v>insert into mkatalog_kfa93 (kode, uraian, kode_92, uraian_92, nama_dagang, satuan_kecil, sediaan, golongan, url, userid_updt, sysdate_updt) values ('93000296','Human Coagulation Factor VIII 250 IU Serbuk Injeksi (KOATE-DVI)','92000490','Human Coagulation Factor VIII 250 IU Serbuk Injeksi','KOATE-DVI','Vial + Ampul Pelarut','Serbuk Injeksi','Obat Keras','https://dto.kemkes.go.id/kfacode/93000296',0,'2023-05-01');</v>
      </c>
    </row>
    <row r="657" spans="1:11" ht="15.75" customHeight="1">
      <c r="A657" s="2">
        <v>93000827</v>
      </c>
      <c r="B657" s="2" t="s">
        <v>2555</v>
      </c>
      <c r="C657" s="2">
        <v>92000490</v>
      </c>
      <c r="D657" s="2" t="s">
        <v>1009</v>
      </c>
      <c r="E657" s="2" t="s">
        <v>2548</v>
      </c>
      <c r="F657" s="2" t="s">
        <v>653</v>
      </c>
      <c r="G657" s="2" t="s">
        <v>1500</v>
      </c>
      <c r="H657" s="2" t="s">
        <v>1458</v>
      </c>
      <c r="I657" s="3" t="str">
        <f t="shared" si="0"/>
        <v>https://dto.kemkes.go.id/kfacode/93000827</v>
      </c>
      <c r="J657" s="34" t="s">
        <v>3768</v>
      </c>
      <c r="K657" t="str">
        <f t="shared" si="11"/>
        <v>insert into mkatalog_kfa93 (kode, uraian, kode_92, uraian_92, nama_dagang, satuan_kecil, sediaan, golongan, url, userid_updt, sysdate_updt) values ('93000827','Human Coagulation Factor VIII 250 IU Serbuk Injeksi (KOATE-DVI)','92000490','Human Coagulation Factor VIII 250 IU Serbuk Injeksi','KOATE-DVI','Vial','Serbuk Injeksi','Obat Keras','https://dto.kemkes.go.id/kfacode/93000827',0,'2023-05-01');</v>
      </c>
    </row>
    <row r="658" spans="1:11" ht="15.75" customHeight="1">
      <c r="A658" s="2">
        <v>93000295</v>
      </c>
      <c r="B658" s="2" t="s">
        <v>2556</v>
      </c>
      <c r="C658" s="2">
        <v>92000490</v>
      </c>
      <c r="D658" s="2" t="s">
        <v>1009</v>
      </c>
      <c r="E658" s="2" t="s">
        <v>2557</v>
      </c>
      <c r="F658" s="2" t="s">
        <v>824</v>
      </c>
      <c r="G658" s="2" t="s">
        <v>1500</v>
      </c>
      <c r="H658" s="2" t="s">
        <v>1458</v>
      </c>
      <c r="I658" s="3" t="str">
        <f t="shared" si="0"/>
        <v>https://dto.kemkes.go.id/kfacode/93000295</v>
      </c>
      <c r="J658" s="34" t="s">
        <v>3768</v>
      </c>
      <c r="K658" t="str">
        <f t="shared" si="11"/>
        <v>insert into mkatalog_kfa93 (kode, uraian, kode_92, uraian_92, nama_dagang, satuan_kecil, sediaan, golongan, url, userid_updt, sysdate_updt) values ('93000295','Human Coagulation Factor VIII 250 IU Serbuk Injeksi (OCTANATE)','92000490','Human Coagulation Factor VIII 250 IU Serbuk Injeksi','OCTANATE 250 IU','Vial + Ampul Pelarut','Serbuk Injeksi','Obat Keras','https://dto.kemkes.go.id/kfacode/93000295',0,'2023-05-01');</v>
      </c>
    </row>
    <row r="659" spans="1:11" ht="15.75" customHeight="1">
      <c r="A659" s="2">
        <v>93001139</v>
      </c>
      <c r="B659" s="2" t="s">
        <v>2558</v>
      </c>
      <c r="C659" s="2">
        <v>92000492</v>
      </c>
      <c r="D659" s="2" t="s">
        <v>1010</v>
      </c>
      <c r="E659" s="2" t="s">
        <v>2554</v>
      </c>
      <c r="F659" s="2" t="s">
        <v>824</v>
      </c>
      <c r="G659" s="2" t="s">
        <v>1500</v>
      </c>
      <c r="H659" s="2" t="s">
        <v>1458</v>
      </c>
      <c r="I659" s="3" t="str">
        <f t="shared" si="0"/>
        <v>https://dto.kemkes.go.id/kfacode/93001139</v>
      </c>
      <c r="J659" s="34" t="s">
        <v>3768</v>
      </c>
      <c r="K659" t="str">
        <f t="shared" si="11"/>
        <v>insert into mkatalog_kfa93 (kode, uraian, kode_92, uraian_92, nama_dagang, satuan_kecil, sediaan, golongan, url, userid_updt, sysdate_updt) values ('93001139','Human Coagulation Factor VIII 500 IU Serbuk Injeksi (HAEMOCTIN)','92000492','Human Coagulation Factor VIII 500 IU Serbuk Injeksi','HAEMOCTIN','Vial + Ampul Pelarut','Serbuk Injeksi','Obat Keras','https://dto.kemkes.go.id/kfacode/93001139',0,'2023-05-01');</v>
      </c>
    </row>
    <row r="660" spans="1:11" ht="15.75" customHeight="1">
      <c r="A660" s="2">
        <v>93000828</v>
      </c>
      <c r="B660" s="2" t="s">
        <v>2559</v>
      </c>
      <c r="C660" s="2">
        <v>92000492</v>
      </c>
      <c r="D660" s="2" t="s">
        <v>1010</v>
      </c>
      <c r="E660" s="2" t="s">
        <v>2548</v>
      </c>
      <c r="F660" s="2" t="s">
        <v>824</v>
      </c>
      <c r="G660" s="2" t="s">
        <v>1500</v>
      </c>
      <c r="H660" s="2" t="s">
        <v>1458</v>
      </c>
      <c r="I660" s="3" t="str">
        <f t="shared" si="0"/>
        <v>https://dto.kemkes.go.id/kfacode/93000828</v>
      </c>
      <c r="J660" s="34" t="s">
        <v>3768</v>
      </c>
      <c r="K660" t="str">
        <f t="shared" si="11"/>
        <v>insert into mkatalog_kfa93 (kode, uraian, kode_92, uraian_92, nama_dagang, satuan_kecil, sediaan, golongan, url, userid_updt, sysdate_updt) values ('93000828','Human Coagulation Factor VIII 500 IU Serbuk Injeksi (KOATE-DVI)','92000492','Human Coagulation Factor VIII 500 IU Serbuk Injeksi','KOATE-DVI','Vial + Ampul Pelarut','Serbuk Injeksi','Obat Keras','https://dto.kemkes.go.id/kfacode/93000828',0,'2023-05-01');</v>
      </c>
    </row>
    <row r="661" spans="1:11" ht="15.75" customHeight="1">
      <c r="A661" s="2">
        <v>93001125</v>
      </c>
      <c r="B661" s="2" t="s">
        <v>2560</v>
      </c>
      <c r="C661" s="2">
        <v>92000492</v>
      </c>
      <c r="D661" s="2" t="s">
        <v>1010</v>
      </c>
      <c r="E661" s="2" t="s">
        <v>2561</v>
      </c>
      <c r="F661" s="2" t="s">
        <v>824</v>
      </c>
      <c r="G661" s="2" t="s">
        <v>1500</v>
      </c>
      <c r="H661" s="2" t="s">
        <v>1458</v>
      </c>
      <c r="I661" s="3" t="str">
        <f t="shared" si="0"/>
        <v>https://dto.kemkes.go.id/kfacode/93001125</v>
      </c>
      <c r="J661" s="34" t="s">
        <v>3768</v>
      </c>
      <c r="K661" t="str">
        <f t="shared" si="11"/>
        <v>insert into mkatalog_kfa93 (kode, uraian, kode_92, uraian_92, nama_dagang, satuan_kecil, sediaan, golongan, url, userid_updt, sysdate_updt) values ('93001125','Human Coagulation Factor VIII 500 IU Serbuk Injeksi (OCTANATE)','92000492','Human Coagulation Factor VIII 500 IU Serbuk Injeksi','OCTANATE 500 IU','Vial + Ampul Pelarut','Serbuk Injeksi','Obat Keras','https://dto.kemkes.go.id/kfacode/93001125',0,'2023-05-01');</v>
      </c>
    </row>
    <row r="662" spans="1:11" ht="15.75" customHeight="1">
      <c r="A662" s="2">
        <v>93001337</v>
      </c>
      <c r="B662" s="2" t="s">
        <v>2562</v>
      </c>
      <c r="C662" s="2">
        <v>92000797</v>
      </c>
      <c r="D662" s="2" t="s">
        <v>1011</v>
      </c>
      <c r="E662" s="2" t="s">
        <v>2563</v>
      </c>
      <c r="F662" s="2" t="s">
        <v>899</v>
      </c>
      <c r="G662" s="2" t="s">
        <v>1506</v>
      </c>
      <c r="H662" s="2" t="s">
        <v>1458</v>
      </c>
      <c r="I662" s="3" t="str">
        <f t="shared" si="0"/>
        <v>https://dto.kemkes.go.id/kfacode/93001337</v>
      </c>
      <c r="J662" s="34" t="s">
        <v>3768</v>
      </c>
      <c r="K662" t="str">
        <f t="shared" si="11"/>
        <v>insert into mkatalog_kfa93 (kode, uraian, kode_92, uraian_92, nama_dagang, satuan_kecil, sediaan, golongan, url, userid_updt, sysdate_updt) values ('93001337','Human Hepatitis B Immunoglobulin 220 IU Injeksi (HYPERHEP B S/D)','92000797','Human Hepatitis B Immunoglobulin 220 IU Injeksi','HYPERHEP B S/D','Prefilled Syringe','Larutan Injeksi','Obat Keras','https://dto.kemkes.go.id/kfacode/93001337',0,'2023-05-01');</v>
      </c>
    </row>
    <row r="663" spans="1:11" ht="15.75" customHeight="1">
      <c r="A663" s="2">
        <v>93000826</v>
      </c>
      <c r="B663" s="2" t="s">
        <v>2564</v>
      </c>
      <c r="C663" s="2">
        <v>92000496</v>
      </c>
      <c r="D663" s="2" t="s">
        <v>1012</v>
      </c>
      <c r="E663" s="2" t="s">
        <v>2565</v>
      </c>
      <c r="F663" s="2" t="s">
        <v>653</v>
      </c>
      <c r="G663" s="2" t="s">
        <v>1530</v>
      </c>
      <c r="H663" s="2" t="s">
        <v>1458</v>
      </c>
      <c r="I663" s="3" t="str">
        <f t="shared" si="0"/>
        <v>https://dto.kemkes.go.id/kfacode/93000826</v>
      </c>
      <c r="J663" s="34" t="s">
        <v>3768</v>
      </c>
      <c r="K663" t="str">
        <f t="shared" si="11"/>
        <v>insert into mkatalog_kfa93 (kode, uraian, kode_92, uraian_92, nama_dagang, satuan_kecil, sediaan, golongan, url, userid_updt, sysdate_updt) values ('93000826','Human Plasma Protein Fraction 5 g / 100 ml Infus (PLASMANATE)','92000496','Human Plasma Protein Fraction 5 g / 100 ml Infus','PLASMANATE','Vial','Infus','Obat Keras','https://dto.kemkes.go.id/kfacode/93000826',0,'2023-05-01');</v>
      </c>
    </row>
    <row r="664" spans="1:11" ht="15.75" customHeight="1">
      <c r="A664" s="2">
        <v>93001555</v>
      </c>
      <c r="B664" s="2" t="s">
        <v>2566</v>
      </c>
      <c r="C664" s="2">
        <v>92000893</v>
      </c>
      <c r="D664" s="2" t="s">
        <v>1013</v>
      </c>
      <c r="E664" s="2" t="s">
        <v>2567</v>
      </c>
      <c r="F664" s="2" t="s">
        <v>653</v>
      </c>
      <c r="G664" s="2" t="s">
        <v>1500</v>
      </c>
      <c r="H664" s="2" t="s">
        <v>1458</v>
      </c>
      <c r="I664" s="3" t="str">
        <f t="shared" si="0"/>
        <v>https://dto.kemkes.go.id/kfacode/93001555</v>
      </c>
      <c r="J664" s="34" t="s">
        <v>3768</v>
      </c>
      <c r="K664" t="str">
        <f t="shared" si="11"/>
        <v>insert into mkatalog_kfa93 (kode, uraian, kode_92, uraian_92, nama_dagang, satuan_kecil, sediaan, golongan, url, userid_updt, sysdate_updt) values ('93001555','Human Prothrombin Complex 500 IU Serbuk Injeksi (OCTAPLEX)','92000893','Human Prothrombin Complex 500 IU Serbuk Injeksi','OCTAPLEX','Vial','Serbuk Injeksi','Obat Keras','https://dto.kemkes.go.id/kfacode/93001555',0,'2023-05-01');</v>
      </c>
    </row>
    <row r="665" spans="1:11" ht="15.75" customHeight="1">
      <c r="A665" s="2">
        <v>93001637</v>
      </c>
      <c r="B665" s="2" t="s">
        <v>2568</v>
      </c>
      <c r="C665" s="2">
        <v>92000936</v>
      </c>
      <c r="D665" s="2" t="s">
        <v>1014</v>
      </c>
      <c r="E665" s="2" t="s">
        <v>2569</v>
      </c>
      <c r="F665" s="2" t="s">
        <v>653</v>
      </c>
      <c r="G665" s="2" t="s">
        <v>1506</v>
      </c>
      <c r="H665" s="2" t="s">
        <v>1458</v>
      </c>
      <c r="I665" s="3" t="str">
        <f t="shared" si="0"/>
        <v>https://dto.kemkes.go.id/kfacode/93001637</v>
      </c>
      <c r="J665" s="34" t="s">
        <v>3768</v>
      </c>
      <c r="K665" t="str">
        <f t="shared" si="11"/>
        <v>insert into mkatalog_kfa93 (kode, uraian, kode_92, uraian_92, nama_dagang, satuan_kecil, sediaan, golongan, url, userid_updt, sysdate_updt) values ('93001637','Human Rabies Immunoglobulin 300 IU Injeksi (HYPERRAB, 1 mL)','92000936','Human Rabies Immunoglobulin 300 IU Injeksi','HYPERRAB S/D','Vial','Larutan Injeksi','Obat Keras','https://dto.kemkes.go.id/kfacode/93001637',0,'2023-05-01');</v>
      </c>
    </row>
    <row r="666" spans="1:11" ht="15.75" customHeight="1">
      <c r="A666" s="2">
        <v>93001356</v>
      </c>
      <c r="B666" s="2" t="s">
        <v>2570</v>
      </c>
      <c r="C666" s="2">
        <v>92000778</v>
      </c>
      <c r="D666" s="2" t="s">
        <v>1015</v>
      </c>
      <c r="E666" s="2" t="s">
        <v>2571</v>
      </c>
      <c r="F666" s="2" t="s">
        <v>640</v>
      </c>
      <c r="G666" s="2" t="s">
        <v>640</v>
      </c>
      <c r="H666" s="2" t="s">
        <v>1458</v>
      </c>
      <c r="I666" s="3" t="str">
        <f t="shared" si="0"/>
        <v>https://dto.kemkes.go.id/kfacode/93001356</v>
      </c>
      <c r="J666" s="34" t="s">
        <v>3768</v>
      </c>
      <c r="K666" t="str">
        <f t="shared" si="11"/>
        <v>insert into mkatalog_kfa93 (kode, uraian, kode_92, uraian_92, nama_dagang, satuan_kecil, sediaan, golongan, url, userid_updt, sysdate_updt) values ('93001356','Hydrochlorothiazide 25 mg Tablet (KIMIA FARMA)','92000778','Hydrochlorothiazide 25 mg Tablet','HYDROCHLOROTHIAZIDE','Tablet','Tablet','Obat Keras','https://dto.kemkes.go.id/kfacode/93001356',0,'2023-05-01');</v>
      </c>
    </row>
    <row r="667" spans="1:11" ht="15.75" customHeight="1">
      <c r="A667" s="2">
        <v>93000986</v>
      </c>
      <c r="B667" s="2" t="s">
        <v>2572</v>
      </c>
      <c r="C667" s="2">
        <v>92000530</v>
      </c>
      <c r="D667" s="2" t="s">
        <v>1016</v>
      </c>
      <c r="E667" s="2" t="s">
        <v>2573</v>
      </c>
      <c r="F667" s="2" t="s">
        <v>640</v>
      </c>
      <c r="G667" s="2" t="s">
        <v>640</v>
      </c>
      <c r="H667" s="2" t="s">
        <v>1458</v>
      </c>
      <c r="I667" s="3" t="str">
        <f t="shared" si="0"/>
        <v>https://dto.kemkes.go.id/kfacode/93000986</v>
      </c>
      <c r="J667" s="34" t="s">
        <v>3768</v>
      </c>
      <c r="K667" t="str">
        <f t="shared" si="11"/>
        <v>insert into mkatalog_kfa93 (kode, uraian, kode_92, uraian_92, nama_dagang, satuan_kecil, sediaan, golongan, url, userid_updt, sysdate_updt) values ('93000986','Hydrocortisone 20 mg Tablet (GENISONE)','92000530','Hydrocortisone 20 mg Tablet','GENISONE','Tablet','Tablet','Obat Keras','https://dto.kemkes.go.id/kfacode/93000986',0,'2023-05-01');</v>
      </c>
    </row>
    <row r="668" spans="1:11" ht="15.75" customHeight="1">
      <c r="A668" s="2">
        <v>93000853</v>
      </c>
      <c r="B668" s="2" t="s">
        <v>2574</v>
      </c>
      <c r="C668" s="2">
        <v>92000606</v>
      </c>
      <c r="D668" s="2" t="s">
        <v>1017</v>
      </c>
      <c r="E668" s="2" t="s">
        <v>2575</v>
      </c>
      <c r="F668" s="2" t="s">
        <v>673</v>
      </c>
      <c r="G668" s="2" t="s">
        <v>1530</v>
      </c>
      <c r="H668" s="2" t="s">
        <v>1458</v>
      </c>
      <c r="I668" s="3" t="str">
        <f t="shared" si="0"/>
        <v>https://dto.kemkes.go.id/kfacode/93000853</v>
      </c>
      <c r="J668" s="34" t="s">
        <v>3768</v>
      </c>
      <c r="K668" t="str">
        <f t="shared" si="11"/>
        <v>insert into mkatalog_kfa93 (kode, uraian, kode_92, uraian_92, nama_dagang, satuan_kecil, sediaan, golongan, url, userid_updt, sysdate_updt) values ('93000853','Hydromal Infus (HYDROMAL, 500 mL)','92000606','Hydromal Infus','HYDROMAL','Flexy Bag','Infus','Obat Keras','https://dto.kemkes.go.id/kfacode/93000853',0,'2023-05-01');</v>
      </c>
    </row>
    <row r="669" spans="1:11" ht="15.75" customHeight="1">
      <c r="A669" s="2">
        <v>93000855</v>
      </c>
      <c r="B669" s="2" t="s">
        <v>2576</v>
      </c>
      <c r="C669" s="2">
        <v>92000607</v>
      </c>
      <c r="D669" s="2" t="s">
        <v>1018</v>
      </c>
      <c r="E669" s="2" t="s">
        <v>2577</v>
      </c>
      <c r="F669" s="2" t="s">
        <v>640</v>
      </c>
      <c r="G669" s="2" t="s">
        <v>1608</v>
      </c>
      <c r="H669" s="2" t="s">
        <v>1458</v>
      </c>
      <c r="I669" s="3" t="str">
        <f t="shared" si="0"/>
        <v>https://dto.kemkes.go.id/kfacode/93000855</v>
      </c>
      <c r="J669" s="34" t="s">
        <v>3768</v>
      </c>
      <c r="K669" t="str">
        <f t="shared" si="11"/>
        <v>insert into mkatalog_kfa93 (kode, uraian, kode_92, uraian_92, nama_dagang, satuan_kecil, sediaan, golongan, url, userid_updt, sysdate_updt) values ('93000855','Hydromorphone Hydrochloride 8 mg Tablet Pelepasan Lambat (JURNISTA)','92000607','Hydromorphone Hydrochloride 8 mg Tablet Pelepasan Lambat','JURNISTA','Tablet','Tablet Pelepasan Lambat','Obat Keras','https://dto.kemkes.go.id/kfacode/93000855',0,'2023-05-01');</v>
      </c>
    </row>
    <row r="670" spans="1:11" ht="15.75" customHeight="1">
      <c r="A670" s="2">
        <v>93001371</v>
      </c>
      <c r="B670" s="2" t="s">
        <v>2578</v>
      </c>
      <c r="C670" s="2">
        <v>92000771</v>
      </c>
      <c r="D670" s="2" t="s">
        <v>1019</v>
      </c>
      <c r="E670" s="2" t="s">
        <v>2579</v>
      </c>
      <c r="F670" s="2" t="s">
        <v>649</v>
      </c>
      <c r="G670" s="2" t="s">
        <v>649</v>
      </c>
      <c r="H670" s="2" t="s">
        <v>1458</v>
      </c>
      <c r="I670" s="3" t="str">
        <f t="shared" si="0"/>
        <v>https://dto.kemkes.go.id/kfacode/93001371</v>
      </c>
      <c r="J670" s="34" t="s">
        <v>3768</v>
      </c>
      <c r="K670" t="str">
        <f t="shared" si="11"/>
        <v>insert into mkatalog_kfa93 (kode, uraian, kode_92, uraian_92, nama_dagang, satuan_kecil, sediaan, golongan, url, userid_updt, sysdate_updt) values ('93001371','Hydroxy Urea 500 mg Kapsul (HYDROXYUREA MEDAC)','92000771','Hydroxy Urea 500 mg Kapsul','HYDROXYUREA MEDAC','Kapsul','Kapsul','Obat Keras','https://dto.kemkes.go.id/kfacode/93001371',0,'2023-05-01');</v>
      </c>
    </row>
    <row r="671" spans="1:11" ht="15.75" customHeight="1">
      <c r="A671" s="2">
        <v>93000797</v>
      </c>
      <c r="B671" s="2" t="s">
        <v>2580</v>
      </c>
      <c r="C671" s="2">
        <v>92000316</v>
      </c>
      <c r="D671" s="2" t="s">
        <v>1020</v>
      </c>
      <c r="E671" s="2" t="s">
        <v>2581</v>
      </c>
      <c r="F671" s="2" t="s">
        <v>640</v>
      </c>
      <c r="G671" s="2" t="s">
        <v>1457</v>
      </c>
      <c r="H671" s="2" t="s">
        <v>1458</v>
      </c>
      <c r="I671" s="3" t="str">
        <f t="shared" si="0"/>
        <v>https://dto.kemkes.go.id/kfacode/93000797</v>
      </c>
      <c r="J671" s="34" t="s">
        <v>3768</v>
      </c>
      <c r="K671" t="str">
        <f t="shared" si="11"/>
        <v>insert into mkatalog_kfa93 (kode, uraian, kode_92, uraian_92, nama_dagang, satuan_kecil, sediaan, golongan, url, userid_updt, sysdate_updt) values ('93000797','Hydroxychloroquine Sulfate 200 mg Tablet Salut Selaput (IMEDCO DJAJA)','92000316','Hydroxychloroquine Sulfate 200 mg Tablet Salut Selaput','HYDROXYCHLOROQUINE SULFATE','Tablet','Tablet Salut Selaput','Obat Keras','https://dto.kemkes.go.id/kfacode/93000797',0,'2023-05-01');</v>
      </c>
    </row>
    <row r="672" spans="1:11" ht="15.75" customHeight="1">
      <c r="A672" s="2">
        <v>93000431</v>
      </c>
      <c r="B672" s="2" t="s">
        <v>2582</v>
      </c>
      <c r="C672" s="2">
        <v>92000316</v>
      </c>
      <c r="D672" s="2" t="s">
        <v>1020</v>
      </c>
      <c r="E672" s="2" t="s">
        <v>2581</v>
      </c>
      <c r="F672" s="2" t="s">
        <v>640</v>
      </c>
      <c r="G672" s="2" t="s">
        <v>1457</v>
      </c>
      <c r="H672" s="2" t="s">
        <v>1458</v>
      </c>
      <c r="I672" s="3" t="str">
        <f t="shared" si="0"/>
        <v>https://dto.kemkes.go.id/kfacode/93000431</v>
      </c>
      <c r="J672" s="34" t="s">
        <v>3768</v>
      </c>
      <c r="K672" t="str">
        <f t="shared" si="11"/>
        <v>insert into mkatalog_kfa93 (kode, uraian, kode_92, uraian_92, nama_dagang, satuan_kecil, sediaan, golongan, url, userid_updt, sysdate_updt) values ('93000431','Hydroxychloroquine Sulfate 200 mg Tablet Salut Selaput (KIMIA FARMA Tbk)','92000316','Hydroxychloroquine Sulfate 200 mg Tablet Salut Selaput','HYDROXYCHLOROQUINE SULFATE','Tablet','Tablet Salut Selaput','Obat Keras','https://dto.kemkes.go.id/kfacode/93000431',0,'2023-05-01');</v>
      </c>
    </row>
    <row r="673" spans="1:11" ht="15.75" customHeight="1">
      <c r="A673" s="2">
        <v>93001131</v>
      </c>
      <c r="B673" s="2" t="s">
        <v>2583</v>
      </c>
      <c r="C673" s="2">
        <v>92000685</v>
      </c>
      <c r="D673" s="2" t="s">
        <v>1021</v>
      </c>
      <c r="E673" s="2" t="s">
        <v>2584</v>
      </c>
      <c r="F673" s="2" t="s">
        <v>645</v>
      </c>
      <c r="G673" s="2" t="s">
        <v>1506</v>
      </c>
      <c r="H673" s="2" t="s">
        <v>1458</v>
      </c>
      <c r="I673" s="3" t="str">
        <f t="shared" si="0"/>
        <v>https://dto.kemkes.go.id/kfacode/93001131</v>
      </c>
      <c r="J673" s="34" t="s">
        <v>3768</v>
      </c>
      <c r="K673" t="str">
        <f t="shared" si="11"/>
        <v>insert into mkatalog_kfa93 (kode, uraian, kode_92, uraian_92, nama_dagang, satuan_kecil, sediaan, golongan, url, userid_updt, sysdate_updt) values ('93001131','Hyoscine 20 mg / mL Injeksi (ETHICA INDUSTRI FARMASI)','92000685','Hyoscine 20 mg / mL Injeksi','HYOSCINE BUTYLBROMIDE','Ampul','Larutan Injeksi','Obat Keras','https://dto.kemkes.go.id/kfacode/93001131',0,'2023-05-01');</v>
      </c>
    </row>
    <row r="674" spans="1:11" ht="15.75" customHeight="1">
      <c r="A674" s="2">
        <v>93001207</v>
      </c>
      <c r="B674" s="2" t="s">
        <v>2585</v>
      </c>
      <c r="C674" s="2">
        <v>92000807</v>
      </c>
      <c r="D674" s="2" t="s">
        <v>1022</v>
      </c>
      <c r="E674" s="2" t="s">
        <v>2586</v>
      </c>
      <c r="F674" s="2" t="s">
        <v>640</v>
      </c>
      <c r="G674" s="2" t="s">
        <v>1457</v>
      </c>
      <c r="H674" s="2" t="s">
        <v>1458</v>
      </c>
      <c r="I674" s="3" t="str">
        <f t="shared" si="0"/>
        <v>https://dto.kemkes.go.id/kfacode/93001207</v>
      </c>
      <c r="J674" s="34" t="s">
        <v>3768</v>
      </c>
      <c r="K674" t="str">
        <f t="shared" si="11"/>
        <v>insert into mkatalog_kfa93 (kode, uraian, kode_92, uraian_92, nama_dagang, satuan_kecil, sediaan, golongan, url, userid_updt, sysdate_updt) values ('93001207','Hyoscine Butylbromide 10 mg Tablet Salut Selaput (FASCOPAN)','92000807','Hyoscine Butylbromide 10 mg Tablet Salut Selaput','FASCOPAN','Tablet','Tablet Salut Selaput','Obat Keras','https://dto.kemkes.go.id/kfacode/93001207',0,'2023-05-01');</v>
      </c>
    </row>
    <row r="675" spans="1:11" ht="15.75" customHeight="1">
      <c r="A675" s="2">
        <v>93001210</v>
      </c>
      <c r="B675" s="2" t="s">
        <v>2587</v>
      </c>
      <c r="C675" s="2">
        <v>92000807</v>
      </c>
      <c r="D675" s="2" t="s">
        <v>1022</v>
      </c>
      <c r="E675" s="2" t="s">
        <v>2588</v>
      </c>
      <c r="F675" s="2" t="s">
        <v>640</v>
      </c>
      <c r="G675" s="2" t="s">
        <v>1457</v>
      </c>
      <c r="H675" s="2" t="s">
        <v>1458</v>
      </c>
      <c r="I675" s="3" t="str">
        <f t="shared" si="0"/>
        <v>https://dto.kemkes.go.id/kfacode/93001210</v>
      </c>
      <c r="J675" s="34" t="s">
        <v>3768</v>
      </c>
      <c r="K675" t="str">
        <f t="shared" si="11"/>
        <v>insert into mkatalog_kfa93 (kode, uraian, kode_92, uraian_92, nama_dagang, satuan_kecil, sediaan, golongan, url, userid_updt, sysdate_updt) values ('93001210','Hyoscine Butylbromide 10 mg Tablet Salut Selaput (GENCOPAN)','92000807','Hyoscine Butylbromide 10 mg Tablet Salut Selaput','GENCOPAN','Tablet','Tablet Salut Selaput','Obat Keras','https://dto.kemkes.go.id/kfacode/93001210',0,'2023-05-01');</v>
      </c>
    </row>
    <row r="676" spans="1:11" ht="15.75" customHeight="1">
      <c r="A676" s="2">
        <v>93001209</v>
      </c>
      <c r="B676" s="2" t="s">
        <v>2589</v>
      </c>
      <c r="C676" s="2">
        <v>92000807</v>
      </c>
      <c r="D676" s="2" t="s">
        <v>1022</v>
      </c>
      <c r="E676" s="2" t="s">
        <v>2590</v>
      </c>
      <c r="F676" s="2" t="s">
        <v>640</v>
      </c>
      <c r="G676" s="2" t="s">
        <v>1457</v>
      </c>
      <c r="H676" s="2" t="s">
        <v>1458</v>
      </c>
      <c r="I676" s="3" t="str">
        <f t="shared" si="0"/>
        <v>https://dto.kemkes.go.id/kfacode/93001209</v>
      </c>
      <c r="J676" s="34" t="s">
        <v>3768</v>
      </c>
      <c r="K676" t="str">
        <f t="shared" si="11"/>
        <v>insert into mkatalog_kfa93 (kode, uraian, kode_92, uraian_92, nama_dagang, satuan_kecil, sediaan, golongan, url, userid_updt, sysdate_updt) values ('93001209','Hyoscine Butylbromide 10 mg Tablet Salut Selaput (HYOREX)','92000807','Hyoscine Butylbromide 10 mg Tablet Salut Selaput','HYOREX','Tablet','Tablet Salut Selaput','Obat Keras','https://dto.kemkes.go.id/kfacode/93001209',0,'2023-05-01');</v>
      </c>
    </row>
    <row r="677" spans="1:11" ht="15.75" customHeight="1">
      <c r="A677" s="2">
        <v>93001206</v>
      </c>
      <c r="B677" s="2" t="s">
        <v>2591</v>
      </c>
      <c r="C677" s="2">
        <v>92000807</v>
      </c>
      <c r="D677" s="2" t="s">
        <v>1022</v>
      </c>
      <c r="E677" s="2" t="s">
        <v>2584</v>
      </c>
      <c r="F677" s="2" t="s">
        <v>640</v>
      </c>
      <c r="G677" s="2" t="s">
        <v>1457</v>
      </c>
      <c r="H677" s="2" t="s">
        <v>1458</v>
      </c>
      <c r="I677" s="3" t="str">
        <f t="shared" si="0"/>
        <v>https://dto.kemkes.go.id/kfacode/93001206</v>
      </c>
      <c r="J677" s="34" t="s">
        <v>3768</v>
      </c>
      <c r="K677" t="str">
        <f t="shared" si="11"/>
        <v>insert into mkatalog_kfa93 (kode, uraian, kode_92, uraian_92, nama_dagang, satuan_kecil, sediaan, golongan, url, userid_updt, sysdate_updt) values ('93001206','Hyoscine Butylbromide 10 mg Tablet Salut Selaput (RAMA EMERALD MULTI SUKSES)','92000807','Hyoscine Butylbromide 10 mg Tablet Salut Selaput','HYOSCINE BUTYLBROMIDE','Tablet','Tablet Salut Selaput','Obat Keras','https://dto.kemkes.go.id/kfacode/93001206',0,'2023-05-01');</v>
      </c>
    </row>
    <row r="678" spans="1:11" ht="15.75" customHeight="1">
      <c r="A678" s="2">
        <v>93001292</v>
      </c>
      <c r="B678" s="2" t="s">
        <v>2592</v>
      </c>
      <c r="C678" s="2">
        <v>92000807</v>
      </c>
      <c r="D678" s="2" t="s">
        <v>1022</v>
      </c>
      <c r="E678" s="2" t="s">
        <v>2593</v>
      </c>
      <c r="F678" s="2" t="s">
        <v>640</v>
      </c>
      <c r="G678" s="2" t="s">
        <v>1457</v>
      </c>
      <c r="H678" s="2" t="s">
        <v>1458</v>
      </c>
      <c r="I678" s="3" t="str">
        <f t="shared" si="0"/>
        <v>https://dto.kemkes.go.id/kfacode/93001292</v>
      </c>
      <c r="J678" s="34" t="s">
        <v>3768</v>
      </c>
      <c r="K678" t="str">
        <f t="shared" si="11"/>
        <v>insert into mkatalog_kfa93 (kode, uraian, kode_92, uraian_92, nama_dagang, satuan_kecil, sediaan, golongan, url, userid_updt, sysdate_updt) values ('93001292','Hyoscine Butylbromide 10 mg Tablet Salut Selaput (SCOBUTRIN)','92000807','Hyoscine Butylbromide 10 mg Tablet Salut Selaput','SCOBUTRIN','Tablet','Tablet Salut Selaput','Obat Keras','https://dto.kemkes.go.id/kfacode/93001292',0,'2023-05-01');</v>
      </c>
    </row>
    <row r="679" spans="1:11" ht="15.75" customHeight="1">
      <c r="A679" s="2">
        <v>93001208</v>
      </c>
      <c r="B679" s="2" t="s">
        <v>2594</v>
      </c>
      <c r="C679" s="2">
        <v>92000807</v>
      </c>
      <c r="D679" s="2" t="s">
        <v>1022</v>
      </c>
      <c r="E679" s="2" t="s">
        <v>2595</v>
      </c>
      <c r="F679" s="2" t="s">
        <v>640</v>
      </c>
      <c r="G679" s="2" t="s">
        <v>1457</v>
      </c>
      <c r="H679" s="2" t="s">
        <v>1458</v>
      </c>
      <c r="I679" s="3" t="str">
        <f t="shared" si="0"/>
        <v>https://dto.kemkes.go.id/kfacode/93001208</v>
      </c>
      <c r="J679" s="34" t="s">
        <v>3768</v>
      </c>
      <c r="K679" t="str">
        <f t="shared" si="11"/>
        <v>insert into mkatalog_kfa93 (kode, uraian, kode_92, uraian_92, nama_dagang, satuan_kecil, sediaan, golongan, url, userid_updt, sysdate_updt) values ('93001208','Hyoscine Butylbromide 10 mg Tablet Salut Selaput (SPASHI)','92000807','Hyoscine Butylbromide 10 mg Tablet Salut Selaput','SPASHI','Tablet','Tablet Salut Selaput','Obat Keras','https://dto.kemkes.go.id/kfacode/93001208',0,'2023-05-01');</v>
      </c>
    </row>
    <row r="680" spans="1:11" ht="15.75" customHeight="1">
      <c r="A680" s="2">
        <v>93000834</v>
      </c>
      <c r="B680" s="2" t="s">
        <v>2596</v>
      </c>
      <c r="C680" s="2">
        <v>92000442</v>
      </c>
      <c r="D680" s="2" t="s">
        <v>1023</v>
      </c>
      <c r="E680" s="2" t="s">
        <v>2597</v>
      </c>
      <c r="F680" s="2" t="s">
        <v>653</v>
      </c>
      <c r="G680" s="2" t="s">
        <v>1506</v>
      </c>
      <c r="H680" s="2" t="s">
        <v>1458</v>
      </c>
      <c r="I680" s="3" t="str">
        <f t="shared" si="0"/>
        <v>https://dto.kemkes.go.id/kfacode/93000834</v>
      </c>
      <c r="J680" s="34" t="s">
        <v>3768</v>
      </c>
      <c r="K680" t="str">
        <f t="shared" si="11"/>
        <v>insert into mkatalog_kfa93 (kode, uraian, kode_92, uraian_92, nama_dagang, satuan_kecil, sediaan, golongan, url, userid_updt, sysdate_updt) values ('93000834','Ibandronic 1 mg / mL Injeksi (NOVELL PHARMACEUTICAL LAB.)','92000442','Ibandronic 1 mg / mL Injeksi','IBANDRONIC SODIUM MONOHYDRATE','Vial','Larutan Injeksi','Obat Keras','https://dto.kemkes.go.id/kfacode/93000834',0,'2023-05-01');</v>
      </c>
    </row>
    <row r="681" spans="1:11" ht="15.75" customHeight="1">
      <c r="A681" s="2">
        <v>93001143</v>
      </c>
      <c r="B681" s="2" t="s">
        <v>2598</v>
      </c>
      <c r="C681" s="2">
        <v>92000185</v>
      </c>
      <c r="D681" s="2" t="s">
        <v>1024</v>
      </c>
      <c r="E681" s="2" t="s">
        <v>2599</v>
      </c>
      <c r="F681" s="2" t="s">
        <v>702</v>
      </c>
      <c r="G681" s="2" t="s">
        <v>1509</v>
      </c>
      <c r="H681" s="2" t="s">
        <v>1672</v>
      </c>
      <c r="I681" s="3" t="str">
        <f t="shared" si="0"/>
        <v>https://dto.kemkes.go.id/kfacode/93001143</v>
      </c>
      <c r="J681" s="34" t="s">
        <v>3768</v>
      </c>
      <c r="K681" t="str">
        <f t="shared" si="11"/>
        <v>insert into mkatalog_kfa93 (kode, uraian, kode_92, uraian_92, nama_dagang, satuan_kecil, sediaan, golongan, url, userid_updt, sysdate_updt) values ('93001143','Ibuprofen 100 mg / 5 mL Suspensi (AFI FARMA, 60 mL)','92000185','Ibuprofen 100 mg / 5 mL Suspensi','IBUPROFEN','Botol Plastik','Suspensi','Obat Bebas Terbatas','https://dto.kemkes.go.id/kfacode/93001143',0,'2023-05-01');</v>
      </c>
    </row>
    <row r="682" spans="1:11" ht="15.75" customHeight="1">
      <c r="A682" s="2">
        <v>93000265</v>
      </c>
      <c r="B682" s="2" t="s">
        <v>2600</v>
      </c>
      <c r="C682" s="2">
        <v>92000185</v>
      </c>
      <c r="D682" s="2" t="s">
        <v>1024</v>
      </c>
      <c r="E682" s="2" t="s">
        <v>2601</v>
      </c>
      <c r="F682" s="2" t="s">
        <v>702</v>
      </c>
      <c r="G682" s="2" t="s">
        <v>1509</v>
      </c>
      <c r="H682" s="2" t="s">
        <v>1672</v>
      </c>
      <c r="I682" s="3" t="str">
        <f t="shared" si="0"/>
        <v>https://dto.kemkes.go.id/kfacode/93000265</v>
      </c>
      <c r="J682" s="34" t="s">
        <v>3768</v>
      </c>
      <c r="K682" t="str">
        <f t="shared" si="11"/>
        <v>insert into mkatalog_kfa93 (kode, uraian, kode_92, uraian_92, nama_dagang, satuan_kecil, sediaan, golongan, url, userid_updt, sysdate_updt) values ('93000265','Ibuprofen 100 mg / 5 mL Suspensi (FARSIFEN, 60 mL)','92000185','Ibuprofen 100 mg / 5 mL Suspensi','FARSIFEN','Botol Plastik','Suspensi','Obat Bebas Terbatas','https://dto.kemkes.go.id/kfacode/93000265',0,'2023-05-01');</v>
      </c>
    </row>
    <row r="683" spans="1:11" ht="15.75" customHeight="1">
      <c r="A683" s="2">
        <v>93000294</v>
      </c>
      <c r="B683" s="2" t="s">
        <v>2602</v>
      </c>
      <c r="C683" s="2">
        <v>92000185</v>
      </c>
      <c r="D683" s="2" t="s">
        <v>1024</v>
      </c>
      <c r="E683" s="2" t="s">
        <v>2603</v>
      </c>
      <c r="F683" s="2" t="s">
        <v>702</v>
      </c>
      <c r="G683" s="2" t="s">
        <v>1509</v>
      </c>
      <c r="H683" s="2" t="s">
        <v>1672</v>
      </c>
      <c r="I683" s="3" t="str">
        <f t="shared" si="0"/>
        <v>https://dto.kemkes.go.id/kfacode/93000294</v>
      </c>
      <c r="J683" s="34" t="s">
        <v>3768</v>
      </c>
      <c r="K683" t="str">
        <f t="shared" si="11"/>
        <v>insert into mkatalog_kfa93 (kode, uraian, kode_92, uraian_92, nama_dagang, satuan_kecil, sediaan, golongan, url, userid_updt, sysdate_updt) values ('93000294','Ibuprofen 100 mg / 5 mL Suspensi (NOVAXIFEN, 60 mL)','92000185','Ibuprofen 100 mg / 5 mL Suspensi','NOVAXIFEN RASA STRAWBERRY','Botol Plastik','Suspensi','Obat Bebas Terbatas','https://dto.kemkes.go.id/kfacode/93000294',0,'2023-05-01');</v>
      </c>
    </row>
    <row r="684" spans="1:11" ht="15.75" customHeight="1">
      <c r="A684" s="2">
        <v>93001601</v>
      </c>
      <c r="B684" s="2" t="s">
        <v>2604</v>
      </c>
      <c r="C684" s="2">
        <v>92000913</v>
      </c>
      <c r="D684" s="2" t="s">
        <v>1025</v>
      </c>
      <c r="E684" s="2" t="s">
        <v>2599</v>
      </c>
      <c r="F684" s="2" t="s">
        <v>653</v>
      </c>
      <c r="G684" s="2" t="s">
        <v>1506</v>
      </c>
      <c r="H684" s="2" t="s">
        <v>1458</v>
      </c>
      <c r="I684" s="3" t="str">
        <f t="shared" si="0"/>
        <v>https://dto.kemkes.go.id/kfacode/93001601</v>
      </c>
      <c r="J684" s="34" t="s">
        <v>3768</v>
      </c>
      <c r="K684" t="str">
        <f t="shared" si="11"/>
        <v>insert into mkatalog_kfa93 (kode, uraian, kode_92, uraian_92, nama_dagang, satuan_kecil, sediaan, golongan, url, userid_updt, sysdate_updt) values ('93001601','Ibuprofen 100 mg / mL Injeksi (PRATAPA NIRMALA, 4 mL)','92000913','Ibuprofen 100 mg / mL Injeksi','IBUPROFEN','Vial','Larutan Injeksi','Obat Keras','https://dto.kemkes.go.id/kfacode/93001601',0,'2023-05-01');</v>
      </c>
    </row>
    <row r="685" spans="1:11" ht="15.75" customHeight="1">
      <c r="A685" s="2">
        <v>93000388</v>
      </c>
      <c r="B685" s="2" t="s">
        <v>2605</v>
      </c>
      <c r="C685" s="2">
        <v>92000224</v>
      </c>
      <c r="D685" s="2" t="s">
        <v>1026</v>
      </c>
      <c r="E685" s="2" t="s">
        <v>2606</v>
      </c>
      <c r="F685" s="2" t="s">
        <v>702</v>
      </c>
      <c r="G685" s="2" t="s">
        <v>1509</v>
      </c>
      <c r="H685" s="2" t="s">
        <v>1672</v>
      </c>
      <c r="I685" s="3" t="str">
        <f t="shared" si="0"/>
        <v>https://dto.kemkes.go.id/kfacode/93000388</v>
      </c>
      <c r="J685" s="34" t="s">
        <v>3768</v>
      </c>
      <c r="K685" t="str">
        <f t="shared" si="11"/>
        <v>insert into mkatalog_kfa93 (kode, uraian, kode_92, uraian_92, nama_dagang, satuan_kecil, sediaan, golongan, url, userid_updt, sysdate_updt) values ('93000388','Ibuprofen 200 mg / 5 mL Suspensi (FARSIFEN)','92000224','Ibuprofen 200 mg / 5 mL Suspensi','FARSIFEN FORTE','Botol Plastik','Suspensi','Obat Bebas Terbatas','https://dto.kemkes.go.id/kfacode/93000388',0,'2023-05-01');</v>
      </c>
    </row>
    <row r="686" spans="1:11" ht="15.75" customHeight="1">
      <c r="A686" s="2">
        <v>93001212</v>
      </c>
      <c r="B686" s="2" t="s">
        <v>2607</v>
      </c>
      <c r="C686" s="2">
        <v>92000224</v>
      </c>
      <c r="D686" s="2" t="s">
        <v>1026</v>
      </c>
      <c r="E686" s="2" t="s">
        <v>2599</v>
      </c>
      <c r="F686" s="2" t="s">
        <v>702</v>
      </c>
      <c r="G686" s="2" t="s">
        <v>1509</v>
      </c>
      <c r="H686" s="2" t="s">
        <v>1672</v>
      </c>
      <c r="I686" s="3" t="str">
        <f t="shared" si="0"/>
        <v>https://dto.kemkes.go.id/kfacode/93001212</v>
      </c>
      <c r="J686" s="34" t="s">
        <v>3768</v>
      </c>
      <c r="K686" t="str">
        <f t="shared" si="11"/>
        <v>insert into mkatalog_kfa93 (kode, uraian, kode_92, uraian_92, nama_dagang, satuan_kecil, sediaan, golongan, url, userid_updt, sysdate_updt) values ('93001212','Ibuprofen 200 mg / 5 mL Suspensi (NOVAPHARIN)','92000224','Ibuprofen 200 mg / 5 mL Suspensi','IBUPROFEN','Botol Plastik','Suspensi','Obat Bebas Terbatas','https://dto.kemkes.go.id/kfacode/93001212',0,'2023-05-01');</v>
      </c>
    </row>
    <row r="687" spans="1:11" ht="15.75" customHeight="1">
      <c r="A687" s="2">
        <v>93000135</v>
      </c>
      <c r="B687" s="2" t="s">
        <v>2608</v>
      </c>
      <c r="C687" s="2">
        <v>92000112</v>
      </c>
      <c r="D687" s="2" t="s">
        <v>1027</v>
      </c>
      <c r="E687" s="2" t="s">
        <v>2609</v>
      </c>
      <c r="F687" s="2" t="s">
        <v>640</v>
      </c>
      <c r="G687" s="2" t="s">
        <v>640</v>
      </c>
      <c r="H687" s="2" t="s">
        <v>1458</v>
      </c>
      <c r="I687" s="3" t="str">
        <f t="shared" si="0"/>
        <v>https://dto.kemkes.go.id/kfacode/93000135</v>
      </c>
      <c r="J687" s="34" t="s">
        <v>3768</v>
      </c>
      <c r="K687" t="str">
        <f t="shared" si="11"/>
        <v>insert into mkatalog_kfa93 (kode, uraian, kode_92, uraian_92, nama_dagang, satuan_kecil, sediaan, golongan, url, userid_updt, sysdate_updt) values ('93000135','Ibuprofen 200 mg Tablet (NOVAPHARIN)','92000112','Ibuprofen 200 mg Tablet','IBUPROFEN 200 MG','Tablet','Tablet','Obat Keras','https://dto.kemkes.go.id/kfacode/93000135',0,'2023-05-01');</v>
      </c>
    </row>
    <row r="688" spans="1:11" ht="15.75" customHeight="1">
      <c r="A688" s="2">
        <v>93000868</v>
      </c>
      <c r="B688" s="2" t="s">
        <v>2610</v>
      </c>
      <c r="C688" s="2">
        <v>92000103</v>
      </c>
      <c r="D688" s="2" t="s">
        <v>1028</v>
      </c>
      <c r="E688" s="2" t="s">
        <v>2599</v>
      </c>
      <c r="F688" s="2" t="s">
        <v>640</v>
      </c>
      <c r="G688" s="2" t="s">
        <v>640</v>
      </c>
      <c r="H688" s="2" t="s">
        <v>1458</v>
      </c>
      <c r="I688" s="3" t="str">
        <f t="shared" si="0"/>
        <v>https://dto.kemkes.go.id/kfacode/93000868</v>
      </c>
      <c r="J688" s="34" t="s">
        <v>3768</v>
      </c>
      <c r="K688" t="str">
        <f t="shared" si="11"/>
        <v>insert into mkatalog_kfa93 (kode, uraian, kode_92, uraian_92, nama_dagang, satuan_kecil, sediaan, golongan, url, userid_updt, sysdate_updt) values ('93000868','Ibuprofen 400 mg Tablet (HOLI PHARMA)','92000103','Ibuprofen 400 mg Tablet','IBUPROFEN','Tablet','Tablet','Obat Keras','https://dto.kemkes.go.id/kfacode/93000868',0,'2023-05-01');</v>
      </c>
    </row>
    <row r="689" spans="1:11" ht="15.75" customHeight="1">
      <c r="A689" s="2">
        <v>93000134</v>
      </c>
      <c r="B689" s="2" t="s">
        <v>2611</v>
      </c>
      <c r="C689" s="2">
        <v>92000103</v>
      </c>
      <c r="D689" s="2" t="s">
        <v>1028</v>
      </c>
      <c r="E689" s="2" t="s">
        <v>2612</v>
      </c>
      <c r="F689" s="2" t="s">
        <v>640</v>
      </c>
      <c r="G689" s="2" t="s">
        <v>640</v>
      </c>
      <c r="H689" s="2" t="s">
        <v>1458</v>
      </c>
      <c r="I689" s="3" t="str">
        <f t="shared" si="0"/>
        <v>https://dto.kemkes.go.id/kfacode/93000134</v>
      </c>
      <c r="J689" s="34" t="s">
        <v>3768</v>
      </c>
      <c r="K689" t="str">
        <f t="shared" si="11"/>
        <v>insert into mkatalog_kfa93 (kode, uraian, kode_92, uraian_92, nama_dagang, satuan_kecil, sediaan, golongan, url, userid_updt, sysdate_updt) values ('93000134','Ibuprofen 400 mg Tablet (NOVAPHARIN)','92000103','Ibuprofen 400 mg Tablet','IBUPROFEN 400 MG','Tablet','Tablet','Obat Keras','https://dto.kemkes.go.id/kfacode/93000134',0,'2023-05-01');</v>
      </c>
    </row>
    <row r="690" spans="1:11" ht="15.75" customHeight="1">
      <c r="A690" s="2">
        <v>93001414</v>
      </c>
      <c r="B690" s="2" t="s">
        <v>2613</v>
      </c>
      <c r="C690" s="2">
        <v>92000821</v>
      </c>
      <c r="D690" s="2" t="s">
        <v>1029</v>
      </c>
      <c r="E690" s="2" t="s">
        <v>2614</v>
      </c>
      <c r="F690" s="2" t="s">
        <v>673</v>
      </c>
      <c r="G690" s="2" t="s">
        <v>1530</v>
      </c>
      <c r="H690" s="2" t="s">
        <v>1458</v>
      </c>
      <c r="I690" s="3" t="str">
        <f t="shared" si="0"/>
        <v>https://dto.kemkes.go.id/kfacode/93001414</v>
      </c>
      <c r="J690" s="34" t="s">
        <v>3768</v>
      </c>
      <c r="K690" t="str">
        <f t="shared" si="11"/>
        <v>insert into mkatalog_kfa93 (kode, uraian, kode_92, uraian_92, nama_dagang, satuan_kecil, sediaan, golongan, url, userid_updt, sysdate_updt) values ('93001414','Icodextrin 7,5 % Infus (EXTRANEAL, 2 L)','92000821','Icodextrin 7,5 % Infus','EXTRANEAL','Flexy Bag','Infus','Obat Keras','https://dto.kemkes.go.id/kfacode/93001414',0,'2023-05-01');</v>
      </c>
    </row>
    <row r="691" spans="1:11" ht="15.75" customHeight="1">
      <c r="A691" s="2">
        <v>93001389</v>
      </c>
      <c r="B691" s="2" t="s">
        <v>2615</v>
      </c>
      <c r="C691" s="2">
        <v>92000718</v>
      </c>
      <c r="D691" s="2" t="s">
        <v>1030</v>
      </c>
      <c r="E691" s="2" t="s">
        <v>2616</v>
      </c>
      <c r="F691" s="2" t="s">
        <v>653</v>
      </c>
      <c r="G691" s="2" t="s">
        <v>1500</v>
      </c>
      <c r="H691" s="2" t="s">
        <v>1458</v>
      </c>
      <c r="I691" s="3" t="str">
        <f t="shared" si="0"/>
        <v>https://dto.kemkes.go.id/kfacode/93001389</v>
      </c>
      <c r="J691" s="34" t="s">
        <v>3768</v>
      </c>
      <c r="K691" t="str">
        <f t="shared" si="11"/>
        <v>insert into mkatalog_kfa93 (kode, uraian, kode_92, uraian_92, nama_dagang, satuan_kecil, sediaan, golongan, url, userid_updt, sysdate_updt) values ('93001389','Ifosfamide 1000 mg Serbuk Injeksi (HOLOXAN)','92000718','Ifosfamide 1000 mg Serbuk Injeksi','HOLOXAN','Vial','Serbuk Injeksi','Obat Keras','https://dto.kemkes.go.id/kfacode/93001389',0,'2023-05-01');</v>
      </c>
    </row>
    <row r="692" spans="1:11" ht="15.75" customHeight="1">
      <c r="A692" s="2">
        <v>93001255</v>
      </c>
      <c r="B692" s="2" t="s">
        <v>2617</v>
      </c>
      <c r="C692" s="2">
        <v>92000447</v>
      </c>
      <c r="D692" s="2" t="s">
        <v>1031</v>
      </c>
      <c r="E692" s="2" t="s">
        <v>2616</v>
      </c>
      <c r="F692" s="2" t="s">
        <v>653</v>
      </c>
      <c r="G692" s="2" t="s">
        <v>1500</v>
      </c>
      <c r="H692" s="2" t="s">
        <v>1458</v>
      </c>
      <c r="I692" s="3" t="str">
        <f t="shared" si="0"/>
        <v>https://dto.kemkes.go.id/kfacode/93001255</v>
      </c>
      <c r="J692" s="34" t="s">
        <v>3768</v>
      </c>
      <c r="K692" t="str">
        <f t="shared" si="11"/>
        <v>insert into mkatalog_kfa93 (kode, uraian, kode_92, uraian_92, nama_dagang, satuan_kecil, sediaan, golongan, url, userid_updt, sysdate_updt) values ('93001255','Ifosfamide 2000 mg Serbuk Injeksi (HOLOXAN)','92000447','Ifosfamide 2000 mg Serbuk Injeksi','HOLOXAN','Vial','Serbuk Injeksi','Obat Keras','https://dto.kemkes.go.id/kfacode/93001255',0,'2023-05-01');</v>
      </c>
    </row>
    <row r="693" spans="1:11" ht="15.75" customHeight="1">
      <c r="A693" s="2">
        <v>93001477</v>
      </c>
      <c r="B693" s="2" t="s">
        <v>2618</v>
      </c>
      <c r="C693" s="2">
        <v>92000331</v>
      </c>
      <c r="D693" s="2" t="s">
        <v>1032</v>
      </c>
      <c r="E693" s="2" t="s">
        <v>2616</v>
      </c>
      <c r="F693" s="2" t="s">
        <v>653</v>
      </c>
      <c r="G693" s="2" t="s">
        <v>1500</v>
      </c>
      <c r="H693" s="2" t="s">
        <v>1458</v>
      </c>
      <c r="I693" s="3" t="str">
        <f t="shared" si="0"/>
        <v>https://dto.kemkes.go.id/kfacode/93001477</v>
      </c>
      <c r="J693" s="34" t="s">
        <v>3768</v>
      </c>
      <c r="K693" t="str">
        <f t="shared" si="11"/>
        <v>insert into mkatalog_kfa93 (kode, uraian, kode_92, uraian_92, nama_dagang, satuan_kecil, sediaan, golongan, url, userid_updt, sysdate_updt) values ('93001477','Ifosfamide 500 mg Serbuk Injeksi (HOLOXAN)','92000331','Ifosfamide 500 mg Serbuk Injeksi','HOLOXAN','Vial','Serbuk Injeksi','Obat Keras','https://dto.kemkes.go.id/kfacode/93001477',0,'2023-05-01');</v>
      </c>
    </row>
    <row r="694" spans="1:11" ht="15.75" customHeight="1">
      <c r="A694" s="2">
        <v>93000124</v>
      </c>
      <c r="B694" s="2" t="s">
        <v>2619</v>
      </c>
      <c r="C694" s="2">
        <v>92000130</v>
      </c>
      <c r="D694" s="2" t="s">
        <v>1033</v>
      </c>
      <c r="E694" s="2" t="s">
        <v>2620</v>
      </c>
      <c r="F694" s="2" t="s">
        <v>645</v>
      </c>
      <c r="G694" s="2" t="s">
        <v>1489</v>
      </c>
      <c r="H694" s="2" t="s">
        <v>1458</v>
      </c>
      <c r="I694" s="3" t="str">
        <f t="shared" si="0"/>
        <v>https://dto.kemkes.go.id/kfacode/93000124</v>
      </c>
      <c r="J694" s="34" t="s">
        <v>3768</v>
      </c>
      <c r="K694" t="str">
        <f t="shared" si="11"/>
        <v>insert into mkatalog_kfa93 (kode, uraian, kode_92, uraian_92, nama_dagang, satuan_kecil, sediaan, golongan, url, userid_updt, sysdate_updt) values ('93000124','Iloprost 10 ug / mL Larutan Inhalasi (VENTAVIS)','92000130','Iloprost 10 ug / mL Larutan Inhalasi','VENTAVIS','Ampul','Larutan Inhalasi','Obat Keras','https://dto.kemkes.go.id/kfacode/93000124',0,'2023-05-01');</v>
      </c>
    </row>
    <row r="695" spans="1:11" ht="15.75" customHeight="1">
      <c r="A695" s="2">
        <v>93000513</v>
      </c>
      <c r="B695" s="2" t="s">
        <v>2621</v>
      </c>
      <c r="C695" s="2">
        <v>92000433</v>
      </c>
      <c r="D695" s="2" t="s">
        <v>1034</v>
      </c>
      <c r="E695" s="2" t="s">
        <v>2622</v>
      </c>
      <c r="F695" s="2" t="s">
        <v>649</v>
      </c>
      <c r="G695" s="2" t="s">
        <v>649</v>
      </c>
      <c r="H695" s="2" t="s">
        <v>1458</v>
      </c>
      <c r="I695" s="3" t="str">
        <f t="shared" si="0"/>
        <v>https://dto.kemkes.go.id/kfacode/93000513</v>
      </c>
      <c r="J695" s="34" t="s">
        <v>3768</v>
      </c>
      <c r="K695" t="str">
        <f t="shared" si="11"/>
        <v>insert into mkatalog_kfa93 (kode, uraian, kode_92, uraian_92, nama_dagang, satuan_kecil, sediaan, golongan, url, userid_updt, sysdate_updt) values ('93000513','Imatinib Mesylate 100 mg Kapsul (TINIBAT)','92000433','Imatinib Mesylate 100 mg Kapsul','TINIBAT','Kapsul','Kapsul','Obat Keras','https://dto.kemkes.go.id/kfacode/93000513',0,'2023-05-01');</v>
      </c>
    </row>
    <row r="696" spans="1:11" ht="15.75" customHeight="1">
      <c r="A696" s="2">
        <v>93000159</v>
      </c>
      <c r="B696" s="2" t="s">
        <v>2623</v>
      </c>
      <c r="C696" s="2">
        <v>92000162</v>
      </c>
      <c r="D696" s="2" t="s">
        <v>1035</v>
      </c>
      <c r="E696" s="2" t="s">
        <v>2624</v>
      </c>
      <c r="F696" s="2" t="s">
        <v>640</v>
      </c>
      <c r="G696" s="2" t="s">
        <v>1457</v>
      </c>
      <c r="H696" s="2" t="s">
        <v>1458</v>
      </c>
      <c r="I696" s="3" t="str">
        <f t="shared" si="0"/>
        <v>https://dto.kemkes.go.id/kfacode/93000159</v>
      </c>
      <c r="J696" s="34" t="s">
        <v>3768</v>
      </c>
      <c r="K696" t="str">
        <f t="shared" si="11"/>
        <v>insert into mkatalog_kfa93 (kode, uraian, kode_92, uraian_92, nama_dagang, satuan_kecil, sediaan, golongan, url, userid_updt, sysdate_updt) values ('93000159','Imatinib Mesylate 100 mg Tablet Salut Selaput (GLIVEC)','92000162','Imatinib Mesylate 100 mg Tablet Salut Selaput','GLIVEC','Tablet','Tablet Salut Selaput','Obat Keras','https://dto.kemkes.go.id/kfacode/93000159',0,'2023-05-01');</v>
      </c>
    </row>
    <row r="697" spans="1:11" ht="15.75" customHeight="1">
      <c r="A697" s="2">
        <v>93000336</v>
      </c>
      <c r="B697" s="2" t="s">
        <v>2625</v>
      </c>
      <c r="C697" s="2">
        <v>92000162</v>
      </c>
      <c r="D697" s="2" t="s">
        <v>1035</v>
      </c>
      <c r="E697" s="2" t="s">
        <v>2626</v>
      </c>
      <c r="F697" s="2" t="s">
        <v>640</v>
      </c>
      <c r="G697" s="2" t="s">
        <v>1457</v>
      </c>
      <c r="H697" s="2" t="s">
        <v>1458</v>
      </c>
      <c r="I697" s="3" t="str">
        <f t="shared" si="0"/>
        <v>https://dto.kemkes.go.id/kfacode/93000336</v>
      </c>
      <c r="J697" s="34" t="s">
        <v>3768</v>
      </c>
      <c r="K697" t="str">
        <f t="shared" si="11"/>
        <v>insert into mkatalog_kfa93 (kode, uraian, kode_92, uraian_92, nama_dagang, satuan_kecil, sediaan, golongan, url, userid_updt, sysdate_updt) values ('93000336','Imatinib Mesylate 100 mg Tablet Salut Selaput (IMASONIB)','92000162','Imatinib Mesylate 100 mg Tablet Salut Selaput','IMASONIB 100','Tablet','Tablet Salut Selaput','Obat Keras','https://dto.kemkes.go.id/kfacode/93000336',0,'2023-05-01');</v>
      </c>
    </row>
    <row r="698" spans="1:11" ht="15.75" customHeight="1">
      <c r="A698" s="2">
        <v>93000340</v>
      </c>
      <c r="B698" s="2" t="s">
        <v>2627</v>
      </c>
      <c r="C698" s="2">
        <v>92000162</v>
      </c>
      <c r="D698" s="2" t="s">
        <v>1035</v>
      </c>
      <c r="E698" s="2" t="s">
        <v>2628</v>
      </c>
      <c r="F698" s="2" t="s">
        <v>640</v>
      </c>
      <c r="G698" s="2" t="s">
        <v>1457</v>
      </c>
      <c r="H698" s="2" t="s">
        <v>1458</v>
      </c>
      <c r="I698" s="3" t="str">
        <f t="shared" si="0"/>
        <v>https://dto.kemkes.go.id/kfacode/93000340</v>
      </c>
      <c r="J698" s="34" t="s">
        <v>3768</v>
      </c>
      <c r="K698" t="str">
        <f t="shared" si="11"/>
        <v>insert into mkatalog_kfa93 (kode, uraian, kode_92, uraian_92, nama_dagang, satuan_kecil, sediaan, golongan, url, userid_updt, sysdate_updt) values ('93000340','Imatinib Mesylate 100 mg Tablet Salut Selaput (IMATERO)','92000162','Imatinib Mesylate 100 mg Tablet Salut Selaput','IMATERO 100','Tablet','Tablet Salut Selaput','Obat Keras','https://dto.kemkes.go.id/kfacode/93000340',0,'2023-05-01');</v>
      </c>
    </row>
    <row r="699" spans="1:11" ht="15.75" customHeight="1">
      <c r="A699" s="2">
        <v>93000235</v>
      </c>
      <c r="B699" s="2" t="s">
        <v>2629</v>
      </c>
      <c r="C699" s="2">
        <v>92000162</v>
      </c>
      <c r="D699" s="2" t="s">
        <v>1035</v>
      </c>
      <c r="E699" s="2" t="s">
        <v>2630</v>
      </c>
      <c r="F699" s="2" t="s">
        <v>640</v>
      </c>
      <c r="G699" s="2" t="s">
        <v>1457</v>
      </c>
      <c r="H699" s="2" t="s">
        <v>1458</v>
      </c>
      <c r="I699" s="3" t="str">
        <f t="shared" si="0"/>
        <v>https://dto.kemkes.go.id/kfacode/93000235</v>
      </c>
      <c r="J699" s="34" t="s">
        <v>3768</v>
      </c>
      <c r="K699" t="str">
        <f t="shared" si="11"/>
        <v>insert into mkatalog_kfa93 (kode, uraian, kode_92, uraian_92, nama_dagang, satuan_kecil, sediaan, golongan, url, userid_updt, sysdate_updt) values ('93000235','Imatinib Mesylate 100 mg Tablet Salut Selaput (IMNIB)','92000162','Imatinib Mesylate 100 mg Tablet Salut Selaput','IMNIB 100','Tablet','Tablet Salut Selaput','Obat Keras','https://dto.kemkes.go.id/kfacode/93000235',0,'2023-05-01');</v>
      </c>
    </row>
    <row r="700" spans="1:11" ht="15.75" customHeight="1">
      <c r="A700" s="2">
        <v>93000338</v>
      </c>
      <c r="B700" s="2" t="s">
        <v>2631</v>
      </c>
      <c r="C700" s="2">
        <v>92000162</v>
      </c>
      <c r="D700" s="2" t="s">
        <v>1035</v>
      </c>
      <c r="E700" s="2" t="s">
        <v>2632</v>
      </c>
      <c r="F700" s="2" t="s">
        <v>640</v>
      </c>
      <c r="G700" s="2" t="s">
        <v>1457</v>
      </c>
      <c r="H700" s="2" t="s">
        <v>1458</v>
      </c>
      <c r="I700" s="3" t="str">
        <f t="shared" si="0"/>
        <v>https://dto.kemkes.go.id/kfacode/93000338</v>
      </c>
      <c r="J700" s="34" t="s">
        <v>3768</v>
      </c>
      <c r="K700" t="str">
        <f t="shared" si="11"/>
        <v>insert into mkatalog_kfa93 (kode, uraian, kode_92, uraian_92, nama_dagang, satuan_kecil, sediaan, golongan, url, userid_updt, sysdate_updt) values ('93000338','Imatinib Mesylate 100 mg Tablet Salut Selaput (ITIB)','92000162','Imatinib Mesylate 100 mg Tablet Salut Selaput','ITIB 100','Tablet','Tablet Salut Selaput','Obat Keras','https://dto.kemkes.go.id/kfacode/93000338',0,'2023-05-01');</v>
      </c>
    </row>
    <row r="701" spans="1:11" ht="15.75" customHeight="1">
      <c r="A701" s="2">
        <v>93001413</v>
      </c>
      <c r="B701" s="2" t="s">
        <v>2633</v>
      </c>
      <c r="C701" s="2">
        <v>92000162</v>
      </c>
      <c r="D701" s="2" t="s">
        <v>1035</v>
      </c>
      <c r="E701" s="2" t="s">
        <v>2634</v>
      </c>
      <c r="F701" s="2" t="s">
        <v>640</v>
      </c>
      <c r="G701" s="2" t="s">
        <v>1457</v>
      </c>
      <c r="H701" s="2" t="s">
        <v>1458</v>
      </c>
      <c r="I701" s="3" t="str">
        <f t="shared" si="0"/>
        <v>https://dto.kemkes.go.id/kfacode/93001413</v>
      </c>
      <c r="J701" s="34" t="s">
        <v>3768</v>
      </c>
      <c r="K701" t="str">
        <f t="shared" si="11"/>
        <v>insert into mkatalog_kfa93 (kode, uraian, kode_92, uraian_92, nama_dagang, satuan_kecil, sediaan, golongan, url, userid_updt, sysdate_updt) values ('93001413','Imatinib Mesylate 100 mg Tablet Salut Selaput (LEUKIVEC)','92000162','Imatinib Mesylate 100 mg Tablet Salut Selaput','LEUKIVEC','Tablet','Tablet Salut Selaput','Obat Keras','https://dto.kemkes.go.id/kfacode/93001413',0,'2023-05-01');</v>
      </c>
    </row>
    <row r="702" spans="1:11" ht="15.75" customHeight="1">
      <c r="A702" s="2">
        <v>93000334</v>
      </c>
      <c r="B702" s="2" t="s">
        <v>2635</v>
      </c>
      <c r="C702" s="2">
        <v>92000263</v>
      </c>
      <c r="D702" s="2" t="s">
        <v>1036</v>
      </c>
      <c r="E702" s="2" t="s">
        <v>2624</v>
      </c>
      <c r="F702" s="2" t="s">
        <v>640</v>
      </c>
      <c r="G702" s="2" t="s">
        <v>1457</v>
      </c>
      <c r="H702" s="2" t="s">
        <v>1458</v>
      </c>
      <c r="I702" s="3" t="str">
        <f t="shared" si="0"/>
        <v>https://dto.kemkes.go.id/kfacode/93000334</v>
      </c>
      <c r="J702" s="34" t="s">
        <v>3768</v>
      </c>
      <c r="K702" t="str">
        <f t="shared" si="11"/>
        <v>insert into mkatalog_kfa93 (kode, uraian, kode_92, uraian_92, nama_dagang, satuan_kecil, sediaan, golongan, url, userid_updt, sysdate_updt) values ('93000334','Imatinib Mesylate 400 mg Tablet Salut Selaput (GLIVEC)','92000263','Imatinib Mesylate 400 mg Tablet Salut Selaput','GLIVEC','Tablet','Tablet Salut Selaput','Obat Keras','https://dto.kemkes.go.id/kfacode/93000334',0,'2023-05-01');</v>
      </c>
    </row>
    <row r="703" spans="1:11" ht="15.75" customHeight="1">
      <c r="A703" s="2">
        <v>93000339</v>
      </c>
      <c r="B703" s="2" t="s">
        <v>2636</v>
      </c>
      <c r="C703" s="2">
        <v>92000263</v>
      </c>
      <c r="D703" s="2" t="s">
        <v>1036</v>
      </c>
      <c r="E703" s="2" t="s">
        <v>2637</v>
      </c>
      <c r="F703" s="2" t="s">
        <v>640</v>
      </c>
      <c r="G703" s="2" t="s">
        <v>1457</v>
      </c>
      <c r="H703" s="2" t="s">
        <v>1458</v>
      </c>
      <c r="I703" s="3" t="str">
        <f t="shared" si="0"/>
        <v>https://dto.kemkes.go.id/kfacode/93000339</v>
      </c>
      <c r="J703" s="34" t="s">
        <v>3768</v>
      </c>
      <c r="K703" t="str">
        <f t="shared" si="11"/>
        <v>insert into mkatalog_kfa93 (kode, uraian, kode_92, uraian_92, nama_dagang, satuan_kecil, sediaan, golongan, url, userid_updt, sysdate_updt) values ('93000339','Imatinib Mesylate 400 mg Tablet Salut Selaput (IMATERO)','92000263','Imatinib Mesylate 400 mg Tablet Salut Selaput','IMATERO 400','Tablet','Tablet Salut Selaput','Obat Keras','https://dto.kemkes.go.id/kfacode/93000339',0,'2023-05-01');</v>
      </c>
    </row>
    <row r="704" spans="1:11" ht="15.75" customHeight="1">
      <c r="A704" s="2">
        <v>93000335</v>
      </c>
      <c r="B704" s="2" t="s">
        <v>2638</v>
      </c>
      <c r="C704" s="2">
        <v>92000263</v>
      </c>
      <c r="D704" s="2" t="s">
        <v>1036</v>
      </c>
      <c r="E704" s="2" t="s">
        <v>2639</v>
      </c>
      <c r="F704" s="2" t="s">
        <v>640</v>
      </c>
      <c r="G704" s="2" t="s">
        <v>1457</v>
      </c>
      <c r="H704" s="2" t="s">
        <v>1458</v>
      </c>
      <c r="I704" s="3" t="str">
        <f t="shared" si="0"/>
        <v>https://dto.kemkes.go.id/kfacode/93000335</v>
      </c>
      <c r="J704" s="34" t="s">
        <v>3768</v>
      </c>
      <c r="K704" t="str">
        <f t="shared" si="11"/>
        <v>insert into mkatalog_kfa93 (kode, uraian, kode_92, uraian_92, nama_dagang, satuan_kecil, sediaan, golongan, url, userid_updt, sysdate_updt) values ('93000335','Imatinib Mesylate 400 mg Tablet Salut Selaput (IMNIB)','92000263','Imatinib Mesylate 400 mg Tablet Salut Selaput','IMNIB 400','Tablet','Tablet Salut Selaput','Obat Keras','https://dto.kemkes.go.id/kfacode/93000335',0,'2023-05-01');</v>
      </c>
    </row>
    <row r="705" spans="1:11" ht="15.75" customHeight="1">
      <c r="A705" s="2">
        <v>93000337</v>
      </c>
      <c r="B705" s="2" t="s">
        <v>2640</v>
      </c>
      <c r="C705" s="2">
        <v>92000263</v>
      </c>
      <c r="D705" s="2" t="s">
        <v>1036</v>
      </c>
      <c r="E705" s="2" t="s">
        <v>2641</v>
      </c>
      <c r="F705" s="2" t="s">
        <v>640</v>
      </c>
      <c r="G705" s="2" t="s">
        <v>1457</v>
      </c>
      <c r="H705" s="2" t="s">
        <v>1458</v>
      </c>
      <c r="I705" s="3" t="str">
        <f t="shared" si="0"/>
        <v>https://dto.kemkes.go.id/kfacode/93000337</v>
      </c>
      <c r="J705" s="34" t="s">
        <v>3768</v>
      </c>
      <c r="K705" t="str">
        <f t="shared" si="11"/>
        <v>insert into mkatalog_kfa93 (kode, uraian, kode_92, uraian_92, nama_dagang, satuan_kecil, sediaan, golongan, url, userid_updt, sysdate_updt) values ('93000337','Imatinib Mesylate 400 mg Tablet Salut Selaput (ITIB)','92000263','Imatinib Mesylate 400 mg Tablet Salut Selaput','ITIB 400','Tablet','Tablet Salut Selaput','Obat Keras','https://dto.kemkes.go.id/kfacode/93000337',0,'2023-05-01');</v>
      </c>
    </row>
    <row r="706" spans="1:11" ht="15.75" customHeight="1">
      <c r="A706" s="2">
        <v>93001651</v>
      </c>
      <c r="B706" s="2" t="s">
        <v>2642</v>
      </c>
      <c r="C706" s="2">
        <v>92000947</v>
      </c>
      <c r="D706" s="2" t="s">
        <v>1037</v>
      </c>
      <c r="E706" s="2" t="s">
        <v>2643</v>
      </c>
      <c r="F706" s="2" t="s">
        <v>640</v>
      </c>
      <c r="G706" s="2" t="s">
        <v>1457</v>
      </c>
      <c r="H706" s="2" t="s">
        <v>1458</v>
      </c>
      <c r="I706" s="3" t="str">
        <f t="shared" si="0"/>
        <v>https://dto.kemkes.go.id/kfacode/93001651</v>
      </c>
      <c r="J706" s="34" t="s">
        <v>3768</v>
      </c>
      <c r="K706" t="str">
        <f t="shared" si="11"/>
        <v>insert into mkatalog_kfa93 (kode, uraian, kode_92, uraian_92, nama_dagang, satuan_kecil, sediaan, golongan, url, userid_updt, sysdate_updt) values ('93001651','Imidafenacin 0,1 mg Tablet Salut Selaput (URITOS)','92000947','Imidafenacin 0,1 mg Tablet Salut Selaput','URITOS','Tablet','Tablet Salut Selaput','Obat Keras','https://dto.kemkes.go.id/kfacode/93001651',0,'2023-05-01');</v>
      </c>
    </row>
    <row r="707" spans="1:11" ht="15.75" customHeight="1">
      <c r="A707" s="2">
        <v>93001238</v>
      </c>
      <c r="B707" s="2" t="s">
        <v>2644</v>
      </c>
      <c r="C707" s="2">
        <v>92000622</v>
      </c>
      <c r="D707" s="2" t="s">
        <v>1038</v>
      </c>
      <c r="E707" s="2" t="s">
        <v>2645</v>
      </c>
      <c r="F707" s="2" t="s">
        <v>640</v>
      </c>
      <c r="G707" s="2" t="s">
        <v>640</v>
      </c>
      <c r="H707" s="2" t="s">
        <v>1458</v>
      </c>
      <c r="I707" s="3" t="str">
        <f t="shared" si="0"/>
        <v>https://dto.kemkes.go.id/kfacode/93001238</v>
      </c>
      <c r="J707" s="34" t="s">
        <v>3768</v>
      </c>
      <c r="K707" t="str">
        <f t="shared" ref="K707:K770" si="12">CONCATENATE(J707,"('",A707,"','",B707,"','",C707,"','",D707,"','",E707,"','",F707,"','",G707,"','",H707,"','",I707,"',0,'2023-05-01');")</f>
        <v>insert into mkatalog_kfa93 (kode, uraian, kode_92, uraian_92, nama_dagang, satuan_kecil, sediaan, golongan, url, userid_updt, sysdate_updt) values ('93001238','Imidapril 10 mg Tablet (TANAPRESS)','92000622','Imidapril 10 mg Tablet','TANAPRESS 10','Tablet','Tablet','Obat Keras','https://dto.kemkes.go.id/kfacode/93001238',0,'2023-05-01');</v>
      </c>
    </row>
    <row r="708" spans="1:11" ht="15.75" customHeight="1">
      <c r="A708" s="2">
        <v>93001372</v>
      </c>
      <c r="B708" s="2" t="s">
        <v>2646</v>
      </c>
      <c r="C708" s="2">
        <v>92000769</v>
      </c>
      <c r="D708" s="2" t="s">
        <v>1039</v>
      </c>
      <c r="E708" s="2" t="s">
        <v>2647</v>
      </c>
      <c r="F708" s="2" t="s">
        <v>640</v>
      </c>
      <c r="G708" s="2" t="s">
        <v>640</v>
      </c>
      <c r="H708" s="2" t="s">
        <v>1458</v>
      </c>
      <c r="I708" s="3" t="str">
        <f t="shared" si="0"/>
        <v>https://dto.kemkes.go.id/kfacode/93001372</v>
      </c>
      <c r="J708" s="34" t="s">
        <v>3768</v>
      </c>
      <c r="K708" t="str">
        <f t="shared" si="12"/>
        <v>insert into mkatalog_kfa93 (kode, uraian, kode_92, uraian_92, nama_dagang, satuan_kecil, sediaan, golongan, url, userid_updt, sysdate_updt) values ('93001372','Imidapril 5 mg Tablet (TANAPRESS)','92000769','Imidapril 5 mg Tablet','TANAPRESS 5','Tablet','Tablet','Obat Keras','https://dto.kemkes.go.id/kfacode/93001372',0,'2023-05-01');</v>
      </c>
    </row>
    <row r="709" spans="1:11" ht="15.75" customHeight="1">
      <c r="A709" s="2">
        <v>93000722</v>
      </c>
      <c r="B709" s="2" t="s">
        <v>2648</v>
      </c>
      <c r="C709" s="2">
        <v>92000519</v>
      </c>
      <c r="D709" s="2" t="s">
        <v>1040</v>
      </c>
      <c r="E709" s="2" t="s">
        <v>2649</v>
      </c>
      <c r="F709" s="2" t="s">
        <v>1041</v>
      </c>
      <c r="G709" s="2" t="s">
        <v>1506</v>
      </c>
      <c r="H709" s="2" t="s">
        <v>1458</v>
      </c>
      <c r="I709" s="3" t="str">
        <f t="shared" si="0"/>
        <v>https://dto.kemkes.go.id/kfacode/93000722</v>
      </c>
      <c r="J709" s="34" t="s">
        <v>3768</v>
      </c>
      <c r="K709" t="str">
        <f t="shared" si="12"/>
        <v>insert into mkatalog_kfa93 (kode, uraian, kode_92, uraian_92, nama_dagang, satuan_kecil, sediaan, golongan, url, userid_updt, sysdate_updt) values ('93000722','Immunoglobulin Human Anti-Tetanus 250 IU / mL Injeksi (TETAGAM P)','92000519','Immunoglobulin Human Anti-Tetanus 250 IU / mL Injeksi','TETAGAM P','injeksi','Larutan Injeksi','Obat Keras','https://dto.kemkes.go.id/kfacode/93000722',0,'2023-05-01');</v>
      </c>
    </row>
    <row r="710" spans="1:11" ht="15.75" customHeight="1">
      <c r="A710" s="2">
        <v>93001058</v>
      </c>
      <c r="B710" s="2" t="s">
        <v>2650</v>
      </c>
      <c r="C710" s="2">
        <v>92000745</v>
      </c>
      <c r="D710" s="2" t="s">
        <v>1042</v>
      </c>
      <c r="E710" s="2" t="s">
        <v>2651</v>
      </c>
      <c r="F710" s="2" t="s">
        <v>649</v>
      </c>
      <c r="G710" s="2" t="s">
        <v>1738</v>
      </c>
      <c r="H710" s="2" t="s">
        <v>1458</v>
      </c>
      <c r="I710" s="3" t="str">
        <f t="shared" si="0"/>
        <v>https://dto.kemkes.go.id/kfacode/93001058</v>
      </c>
      <c r="J710" s="34" t="s">
        <v>3768</v>
      </c>
      <c r="K710" t="str">
        <f t="shared" si="12"/>
        <v>insert into mkatalog_kfa93 (kode, uraian, kode_92, uraian_92, nama_dagang, satuan_kecil, sediaan, golongan, url, userid_updt, sysdate_updt) values ('93001058','Indacaterol 110 mg / Glycopyrronium 50 mg Serbuk Inhaler (ULTIBRO BREEZHALER)','92000745','Indacaterol 110 mg / Glycopyrronium 50 mg Serbuk Inhaler','ULTIBRO BREEZHALER','Kapsul','Serbuk Inhaler','Obat Keras','https://dto.kemkes.go.id/kfacode/93001058',0,'2023-05-01');</v>
      </c>
    </row>
    <row r="711" spans="1:11" ht="15.75" customHeight="1">
      <c r="A711" s="2">
        <v>93000593</v>
      </c>
      <c r="B711" s="2" t="s">
        <v>2652</v>
      </c>
      <c r="C711" s="2">
        <v>92000305</v>
      </c>
      <c r="D711" s="2" t="s">
        <v>1043</v>
      </c>
      <c r="E711" s="2" t="s">
        <v>2653</v>
      </c>
      <c r="F711" s="2" t="s">
        <v>649</v>
      </c>
      <c r="G711" s="2" t="s">
        <v>649</v>
      </c>
      <c r="H711" s="2" t="s">
        <v>1458</v>
      </c>
      <c r="I711" s="3" t="str">
        <f t="shared" si="0"/>
        <v>https://dto.kemkes.go.id/kfacode/93000593</v>
      </c>
      <c r="J711" s="34" t="s">
        <v>3768</v>
      </c>
      <c r="K711" t="str">
        <f t="shared" si="12"/>
        <v>insert into mkatalog_kfa93 (kode, uraian, kode_92, uraian_92, nama_dagang, satuan_kecil, sediaan, golongan, url, userid_updt, sysdate_updt) values ('93000593','Indacaterol 150 mcg Kapsul (ONBREZ BREEZHALER)','92000305','Indacaterol 150 mcg Kapsul','ONBREZ BREEZHALER','Kapsul','Kapsul','Obat Keras','https://dto.kemkes.go.id/kfacode/93000593',0,'2023-05-01');</v>
      </c>
    </row>
    <row r="712" spans="1:11" ht="15.75" customHeight="1">
      <c r="A712" s="2">
        <v>93000978</v>
      </c>
      <c r="B712" s="2" t="s">
        <v>2654</v>
      </c>
      <c r="C712" s="2">
        <v>92000563</v>
      </c>
      <c r="D712" s="2" t="s">
        <v>1044</v>
      </c>
      <c r="E712" s="2" t="s">
        <v>2653</v>
      </c>
      <c r="F712" s="2" t="s">
        <v>649</v>
      </c>
      <c r="G712" s="2" t="s">
        <v>1738</v>
      </c>
      <c r="H712" s="2" t="s">
        <v>1458</v>
      </c>
      <c r="I712" s="3" t="str">
        <f t="shared" si="0"/>
        <v>https://dto.kemkes.go.id/kfacode/93000978</v>
      </c>
      <c r="J712" s="34" t="s">
        <v>3768</v>
      </c>
      <c r="K712" t="str">
        <f t="shared" si="12"/>
        <v>insert into mkatalog_kfa93 (kode, uraian, kode_92, uraian_92, nama_dagang, satuan_kecil, sediaan, golongan, url, userid_updt, sysdate_updt) values ('93000978','Indacaterol Maleate 300 mcg Serbuk Inhaler (ONBREZ BREEZHALER)','92000563','Indacaterol Maleate 300 mcg Serbuk Inhaler','ONBREZ BREEZHALER','Kapsul','Serbuk Inhaler','Obat Keras','https://dto.kemkes.go.id/kfacode/93000978',0,'2023-05-01');</v>
      </c>
    </row>
    <row r="713" spans="1:11" ht="15.75" customHeight="1">
      <c r="A713" s="2">
        <v>93001322</v>
      </c>
      <c r="B713" s="2" t="s">
        <v>2655</v>
      </c>
      <c r="C713" s="2">
        <v>92000813</v>
      </c>
      <c r="D713" s="2" t="s">
        <v>1045</v>
      </c>
      <c r="E713" s="2" t="s">
        <v>2656</v>
      </c>
      <c r="F713" s="2" t="s">
        <v>1046</v>
      </c>
      <c r="G713" s="2" t="s">
        <v>1506</v>
      </c>
      <c r="H713" s="2" t="s">
        <v>1458</v>
      </c>
      <c r="I713" s="3" t="str">
        <f t="shared" si="0"/>
        <v>https://dto.kemkes.go.id/kfacode/93001322</v>
      </c>
      <c r="J713" s="34" t="s">
        <v>3768</v>
      </c>
      <c r="K713" t="str">
        <f t="shared" si="12"/>
        <v>insert into mkatalog_kfa93 (kode, uraian, kode_92, uraian_92, nama_dagang, satuan_kecil, sediaan, golongan, url, userid_updt, sysdate_updt) values ('93001322','Insulin 70 U / Insulin Aspart 30 U Injeksi (RYZODEG)','92000813','Insulin 70 U / Insulin Aspart 30 U Injeksi','RYZODEG','Cartridges','Larutan Injeksi','Obat Keras','https://dto.kemkes.go.id/kfacode/93001322',0,'2023-05-01');</v>
      </c>
    </row>
    <row r="714" spans="1:11" ht="15.75" customHeight="1">
      <c r="A714" s="2">
        <v>93000752</v>
      </c>
      <c r="B714" s="2" t="s">
        <v>2657</v>
      </c>
      <c r="C714" s="2">
        <v>92000478</v>
      </c>
      <c r="D714" s="2" t="s">
        <v>1047</v>
      </c>
      <c r="E714" s="2" t="s">
        <v>2658</v>
      </c>
      <c r="F714" s="2" t="s">
        <v>1046</v>
      </c>
      <c r="G714" s="2" t="s">
        <v>1506</v>
      </c>
      <c r="H714" s="2" t="s">
        <v>1458</v>
      </c>
      <c r="I714" s="3" t="str">
        <f t="shared" si="0"/>
        <v>https://dto.kemkes.go.id/kfacode/93000752</v>
      </c>
      <c r="J714" s="34" t="s">
        <v>3768</v>
      </c>
      <c r="K714" t="str">
        <f t="shared" si="12"/>
        <v>insert into mkatalog_kfa93 (kode, uraian, kode_92, uraian_92, nama_dagang, satuan_kecil, sediaan, golongan, url, userid_updt, sysdate_updt) values ('93000752','Insulin Detemir 100 IU / mL Injeksi (LEVEMIR FLEXPEN)','92000478','Insulin Detemir 100 IU / mL Injeksi','LEVEMIR FLEXPEN','Cartridges','Larutan Injeksi','Obat Keras','https://dto.kemkes.go.id/kfacode/93000752',0,'2023-05-01');</v>
      </c>
    </row>
    <row r="715" spans="1:11" ht="15.75" customHeight="1">
      <c r="A715" s="2">
        <v>93000729</v>
      </c>
      <c r="B715" s="2" t="s">
        <v>2659</v>
      </c>
      <c r="C715" s="2">
        <v>92000478</v>
      </c>
      <c r="D715" s="2" t="s">
        <v>1047</v>
      </c>
      <c r="F715" s="2" t="s">
        <v>1046</v>
      </c>
      <c r="G715" s="2" t="s">
        <v>1506</v>
      </c>
      <c r="H715" s="2" t="s">
        <v>1458</v>
      </c>
      <c r="I715" s="3" t="str">
        <f t="shared" si="0"/>
        <v>https://dto.kemkes.go.id/kfacode/93000729</v>
      </c>
      <c r="J715" s="34" t="s">
        <v>3768</v>
      </c>
      <c r="K715" t="str">
        <f t="shared" si="12"/>
        <v>insert into mkatalog_kfa93 (kode, uraian, kode_92, uraian_92, nama_dagang, satuan_kecil, sediaan, golongan, url, userid_updt, sysdate_updt) values ('93000729','Insulin Detemir 100 IU / mL Injeksi (LEVEMIR)','92000478','Insulin Detemir 100 IU / mL Injeksi','','Cartridges','Larutan Injeksi','Obat Keras','https://dto.kemkes.go.id/kfacode/93000729',0,'2023-05-01');</v>
      </c>
    </row>
    <row r="716" spans="1:11" ht="15.75" customHeight="1">
      <c r="A716" s="2">
        <v>93000596</v>
      </c>
      <c r="B716" s="2" t="s">
        <v>2660</v>
      </c>
      <c r="C716" s="2">
        <v>92000463</v>
      </c>
      <c r="D716" s="2" t="s">
        <v>1048</v>
      </c>
      <c r="E716" s="2" t="s">
        <v>2661</v>
      </c>
      <c r="F716" s="2" t="s">
        <v>1046</v>
      </c>
      <c r="G716" s="2" t="s">
        <v>1506</v>
      </c>
      <c r="H716" s="2" t="s">
        <v>1458</v>
      </c>
      <c r="I716" s="3" t="str">
        <f t="shared" si="0"/>
        <v>https://dto.kemkes.go.id/kfacode/93000596</v>
      </c>
      <c r="J716" s="34" t="s">
        <v>3768</v>
      </c>
      <c r="K716" t="str">
        <f t="shared" si="12"/>
        <v>insert into mkatalog_kfa93 (kode, uraian, kode_92, uraian_92, nama_dagang, satuan_kecil, sediaan, golongan, url, userid_updt, sysdate_updt) values ('93000596','Insulin Glargine 100 IU/ml Cairan Injeksi (LANTUS)','92000463','Insulin Glargine 100 IU/ml Cairan Injeksi','LANTUS','Cartridges','Larutan Injeksi','Obat Keras','https://dto.kemkes.go.id/kfacode/93000596',0,'2023-05-01');</v>
      </c>
    </row>
    <row r="717" spans="1:11" ht="15.75" customHeight="1">
      <c r="A717" s="2">
        <v>93001618</v>
      </c>
      <c r="B717" s="2" t="s">
        <v>2662</v>
      </c>
      <c r="C717" s="2">
        <v>92000925</v>
      </c>
      <c r="D717" s="2" t="s">
        <v>1049</v>
      </c>
      <c r="E717" s="2" t="s">
        <v>2663</v>
      </c>
      <c r="F717" s="2" t="s">
        <v>1050</v>
      </c>
      <c r="G717" s="2" t="s">
        <v>1506</v>
      </c>
      <c r="H717" s="2" t="s">
        <v>1458</v>
      </c>
      <c r="I717" s="3" t="str">
        <f t="shared" si="0"/>
        <v>https://dto.kemkes.go.id/kfacode/93001618</v>
      </c>
      <c r="J717" s="34" t="s">
        <v>3768</v>
      </c>
      <c r="K717" t="str">
        <f t="shared" si="12"/>
        <v>insert into mkatalog_kfa93 (kode, uraian, kode_92, uraian_92, nama_dagang, satuan_kecil, sediaan, golongan, url, userid_updt, sysdate_updt) values ('93001618','Insulin Glargine 300 IU/ml Cairan Injeksi (LANTUS)','92000925','Insulin Glargine 300 IU/ml Cairan Injeksi','LANTUS XR','Prefilled pen','Larutan Injeksi','Obat Keras','https://dto.kemkes.go.id/kfacode/93001618',0,'2023-05-01');</v>
      </c>
    </row>
    <row r="718" spans="1:11" ht="15.75" customHeight="1">
      <c r="A718" s="2">
        <v>93000939</v>
      </c>
      <c r="B718" s="2" t="s">
        <v>2664</v>
      </c>
      <c r="C718" s="2">
        <v>92000598</v>
      </c>
      <c r="D718" s="2" t="s">
        <v>1051</v>
      </c>
      <c r="E718" s="2" t="s">
        <v>2665</v>
      </c>
      <c r="F718" s="2" t="s">
        <v>1046</v>
      </c>
      <c r="G718" s="2" t="s">
        <v>1506</v>
      </c>
      <c r="H718" s="2" t="s">
        <v>1458</v>
      </c>
      <c r="I718" s="3" t="str">
        <f t="shared" si="0"/>
        <v>https://dto.kemkes.go.id/kfacode/93000939</v>
      </c>
      <c r="J718" s="34" t="s">
        <v>3768</v>
      </c>
      <c r="K718" t="str">
        <f t="shared" si="12"/>
        <v>insert into mkatalog_kfa93 (kode, uraian, kode_92, uraian_92, nama_dagang, satuan_kecil, sediaan, golongan, url, userid_updt, sysdate_updt) values ('93000939','Insulin Human (Intermediate Acting) 100 IU / mL Injeksi (INSULATARD HM, 10 mL)','92000598','Insulin Human (Intermediate Acting) 100 IU / mL Injeksi','INSULATARD HM','Cartridges','Larutan Injeksi','Obat Keras','https://dto.kemkes.go.id/kfacode/93000939',0,'2023-05-01');</v>
      </c>
    </row>
    <row r="719" spans="1:11" ht="15.75" customHeight="1">
      <c r="A719" s="2">
        <v>93001156</v>
      </c>
      <c r="B719" s="2" t="s">
        <v>2666</v>
      </c>
      <c r="C719" s="2">
        <v>92000598</v>
      </c>
      <c r="D719" s="2" t="s">
        <v>1051</v>
      </c>
      <c r="E719" s="2" t="s">
        <v>2665</v>
      </c>
      <c r="F719" s="2" t="s">
        <v>1046</v>
      </c>
      <c r="G719" s="2" t="s">
        <v>1506</v>
      </c>
      <c r="H719" s="2" t="s">
        <v>1458</v>
      </c>
      <c r="I719" s="3" t="str">
        <f t="shared" si="0"/>
        <v>https://dto.kemkes.go.id/kfacode/93001156</v>
      </c>
      <c r="J719" s="34" t="s">
        <v>3768</v>
      </c>
      <c r="K719" t="str">
        <f t="shared" si="12"/>
        <v>insert into mkatalog_kfa93 (kode, uraian, kode_92, uraian_92, nama_dagang, satuan_kecil, sediaan, golongan, url, userid_updt, sysdate_updt) values ('93001156','Insulin Human (Intermediate Acting) 100 IU / mL Injeksi (INSULATARD HM, 3 mL)','92000598','Insulin Human (Intermediate Acting) 100 IU / mL Injeksi','INSULATARD HM','Cartridges','Larutan Injeksi','Obat Keras','https://dto.kemkes.go.id/kfacode/93001156',0,'2023-05-01');</v>
      </c>
    </row>
    <row r="720" spans="1:11" ht="15.75" customHeight="1">
      <c r="A720" s="2">
        <v>93001160</v>
      </c>
      <c r="B720" s="2" t="s">
        <v>2667</v>
      </c>
      <c r="C720" s="2">
        <v>92000672</v>
      </c>
      <c r="D720" s="2" t="s">
        <v>1052</v>
      </c>
      <c r="E720" s="2" t="s">
        <v>2668</v>
      </c>
      <c r="F720" s="2" t="s">
        <v>1046</v>
      </c>
      <c r="G720" s="2" t="s">
        <v>1506</v>
      </c>
      <c r="H720" s="2" t="s">
        <v>1458</v>
      </c>
      <c r="I720" s="3" t="str">
        <f t="shared" si="0"/>
        <v>https://dto.kemkes.go.id/kfacode/93001160</v>
      </c>
      <c r="J720" s="34" t="s">
        <v>3768</v>
      </c>
      <c r="K720" t="str">
        <f t="shared" si="12"/>
        <v>insert into mkatalog_kfa93 (kode, uraian, kode_92, uraian_92, nama_dagang, satuan_kecil, sediaan, golongan, url, userid_updt, sysdate_updt) values ('93001160','Insulin Human (Short Acting) 100 IU / mL Injeksi (ACTRAPID HM, 10 mL)','92000672','Insulin Human (Short Acting) 100 IU / mL Injeksi','ACTRAPID HM','Cartridges','Larutan Injeksi','Obat Keras','https://dto.kemkes.go.id/kfacode/93001160',0,'2023-05-01');</v>
      </c>
    </row>
    <row r="721" spans="1:11" ht="15.75" customHeight="1">
      <c r="A721" s="2">
        <v>93001159</v>
      </c>
      <c r="B721" s="2" t="s">
        <v>2669</v>
      </c>
      <c r="C721" s="2">
        <v>92000672</v>
      </c>
      <c r="D721" s="2" t="s">
        <v>1052</v>
      </c>
      <c r="E721" s="2" t="s">
        <v>2668</v>
      </c>
      <c r="F721" s="2" t="s">
        <v>1046</v>
      </c>
      <c r="G721" s="2" t="s">
        <v>1506</v>
      </c>
      <c r="H721" s="2" t="s">
        <v>1458</v>
      </c>
      <c r="I721" s="3" t="str">
        <f t="shared" si="0"/>
        <v>https://dto.kemkes.go.id/kfacode/93001159</v>
      </c>
      <c r="J721" s="34" t="s">
        <v>3768</v>
      </c>
      <c r="K721" t="str">
        <f t="shared" si="12"/>
        <v>insert into mkatalog_kfa93 (kode, uraian, kode_92, uraian_92, nama_dagang, satuan_kecil, sediaan, golongan, url, userid_updt, sysdate_updt) values ('93001159','Insulin Human (Short Acting) 100 IU / mL Injeksi (ACTRAPID HM, 3 mL)','92000672','Insulin Human (Short Acting) 100 IU / mL Injeksi','ACTRAPID HM','Cartridges','Larutan Injeksi','Obat Keras','https://dto.kemkes.go.id/kfacode/93001159',0,'2023-05-01');</v>
      </c>
    </row>
    <row r="722" spans="1:11" ht="15.75" customHeight="1">
      <c r="A722" s="2">
        <v>93000973</v>
      </c>
      <c r="B722" s="2" t="s">
        <v>2670</v>
      </c>
      <c r="C722" s="2">
        <v>92000672</v>
      </c>
      <c r="D722" s="2" t="s">
        <v>1052</v>
      </c>
      <c r="E722" s="2" t="s">
        <v>2671</v>
      </c>
      <c r="F722" s="2" t="s">
        <v>1046</v>
      </c>
      <c r="G722" s="2" t="s">
        <v>1506</v>
      </c>
      <c r="H722" s="2" t="s">
        <v>1458</v>
      </c>
      <c r="I722" s="3" t="str">
        <f t="shared" si="0"/>
        <v>https://dto.kemkes.go.id/kfacode/93000973</v>
      </c>
      <c r="J722" s="34" t="s">
        <v>3768</v>
      </c>
      <c r="K722" t="str">
        <f t="shared" si="12"/>
        <v>insert into mkatalog_kfa93 (kode, uraian, kode_92, uraian_92, nama_dagang, satuan_kecil, sediaan, golongan, url, userid_updt, sysdate_updt) values ('93000973','Insulin Human (Short Acting) 100 IU / mL Injeksi (HUMULIN R KWIKPEN)','92000672','Insulin Human (Short Acting) 100 IU / mL Injeksi','HUMULIN R KWIKPEN','Cartridges','Larutan Injeksi','Obat Keras','https://dto.kemkes.go.id/kfacode/93000973',0,'2023-05-01');</v>
      </c>
    </row>
    <row r="723" spans="1:11" ht="15.75" customHeight="1">
      <c r="A723" s="2">
        <v>93001151</v>
      </c>
      <c r="B723" s="2" t="s">
        <v>2672</v>
      </c>
      <c r="C723" s="2">
        <v>92000183</v>
      </c>
      <c r="D723" s="2" t="s">
        <v>1053</v>
      </c>
      <c r="E723" s="2" t="s">
        <v>2673</v>
      </c>
      <c r="F723" s="2" t="s">
        <v>1050</v>
      </c>
      <c r="G723" s="2" t="s">
        <v>1506</v>
      </c>
      <c r="H723" s="2" t="s">
        <v>1458</v>
      </c>
      <c r="I723" s="3" t="str">
        <f t="shared" si="0"/>
        <v>https://dto.kemkes.go.id/kfacode/93001151</v>
      </c>
      <c r="J723" s="34" t="s">
        <v>3768</v>
      </c>
      <c r="K723" t="str">
        <f t="shared" si="12"/>
        <v>insert into mkatalog_kfa93 (kode, uraian, kode_92, uraian_92, nama_dagang, satuan_kecil, sediaan, golongan, url, userid_updt, sysdate_updt) values ('93001151','Insulin Human Analog (Rapid Acting) 100 IU / mL Injeksi (APIDRA, 10 mL)','92000183','Insulin Human Analog (Rapid Acting) 100 IU / mL Injeksi','APIDRA','Prefilled pen','Larutan Injeksi','Obat Keras','https://dto.kemkes.go.id/kfacode/93001151',0,'2023-05-01');</v>
      </c>
    </row>
    <row r="724" spans="1:11" ht="15.75" customHeight="1">
      <c r="A724" s="2">
        <v>93001149</v>
      </c>
      <c r="B724" s="2" t="s">
        <v>2674</v>
      </c>
      <c r="C724" s="2">
        <v>92000183</v>
      </c>
      <c r="D724" s="2" t="s">
        <v>1053</v>
      </c>
      <c r="E724" s="2" t="s">
        <v>2673</v>
      </c>
      <c r="F724" s="2" t="s">
        <v>1050</v>
      </c>
      <c r="G724" s="2" t="s">
        <v>1506</v>
      </c>
      <c r="H724" s="2" t="s">
        <v>1458</v>
      </c>
      <c r="I724" s="3" t="str">
        <f t="shared" si="0"/>
        <v>https://dto.kemkes.go.id/kfacode/93001149</v>
      </c>
      <c r="J724" s="34" t="s">
        <v>3768</v>
      </c>
      <c r="K724" t="str">
        <f t="shared" si="12"/>
        <v>insert into mkatalog_kfa93 (kode, uraian, kode_92, uraian_92, nama_dagang, satuan_kecil, sediaan, golongan, url, userid_updt, sysdate_updt) values ('93001149','Insulin Human Analog (Rapid Acting) 100 IU / mL Injeksi (APIDRA, 3 mL)','92000183','Insulin Human Analog (Rapid Acting) 100 IU / mL Injeksi','APIDRA','Prefilled pen','Larutan Injeksi','Obat Keras','https://dto.kemkes.go.id/kfacode/93001149',0,'2023-05-01');</v>
      </c>
    </row>
    <row r="725" spans="1:11" ht="15.75" customHeight="1">
      <c r="A725" s="2">
        <v>93001154</v>
      </c>
      <c r="B725" s="2" t="s">
        <v>2675</v>
      </c>
      <c r="C725" s="2">
        <v>92000183</v>
      </c>
      <c r="D725" s="2" t="s">
        <v>1053</v>
      </c>
      <c r="E725" s="2" t="s">
        <v>2676</v>
      </c>
      <c r="F725" s="2" t="s">
        <v>1050</v>
      </c>
      <c r="G725" s="2" t="s">
        <v>1506</v>
      </c>
      <c r="H725" s="2" t="s">
        <v>1458</v>
      </c>
      <c r="I725" s="3" t="str">
        <f t="shared" si="0"/>
        <v>https://dto.kemkes.go.id/kfacode/93001154</v>
      </c>
      <c r="J725" s="34" t="s">
        <v>3768</v>
      </c>
      <c r="K725" t="str">
        <f t="shared" si="12"/>
        <v>insert into mkatalog_kfa93 (kode, uraian, kode_92, uraian_92, nama_dagang, satuan_kecil, sediaan, golongan, url, userid_updt, sysdate_updt) values ('93001154','Insulin Human Analog (Rapid Acting) 100 IU / mL Injeksi (FIASP, 3 mL)','92000183','Insulin Human Analog (Rapid Acting) 100 IU / mL Injeksi','FIASP','Prefilled pen','Larutan Injeksi','Obat Keras','https://dto.kemkes.go.id/kfacode/93001154',0,'2023-05-01');</v>
      </c>
    </row>
    <row r="726" spans="1:11" ht="15.75" customHeight="1">
      <c r="A726" s="2">
        <v>93001148</v>
      </c>
      <c r="B726" s="2" t="s">
        <v>2677</v>
      </c>
      <c r="C726" s="2">
        <v>92000183</v>
      </c>
      <c r="D726" s="2" t="s">
        <v>1053</v>
      </c>
      <c r="E726" s="2" t="s">
        <v>2678</v>
      </c>
      <c r="F726" s="2" t="s">
        <v>1050</v>
      </c>
      <c r="G726" s="2" t="s">
        <v>1506</v>
      </c>
      <c r="H726" s="2" t="s">
        <v>1458</v>
      </c>
      <c r="I726" s="3" t="str">
        <f t="shared" si="0"/>
        <v>https://dto.kemkes.go.id/kfacode/93001148</v>
      </c>
      <c r="J726" s="34" t="s">
        <v>3768</v>
      </c>
      <c r="K726" t="str">
        <f t="shared" si="12"/>
        <v>insert into mkatalog_kfa93 (kode, uraian, kode_92, uraian_92, nama_dagang, satuan_kecil, sediaan, golongan, url, userid_updt, sysdate_updt) values ('93001148','Insulin Human Analog (Rapid Acting) 100 IU / mL Injeksi (HUMALOG KWIKPEN, 3 mL)','92000183','Insulin Human Analog (Rapid Acting) 100 IU / mL Injeksi','HUMALOG KWIKPEN','Prefilled pen','Larutan Injeksi','Obat Keras','https://dto.kemkes.go.id/kfacode/93001148',0,'2023-05-01');</v>
      </c>
    </row>
    <row r="727" spans="1:11" ht="15.75" customHeight="1">
      <c r="A727" s="2">
        <v>93001150</v>
      </c>
      <c r="B727" s="2" t="s">
        <v>2679</v>
      </c>
      <c r="C727" s="2">
        <v>92000183</v>
      </c>
      <c r="D727" s="2" t="s">
        <v>1053</v>
      </c>
      <c r="E727" s="2" t="s">
        <v>2680</v>
      </c>
      <c r="F727" s="2" t="s">
        <v>1050</v>
      </c>
      <c r="G727" s="2" t="s">
        <v>1506</v>
      </c>
      <c r="H727" s="2" t="s">
        <v>1458</v>
      </c>
      <c r="I727" s="3" t="str">
        <f t="shared" si="0"/>
        <v>https://dto.kemkes.go.id/kfacode/93001150</v>
      </c>
      <c r="J727" s="34" t="s">
        <v>3768</v>
      </c>
      <c r="K727" t="str">
        <f t="shared" si="12"/>
        <v>insert into mkatalog_kfa93 (kode, uraian, kode_92, uraian_92, nama_dagang, satuan_kecil, sediaan, golongan, url, userid_updt, sysdate_updt) values ('93001150','Insulin Human Analog (Rapid Acting) 100 IU / mL Injeksi (NOVORAPID, 3 mL)','92000183','Insulin Human Analog (Rapid Acting) 100 IU / mL Injeksi','NOVORAPID','Prefilled pen','Larutan Injeksi','Obat Keras','https://dto.kemkes.go.id/kfacode/93001150',0,'2023-05-01');</v>
      </c>
    </row>
    <row r="728" spans="1:11" ht="15.75" customHeight="1">
      <c r="A728" s="2">
        <v>93001164</v>
      </c>
      <c r="B728" s="2" t="s">
        <v>2681</v>
      </c>
      <c r="C728" s="2">
        <v>92000660</v>
      </c>
      <c r="D728" s="2" t="s">
        <v>1054</v>
      </c>
      <c r="E728" s="2" t="s">
        <v>2682</v>
      </c>
      <c r="F728" s="2" t="s">
        <v>1046</v>
      </c>
      <c r="G728" s="2" t="s">
        <v>1506</v>
      </c>
      <c r="H728" s="2" t="s">
        <v>1458</v>
      </c>
      <c r="I728" s="3" t="str">
        <f t="shared" si="0"/>
        <v>https://dto.kemkes.go.id/kfacode/93001164</v>
      </c>
      <c r="J728" s="34" t="s">
        <v>3768</v>
      </c>
      <c r="K728" t="str">
        <f t="shared" si="12"/>
        <v>insert into mkatalog_kfa93 (kode, uraian, kode_92, uraian_92, nama_dagang, satuan_kecil, sediaan, golongan, url, userid_updt, sysdate_updt) values ('93001164','Insulin Human Mix 100 IU / mL Injeksi (MIXTARD 30 HM, 10 mL)','92000660','Insulin Human Mix 100 IU / mL Injeksi','MIXTARD 30 HM','Cartridges','Larutan Injeksi','Obat Keras','https://dto.kemkes.go.id/kfacode/93001164',0,'2023-05-01');</v>
      </c>
    </row>
    <row r="729" spans="1:11" ht="15.75" customHeight="1">
      <c r="A729" s="2">
        <v>93000954</v>
      </c>
      <c r="B729" s="2" t="s">
        <v>2683</v>
      </c>
      <c r="C729" s="2">
        <v>92000660</v>
      </c>
      <c r="D729" s="2" t="s">
        <v>1054</v>
      </c>
      <c r="E729" s="2" t="s">
        <v>2682</v>
      </c>
      <c r="F729" s="2" t="s">
        <v>1046</v>
      </c>
      <c r="G729" s="2" t="s">
        <v>1506</v>
      </c>
      <c r="H729" s="2" t="s">
        <v>1458</v>
      </c>
      <c r="I729" s="3" t="str">
        <f t="shared" si="0"/>
        <v>https://dto.kemkes.go.id/kfacode/93000954</v>
      </c>
      <c r="J729" s="34" t="s">
        <v>3768</v>
      </c>
      <c r="K729" t="str">
        <f t="shared" si="12"/>
        <v>insert into mkatalog_kfa93 (kode, uraian, kode_92, uraian_92, nama_dagang, satuan_kecil, sediaan, golongan, url, userid_updt, sysdate_updt) values ('93000954','Insulin Human Mix 100 IU / mL Injeksi (MIXTARD 30 HM, 3 mL)','92000660','Insulin Human Mix 100 IU / mL Injeksi','MIXTARD 30 HM','Cartridges','Larutan Injeksi','Obat Keras','https://dto.kemkes.go.id/kfacode/93000954',0,'2023-05-01');</v>
      </c>
    </row>
    <row r="730" spans="1:11" ht="15.75" customHeight="1">
      <c r="A730" s="2">
        <v>93000932</v>
      </c>
      <c r="B730" s="2" t="s">
        <v>2684</v>
      </c>
      <c r="C730" s="2">
        <v>92000651</v>
      </c>
      <c r="D730" s="2" t="s">
        <v>1055</v>
      </c>
      <c r="E730" s="2" t="s">
        <v>2685</v>
      </c>
      <c r="F730" s="2" t="s">
        <v>658</v>
      </c>
      <c r="G730" s="2" t="s">
        <v>1506</v>
      </c>
      <c r="H730" s="2" t="s">
        <v>1458</v>
      </c>
      <c r="I730" s="3" t="str">
        <f t="shared" si="0"/>
        <v>https://dto.kemkes.go.id/kfacode/93000932</v>
      </c>
      <c r="J730" s="34" t="s">
        <v>3768</v>
      </c>
      <c r="K730" t="str">
        <f t="shared" si="12"/>
        <v>insert into mkatalog_kfa93 (kode, uraian, kode_92, uraian_92, nama_dagang, satuan_kecil, sediaan, golongan, url, userid_updt, sysdate_updt) values ('93000932','Iohexol 300 mgI / mL Cairan Injeksi (BERNOFARM, 50 mL)','92000651','Iohexol 300 mgI / mL Cairan Injeksi','IOHEXOL','Botol','Larutan Injeksi','Obat Keras','https://dto.kemkes.go.id/kfacode/93000932',0,'2023-05-01');</v>
      </c>
    </row>
    <row r="731" spans="1:11" ht="15.75" customHeight="1">
      <c r="A731" s="2">
        <v>93000931</v>
      </c>
      <c r="B731" s="2" t="s">
        <v>2686</v>
      </c>
      <c r="C731" s="2">
        <v>92000650</v>
      </c>
      <c r="D731" s="2" t="s">
        <v>1056</v>
      </c>
      <c r="E731" s="2" t="s">
        <v>2685</v>
      </c>
      <c r="F731" s="2" t="s">
        <v>658</v>
      </c>
      <c r="G731" s="2" t="s">
        <v>1506</v>
      </c>
      <c r="H731" s="2" t="s">
        <v>1458</v>
      </c>
      <c r="I731" s="3" t="str">
        <f t="shared" si="0"/>
        <v>https://dto.kemkes.go.id/kfacode/93000931</v>
      </c>
      <c r="J731" s="34" t="s">
        <v>3768</v>
      </c>
      <c r="K731" t="str">
        <f t="shared" si="12"/>
        <v>insert into mkatalog_kfa93 (kode, uraian, kode_92, uraian_92, nama_dagang, satuan_kecil, sediaan, golongan, url, userid_updt, sysdate_updt) values ('93000931','Iohexol 350 mgI / mL Cairan Injeksi (BERNOFARM, 50 mL)','92000650','Iohexol 350 mgI / mL Cairan Injeksi','IOHEXOL','Botol','Larutan Injeksi','Obat Keras','https://dto.kemkes.go.id/kfacode/93000931',0,'2023-05-01');</v>
      </c>
    </row>
    <row r="732" spans="1:11" ht="15.75" customHeight="1">
      <c r="A732" s="2">
        <v>93000925</v>
      </c>
      <c r="B732" s="2" t="s">
        <v>2687</v>
      </c>
      <c r="C732" s="2">
        <v>92000646</v>
      </c>
      <c r="D732" s="2" t="s">
        <v>1057</v>
      </c>
      <c r="E732" s="2" t="s">
        <v>2688</v>
      </c>
      <c r="F732" s="2" t="s">
        <v>653</v>
      </c>
      <c r="G732" s="2" t="s">
        <v>1530</v>
      </c>
      <c r="H732" s="2" t="s">
        <v>1458</v>
      </c>
      <c r="I732" s="3" t="str">
        <f t="shared" si="0"/>
        <v>https://dto.kemkes.go.id/kfacode/93000925</v>
      </c>
      <c r="J732" s="34" t="s">
        <v>3768</v>
      </c>
      <c r="K732" t="str">
        <f t="shared" si="12"/>
        <v>insert into mkatalog_kfa93 (kode, uraian, kode_92, uraian_92, nama_dagang, satuan_kecil, sediaan, golongan, url, userid_updt, sysdate_updt) values ('93000925','Iopromide 300 mg / mL Infus (ULTRAVIST, 100 mL)','92000646','Iopromide 300 mg / mL Infus','ULTRAVIST 300','Vial','Infus','Obat Keras','https://dto.kemkes.go.id/kfacode/93000925',0,'2023-05-01');</v>
      </c>
    </row>
    <row r="733" spans="1:11" ht="15.75" customHeight="1">
      <c r="A733" s="2">
        <v>93000924</v>
      </c>
      <c r="B733" s="2" t="s">
        <v>2689</v>
      </c>
      <c r="C733" s="2">
        <v>92000646</v>
      </c>
      <c r="D733" s="2" t="s">
        <v>1057</v>
      </c>
      <c r="E733" s="2" t="s">
        <v>2688</v>
      </c>
      <c r="F733" s="2" t="s">
        <v>653</v>
      </c>
      <c r="G733" s="2" t="s">
        <v>1530</v>
      </c>
      <c r="H733" s="2" t="s">
        <v>1458</v>
      </c>
      <c r="I733" s="3" t="str">
        <f t="shared" si="0"/>
        <v>https://dto.kemkes.go.id/kfacode/93000924</v>
      </c>
      <c r="J733" s="34" t="s">
        <v>3768</v>
      </c>
      <c r="K733" t="str">
        <f t="shared" si="12"/>
        <v>insert into mkatalog_kfa93 (kode, uraian, kode_92, uraian_92, nama_dagang, satuan_kecil, sediaan, golongan, url, userid_updt, sysdate_updt) values ('93000924','Iopromide 300 mg / mL Infus (ULTRAVIST, 50 mL)','92000646','Iopromide 300 mg / mL Infus','ULTRAVIST 300','Vial','Infus','Obat Keras','https://dto.kemkes.go.id/kfacode/93000924',0,'2023-05-01');</v>
      </c>
    </row>
    <row r="734" spans="1:11" ht="15.75" customHeight="1">
      <c r="A734" s="2">
        <v>93000927</v>
      </c>
      <c r="B734" s="2" t="s">
        <v>2690</v>
      </c>
      <c r="C734" s="2">
        <v>92000647</v>
      </c>
      <c r="D734" s="2" t="s">
        <v>1058</v>
      </c>
      <c r="E734" s="2" t="s">
        <v>2691</v>
      </c>
      <c r="F734" s="2" t="s">
        <v>653</v>
      </c>
      <c r="G734" s="2" t="s">
        <v>1530</v>
      </c>
      <c r="H734" s="2" t="s">
        <v>1458</v>
      </c>
      <c r="I734" s="3" t="str">
        <f t="shared" si="0"/>
        <v>https://dto.kemkes.go.id/kfacode/93000927</v>
      </c>
      <c r="J734" s="34" t="s">
        <v>3768</v>
      </c>
      <c r="K734" t="str">
        <f t="shared" si="12"/>
        <v>insert into mkatalog_kfa93 (kode, uraian, kode_92, uraian_92, nama_dagang, satuan_kecil, sediaan, golongan, url, userid_updt, sysdate_updt) values ('93000927','Iopromide 370 mg / mL Infus (ULTRAVIST, 100 mL)','92000647','Iopromide 370 mg / mL Infus','ULTRAVIST 370','Vial','Infus','Obat Keras','https://dto.kemkes.go.id/kfacode/93000927',0,'2023-05-01');</v>
      </c>
    </row>
    <row r="735" spans="1:11" ht="15.75" customHeight="1">
      <c r="A735" s="2">
        <v>93000926</v>
      </c>
      <c r="B735" s="2" t="s">
        <v>2692</v>
      </c>
      <c r="C735" s="2">
        <v>92000647</v>
      </c>
      <c r="D735" s="2" t="s">
        <v>1058</v>
      </c>
      <c r="E735" s="2" t="s">
        <v>2691</v>
      </c>
      <c r="F735" s="2" t="s">
        <v>653</v>
      </c>
      <c r="G735" s="2" t="s">
        <v>1530</v>
      </c>
      <c r="H735" s="2" t="s">
        <v>1458</v>
      </c>
      <c r="I735" s="3" t="str">
        <f t="shared" si="0"/>
        <v>https://dto.kemkes.go.id/kfacode/93000926</v>
      </c>
      <c r="J735" s="34" t="s">
        <v>3768</v>
      </c>
      <c r="K735" t="str">
        <f t="shared" si="12"/>
        <v>insert into mkatalog_kfa93 (kode, uraian, kode_92, uraian_92, nama_dagang, satuan_kecil, sediaan, golongan, url, userid_updt, sysdate_updt) values ('93000926','Iopromide 370 mg / mL Infus (ULTRAVIST, 50 mL)','92000647','Iopromide 370 mg / mL Infus','ULTRAVIST 370','Vial','Infus','Obat Keras','https://dto.kemkes.go.id/kfacode/93000926',0,'2023-05-01');</v>
      </c>
    </row>
    <row r="736" spans="1:11" ht="15.75" customHeight="1">
      <c r="A736" s="2">
        <v>93000906</v>
      </c>
      <c r="B736" s="2" t="s">
        <v>2693</v>
      </c>
      <c r="C736" s="2">
        <v>92000540</v>
      </c>
      <c r="D736" s="2" t="s">
        <v>1059</v>
      </c>
      <c r="E736" s="2" t="s">
        <v>2694</v>
      </c>
      <c r="F736" s="2" t="s">
        <v>668</v>
      </c>
      <c r="G736" s="2" t="s">
        <v>1489</v>
      </c>
      <c r="H736" s="2" t="s">
        <v>1458</v>
      </c>
      <c r="I736" s="3" t="str">
        <f t="shared" si="0"/>
        <v>https://dto.kemkes.go.id/kfacode/93000906</v>
      </c>
      <c r="J736" s="34" t="s">
        <v>3768</v>
      </c>
      <c r="K736" t="str">
        <f t="shared" si="12"/>
        <v>insert into mkatalog_kfa93 (kode, uraian, kode_92, uraian_92, nama_dagang, satuan_kecil, sediaan, golongan, url, userid_updt, sysdate_updt) values ('93000906','Ipratropium Bromide 0.025% Cairan Inhalasi (PRATAPA NIRMALA)','92000540','Ipratropium Bromide 0.025% Cairan Inhalasi','IPRATROPIUM BROMIDE','Units','Larutan Inhalasi','Obat Keras','https://dto.kemkes.go.id/kfacode/93000906',0,'2023-05-01');</v>
      </c>
    </row>
    <row r="737" spans="1:11" ht="15.75" customHeight="1">
      <c r="A737" s="2">
        <v>93000271</v>
      </c>
      <c r="B737" s="2" t="s">
        <v>2695</v>
      </c>
      <c r="C737" s="2">
        <v>92000164</v>
      </c>
      <c r="D737" s="2" t="s">
        <v>1060</v>
      </c>
      <c r="E737" s="2" t="s">
        <v>2696</v>
      </c>
      <c r="F737" s="2" t="s">
        <v>640</v>
      </c>
      <c r="G737" s="2" t="s">
        <v>640</v>
      </c>
      <c r="H737" s="2" t="s">
        <v>1458</v>
      </c>
      <c r="I737" s="3" t="str">
        <f t="shared" si="0"/>
        <v>https://dto.kemkes.go.id/kfacode/93000271</v>
      </c>
      <c r="J737" s="34" t="s">
        <v>3768</v>
      </c>
      <c r="K737" t="str">
        <f t="shared" si="12"/>
        <v>insert into mkatalog_kfa93 (kode, uraian, kode_92, uraian_92, nama_dagang, satuan_kecil, sediaan, golongan, url, userid_updt, sysdate_updt) values ('93000271','Irbesartan 150 mg Tablet (IKAPHARMINDO PUTRAMAS)','92000164','Irbesartan 150 mg Tablet','IRBESARTAN','Tablet','Tablet','Obat Keras','https://dto.kemkes.go.id/kfacode/93000271',0,'2023-05-01');</v>
      </c>
    </row>
    <row r="738" spans="1:11" ht="15.75" customHeight="1">
      <c r="A738" s="2">
        <v>93000272</v>
      </c>
      <c r="B738" s="2" t="s">
        <v>2697</v>
      </c>
      <c r="C738" s="2">
        <v>92000164</v>
      </c>
      <c r="D738" s="2" t="s">
        <v>1060</v>
      </c>
      <c r="E738" s="2" t="s">
        <v>2698</v>
      </c>
      <c r="F738" s="2" t="s">
        <v>640</v>
      </c>
      <c r="G738" s="2" t="s">
        <v>640</v>
      </c>
      <c r="H738" s="2" t="s">
        <v>1458</v>
      </c>
      <c r="I738" s="3" t="str">
        <f t="shared" si="0"/>
        <v>https://dto.kemkes.go.id/kfacode/93000272</v>
      </c>
      <c r="J738" s="34" t="s">
        <v>3768</v>
      </c>
      <c r="K738" t="str">
        <f t="shared" si="12"/>
        <v>insert into mkatalog_kfa93 (kode, uraian, kode_92, uraian_92, nama_dagang, satuan_kecil, sediaan, golongan, url, userid_updt, sysdate_updt) values ('93000272','Irbesartan 150 mg Tablet (IRETENSA)','92000164','Irbesartan 150 mg Tablet','IRETENSA','Tablet','Tablet','Obat Keras','https://dto.kemkes.go.id/kfacode/93000272',0,'2023-05-01');</v>
      </c>
    </row>
    <row r="739" spans="1:11" ht="15.75" customHeight="1">
      <c r="A739" s="2">
        <v>93000273</v>
      </c>
      <c r="B739" s="2" t="s">
        <v>2699</v>
      </c>
      <c r="C739" s="2">
        <v>92000164</v>
      </c>
      <c r="D739" s="2" t="s">
        <v>1060</v>
      </c>
      <c r="E739" s="2" t="s">
        <v>2700</v>
      </c>
      <c r="F739" s="2" t="s">
        <v>640</v>
      </c>
      <c r="G739" s="2" t="s">
        <v>640</v>
      </c>
      <c r="H739" s="2" t="s">
        <v>1458</v>
      </c>
      <c r="I739" s="3" t="str">
        <f t="shared" si="0"/>
        <v>https://dto.kemkes.go.id/kfacode/93000273</v>
      </c>
      <c r="J739" s="34" t="s">
        <v>3768</v>
      </c>
      <c r="K739" t="str">
        <f t="shared" si="12"/>
        <v>insert into mkatalog_kfa93 (kode, uraian, kode_92, uraian_92, nama_dagang, satuan_kecil, sediaan, golongan, url, userid_updt, sysdate_updt) values ('93000273','Irbesartan 150 mg Tablet (IRTAN)','92000164','Irbesartan 150 mg Tablet','IRTAN','Tablet','Tablet','Obat Keras','https://dto.kemkes.go.id/kfacode/93000273',0,'2023-05-01');</v>
      </c>
    </row>
    <row r="740" spans="1:11" ht="15.75" customHeight="1">
      <c r="A740" s="2">
        <v>93001496</v>
      </c>
      <c r="B740" s="2" t="s">
        <v>2701</v>
      </c>
      <c r="C740" s="2">
        <v>92000165</v>
      </c>
      <c r="D740" s="2" t="s">
        <v>1061</v>
      </c>
      <c r="E740" s="2" t="s">
        <v>2702</v>
      </c>
      <c r="F740" s="2" t="s">
        <v>640</v>
      </c>
      <c r="G740" s="2" t="s">
        <v>640</v>
      </c>
      <c r="H740" s="2" t="s">
        <v>1458</v>
      </c>
      <c r="I740" s="3" t="str">
        <f t="shared" si="0"/>
        <v>https://dto.kemkes.go.id/kfacode/93001496</v>
      </c>
      <c r="J740" s="34" t="s">
        <v>3768</v>
      </c>
      <c r="K740" t="str">
        <f t="shared" si="12"/>
        <v>insert into mkatalog_kfa93 (kode, uraian, kode_92, uraian_92, nama_dagang, satuan_kecil, sediaan, golongan, url, userid_updt, sysdate_updt) values ('93001496','Irbesartan 300 mg Tablet (IRBESAL)','92000165','Irbesartan 300 mg Tablet','IRBESAL 300','Tablet','Tablet','Obat Keras','https://dto.kemkes.go.id/kfacode/93001496',0,'2023-05-01');</v>
      </c>
    </row>
    <row r="741" spans="1:11" ht="15.75" customHeight="1">
      <c r="A741" s="2">
        <v>93001497</v>
      </c>
      <c r="B741" s="2" t="s">
        <v>2703</v>
      </c>
      <c r="C741" s="2">
        <v>92000165</v>
      </c>
      <c r="D741" s="2" t="s">
        <v>1061</v>
      </c>
      <c r="E741" s="2" t="s">
        <v>2698</v>
      </c>
      <c r="F741" s="2" t="s">
        <v>640</v>
      </c>
      <c r="G741" s="2" t="s">
        <v>640</v>
      </c>
      <c r="H741" s="2" t="s">
        <v>1458</v>
      </c>
      <c r="I741" s="3" t="str">
        <f t="shared" si="0"/>
        <v>https://dto.kemkes.go.id/kfacode/93001497</v>
      </c>
      <c r="J741" s="34" t="s">
        <v>3768</v>
      </c>
      <c r="K741" t="str">
        <f t="shared" si="12"/>
        <v>insert into mkatalog_kfa93 (kode, uraian, kode_92, uraian_92, nama_dagang, satuan_kecil, sediaan, golongan, url, userid_updt, sysdate_updt) values ('93001497','Irbesartan 300 mg Tablet (IRETENSA)','92000165','Irbesartan 300 mg Tablet','IRETENSA','Tablet','Tablet','Obat Keras','https://dto.kemkes.go.id/kfacode/93001497',0,'2023-05-01');</v>
      </c>
    </row>
    <row r="742" spans="1:11" ht="15.75" customHeight="1">
      <c r="A742" s="2">
        <v>93001498</v>
      </c>
      <c r="B742" s="2" t="s">
        <v>2704</v>
      </c>
      <c r="C742" s="2">
        <v>92000165</v>
      </c>
      <c r="D742" s="2" t="s">
        <v>1061</v>
      </c>
      <c r="E742" s="2" t="s">
        <v>2705</v>
      </c>
      <c r="F742" s="2" t="s">
        <v>640</v>
      </c>
      <c r="G742" s="2" t="s">
        <v>640</v>
      </c>
      <c r="H742" s="2" t="s">
        <v>1458</v>
      </c>
      <c r="I742" s="3" t="str">
        <f t="shared" si="0"/>
        <v>https://dto.kemkes.go.id/kfacode/93001498</v>
      </c>
      <c r="J742" s="34" t="s">
        <v>3768</v>
      </c>
      <c r="K742" t="str">
        <f t="shared" si="12"/>
        <v>insert into mkatalog_kfa93 (kode, uraian, kode_92, uraian_92, nama_dagang, satuan_kecil, sediaan, golongan, url, userid_updt, sysdate_updt) values ('93001498','Irbesartan 300 mg Tablet (IRTAN)','92000165','Irbesartan 300 mg Tablet','IRTAN 300','Tablet','Tablet','Obat Keras','https://dto.kemkes.go.id/kfacode/93001498',0,'2023-05-01');</v>
      </c>
    </row>
    <row r="743" spans="1:11" ht="15.75" customHeight="1">
      <c r="A743" s="2">
        <v>93000912</v>
      </c>
      <c r="B743" s="2" t="s">
        <v>2706</v>
      </c>
      <c r="C743" s="2">
        <v>92000466</v>
      </c>
      <c r="D743" s="2" t="s">
        <v>1062</v>
      </c>
      <c r="E743" s="2" t="s">
        <v>2707</v>
      </c>
      <c r="F743" s="2" t="s">
        <v>653</v>
      </c>
      <c r="G743" s="2" t="s">
        <v>1506</v>
      </c>
      <c r="H743" s="2" t="s">
        <v>1458</v>
      </c>
      <c r="I743" s="3" t="str">
        <f t="shared" si="0"/>
        <v>https://dto.kemkes.go.id/kfacode/93000912</v>
      </c>
      <c r="J743" s="34" t="s">
        <v>3768</v>
      </c>
      <c r="K743" t="str">
        <f t="shared" si="12"/>
        <v>insert into mkatalog_kfa93 (kode, uraian, kode_92, uraian_92, nama_dagang, satuan_kecil, sediaan, golongan, url, userid_updt, sysdate_updt) values ('93000912','Irinotecan Hydrochloride 20 mg / mL Injeksi (ACTATECAN, 2 mL, ACTAVIS INDONESIA)','92000466','Irinotecan Hydrochloride 20 mg / mL Injeksi','ACTATECAN','Vial','Larutan Injeksi','Obat Keras','https://dto.kemkes.go.id/kfacode/93000912',0,'2023-05-01');</v>
      </c>
    </row>
    <row r="744" spans="1:11" ht="15.75" customHeight="1">
      <c r="A744" s="2">
        <v>93000913</v>
      </c>
      <c r="B744" s="2" t="s">
        <v>2708</v>
      </c>
      <c r="C744" s="2">
        <v>92000466</v>
      </c>
      <c r="D744" s="2" t="s">
        <v>1062</v>
      </c>
      <c r="E744" s="2" t="s">
        <v>2707</v>
      </c>
      <c r="F744" s="2" t="s">
        <v>653</v>
      </c>
      <c r="G744" s="2" t="s">
        <v>1506</v>
      </c>
      <c r="H744" s="2" t="s">
        <v>1458</v>
      </c>
      <c r="I744" s="3" t="str">
        <f t="shared" si="0"/>
        <v>https://dto.kemkes.go.id/kfacode/93000913</v>
      </c>
      <c r="J744" s="34" t="s">
        <v>3768</v>
      </c>
      <c r="K744" t="str">
        <f t="shared" si="12"/>
        <v>insert into mkatalog_kfa93 (kode, uraian, kode_92, uraian_92, nama_dagang, satuan_kecil, sediaan, golongan, url, userid_updt, sysdate_updt) values ('93000913','Irinotecan Hydrochloride 20 mg / mL Injeksi (ACTATECAN, 5 mL, ACTAVIS INDONESIA)','92000466','Irinotecan Hydrochloride 20 mg / mL Injeksi','ACTATECAN','Vial','Larutan Injeksi','Obat Keras','https://dto.kemkes.go.id/kfacode/93000913',0,'2023-05-01');</v>
      </c>
    </row>
    <row r="745" spans="1:11" ht="15.75" customHeight="1">
      <c r="A745" s="2">
        <v>93000904</v>
      </c>
      <c r="B745" s="2" t="s">
        <v>2709</v>
      </c>
      <c r="C745" s="2">
        <v>92000466</v>
      </c>
      <c r="D745" s="2" t="s">
        <v>1062</v>
      </c>
      <c r="E745" s="2" t="s">
        <v>2710</v>
      </c>
      <c r="F745" s="2" t="s">
        <v>653</v>
      </c>
      <c r="G745" s="2" t="s">
        <v>1506</v>
      </c>
      <c r="H745" s="2" t="s">
        <v>1458</v>
      </c>
      <c r="I745" s="3" t="str">
        <f t="shared" si="0"/>
        <v>https://dto.kemkes.go.id/kfacode/93000904</v>
      </c>
      <c r="J745" s="34" t="s">
        <v>3768</v>
      </c>
      <c r="K745" t="str">
        <f t="shared" si="12"/>
        <v>insert into mkatalog_kfa93 (kode, uraian, kode_92, uraian_92, nama_dagang, satuan_kecil, sediaan, golongan, url, userid_updt, sysdate_updt) values ('93000904','Irinotecan Hydrochloride 20 mg / mL Injeksi (CAMPTO, 2 mL, PFIZER INDONESIA)','92000466','Irinotecan Hydrochloride 20 mg / mL Injeksi','CAMPTO','Vial','Larutan Injeksi','Obat Keras','https://dto.kemkes.go.id/kfacode/93000904',0,'2023-05-01');</v>
      </c>
    </row>
    <row r="746" spans="1:11" ht="15.75" customHeight="1">
      <c r="A746" s="2">
        <v>93000905</v>
      </c>
      <c r="B746" s="2" t="s">
        <v>2711</v>
      </c>
      <c r="C746" s="2">
        <v>92000466</v>
      </c>
      <c r="D746" s="2" t="s">
        <v>1062</v>
      </c>
      <c r="E746" s="2" t="s">
        <v>2710</v>
      </c>
      <c r="F746" s="2" t="s">
        <v>653</v>
      </c>
      <c r="G746" s="2" t="s">
        <v>1506</v>
      </c>
      <c r="H746" s="2" t="s">
        <v>1458</v>
      </c>
      <c r="I746" s="3" t="str">
        <f t="shared" si="0"/>
        <v>https://dto.kemkes.go.id/kfacode/93000905</v>
      </c>
      <c r="J746" s="34" t="s">
        <v>3768</v>
      </c>
      <c r="K746" t="str">
        <f t="shared" si="12"/>
        <v>insert into mkatalog_kfa93 (kode, uraian, kode_92, uraian_92, nama_dagang, satuan_kecil, sediaan, golongan, url, userid_updt, sysdate_updt) values ('93000905','Irinotecan Hydrochloride 20 mg / mL Injeksi (CAMPTO, 5 mL, PFIZER INDONESIA)','92000466','Irinotecan Hydrochloride 20 mg / mL Injeksi','CAMPTO','Vial','Larutan Injeksi','Obat Keras','https://dto.kemkes.go.id/kfacode/93000905',0,'2023-05-01');</v>
      </c>
    </row>
    <row r="747" spans="1:11" ht="15.75" customHeight="1">
      <c r="A747" s="2">
        <v>93001476</v>
      </c>
      <c r="B747" s="2" t="s">
        <v>2712</v>
      </c>
      <c r="C747" s="2">
        <v>92000466</v>
      </c>
      <c r="D747" s="2" t="s">
        <v>1062</v>
      </c>
      <c r="E747" s="2" t="s">
        <v>2713</v>
      </c>
      <c r="F747" s="2" t="s">
        <v>653</v>
      </c>
      <c r="G747" s="2" t="s">
        <v>1506</v>
      </c>
      <c r="H747" s="2" t="s">
        <v>1458</v>
      </c>
      <c r="I747" s="3" t="str">
        <f t="shared" si="0"/>
        <v>https://dto.kemkes.go.id/kfacode/93001476</v>
      </c>
      <c r="J747" s="34" t="s">
        <v>3768</v>
      </c>
      <c r="K747" t="str">
        <f t="shared" si="12"/>
        <v>insert into mkatalog_kfa93 (kode, uraian, kode_92, uraian_92, nama_dagang, satuan_kecil, sediaan, golongan, url, userid_updt, sysdate_updt) values ('93001476','Irinotecan Hydrochloride 20 mg / mL Injeksi (IRINOL, 2 mL, MEGA LIFESCIENCES INDONESIA)','92000466','Irinotecan Hydrochloride 20 mg / mL Injeksi','IRINOL','Vial','Larutan Injeksi','Obat Keras','https://dto.kemkes.go.id/kfacode/93001476',0,'2023-05-01');</v>
      </c>
    </row>
    <row r="748" spans="1:11" ht="15.75" customHeight="1">
      <c r="A748" s="2">
        <v>93001475</v>
      </c>
      <c r="B748" s="2" t="s">
        <v>2714</v>
      </c>
      <c r="C748" s="2">
        <v>92000466</v>
      </c>
      <c r="D748" s="2" t="s">
        <v>1062</v>
      </c>
      <c r="E748" s="2" t="s">
        <v>2713</v>
      </c>
      <c r="F748" s="2" t="s">
        <v>653</v>
      </c>
      <c r="G748" s="2" t="s">
        <v>1506</v>
      </c>
      <c r="H748" s="2" t="s">
        <v>1458</v>
      </c>
      <c r="I748" s="3" t="str">
        <f t="shared" si="0"/>
        <v>https://dto.kemkes.go.id/kfacode/93001475</v>
      </c>
      <c r="J748" s="34" t="s">
        <v>3768</v>
      </c>
      <c r="K748" t="str">
        <f t="shared" si="12"/>
        <v>insert into mkatalog_kfa93 (kode, uraian, kode_92, uraian_92, nama_dagang, satuan_kecil, sediaan, golongan, url, userid_updt, sysdate_updt) values ('93001475','Irinotecan Hydrochloride 20 mg / mL Injeksi (IRINOL, 5 mL, MEGA LIFESCIENCES INDONESIA)','92000466','Irinotecan Hydrochloride 20 mg / mL Injeksi','IRINOL','Vial','Larutan Injeksi','Obat Keras','https://dto.kemkes.go.id/kfacode/93001475',0,'2023-05-01');</v>
      </c>
    </row>
    <row r="749" spans="1:11" ht="15.75" customHeight="1">
      <c r="A749" s="2">
        <v>93001085</v>
      </c>
      <c r="B749" s="2" t="s">
        <v>2715</v>
      </c>
      <c r="C749" s="2">
        <v>92000466</v>
      </c>
      <c r="D749" s="2" t="s">
        <v>1062</v>
      </c>
      <c r="E749" s="2" t="s">
        <v>2713</v>
      </c>
      <c r="F749" s="2" t="s">
        <v>653</v>
      </c>
      <c r="G749" s="2" t="s">
        <v>1506</v>
      </c>
      <c r="H749" s="2" t="s">
        <v>1458</v>
      </c>
      <c r="I749" s="3" t="str">
        <f t="shared" si="0"/>
        <v>https://dto.kemkes.go.id/kfacode/93001085</v>
      </c>
      <c r="J749" s="34" t="s">
        <v>3768</v>
      </c>
      <c r="K749" t="str">
        <f t="shared" si="12"/>
        <v>insert into mkatalog_kfa93 (kode, uraian, kode_92, uraian_92, nama_dagang, satuan_kecil, sediaan, golongan, url, userid_updt, sysdate_updt) values ('93001085','Irinotecan Hydrochloride 20 mg / mL Injeksi (IRINOL, FUTAMED PHARMACEUTICAL)','92000466','Irinotecan Hydrochloride 20 mg / mL Injeksi','IRINOL','Vial','Larutan Injeksi','Obat Keras','https://dto.kemkes.go.id/kfacode/93001085',0,'2023-05-01');</v>
      </c>
    </row>
    <row r="750" spans="1:11" ht="15.75" customHeight="1">
      <c r="A750" s="2">
        <v>93001266</v>
      </c>
      <c r="B750" s="2" t="s">
        <v>2716</v>
      </c>
      <c r="C750" s="2">
        <v>92000466</v>
      </c>
      <c r="D750" s="2" t="s">
        <v>1062</v>
      </c>
      <c r="E750" s="2" t="s">
        <v>2717</v>
      </c>
      <c r="F750" s="2" t="s">
        <v>653</v>
      </c>
      <c r="G750" s="2" t="s">
        <v>1506</v>
      </c>
      <c r="H750" s="2" t="s">
        <v>1458</v>
      </c>
      <c r="I750" s="3" t="str">
        <f t="shared" si="0"/>
        <v>https://dto.kemkes.go.id/kfacode/93001266</v>
      </c>
      <c r="J750" s="34" t="s">
        <v>3768</v>
      </c>
      <c r="K750" t="str">
        <f t="shared" si="12"/>
        <v>insert into mkatalog_kfa93 (kode, uraian, kode_92, uraian_92, nama_dagang, satuan_kecil, sediaan, golongan, url, userid_updt, sysdate_updt) values ('93001266','Irinotecan Hydrochloride 20 mg / mL Injeksi (IRITERO, 2 mL)','92000466','Irinotecan Hydrochloride 20 mg / mL Injeksi','IRITERO','Vial','Larutan Injeksi','Obat Keras','https://dto.kemkes.go.id/kfacode/93001266',0,'2023-05-01');</v>
      </c>
    </row>
    <row r="751" spans="1:11" ht="15.75" customHeight="1">
      <c r="A751" s="2">
        <v>93001267</v>
      </c>
      <c r="B751" s="2" t="s">
        <v>2718</v>
      </c>
      <c r="C751" s="2">
        <v>92000466</v>
      </c>
      <c r="D751" s="2" t="s">
        <v>1062</v>
      </c>
      <c r="E751" s="2" t="s">
        <v>2717</v>
      </c>
      <c r="F751" s="2" t="s">
        <v>653</v>
      </c>
      <c r="G751" s="2" t="s">
        <v>1506</v>
      </c>
      <c r="H751" s="2" t="s">
        <v>1458</v>
      </c>
      <c r="I751" s="3" t="str">
        <f t="shared" si="0"/>
        <v>https://dto.kemkes.go.id/kfacode/93001267</v>
      </c>
      <c r="J751" s="34" t="s">
        <v>3768</v>
      </c>
      <c r="K751" t="str">
        <f t="shared" si="12"/>
        <v>insert into mkatalog_kfa93 (kode, uraian, kode_92, uraian_92, nama_dagang, satuan_kecil, sediaan, golongan, url, userid_updt, sysdate_updt) values ('93001267','Irinotecan Hydrochloride 20 mg / mL Injeksi (IRITERO, 5 mL)','92000466','Irinotecan Hydrochloride 20 mg / mL Injeksi','IRITERO','Vial','Larutan Injeksi','Obat Keras','https://dto.kemkes.go.id/kfacode/93001267',0,'2023-05-01');</v>
      </c>
    </row>
    <row r="752" spans="1:11" ht="15.75" customHeight="1">
      <c r="A752" s="2">
        <v>93001041</v>
      </c>
      <c r="B752" s="2" t="s">
        <v>2719</v>
      </c>
      <c r="C752" s="2">
        <v>92000466</v>
      </c>
      <c r="D752" s="2" t="s">
        <v>1062</v>
      </c>
      <c r="E752" s="2" t="s">
        <v>2720</v>
      </c>
      <c r="F752" s="2" t="s">
        <v>653</v>
      </c>
      <c r="G752" s="2" t="s">
        <v>1506</v>
      </c>
      <c r="H752" s="2" t="s">
        <v>1458</v>
      </c>
      <c r="I752" s="3" t="str">
        <f t="shared" si="0"/>
        <v>https://dto.kemkes.go.id/kfacode/93001041</v>
      </c>
      <c r="J752" s="34" t="s">
        <v>3768</v>
      </c>
      <c r="K752" t="str">
        <f t="shared" si="12"/>
        <v>insert into mkatalog_kfa93 (kode, uraian, kode_92, uraian_92, nama_dagang, satuan_kecil, sediaan, golongan, url, userid_updt, sysdate_updt) values ('93001041','Irinotecan Hydrochloride 20 mg / mL Injeksi (KABITEC, 2 mL, FRESENIUS KABI COMBIPHAR)','92000466','Irinotecan Hydrochloride 20 mg / mL Injeksi','KABITEC','Vial','Larutan Injeksi','Obat Keras','https://dto.kemkes.go.id/kfacode/93001041',0,'2023-05-01');</v>
      </c>
    </row>
    <row r="753" spans="1:11" ht="15.75" customHeight="1">
      <c r="A753" s="2">
        <v>93001039</v>
      </c>
      <c r="B753" s="2" t="s">
        <v>2721</v>
      </c>
      <c r="C753" s="2">
        <v>92000466</v>
      </c>
      <c r="D753" s="2" t="s">
        <v>1062</v>
      </c>
      <c r="E753" s="2" t="s">
        <v>2720</v>
      </c>
      <c r="F753" s="2" t="s">
        <v>653</v>
      </c>
      <c r="G753" s="2" t="s">
        <v>1506</v>
      </c>
      <c r="H753" s="2" t="s">
        <v>1458</v>
      </c>
      <c r="I753" s="3" t="str">
        <f t="shared" si="0"/>
        <v>https://dto.kemkes.go.id/kfacode/93001039</v>
      </c>
      <c r="J753" s="34" t="s">
        <v>3768</v>
      </c>
      <c r="K753" t="str">
        <f t="shared" si="12"/>
        <v>insert into mkatalog_kfa93 (kode, uraian, kode_92, uraian_92, nama_dagang, satuan_kecil, sediaan, golongan, url, userid_updt, sysdate_updt) values ('93001039','Irinotecan Hydrochloride 20 mg / mL Injeksi (KABITEC, 5 mL, FRESENIUS KABI COMBIPHAR)','92000466','Irinotecan Hydrochloride 20 mg / mL Injeksi','KABITEC','Vial','Larutan Injeksi','Obat Keras','https://dto.kemkes.go.id/kfacode/93001039',0,'2023-05-01');</v>
      </c>
    </row>
    <row r="754" spans="1:11" ht="15.75" customHeight="1">
      <c r="A754" s="2">
        <v>93001086</v>
      </c>
      <c r="B754" s="2" t="s">
        <v>2722</v>
      </c>
      <c r="C754" s="2">
        <v>92000466</v>
      </c>
      <c r="D754" s="2" t="s">
        <v>1062</v>
      </c>
      <c r="E754" s="2" t="s">
        <v>2713</v>
      </c>
      <c r="F754" s="2" t="s">
        <v>653</v>
      </c>
      <c r="G754" s="2" t="s">
        <v>1506</v>
      </c>
      <c r="H754" s="2" t="s">
        <v>1458</v>
      </c>
      <c r="I754" s="3" t="str">
        <f t="shared" si="0"/>
        <v>https://dto.kemkes.go.id/kfacode/93001086</v>
      </c>
      <c r="J754" s="34" t="s">
        <v>3768</v>
      </c>
      <c r="K754" t="str">
        <f t="shared" si="12"/>
        <v>insert into mkatalog_kfa93 (kode, uraian, kode_92, uraian_92, nama_dagang, satuan_kecil, sediaan, golongan, url, userid_updt, sysdate_updt) values ('93001086','Irinotecan Hydrochloride 20 mg / mL Injeksi (KABITEC, FRESENIUS KABI COMBIPHAR)','92000466','Irinotecan Hydrochloride 20 mg / mL Injeksi','IRINOL','Vial','Larutan Injeksi','Obat Keras','https://dto.kemkes.go.id/kfacode/93001086',0,'2023-05-01');</v>
      </c>
    </row>
    <row r="755" spans="1:11" ht="15.75" customHeight="1">
      <c r="A755" s="2">
        <v>93001067</v>
      </c>
      <c r="B755" s="2" t="s">
        <v>2723</v>
      </c>
      <c r="C755" s="2">
        <v>92000466</v>
      </c>
      <c r="D755" s="2" t="s">
        <v>1062</v>
      </c>
      <c r="E755" s="2" t="s">
        <v>2724</v>
      </c>
      <c r="F755" s="2" t="s">
        <v>653</v>
      </c>
      <c r="G755" s="2" t="s">
        <v>1506</v>
      </c>
      <c r="H755" s="2" t="s">
        <v>1458</v>
      </c>
      <c r="I755" s="3" t="str">
        <f t="shared" si="0"/>
        <v>https://dto.kemkes.go.id/kfacode/93001067</v>
      </c>
      <c r="J755" s="34" t="s">
        <v>3768</v>
      </c>
      <c r="K755" t="str">
        <f t="shared" si="12"/>
        <v>insert into mkatalog_kfa93 (kode, uraian, kode_92, uraian_92, nama_dagang, satuan_kecil, sediaan, golongan, url, userid_updt, sysdate_updt) values ('93001067','Irinotecan Hydrochloride 20 mg / mL Injeksi (SANBE FARMA, 2 mL, SANBE FARMA)','92000466','Irinotecan Hydrochloride 20 mg / mL Injeksi','IRINOTECAN HYDROCHLORIDE','Vial','Larutan Injeksi','Obat Keras','https://dto.kemkes.go.id/kfacode/93001067',0,'2023-05-01');</v>
      </c>
    </row>
    <row r="756" spans="1:11" ht="15.75" customHeight="1">
      <c r="A756" s="2">
        <v>93001066</v>
      </c>
      <c r="B756" s="2" t="s">
        <v>2725</v>
      </c>
      <c r="C756" s="2">
        <v>92000466</v>
      </c>
      <c r="D756" s="2" t="s">
        <v>1062</v>
      </c>
      <c r="E756" s="2" t="s">
        <v>2724</v>
      </c>
      <c r="F756" s="2" t="s">
        <v>653</v>
      </c>
      <c r="G756" s="2" t="s">
        <v>1506</v>
      </c>
      <c r="H756" s="2" t="s">
        <v>1458</v>
      </c>
      <c r="I756" s="3" t="str">
        <f t="shared" si="0"/>
        <v>https://dto.kemkes.go.id/kfacode/93001066</v>
      </c>
      <c r="J756" s="34" t="s">
        <v>3768</v>
      </c>
      <c r="K756" t="str">
        <f t="shared" si="12"/>
        <v>insert into mkatalog_kfa93 (kode, uraian, kode_92, uraian_92, nama_dagang, satuan_kecil, sediaan, golongan, url, userid_updt, sysdate_updt) values ('93001066','Irinotecan Hydrochloride 20 mg / mL Injeksi (SANBE FARMA, 5 mL, SANBE FARMA)','92000466','Irinotecan Hydrochloride 20 mg / mL Injeksi','IRINOTECAN HYDROCHLORIDE','Vial','Larutan Injeksi','Obat Keras','https://dto.kemkes.go.id/kfacode/93001066',0,'2023-05-01');</v>
      </c>
    </row>
    <row r="757" spans="1:11" ht="15.75" customHeight="1">
      <c r="A757" s="2">
        <v>93000621</v>
      </c>
      <c r="B757" s="2" t="s">
        <v>2726</v>
      </c>
      <c r="C757" s="2">
        <v>92000473</v>
      </c>
      <c r="D757" s="2" t="s">
        <v>1063</v>
      </c>
      <c r="E757" s="2" t="s">
        <v>2727</v>
      </c>
      <c r="F757" s="2" t="s">
        <v>645</v>
      </c>
      <c r="G757" s="2" t="s">
        <v>1506</v>
      </c>
      <c r="H757" s="2" t="s">
        <v>1458</v>
      </c>
      <c r="I757" s="3" t="str">
        <f t="shared" si="0"/>
        <v>https://dto.kemkes.go.id/kfacode/93000621</v>
      </c>
      <c r="J757" s="34" t="s">
        <v>3768</v>
      </c>
      <c r="K757" t="str">
        <f t="shared" si="12"/>
        <v>insert into mkatalog_kfa93 (kode, uraian, kode_92, uraian_92, nama_dagang, satuan_kecil, sediaan, golongan, url, userid_updt, sysdate_updt) values ('93000621','Iron Sucrose 20 mg / mL (BERNOFARM)','92000473','Iron Sucrose 20 mg / mL','IRON SUCROSE','Ampul','Larutan Injeksi','Obat Keras','https://dto.kemkes.go.id/kfacode/93000621',0,'2023-05-01');</v>
      </c>
    </row>
    <row r="758" spans="1:11" ht="15.75" customHeight="1">
      <c r="A758" s="2">
        <v>93000625</v>
      </c>
      <c r="B758" s="2" t="s">
        <v>2728</v>
      </c>
      <c r="C758" s="2">
        <v>92000473</v>
      </c>
      <c r="D758" s="2" t="s">
        <v>1063</v>
      </c>
      <c r="E758" s="2" t="s">
        <v>2729</v>
      </c>
      <c r="F758" s="2" t="s">
        <v>645</v>
      </c>
      <c r="G758" s="2" t="s">
        <v>1506</v>
      </c>
      <c r="H758" s="2" t="s">
        <v>1458</v>
      </c>
      <c r="I758" s="3" t="str">
        <f t="shared" si="0"/>
        <v>https://dto.kemkes.go.id/kfacode/93000625</v>
      </c>
      <c r="J758" s="34" t="s">
        <v>3768</v>
      </c>
      <c r="K758" t="str">
        <f t="shared" si="12"/>
        <v>insert into mkatalog_kfa93 (kode, uraian, kode_92, uraian_92, nama_dagang, satuan_kecil, sediaan, golongan, url, userid_updt, sysdate_updt) values ('93000625','Iron Sucrose 20 mg / mL (FERION)','92000473','Iron Sucrose 20 mg / mL','FERION','Ampul','Larutan Injeksi','Obat Keras','https://dto.kemkes.go.id/kfacode/93000625',0,'2023-05-01');</v>
      </c>
    </row>
    <row r="759" spans="1:11" ht="15.75" customHeight="1">
      <c r="A759" s="2">
        <v>93000623</v>
      </c>
      <c r="B759" s="2" t="s">
        <v>2730</v>
      </c>
      <c r="C759" s="2">
        <v>92000473</v>
      </c>
      <c r="D759" s="2" t="s">
        <v>1063</v>
      </c>
      <c r="E759" s="2" t="s">
        <v>2727</v>
      </c>
      <c r="F759" s="2" t="s">
        <v>645</v>
      </c>
      <c r="G759" s="2" t="s">
        <v>1506</v>
      </c>
      <c r="H759" s="2" t="s">
        <v>1458</v>
      </c>
      <c r="I759" s="3" t="str">
        <f t="shared" si="0"/>
        <v>https://dto.kemkes.go.id/kfacode/93000623</v>
      </c>
      <c r="J759" s="34" t="s">
        <v>3768</v>
      </c>
      <c r="K759" t="str">
        <f t="shared" si="12"/>
        <v>insert into mkatalog_kfa93 (kode, uraian, kode_92, uraian_92, nama_dagang, satuan_kecil, sediaan, golongan, url, userid_updt, sysdate_updt) values ('93000623','Iron Sucrose 20 mg / mL (NOVELL PHARMACEUTICAL LABORATORIES)','92000473','Iron Sucrose 20 mg / mL','IRON SUCROSE','Ampul','Larutan Injeksi','Obat Keras','https://dto.kemkes.go.id/kfacode/93000623',0,'2023-05-01');</v>
      </c>
    </row>
    <row r="760" spans="1:11" ht="15.75" customHeight="1">
      <c r="A760" s="2">
        <v>93000535</v>
      </c>
      <c r="B760" s="2" t="s">
        <v>2731</v>
      </c>
      <c r="C760" s="2">
        <v>92000448</v>
      </c>
      <c r="D760" s="2" t="s">
        <v>1064</v>
      </c>
      <c r="E760" s="2" t="s">
        <v>2732</v>
      </c>
      <c r="F760" s="2" t="s">
        <v>658</v>
      </c>
      <c r="G760" s="2" t="s">
        <v>1489</v>
      </c>
      <c r="H760" s="2" t="s">
        <v>1458</v>
      </c>
      <c r="I760" s="3" t="str">
        <f t="shared" si="0"/>
        <v>https://dto.kemkes.go.id/kfacode/93000535</v>
      </c>
      <c r="J760" s="34" t="s">
        <v>3768</v>
      </c>
      <c r="K760" t="str">
        <f t="shared" si="12"/>
        <v>insert into mkatalog_kfa93 (kode, uraian, kode_92, uraian_92, nama_dagang, satuan_kecil, sediaan, golongan, url, userid_updt, sysdate_updt) values ('93000535','Isoflurane 100 mL Inhalasi (MERSIFARMA TIRMAKU MERCUSANA)','92000448','Isoflurane 100 mL Inhalasi','ISOFLURANE','Botol','Larutan Inhalasi','Obat Keras','https://dto.kemkes.go.id/kfacode/93000535',0,'2023-05-01');</v>
      </c>
    </row>
    <row r="761" spans="1:11" ht="15.75" customHeight="1">
      <c r="A761" s="2">
        <v>93000538</v>
      </c>
      <c r="B761" s="2" t="s">
        <v>2733</v>
      </c>
      <c r="C761" s="2">
        <v>92000449</v>
      </c>
      <c r="D761" s="2" t="s">
        <v>1065</v>
      </c>
      <c r="E761" s="2" t="s">
        <v>2732</v>
      </c>
      <c r="F761" s="2" t="s">
        <v>658</v>
      </c>
      <c r="G761" s="2" t="s">
        <v>1489</v>
      </c>
      <c r="H761" s="2" t="s">
        <v>1458</v>
      </c>
      <c r="I761" s="3" t="str">
        <f t="shared" si="0"/>
        <v>https://dto.kemkes.go.id/kfacode/93000538</v>
      </c>
      <c r="J761" s="34" t="s">
        <v>3768</v>
      </c>
      <c r="K761" t="str">
        <f t="shared" si="12"/>
        <v>insert into mkatalog_kfa93 (kode, uraian, kode_92, uraian_92, nama_dagang, satuan_kecil, sediaan, golongan, url, userid_updt, sysdate_updt) values ('93000538','Isoflurane 250 mL Cairan Inhalasi (MERSIFARMA TIRMAKU MERCUSANA)','92000449','Isoflurane 250 mL Cairan Inhalasi','ISOFLURANE','Botol','Larutan Inhalasi','Obat Keras','https://dto.kemkes.go.id/kfacode/93000538',0,'2023-05-01');</v>
      </c>
    </row>
    <row r="762" spans="1:11" ht="15.75" customHeight="1">
      <c r="A762" s="2">
        <v>93001529</v>
      </c>
      <c r="B762" s="2" t="s">
        <v>2734</v>
      </c>
      <c r="C762" s="2">
        <v>92000449</v>
      </c>
      <c r="D762" s="2" t="s">
        <v>1065</v>
      </c>
      <c r="E762" s="2" t="s">
        <v>2732</v>
      </c>
      <c r="F762" s="2" t="s">
        <v>658</v>
      </c>
      <c r="G762" s="2" t="s">
        <v>1489</v>
      </c>
      <c r="H762" s="2" t="s">
        <v>1458</v>
      </c>
      <c r="I762" s="3" t="str">
        <f t="shared" si="0"/>
        <v>https://dto.kemkes.go.id/kfacode/93001529</v>
      </c>
      <c r="J762" s="34" t="s">
        <v>3768</v>
      </c>
      <c r="K762" t="str">
        <f t="shared" si="12"/>
        <v>insert into mkatalog_kfa93 (kode, uraian, kode_92, uraian_92, nama_dagang, satuan_kecil, sediaan, golongan, url, userid_updt, sysdate_updt) values ('93001529','Isoflurane 250 mL Cairan Inhalasi (YARINDO FARMATAMA)','92000449','Isoflurane 250 mL Cairan Inhalasi','ISOFLURANE','Botol','Larutan Inhalasi','Obat Keras','https://dto.kemkes.go.id/kfacode/93001529',0,'2023-05-01');</v>
      </c>
    </row>
    <row r="763" spans="1:11" ht="15.75" customHeight="1">
      <c r="A763" s="2">
        <v>93000832</v>
      </c>
      <c r="B763" s="2" t="s">
        <v>2735</v>
      </c>
      <c r="C763" s="2">
        <v>92000428</v>
      </c>
      <c r="D763" s="2" t="s">
        <v>1066</v>
      </c>
      <c r="E763" s="2" t="s">
        <v>2736</v>
      </c>
      <c r="F763" s="2" t="s">
        <v>640</v>
      </c>
      <c r="G763" s="2" t="s">
        <v>640</v>
      </c>
      <c r="H763" s="2" t="s">
        <v>1458</v>
      </c>
      <c r="I763" s="3" t="str">
        <f t="shared" si="0"/>
        <v>https://dto.kemkes.go.id/kfacode/93000832</v>
      </c>
      <c r="J763" s="34" t="s">
        <v>3768</v>
      </c>
      <c r="K763" t="str">
        <f t="shared" si="12"/>
        <v>insert into mkatalog_kfa93 (kode, uraian, kode_92, uraian_92, nama_dagang, satuan_kecil, sediaan, golongan, url, userid_updt, sysdate_updt) values ('93000832','Isoniazid 100 mg Tablet (KIMIA FARMA Tbk.)','92000428','Isoniazid 100 mg Tablet','ISONIAZID','Tablet','Tablet','Obat Keras','https://dto.kemkes.go.id/kfacode/93000832',0,'2023-05-01');</v>
      </c>
    </row>
    <row r="764" spans="1:11" ht="15.75" customHeight="1">
      <c r="A764" s="2">
        <v>93001327</v>
      </c>
      <c r="B764" s="2" t="s">
        <v>2737</v>
      </c>
      <c r="C764" s="2">
        <v>92000689</v>
      </c>
      <c r="D764" s="2" t="s">
        <v>1067</v>
      </c>
      <c r="E764" s="2" t="s">
        <v>2736</v>
      </c>
      <c r="F764" s="2" t="s">
        <v>640</v>
      </c>
      <c r="G764" s="2" t="s">
        <v>640</v>
      </c>
      <c r="H764" s="2" t="s">
        <v>1458</v>
      </c>
      <c r="I764" s="3" t="str">
        <f t="shared" si="0"/>
        <v>https://dto.kemkes.go.id/kfacode/93001327</v>
      </c>
      <c r="J764" s="34" t="s">
        <v>3768</v>
      </c>
      <c r="K764" t="str">
        <f t="shared" si="12"/>
        <v>insert into mkatalog_kfa93 (kode, uraian, kode_92, uraian_92, nama_dagang, satuan_kecil, sediaan, golongan, url, userid_updt, sysdate_updt) values ('93001327','Isoniazid 300 mg Tablet (KIMIA FARMA)','92000689','Isoniazid 300 mg Tablet','ISONIAZID','Tablet','Tablet','Obat Keras','https://dto.kemkes.go.id/kfacode/93001327',0,'2023-05-01');</v>
      </c>
    </row>
    <row r="765" spans="1:11" ht="15.75" customHeight="1">
      <c r="A765" s="2">
        <v>93000328</v>
      </c>
      <c r="B765" s="2" t="s">
        <v>2738</v>
      </c>
      <c r="C765" s="2">
        <v>92000256</v>
      </c>
      <c r="D765" s="2" t="s">
        <v>1068</v>
      </c>
      <c r="E765" s="2" t="s">
        <v>2739</v>
      </c>
      <c r="F765" s="2" t="s">
        <v>645</v>
      </c>
      <c r="G765" s="2" t="s">
        <v>1506</v>
      </c>
      <c r="H765" s="2" t="s">
        <v>1458</v>
      </c>
      <c r="I765" s="3" t="str">
        <f t="shared" si="0"/>
        <v>https://dto.kemkes.go.id/kfacode/93000328</v>
      </c>
      <c r="J765" s="34" t="s">
        <v>3768</v>
      </c>
      <c r="K765" t="str">
        <f t="shared" si="12"/>
        <v>insert into mkatalog_kfa93 (kode, uraian, kode_92, uraian_92, nama_dagang, satuan_kecil, sediaan, golongan, url, userid_updt, sysdate_updt) values ('93000328','Isosorbide Dinitrate 1 mg / mL Injeksi (ETERCON PHARMA)','92000256','Isosorbide Dinitrate 1 mg / mL Injeksi','ISOSORBIDE DINITRATE','Ampul','Larutan Injeksi','Obat Keras','https://dto.kemkes.go.id/kfacode/93000328',0,'2023-05-01');</v>
      </c>
    </row>
    <row r="766" spans="1:11" ht="15.75" customHeight="1">
      <c r="A766" s="2">
        <v>93000999</v>
      </c>
      <c r="B766" s="2" t="s">
        <v>2740</v>
      </c>
      <c r="C766" s="2">
        <v>92000681</v>
      </c>
      <c r="D766" s="2" t="s">
        <v>1069</v>
      </c>
      <c r="E766" s="2" t="s">
        <v>2741</v>
      </c>
      <c r="F766" s="2" t="s">
        <v>640</v>
      </c>
      <c r="G766" s="2" t="s">
        <v>2499</v>
      </c>
      <c r="H766" s="2" t="s">
        <v>1458</v>
      </c>
      <c r="I766" s="3" t="str">
        <f t="shared" si="0"/>
        <v>https://dto.kemkes.go.id/kfacode/93000999</v>
      </c>
      <c r="J766" s="34" t="s">
        <v>3768</v>
      </c>
      <c r="K766" t="str">
        <f t="shared" si="12"/>
        <v>insert into mkatalog_kfa93 (kode, uraian, kode_92, uraian_92, nama_dagang, satuan_kecil, sediaan, golongan, url, userid_updt, sysdate_updt) values ('93000999','Isosorbide Dinitrate 10 mg Tablet Sublingual (FARSORBID)','92000681','Isosorbide Dinitrate 10 mg Tablet Sublingual','FARSORBID 10','Tablet','Tablet Sublingual','Obat Keras','https://dto.kemkes.go.id/kfacode/93000999',0,'2023-05-01');</v>
      </c>
    </row>
    <row r="767" spans="1:11" ht="15.75" customHeight="1">
      <c r="A767" s="2">
        <v>93000998</v>
      </c>
      <c r="B767" s="2" t="s">
        <v>2742</v>
      </c>
      <c r="C767" s="2">
        <v>92000681</v>
      </c>
      <c r="D767" s="2" t="s">
        <v>1069</v>
      </c>
      <c r="E767" s="2" t="s">
        <v>2743</v>
      </c>
      <c r="F767" s="2" t="s">
        <v>640</v>
      </c>
      <c r="G767" s="2" t="s">
        <v>2499</v>
      </c>
      <c r="H767" s="2" t="s">
        <v>1458</v>
      </c>
      <c r="I767" s="3" t="str">
        <f t="shared" si="0"/>
        <v>https://dto.kemkes.go.id/kfacode/93000998</v>
      </c>
      <c r="J767" s="34" t="s">
        <v>3768</v>
      </c>
      <c r="K767" t="str">
        <f t="shared" si="12"/>
        <v>insert into mkatalog_kfa93 (kode, uraian, kode_92, uraian_92, nama_dagang, satuan_kecil, sediaan, golongan, url, userid_updt, sysdate_updt) values ('93000998','Isosorbide Dinitrate 10 mg Tablet Sublingual (ISONAT)','92000681','Isosorbide Dinitrate 10 mg Tablet Sublingual','ISONAT','Tablet','Tablet Sublingual','Obat Keras','https://dto.kemkes.go.id/kfacode/93000998',0,'2023-05-01');</v>
      </c>
    </row>
    <row r="768" spans="1:11" ht="15.75" customHeight="1">
      <c r="A768" s="2">
        <v>93001001</v>
      </c>
      <c r="B768" s="2" t="s">
        <v>2744</v>
      </c>
      <c r="C768" s="2">
        <v>92000681</v>
      </c>
      <c r="D768" s="2" t="s">
        <v>1069</v>
      </c>
      <c r="E768" s="2" t="s">
        <v>2739</v>
      </c>
      <c r="F768" s="2" t="s">
        <v>640</v>
      </c>
      <c r="G768" s="2" t="s">
        <v>2499</v>
      </c>
      <c r="H768" s="2" t="s">
        <v>1458</v>
      </c>
      <c r="I768" s="3" t="str">
        <f t="shared" si="0"/>
        <v>https://dto.kemkes.go.id/kfacode/93001001</v>
      </c>
      <c r="J768" s="34" t="s">
        <v>3768</v>
      </c>
      <c r="K768" t="str">
        <f t="shared" si="12"/>
        <v>insert into mkatalog_kfa93 (kode, uraian, kode_92, uraian_92, nama_dagang, satuan_kecil, sediaan, golongan, url, userid_updt, sysdate_updt) values ('93001001','Isosorbide Dinitrate 10 mg Tablet Sublingual (NOVELL PHARMACEUTICAL LAB. - Indonesia - -)','92000681','Isosorbide Dinitrate 10 mg Tablet Sublingual','ISOSORBIDE DINITRATE','Tablet','Tablet Sublingual','Obat Keras','https://dto.kemkes.go.id/kfacode/93001001',0,'2023-05-01');</v>
      </c>
    </row>
    <row r="769" spans="1:11" ht="15.75" customHeight="1">
      <c r="A769" s="2">
        <v>93000160</v>
      </c>
      <c r="B769" s="2" t="s">
        <v>2745</v>
      </c>
      <c r="C769" s="2">
        <v>92000133</v>
      </c>
      <c r="D769" s="2" t="s">
        <v>1070</v>
      </c>
      <c r="E769" s="2" t="s">
        <v>2746</v>
      </c>
      <c r="F769" s="2" t="s">
        <v>640</v>
      </c>
      <c r="G769" s="2" t="s">
        <v>2499</v>
      </c>
      <c r="H769" s="2" t="s">
        <v>1458</v>
      </c>
      <c r="I769" s="3" t="str">
        <f t="shared" si="0"/>
        <v>https://dto.kemkes.go.id/kfacode/93000160</v>
      </c>
      <c r="J769" s="34" t="s">
        <v>3768</v>
      </c>
      <c r="K769" t="str">
        <f t="shared" si="12"/>
        <v>insert into mkatalog_kfa93 (kode, uraian, kode_92, uraian_92, nama_dagang, satuan_kecil, sediaan, golongan, url, userid_updt, sysdate_updt) values ('93000160','Isosorbide Dinitrate 5 mg Tablet (CEDOCARD)','92000133','Isosorbide Dinitrate 5 mg Tablet','CEDOCARD 5','Tablet','Tablet Sublingual','Obat Keras','https://dto.kemkes.go.id/kfacode/93000160',0,'2023-05-01');</v>
      </c>
    </row>
    <row r="770" spans="1:11" ht="15.75" customHeight="1">
      <c r="A770" s="2">
        <v>93000161</v>
      </c>
      <c r="B770" s="2" t="s">
        <v>2747</v>
      </c>
      <c r="C770" s="2">
        <v>92000133</v>
      </c>
      <c r="D770" s="2" t="s">
        <v>1070</v>
      </c>
      <c r="E770" s="2" t="s">
        <v>2748</v>
      </c>
      <c r="F770" s="2" t="s">
        <v>640</v>
      </c>
      <c r="G770" s="2" t="s">
        <v>2499</v>
      </c>
      <c r="H770" s="2" t="s">
        <v>1458</v>
      </c>
      <c r="I770" s="3" t="str">
        <f t="shared" si="0"/>
        <v>https://dto.kemkes.go.id/kfacode/93000161</v>
      </c>
      <c r="J770" s="34" t="s">
        <v>3768</v>
      </c>
      <c r="K770" t="str">
        <f t="shared" si="12"/>
        <v>insert into mkatalog_kfa93 (kode, uraian, kode_92, uraian_92, nama_dagang, satuan_kecil, sediaan, golongan, url, userid_updt, sysdate_updt) values ('93000161','Isosorbide Dinitrate 5 mg Tablet (FARSORBID)','92000133','Isosorbide Dinitrate 5 mg Tablet','FARSORBID 5','Tablet','Tablet Sublingual','Obat Keras','https://dto.kemkes.go.id/kfacode/93000161',0,'2023-05-01');</v>
      </c>
    </row>
    <row r="771" spans="1:11" ht="15.75" customHeight="1">
      <c r="A771" s="2">
        <v>93001505</v>
      </c>
      <c r="B771" s="2" t="s">
        <v>2749</v>
      </c>
      <c r="C771" s="2">
        <v>92000133</v>
      </c>
      <c r="D771" s="2" t="s">
        <v>1070</v>
      </c>
      <c r="E771" s="2" t="s">
        <v>2743</v>
      </c>
      <c r="F771" s="2" t="s">
        <v>640</v>
      </c>
      <c r="G771" s="2" t="s">
        <v>2499</v>
      </c>
      <c r="H771" s="2" t="s">
        <v>1458</v>
      </c>
      <c r="I771" s="3" t="str">
        <f t="shared" si="0"/>
        <v>https://dto.kemkes.go.id/kfacode/93001505</v>
      </c>
      <c r="J771" s="34" t="s">
        <v>3768</v>
      </c>
      <c r="K771" t="str">
        <f t="shared" ref="K771:K834" si="13">CONCATENATE(J771,"('",A771,"','",B771,"','",C771,"','",D771,"','",E771,"','",F771,"','",G771,"','",H771,"','",I771,"',0,'2023-05-01');")</f>
        <v>insert into mkatalog_kfa93 (kode, uraian, kode_92, uraian_92, nama_dagang, satuan_kecil, sediaan, golongan, url, userid_updt, sysdate_updt) values ('93001505','Isosorbide Dinitrate 5 mg Tablet (ISONAT)','92000133','Isosorbide Dinitrate 5 mg Tablet','ISONAT','Tablet','Tablet Sublingual','Obat Keras','https://dto.kemkes.go.id/kfacode/93001505',0,'2023-05-01');</v>
      </c>
    </row>
    <row r="772" spans="1:11" ht="15.75" customHeight="1">
      <c r="A772" s="2">
        <v>93001550</v>
      </c>
      <c r="B772" s="2" t="s">
        <v>2750</v>
      </c>
      <c r="C772" s="2">
        <v>92000891</v>
      </c>
      <c r="D772" s="2" t="s">
        <v>1072</v>
      </c>
      <c r="E772" s="2" t="s">
        <v>2751</v>
      </c>
      <c r="F772" s="2" t="s">
        <v>640</v>
      </c>
      <c r="G772" s="2" t="s">
        <v>1457</v>
      </c>
      <c r="H772" s="2" t="s">
        <v>1458</v>
      </c>
      <c r="I772" s="3" t="str">
        <f t="shared" si="0"/>
        <v>https://dto.kemkes.go.id/kfacode/93001550</v>
      </c>
      <c r="J772" s="34" t="s">
        <v>3768</v>
      </c>
      <c r="K772" t="str">
        <f t="shared" si="13"/>
        <v>insert into mkatalog_kfa93 (kode, uraian, kode_92, uraian_92, nama_dagang, satuan_kecil, sediaan, golongan, url, userid_updt, sysdate_updt) values ('93001550','Ivabradin Hydrochloride 5 mg Tablet Salut Selaput (FARCOR)','92000891','Ivabradin Hydrochloride 5 mg Tablet Salut Selaput','FARCOR 5','Tablet','Tablet Salut Selaput','Obat Keras','https://dto.kemkes.go.id/kfacode/93001550',0,'2023-05-01');</v>
      </c>
    </row>
    <row r="773" spans="1:11" ht="15.75" customHeight="1">
      <c r="A773" s="2">
        <v>93001308</v>
      </c>
      <c r="B773" s="2" t="s">
        <v>2752</v>
      </c>
      <c r="C773" s="2">
        <v>92000822</v>
      </c>
      <c r="D773" s="2" t="s">
        <v>1073</v>
      </c>
      <c r="E773" s="2" t="s">
        <v>2753</v>
      </c>
      <c r="F773" s="2" t="s">
        <v>702</v>
      </c>
      <c r="G773" s="2" t="s">
        <v>1530</v>
      </c>
      <c r="H773" s="2" t="s">
        <v>1458</v>
      </c>
      <c r="I773" s="3" t="str">
        <f t="shared" si="0"/>
        <v>https://dto.kemkes.go.id/kfacode/93001308</v>
      </c>
      <c r="J773" s="34" t="s">
        <v>3768</v>
      </c>
      <c r="K773" t="str">
        <f t="shared" si="13"/>
        <v>insert into mkatalog_kfa93 (kode, uraian, kode_92, uraian_92, nama_dagang, satuan_kecil, sediaan, golongan, url, userid_updt, sysdate_updt) values ('93001308','KA-EN 3A Infus (KA-EN 3A)','92000822','KA-EN 3A Infus','KA-EN 3A','Botol Plastik','Infus','Obat Keras','https://dto.kemkes.go.id/kfacode/93001308',0,'2023-05-01');</v>
      </c>
    </row>
    <row r="774" spans="1:11" ht="15.75" customHeight="1">
      <c r="A774" s="2">
        <v>93001136</v>
      </c>
      <c r="B774" s="2" t="s">
        <v>2754</v>
      </c>
      <c r="C774" s="2">
        <v>92000687</v>
      </c>
      <c r="D774" s="2" t="s">
        <v>1075</v>
      </c>
      <c r="E774" s="2" t="s">
        <v>2755</v>
      </c>
      <c r="F774" s="2" t="s">
        <v>653</v>
      </c>
      <c r="G774" s="2" t="s">
        <v>1506</v>
      </c>
      <c r="H774" s="2" t="s">
        <v>1458</v>
      </c>
      <c r="I774" s="3" t="str">
        <f t="shared" si="0"/>
        <v>https://dto.kemkes.go.id/kfacode/93001136</v>
      </c>
      <c r="J774" s="34" t="s">
        <v>3768</v>
      </c>
      <c r="K774" t="str">
        <f t="shared" si="13"/>
        <v>insert into mkatalog_kfa93 (kode, uraian, kode_92, uraian_92, nama_dagang, satuan_kecil, sediaan, golongan, url, userid_updt, sysdate_updt) values ('93001136','Ketamine Hydrochloride 50 mg / mL Injeksi (DEXA MEDICA)','92000687','Ketamine Hydrochloride 50 mg / mL Injeksi','KETAMINE HYDROCHLORIDE','Vial','Larutan Injeksi','Obat Keras','https://dto.kemkes.go.id/kfacode/93001136',0,'2023-05-01');</v>
      </c>
    </row>
    <row r="775" spans="1:11" ht="15.75" customHeight="1">
      <c r="A775" s="2">
        <v>93000511</v>
      </c>
      <c r="B775" s="2" t="s">
        <v>2756</v>
      </c>
      <c r="C775" s="2">
        <v>92000415</v>
      </c>
      <c r="D775" s="2" t="s">
        <v>1076</v>
      </c>
      <c r="E775" s="2" t="s">
        <v>2757</v>
      </c>
      <c r="F775" s="2" t="s">
        <v>655</v>
      </c>
      <c r="G775" s="2" t="s">
        <v>1661</v>
      </c>
      <c r="H775" s="2" t="s">
        <v>1672</v>
      </c>
      <c r="I775" s="3" t="str">
        <f t="shared" si="0"/>
        <v>https://dto.kemkes.go.id/kfacode/93000511</v>
      </c>
      <c r="J775" s="34" t="s">
        <v>3768</v>
      </c>
      <c r="K775" t="str">
        <f t="shared" si="13"/>
        <v>insert into mkatalog_kfa93 (kode, uraian, kode_92, uraian_92, nama_dagang, satuan_kecil, sediaan, golongan, url, userid_updt, sysdate_updt) values ('93000511','Ketoconazole 2% Krim (DEXA MEDICA, 10 g)','92000415','Ketoconazole 2% Krim','KETOCONAZOLE','Tube','Krim','Obat Bebas Terbatas','https://dto.kemkes.go.id/kfacode/93000511',0,'2023-05-01');</v>
      </c>
    </row>
    <row r="776" spans="1:11" ht="15.75" customHeight="1">
      <c r="A776" s="2">
        <v>93001174</v>
      </c>
      <c r="B776" s="2" t="s">
        <v>2758</v>
      </c>
      <c r="C776" s="2">
        <v>92000415</v>
      </c>
      <c r="D776" s="2" t="s">
        <v>1076</v>
      </c>
      <c r="E776" s="2" t="s">
        <v>2757</v>
      </c>
      <c r="F776" s="2" t="s">
        <v>655</v>
      </c>
      <c r="G776" s="2" t="s">
        <v>1661</v>
      </c>
      <c r="H776" s="2" t="s">
        <v>1672</v>
      </c>
      <c r="I776" s="3" t="str">
        <f t="shared" si="0"/>
        <v>https://dto.kemkes.go.id/kfacode/93001174</v>
      </c>
      <c r="J776" s="34" t="s">
        <v>3768</v>
      </c>
      <c r="K776" t="str">
        <f t="shared" si="13"/>
        <v>insert into mkatalog_kfa93 (kode, uraian, kode_92, uraian_92, nama_dagang, satuan_kecil, sediaan, golongan, url, userid_updt, sysdate_updt) values ('93001174','Ketoconazole 2% Krim (TEMPO SCAN PACIFIC Tbk)','92000415','Ketoconazole 2% Krim','KETOCONAZOLE','Tube','Krim','Obat Bebas Terbatas','https://dto.kemkes.go.id/kfacode/93001174',0,'2023-05-01');</v>
      </c>
    </row>
    <row r="777" spans="1:11" ht="15.75" customHeight="1">
      <c r="A777" s="2">
        <v>93001015</v>
      </c>
      <c r="B777" s="2" t="s">
        <v>2759</v>
      </c>
      <c r="C777" s="2">
        <v>92000357</v>
      </c>
      <c r="D777" s="2" t="s">
        <v>1077</v>
      </c>
      <c r="E777" s="2" t="s">
        <v>2757</v>
      </c>
      <c r="F777" s="2" t="s">
        <v>640</v>
      </c>
      <c r="G777" s="2" t="s">
        <v>640</v>
      </c>
      <c r="H777" s="2" t="s">
        <v>1458</v>
      </c>
      <c r="I777" s="3" t="str">
        <f t="shared" si="0"/>
        <v>https://dto.kemkes.go.id/kfacode/93001015</v>
      </c>
      <c r="J777" s="34" t="s">
        <v>3768</v>
      </c>
      <c r="K777" t="str">
        <f t="shared" si="13"/>
        <v>insert into mkatalog_kfa93 (kode, uraian, kode_92, uraian_92, nama_dagang, satuan_kecil, sediaan, golongan, url, userid_updt, sysdate_updt) values ('93001015','Ketoconazole 200 mg Tablet (HEXPHARM JAYA LABORATORIES)','92000357','Ketoconazole 200 mg Tablet','KETOCONAZOLE','Tablet','Tablet','Obat Keras','https://dto.kemkes.go.id/kfacode/93001015',0,'2023-05-01');</v>
      </c>
    </row>
    <row r="778" spans="1:11" ht="15.75" customHeight="1">
      <c r="A778" s="2">
        <v>93001051</v>
      </c>
      <c r="B778" s="2" t="s">
        <v>2760</v>
      </c>
      <c r="C778" s="2">
        <v>92000736</v>
      </c>
      <c r="D778" s="2" t="s">
        <v>1078</v>
      </c>
      <c r="E778" s="2" t="s">
        <v>2761</v>
      </c>
      <c r="F778" s="2" t="s">
        <v>702</v>
      </c>
      <c r="G778" s="2" t="s">
        <v>2762</v>
      </c>
      <c r="H778" s="2" t="s">
        <v>1458</v>
      </c>
      <c r="I778" s="3" t="str">
        <f t="shared" si="0"/>
        <v>https://dto.kemkes.go.id/kfacode/93001051</v>
      </c>
      <c r="J778" s="34" t="s">
        <v>3768</v>
      </c>
      <c r="K778" t="str">
        <f t="shared" si="13"/>
        <v>insert into mkatalog_kfa93 (kode, uraian, kode_92, uraian_92, nama_dagang, satuan_kecil, sediaan, golongan, url, userid_updt, sysdate_updt) values ('93001051','Ketokonazol / Ketoconazole 2% Scalp Solution (ZOLORAL SS)','92000736','Ketokonazol / Ketoconazole 2% Scalp Solution','ZOLORAL - SS','Botol Plastik','Suspensi / Cairan Obat Luar','Obat Keras','https://dto.kemkes.go.id/kfacode/93001051',0,'2023-05-01');</v>
      </c>
    </row>
    <row r="779" spans="1:11" ht="15.75" customHeight="1">
      <c r="A779" s="2">
        <v>93001126</v>
      </c>
      <c r="B779" s="2" t="s">
        <v>2763</v>
      </c>
      <c r="C779" s="2">
        <v>92000680</v>
      </c>
      <c r="D779" s="2" t="s">
        <v>1079</v>
      </c>
      <c r="E779" s="2" t="s">
        <v>2764</v>
      </c>
      <c r="F779" s="2" t="s">
        <v>730</v>
      </c>
      <c r="G779" s="2" t="s">
        <v>1671</v>
      </c>
      <c r="H779" s="2" t="s">
        <v>1458</v>
      </c>
      <c r="I779" s="3" t="str">
        <f t="shared" si="0"/>
        <v>https://dto.kemkes.go.id/kfacode/93001126</v>
      </c>
      <c r="J779" s="34" t="s">
        <v>3768</v>
      </c>
      <c r="K779" t="str">
        <f t="shared" si="13"/>
        <v>insert into mkatalog_kfa93 (kode, uraian, kode_92, uraian_92, nama_dagang, satuan_kecil, sediaan, golongan, url, userid_updt, sysdate_updt) values ('93001126','Ketoprofen 100 mg Supositoria (PROTOFEN)','92000680','Ketoprofen 100 mg Supositoria','PROTOFEN','Suppositoria','Supositoria','Obat Keras','https://dto.kemkes.go.id/kfacode/93001126',0,'2023-05-01');</v>
      </c>
    </row>
    <row r="780" spans="1:11" ht="15.75" customHeight="1">
      <c r="A780" s="2">
        <v>93001060</v>
      </c>
      <c r="B780" s="2" t="s">
        <v>2765</v>
      </c>
      <c r="C780" s="2">
        <v>92000751</v>
      </c>
      <c r="D780" s="2" t="s">
        <v>1080</v>
      </c>
      <c r="E780" s="2" t="s">
        <v>2766</v>
      </c>
      <c r="F780" s="2" t="s">
        <v>645</v>
      </c>
      <c r="G780" s="2" t="s">
        <v>1506</v>
      </c>
      <c r="H780" s="2" t="s">
        <v>1458</v>
      </c>
      <c r="I780" s="3" t="str">
        <f t="shared" si="0"/>
        <v>https://dto.kemkes.go.id/kfacode/93001060</v>
      </c>
      <c r="J780" s="34" t="s">
        <v>3768</v>
      </c>
      <c r="K780" t="str">
        <f t="shared" si="13"/>
        <v>insert into mkatalog_kfa93 (kode, uraian, kode_92, uraian_92, nama_dagang, satuan_kecil, sediaan, golongan, url, userid_updt, sysdate_updt) values ('93001060','Ketoprofen 50 mg / mL Injeksi (REMATOF)','92000751','Ketoprofen 50 mg / mL Injeksi','REMATOF','Ampul','Larutan Injeksi','Obat Keras','https://dto.kemkes.go.id/kfacode/93001060',0,'2023-05-01');</v>
      </c>
    </row>
    <row r="781" spans="1:11" ht="15.75" customHeight="1">
      <c r="A781" s="2">
        <v>93001343</v>
      </c>
      <c r="B781" s="2" t="s">
        <v>2767</v>
      </c>
      <c r="C781" s="2">
        <v>92000786</v>
      </c>
      <c r="D781" s="2" t="s">
        <v>1081</v>
      </c>
      <c r="E781" s="2" t="s">
        <v>2768</v>
      </c>
      <c r="F781" s="2" t="s">
        <v>645</v>
      </c>
      <c r="G781" s="2" t="s">
        <v>1506</v>
      </c>
      <c r="H781" s="2" t="s">
        <v>1458</v>
      </c>
      <c r="I781" s="3" t="str">
        <f t="shared" si="0"/>
        <v>https://dto.kemkes.go.id/kfacode/93001343</v>
      </c>
      <c r="J781" s="34" t="s">
        <v>3768</v>
      </c>
      <c r="K781" t="str">
        <f t="shared" si="13"/>
        <v>insert into mkatalog_kfa93 (kode, uraian, kode_92, uraian_92, nama_dagang, satuan_kecil, sediaan, golongan, url, userid_updt, sysdate_updt) values ('93001343','Ketorolac Trometamol 30 mg / mL Injeksi (DEXA MEDICA)','92000786','Ketorolac Trometamol 30 mg / mL Injeksi','KETOROLAC TROMETAMOL','Ampul','Larutan Injeksi','Obat Keras','https://dto.kemkes.go.id/kfacode/93001343',0,'2023-05-01');</v>
      </c>
    </row>
    <row r="782" spans="1:11" ht="15.75" customHeight="1">
      <c r="A782" s="2">
        <v>93000692</v>
      </c>
      <c r="B782" s="2" t="s">
        <v>2769</v>
      </c>
      <c r="C782" s="2">
        <v>92000499</v>
      </c>
      <c r="D782" s="2" t="s">
        <v>1082</v>
      </c>
      <c r="E782" s="2" t="s">
        <v>2770</v>
      </c>
      <c r="F782" s="2" t="s">
        <v>671</v>
      </c>
      <c r="G782" s="2" t="s">
        <v>1530</v>
      </c>
      <c r="H782" s="2" t="s">
        <v>1458</v>
      </c>
      <c r="I782" s="3" t="str">
        <f t="shared" si="0"/>
        <v>https://dto.kemkes.go.id/kfacode/93000692</v>
      </c>
      <c r="J782" s="34" t="s">
        <v>3768</v>
      </c>
      <c r="K782" t="str">
        <f t="shared" si="13"/>
        <v>insert into mkatalog_kfa93 (kode, uraian, kode_92, uraian_92, nama_dagang, satuan_kecil, sediaan, golongan, url, userid_updt, sysdate_updt) values ('93000692','Kidmin Infus (KIDMIN, 200 mL)','92000499','Kidmin Infus','KIDMIN','Kantong','Infus','Obat Keras','https://dto.kemkes.go.id/kfacode/93000692',0,'2023-05-01');</v>
      </c>
    </row>
    <row r="783" spans="1:11" ht="15.75" customHeight="1">
      <c r="A783" s="2">
        <v>93001049</v>
      </c>
      <c r="B783" s="2" t="s">
        <v>2771</v>
      </c>
      <c r="C783" s="2">
        <v>92000734</v>
      </c>
      <c r="D783" s="2" t="s">
        <v>1083</v>
      </c>
      <c r="E783" s="2" t="s">
        <v>2772</v>
      </c>
      <c r="F783" s="2" t="s">
        <v>658</v>
      </c>
      <c r="G783" s="2" t="s">
        <v>1832</v>
      </c>
      <c r="H783" s="2" t="s">
        <v>1525</v>
      </c>
      <c r="I783" s="3" t="str">
        <f t="shared" si="0"/>
        <v>https://dto.kemkes.go.id/kfacode/93001049</v>
      </c>
      <c r="J783" s="34" t="s">
        <v>3768</v>
      </c>
      <c r="K783" t="str">
        <f t="shared" si="13"/>
        <v>insert into mkatalog_kfa93 (kode, uraian, kode_92, uraian_92, nama_dagang, satuan_kecil, sediaan, golongan, url, userid_updt, sysdate_updt) values ('93001049','Laktulosa / Lactulose 3,335 g / 5 mL (IKAPHARMINDO PUTRAMAS, 120 mL)','92000734','Laktulosa / Lactulose 3,335 g / 5 mL','LACTULOSE','Botol','Sirup','Obat Bebas','https://dto.kemkes.go.id/kfacode/93001049',0,'2023-05-01');</v>
      </c>
    </row>
    <row r="784" spans="1:11" ht="15.75" customHeight="1">
      <c r="A784" s="2">
        <v>93001048</v>
      </c>
      <c r="B784" s="2" t="s">
        <v>2773</v>
      </c>
      <c r="C784" s="2">
        <v>92000734</v>
      </c>
      <c r="D784" s="2" t="s">
        <v>1083</v>
      </c>
      <c r="E784" s="2" t="s">
        <v>2772</v>
      </c>
      <c r="F784" s="2" t="s">
        <v>658</v>
      </c>
      <c r="G784" s="2" t="s">
        <v>1832</v>
      </c>
      <c r="H784" s="2" t="s">
        <v>1525</v>
      </c>
      <c r="I784" s="3" t="str">
        <f t="shared" si="0"/>
        <v>https://dto.kemkes.go.id/kfacode/93001048</v>
      </c>
      <c r="J784" s="34" t="s">
        <v>3768</v>
      </c>
      <c r="K784" t="str">
        <f t="shared" si="13"/>
        <v>insert into mkatalog_kfa93 (kode, uraian, kode_92, uraian_92, nama_dagang, satuan_kecil, sediaan, golongan, url, userid_updt, sysdate_updt) values ('93001048','Laktulosa / Lactulose 3,335 g / 5 mL (IKAPHARMINDO PUTRAMAS, 60 mL)','92000734','Laktulosa / Lactulose 3,335 g / 5 mL','LACTULOSE','Botol','Sirup','Obat Bebas','https://dto.kemkes.go.id/kfacode/93001048',0,'2023-05-01');</v>
      </c>
    </row>
    <row r="785" spans="1:11" ht="15.75" customHeight="1">
      <c r="A785" s="2">
        <v>93000383</v>
      </c>
      <c r="B785" s="2" t="s">
        <v>2774</v>
      </c>
      <c r="C785" s="2">
        <v>92000218</v>
      </c>
      <c r="D785" s="2" t="s">
        <v>1084</v>
      </c>
      <c r="E785" s="2" t="s">
        <v>2775</v>
      </c>
      <c r="F785" s="2" t="s">
        <v>640</v>
      </c>
      <c r="G785" s="2" t="s">
        <v>640</v>
      </c>
      <c r="H785" s="2" t="s">
        <v>1458</v>
      </c>
      <c r="I785" s="3" t="str">
        <f t="shared" si="0"/>
        <v>https://dto.kemkes.go.id/kfacode/93000383</v>
      </c>
      <c r="J785" s="34" t="s">
        <v>3768</v>
      </c>
      <c r="K785" t="str">
        <f t="shared" si="13"/>
        <v>insert into mkatalog_kfa93 (kode, uraian, kode_92, uraian_92, nama_dagang, satuan_kecil, sediaan, golongan, url, userid_updt, sysdate_updt) values ('93000383','Lamivudine 100 mg Tablet (HEPLAV)','92000218','Lamivudine 100 mg Tablet','HEPLAV','Tablet','Tablet','Obat Keras','https://dto.kemkes.go.id/kfacode/93000383',0,'2023-05-01');</v>
      </c>
    </row>
    <row r="786" spans="1:11" ht="15.75" customHeight="1">
      <c r="A786" s="2">
        <v>93001203</v>
      </c>
      <c r="B786" s="2" t="s">
        <v>2776</v>
      </c>
      <c r="C786" s="2">
        <v>92000219</v>
      </c>
      <c r="D786" s="2" t="s">
        <v>1085</v>
      </c>
      <c r="E786" s="2" t="s">
        <v>2777</v>
      </c>
      <c r="F786" s="2" t="s">
        <v>640</v>
      </c>
      <c r="G786" s="2" t="s">
        <v>1457</v>
      </c>
      <c r="H786" s="2" t="s">
        <v>1458</v>
      </c>
      <c r="I786" s="3" t="str">
        <f t="shared" si="0"/>
        <v>https://dto.kemkes.go.id/kfacode/93001203</v>
      </c>
      <c r="J786" s="34" t="s">
        <v>3768</v>
      </c>
      <c r="K786" t="str">
        <f t="shared" si="13"/>
        <v>insert into mkatalog_kfa93 (kode, uraian, kode_92, uraian_92, nama_dagang, satuan_kecil, sediaan, golongan, url, userid_updt, sysdate_updt) values ('93001203','Lamivudine 100 mg Tablet Salut Selaput (KIMIA FARMA)','92000219','Lamivudine 100 mg Tablet Salut Selaput','LAMIVUDINE','Tablet','Tablet Salut Selaput','Obat Keras','https://dto.kemkes.go.id/kfacode/93001203',0,'2023-05-01');</v>
      </c>
    </row>
    <row r="787" spans="1:11" ht="15.75" customHeight="1">
      <c r="A787" s="2">
        <v>93001044</v>
      </c>
      <c r="B787" s="2" t="s">
        <v>2778</v>
      </c>
      <c r="C787" s="2">
        <v>92000729</v>
      </c>
      <c r="D787" s="2" t="s">
        <v>1086</v>
      </c>
      <c r="E787" s="2" t="s">
        <v>2777</v>
      </c>
      <c r="F787" s="2" t="s">
        <v>640</v>
      </c>
      <c r="G787" s="2" t="s">
        <v>640</v>
      </c>
      <c r="H787" s="2" t="s">
        <v>1458</v>
      </c>
      <c r="I787" s="3" t="str">
        <f t="shared" si="0"/>
        <v>https://dto.kemkes.go.id/kfacode/93001044</v>
      </c>
      <c r="J787" s="34" t="s">
        <v>3768</v>
      </c>
      <c r="K787" t="str">
        <f t="shared" si="13"/>
        <v>insert into mkatalog_kfa93 (kode, uraian, kode_92, uraian_92, nama_dagang, satuan_kecil, sediaan, golongan, url, userid_updt, sysdate_updt) values ('93001044','Lamivudine 150 mg Tablet (KIMIA FARMA)','92000729','Lamivudine 150 mg Tablet','LAMIVUDINE','Tablet','Tablet','Obat Keras','https://dto.kemkes.go.id/kfacode/93001044',0,'2023-05-01');</v>
      </c>
    </row>
    <row r="788" spans="1:11" ht="15.75" customHeight="1">
      <c r="A788" s="2">
        <v>93000820</v>
      </c>
      <c r="B788" s="2" t="s">
        <v>2779</v>
      </c>
      <c r="C788" s="2">
        <v>92000545</v>
      </c>
      <c r="D788" s="2" t="s">
        <v>1087</v>
      </c>
      <c r="E788" s="2" t="s">
        <v>2780</v>
      </c>
      <c r="F788" s="2" t="s">
        <v>640</v>
      </c>
      <c r="G788" s="2" t="s">
        <v>640</v>
      </c>
      <c r="H788" s="2" t="s">
        <v>1458</v>
      </c>
      <c r="I788" s="3" t="str">
        <f t="shared" si="0"/>
        <v>https://dto.kemkes.go.id/kfacode/93000820</v>
      </c>
      <c r="J788" s="34" t="s">
        <v>3768</v>
      </c>
      <c r="K788" t="str">
        <f t="shared" si="13"/>
        <v>insert into mkatalog_kfa93 (kode, uraian, kode_92, uraian_92, nama_dagang, satuan_kecil, sediaan, golongan, url, userid_updt, sysdate_updt) values ('93000820','Lamotrigine 100 mg Tablet (LAMICTAL)','92000545','Lamotrigine 100 mg Tablet','LAMICTAL','Tablet','Tablet','Obat Keras','https://dto.kemkes.go.id/kfacode/93000820',0,'2023-05-01');</v>
      </c>
    </row>
    <row r="789" spans="1:11" ht="15.75" customHeight="1">
      <c r="A789" s="2">
        <v>93000819</v>
      </c>
      <c r="B789" s="2" t="s">
        <v>2781</v>
      </c>
      <c r="C789" s="2">
        <v>92000546</v>
      </c>
      <c r="D789" s="2" t="s">
        <v>1088</v>
      </c>
      <c r="E789" s="2" t="s">
        <v>2780</v>
      </c>
      <c r="F789" s="2" t="s">
        <v>640</v>
      </c>
      <c r="G789" s="2" t="s">
        <v>1648</v>
      </c>
      <c r="H789" s="2" t="s">
        <v>1458</v>
      </c>
      <c r="I789" s="3" t="str">
        <f t="shared" si="0"/>
        <v>https://dto.kemkes.go.id/kfacode/93000819</v>
      </c>
      <c r="J789" s="34" t="s">
        <v>3768</v>
      </c>
      <c r="K789" t="str">
        <f t="shared" si="13"/>
        <v>insert into mkatalog_kfa93 (kode, uraian, kode_92, uraian_92, nama_dagang, satuan_kecil, sediaan, golongan, url, userid_updt, sysdate_updt) values ('93000819','Lamotrigine 25 mg Tablet Dispersibel (LAMICTAL)','92000546','Lamotrigine 25 mg Tablet Dispersibel','LAMICTAL','Tablet','Tablet Dispersibel','Obat Keras','https://dto.kemkes.go.id/kfacode/93000819',0,'2023-05-01');</v>
      </c>
    </row>
    <row r="790" spans="1:11" ht="15.75" customHeight="1">
      <c r="A790" s="2">
        <v>93001231</v>
      </c>
      <c r="B790" s="2" t="s">
        <v>2782</v>
      </c>
      <c r="C790" s="2">
        <v>92000705</v>
      </c>
      <c r="D790" s="2" t="s">
        <v>1089</v>
      </c>
      <c r="E790" s="2" t="s">
        <v>2780</v>
      </c>
      <c r="F790" s="2" t="s">
        <v>640</v>
      </c>
      <c r="G790" s="2" t="s">
        <v>640</v>
      </c>
      <c r="H790" s="2" t="s">
        <v>1458</v>
      </c>
      <c r="I790" s="3" t="str">
        <f t="shared" si="0"/>
        <v>https://dto.kemkes.go.id/kfacode/93001231</v>
      </c>
      <c r="J790" s="34" t="s">
        <v>3768</v>
      </c>
      <c r="K790" t="str">
        <f t="shared" si="13"/>
        <v>insert into mkatalog_kfa93 (kode, uraian, kode_92, uraian_92, nama_dagang, satuan_kecil, sediaan, golongan, url, userid_updt, sysdate_updt) values ('93001231','Lamotrigine 50 mg Tablet (LAMICTAL)','92000705','Lamotrigine 50 mg Tablet','LAMICTAL','Tablet','Tablet','Obat Keras','https://dto.kemkes.go.id/kfacode/93001231',0,'2023-05-01');</v>
      </c>
    </row>
    <row r="791" spans="1:11" ht="15.75" customHeight="1">
      <c r="A791" s="2">
        <v>93001409</v>
      </c>
      <c r="B791" s="2" t="s">
        <v>2783</v>
      </c>
      <c r="C791" s="2">
        <v>92000830</v>
      </c>
      <c r="D791" s="2" t="s">
        <v>1090</v>
      </c>
      <c r="F791" s="2" t="s">
        <v>653</v>
      </c>
      <c r="G791" s="2" t="s">
        <v>1500</v>
      </c>
      <c r="H791" s="2" t="s">
        <v>1458</v>
      </c>
      <c r="I791" s="3" t="str">
        <f t="shared" si="0"/>
        <v>https://dto.kemkes.go.id/kfacode/93001409</v>
      </c>
      <c r="J791" s="34" t="s">
        <v>3768</v>
      </c>
      <c r="K791" t="str">
        <f t="shared" si="13"/>
        <v>insert into mkatalog_kfa93 (kode, uraian, kode_92, uraian_92, nama_dagang, satuan_kecil, sediaan, golongan, url, userid_updt, sysdate_updt) values ('93001409','Lansoprazole 30 mg / mL Serbuk Injeksi (PRATAPA NIRMALA)','92000830','Lansoprazole 30 mg / mL Serbuk Injeksi','','Vial','Serbuk Injeksi','Obat Keras','https://dto.kemkes.go.id/kfacode/93001409',0,'2023-05-01');</v>
      </c>
    </row>
    <row r="792" spans="1:11" ht="15.75" customHeight="1">
      <c r="A792" s="2">
        <v>93001293</v>
      </c>
      <c r="B792" s="2" t="s">
        <v>2784</v>
      </c>
      <c r="C792" s="2">
        <v>92000236</v>
      </c>
      <c r="D792" s="2" t="s">
        <v>1091</v>
      </c>
      <c r="E792" s="2" t="s">
        <v>2785</v>
      </c>
      <c r="F792" s="2" t="s">
        <v>649</v>
      </c>
      <c r="G792" s="2" t="s">
        <v>2114</v>
      </c>
      <c r="H792" s="2" t="s">
        <v>1458</v>
      </c>
      <c r="I792" s="3" t="str">
        <f t="shared" si="0"/>
        <v>https://dto.kemkes.go.id/kfacode/93001293</v>
      </c>
      <c r="J792" s="34" t="s">
        <v>3768</v>
      </c>
      <c r="K792" t="str">
        <f t="shared" si="13"/>
        <v>insert into mkatalog_kfa93 (kode, uraian, kode_92, uraian_92, nama_dagang, satuan_kecil, sediaan, golongan, url, userid_updt, sysdate_updt) values ('93001293','Lansoprazole 30 mg Kapsul Lepas Tunda (BERNOFARM)','92000236','Lansoprazole 30 mg Kapsul Lepas Tunda','LANSOPRAZOLE','Kapsul','Kapsul Pelepasan Lambat','Obat Keras','https://dto.kemkes.go.id/kfacode/93001293',0,'2023-05-01');</v>
      </c>
    </row>
    <row r="793" spans="1:11" ht="15.75" customHeight="1">
      <c r="A793" s="2">
        <v>93001294</v>
      </c>
      <c r="B793" s="2" t="s">
        <v>2786</v>
      </c>
      <c r="C793" s="2">
        <v>92000236</v>
      </c>
      <c r="D793" s="2" t="s">
        <v>1091</v>
      </c>
      <c r="E793" s="2" t="s">
        <v>2787</v>
      </c>
      <c r="F793" s="2" t="s">
        <v>649</v>
      </c>
      <c r="G793" s="2" t="s">
        <v>2114</v>
      </c>
      <c r="H793" s="2" t="s">
        <v>1458</v>
      </c>
      <c r="I793" s="3" t="str">
        <f t="shared" si="0"/>
        <v>https://dto.kemkes.go.id/kfacode/93001294</v>
      </c>
      <c r="J793" s="34" t="s">
        <v>3768</v>
      </c>
      <c r="K793" t="str">
        <f t="shared" si="13"/>
        <v>insert into mkatalog_kfa93 (kode, uraian, kode_92, uraian_92, nama_dagang, satuan_kecil, sediaan, golongan, url, userid_updt, sysdate_updt) values ('93001294','Lansoprazole 30 mg Kapsul Lepas Tunda (LASGAN)','92000236','Lansoprazole 30 mg Kapsul Lepas Tunda','LASGAN','Kapsul','Kapsul Pelepasan Lambat','Obat Keras','https://dto.kemkes.go.id/kfacode/93001294',0,'2023-05-01');</v>
      </c>
    </row>
    <row r="794" spans="1:11" ht="15.75" customHeight="1">
      <c r="A794" s="2">
        <v>93001295</v>
      </c>
      <c r="B794" s="2" t="s">
        <v>2788</v>
      </c>
      <c r="C794" s="2">
        <v>92000236</v>
      </c>
      <c r="D794" s="2" t="s">
        <v>1091</v>
      </c>
      <c r="E794" s="2" t="s">
        <v>2785</v>
      </c>
      <c r="F794" s="2" t="s">
        <v>649</v>
      </c>
      <c r="G794" s="2" t="s">
        <v>2114</v>
      </c>
      <c r="H794" s="2" t="s">
        <v>1458</v>
      </c>
      <c r="I794" s="3" t="str">
        <f t="shared" si="0"/>
        <v>https://dto.kemkes.go.id/kfacode/93001295</v>
      </c>
      <c r="J794" s="34" t="s">
        <v>3768</v>
      </c>
      <c r="K794" t="str">
        <f t="shared" si="13"/>
        <v>insert into mkatalog_kfa93 (kode, uraian, kode_92, uraian_92, nama_dagang, satuan_kecil, sediaan, golongan, url, userid_updt, sysdate_updt) values ('93001295','Lansoprazole 30 mg Kapsul Lepas Tunda (NOVELL PHARMACEUTICAL LABORATORIES)','92000236','Lansoprazole 30 mg Kapsul Lepas Tunda','LANSOPRAZOLE','Kapsul','Kapsul Pelepasan Lambat','Obat Keras','https://dto.kemkes.go.id/kfacode/93001295',0,'2023-05-01');</v>
      </c>
    </row>
    <row r="795" spans="1:11" ht="15.75" customHeight="1">
      <c r="A795" s="2">
        <v>93001214</v>
      </c>
      <c r="B795" s="2" t="s">
        <v>2789</v>
      </c>
      <c r="C795" s="2">
        <v>92000630</v>
      </c>
      <c r="D795" s="2" t="s">
        <v>1092</v>
      </c>
      <c r="E795" s="2" t="s">
        <v>2790</v>
      </c>
      <c r="F795" s="2" t="s">
        <v>640</v>
      </c>
      <c r="G795" s="2" t="s">
        <v>1457</v>
      </c>
      <c r="H795" s="2" t="s">
        <v>1458</v>
      </c>
      <c r="I795" s="3" t="str">
        <f t="shared" si="0"/>
        <v>https://dto.kemkes.go.id/kfacode/93001214</v>
      </c>
      <c r="J795" s="34" t="s">
        <v>3768</v>
      </c>
      <c r="K795" t="str">
        <f t="shared" si="13"/>
        <v>insert into mkatalog_kfa93 (kode, uraian, kode_92, uraian_92, nama_dagang, satuan_kecil, sediaan, golongan, url, userid_updt, sysdate_updt) values ('93001214','Lapatinib Tosilate 250 mg Tablet Salut Selaput (TYKERB)','92000630','Lapatinib Tosilate 250 mg Tablet Salut Selaput','TYKERB','Tablet','Tablet Salut Selaput','Obat Keras','https://dto.kemkes.go.id/kfacode/93001214',0,'2023-05-01');</v>
      </c>
    </row>
    <row r="796" spans="1:11" ht="15.75" customHeight="1">
      <c r="A796" s="2">
        <v>93000299</v>
      </c>
      <c r="B796" s="2" t="s">
        <v>2791</v>
      </c>
      <c r="C796" s="2">
        <v>92000194</v>
      </c>
      <c r="D796" s="2" t="s">
        <v>1093</v>
      </c>
      <c r="E796" s="2" t="s">
        <v>2792</v>
      </c>
      <c r="F796" s="2" t="s">
        <v>658</v>
      </c>
      <c r="G796" s="2" t="s">
        <v>2125</v>
      </c>
      <c r="H796" s="2" t="s">
        <v>1458</v>
      </c>
      <c r="I796" s="3" t="str">
        <f t="shared" si="0"/>
        <v>https://dto.kemkes.go.id/kfacode/93000299</v>
      </c>
      <c r="J796" s="34" t="s">
        <v>3768</v>
      </c>
      <c r="K796" t="str">
        <f t="shared" si="13"/>
        <v>insert into mkatalog_kfa93 (kode, uraian, kode_92, uraian_92, nama_dagang, satuan_kecil, sediaan, golongan, url, userid_updt, sysdate_updt) values ('93000299','Latanoprost 0,005% Tetes Mata (FERRON PAR PHARMACEUTICALS)','92000194','Latanoprost 0,005% Tetes Mata','LATANOPROST','Botol','Tetes Mata','Obat Keras','https://dto.kemkes.go.id/kfacode/93000299',0,'2023-05-01');</v>
      </c>
    </row>
    <row r="797" spans="1:11" ht="15.75" customHeight="1">
      <c r="A797" s="2">
        <v>93001037</v>
      </c>
      <c r="B797" s="2" t="s">
        <v>2793</v>
      </c>
      <c r="C797" s="2">
        <v>92000723</v>
      </c>
      <c r="D797" s="2" t="s">
        <v>1094</v>
      </c>
      <c r="E797" s="2" t="s">
        <v>2794</v>
      </c>
      <c r="F797" s="2" t="s">
        <v>640</v>
      </c>
      <c r="G797" s="2" t="s">
        <v>1457</v>
      </c>
      <c r="H797" s="2" t="s">
        <v>1458</v>
      </c>
      <c r="I797" s="3" t="str">
        <f t="shared" si="0"/>
        <v>https://dto.kemkes.go.id/kfacode/93001037</v>
      </c>
      <c r="J797" s="34" t="s">
        <v>3768</v>
      </c>
      <c r="K797" t="str">
        <f t="shared" si="13"/>
        <v>insert into mkatalog_kfa93 (kode, uraian, kode_92, uraian_92, nama_dagang, satuan_kecil, sediaan, golongan, url, userid_updt, sysdate_updt) values ('93001037','Leflunomide 20 mg Tablet Salut Selaput (ARAVA)','92000723','Leflunomide 20 mg Tablet Salut Selaput','ARAVA','Tablet','Tablet Salut Selaput','Obat Keras','https://dto.kemkes.go.id/kfacode/93001037',0,'2023-05-01');</v>
      </c>
    </row>
    <row r="798" spans="1:11" ht="15.75" customHeight="1">
      <c r="A798" s="2">
        <v>93001481</v>
      </c>
      <c r="B798" s="2" t="s">
        <v>2795</v>
      </c>
      <c r="C798" s="2">
        <v>92000858</v>
      </c>
      <c r="D798" s="2" t="s">
        <v>1095</v>
      </c>
      <c r="E798" s="2" t="s">
        <v>2796</v>
      </c>
      <c r="F798" s="2" t="s">
        <v>640</v>
      </c>
      <c r="G798" s="2" t="s">
        <v>640</v>
      </c>
      <c r="H798" s="2" t="s">
        <v>1458</v>
      </c>
      <c r="I798" s="3" t="str">
        <f t="shared" si="0"/>
        <v>https://dto.kemkes.go.id/kfacode/93001481</v>
      </c>
      <c r="J798" s="34" t="s">
        <v>3768</v>
      </c>
      <c r="K798" t="str">
        <f t="shared" si="13"/>
        <v>insert into mkatalog_kfa93 (kode, uraian, kode_92, uraian_92, nama_dagang, satuan_kecil, sediaan, golongan, url, userid_updt, sysdate_updt) values ('93001481','Letrozole 2,5 mg Tablet (LEBREST)','92000858','Letrozole 2,5 mg Tablet','LEBREST','Tablet','Tablet','Obat Keras','https://dto.kemkes.go.id/kfacode/93001481',0,'2023-05-01');</v>
      </c>
    </row>
    <row r="799" spans="1:11" ht="15.75" customHeight="1">
      <c r="A799" s="2">
        <v>93001046</v>
      </c>
      <c r="B799" s="2" t="s">
        <v>2797</v>
      </c>
      <c r="C799" s="2">
        <v>92000732</v>
      </c>
      <c r="D799" s="2" t="s">
        <v>1096</v>
      </c>
      <c r="E799" s="2" t="s">
        <v>2798</v>
      </c>
      <c r="F799" s="2" t="s">
        <v>824</v>
      </c>
      <c r="G799" s="2" t="s">
        <v>1500</v>
      </c>
      <c r="H799" s="2" t="s">
        <v>1458</v>
      </c>
      <c r="I799" s="3" t="str">
        <f t="shared" si="0"/>
        <v>https://dto.kemkes.go.id/kfacode/93001046</v>
      </c>
      <c r="J799" s="34" t="s">
        <v>3768</v>
      </c>
      <c r="K799" t="str">
        <f t="shared" si="13"/>
        <v>insert into mkatalog_kfa93 (kode, uraian, kode_92, uraian_92, nama_dagang, satuan_kecil, sediaan, golongan, url, userid_updt, sysdate_updt) values ('93001046','Leuprorelin Acetate 1,88 mg Serbuk Injeksi (TAPROS)','92000732','Leuprorelin Acetate 1,88 mg Serbuk Injeksi','TAPROS','Vial + Ampul Pelarut','Serbuk Injeksi','Obat Keras','https://dto.kemkes.go.id/kfacode/93001046',0,'2023-05-01');</v>
      </c>
    </row>
    <row r="800" spans="1:11" ht="15.75" customHeight="1">
      <c r="A800" s="2">
        <v>93001045</v>
      </c>
      <c r="B800" s="2" t="s">
        <v>2799</v>
      </c>
      <c r="C800" s="2">
        <v>92000730</v>
      </c>
      <c r="D800" s="2" t="s">
        <v>1097</v>
      </c>
      <c r="E800" s="2" t="s">
        <v>2800</v>
      </c>
      <c r="F800" s="2" t="s">
        <v>824</v>
      </c>
      <c r="G800" s="2" t="s">
        <v>1500</v>
      </c>
      <c r="H800" s="2" t="s">
        <v>1458</v>
      </c>
      <c r="I800" s="3" t="str">
        <f t="shared" si="0"/>
        <v>https://dto.kemkes.go.id/kfacode/93001045</v>
      </c>
      <c r="J800" s="34" t="s">
        <v>3768</v>
      </c>
      <c r="K800" t="str">
        <f t="shared" si="13"/>
        <v>insert into mkatalog_kfa93 (kode, uraian, kode_92, uraian_92, nama_dagang, satuan_kecil, sediaan, golongan, url, userid_updt, sysdate_updt) values ('93001045','Leuprorelin Acetate 11,25 mg Serbuk Injeksi (TAPROS 3M DEPOT)','92000730','Leuprorelin Acetate 11,25 mg Serbuk Injeksi','TAPROS 3M DEPOT','Vial + Ampul Pelarut','Serbuk Injeksi','Obat Keras','https://dto.kemkes.go.id/kfacode/93001045',0,'2023-05-01');</v>
      </c>
    </row>
    <row r="801" spans="1:11" ht="15.75" customHeight="1">
      <c r="A801" s="2">
        <v>93000657</v>
      </c>
      <c r="B801" s="2" t="s">
        <v>2801</v>
      </c>
      <c r="C801" s="2">
        <v>92000491</v>
      </c>
      <c r="D801" s="2" t="s">
        <v>1098</v>
      </c>
      <c r="E801" s="2" t="s">
        <v>2802</v>
      </c>
      <c r="F801" s="2" t="s">
        <v>653</v>
      </c>
      <c r="G801" s="2" t="s">
        <v>1500</v>
      </c>
      <c r="H801" s="2" t="s">
        <v>1458</v>
      </c>
      <c r="I801" s="3" t="str">
        <f t="shared" si="0"/>
        <v>https://dto.kemkes.go.id/kfacode/93000657</v>
      </c>
      <c r="J801" s="34" t="s">
        <v>3768</v>
      </c>
      <c r="K801" t="str">
        <f t="shared" si="13"/>
        <v>insert into mkatalog_kfa93 (kode, uraian, kode_92, uraian_92, nama_dagang, satuan_kecil, sediaan, golongan, url, userid_updt, sysdate_updt) values ('93000657','Leuprorelin Acetate 3,75 mg Serbuk Injeksi (ENDROLIN)','92000491','Leuprorelin Acetate 3,75 mg Serbuk Injeksi','ENDROLIN','Vial','Serbuk Injeksi','Obat Keras','https://dto.kemkes.go.id/kfacode/93000657',0,'2023-05-01');</v>
      </c>
    </row>
    <row r="802" spans="1:11" ht="15.75" customHeight="1">
      <c r="A802" s="2">
        <v>93000878</v>
      </c>
      <c r="B802" s="2" t="s">
        <v>2803</v>
      </c>
      <c r="C802" s="2">
        <v>92000618</v>
      </c>
      <c r="D802" s="2" t="s">
        <v>1099</v>
      </c>
      <c r="E802" s="2" t="s">
        <v>2804</v>
      </c>
      <c r="F802" s="2" t="s">
        <v>824</v>
      </c>
      <c r="G802" s="2" t="s">
        <v>1500</v>
      </c>
      <c r="H802" s="2" t="s">
        <v>1458</v>
      </c>
      <c r="I802" s="3" t="str">
        <f t="shared" si="0"/>
        <v>https://dto.kemkes.go.id/kfacode/93000878</v>
      </c>
      <c r="J802" s="34" t="s">
        <v>3768</v>
      </c>
      <c r="K802" t="str">
        <f t="shared" si="13"/>
        <v>insert into mkatalog_kfa93 (kode, uraian, kode_92, uraian_92, nama_dagang, satuan_kecil, sediaan, golongan, url, userid_updt, sysdate_updt) values ('93000878','Leuprorelin Acetate 7,5 mg Serbuk Injeksi (ELIGARD)','92000618','Leuprorelin Acetate 7,5 mg Serbuk Injeksi','ELIGARD','Vial + Ampul Pelarut','Serbuk Injeksi','Obat Keras','https://dto.kemkes.go.id/kfacode/93000878',0,'2023-05-01');</v>
      </c>
    </row>
    <row r="803" spans="1:11" ht="15.75" customHeight="1">
      <c r="A803" s="2">
        <v>93000997</v>
      </c>
      <c r="B803" s="2" t="s">
        <v>2805</v>
      </c>
      <c r="C803" s="2">
        <v>92000682</v>
      </c>
      <c r="D803" s="2" t="s">
        <v>1100</v>
      </c>
      <c r="E803" s="2" t="s">
        <v>2804</v>
      </c>
      <c r="F803" s="2" t="s">
        <v>899</v>
      </c>
      <c r="G803" s="2" t="s">
        <v>1500</v>
      </c>
      <c r="H803" s="2" t="s">
        <v>1458</v>
      </c>
      <c r="I803" s="3" t="str">
        <f t="shared" si="0"/>
        <v>https://dto.kemkes.go.id/kfacode/93000997</v>
      </c>
      <c r="J803" s="34" t="s">
        <v>3768</v>
      </c>
      <c r="K803" t="str">
        <f t="shared" si="13"/>
        <v>insert into mkatalog_kfa93 (kode, uraian, kode_92, uraian_92, nama_dagang, satuan_kecil, sediaan, golongan, url, userid_updt, sysdate_updt) values ('93000997','Leuproreline Acetate 22,5 mg Serbuk Injeksi (ELIGARD)','92000682','Leuproreline Acetate 22,5 mg Serbuk Injeksi','ELIGARD','Prefilled Syringe','Serbuk Injeksi','Obat Keras','https://dto.kemkes.go.id/kfacode/93000997',0,'2023-05-01');</v>
      </c>
    </row>
    <row r="804" spans="1:11" ht="15.75" customHeight="1">
      <c r="A804" s="2">
        <v>93000792</v>
      </c>
      <c r="B804" s="2" t="s">
        <v>2806</v>
      </c>
      <c r="C804" s="2">
        <v>92000577</v>
      </c>
      <c r="D804" s="2" t="s">
        <v>1101</v>
      </c>
      <c r="E804" s="2" t="s">
        <v>2807</v>
      </c>
      <c r="F804" s="2" t="s">
        <v>640</v>
      </c>
      <c r="G804" s="2" t="s">
        <v>1457</v>
      </c>
      <c r="H804" s="2" t="s">
        <v>1458</v>
      </c>
      <c r="I804" s="3" t="str">
        <f t="shared" si="0"/>
        <v>https://dto.kemkes.go.id/kfacode/93000792</v>
      </c>
      <c r="J804" s="34" t="s">
        <v>3768</v>
      </c>
      <c r="K804" t="str">
        <f t="shared" si="13"/>
        <v>insert into mkatalog_kfa93 (kode, uraian, kode_92, uraian_92, nama_dagang, satuan_kecil, sediaan, golongan, url, userid_updt, sysdate_updt) values ('93000792','Levetiracetam 250 mg Tablet Salut Selaput (ACTAVIS INDONESIA)','92000577','Levetiracetam 250 mg Tablet Salut Selaput','LEVETIRACETAM','Tablet','Tablet Salut Selaput','Obat Keras','https://dto.kemkes.go.id/kfacode/93000792',0,'2023-05-01');</v>
      </c>
    </row>
    <row r="805" spans="1:11" ht="15.75" customHeight="1">
      <c r="A805" s="2">
        <v>93001525</v>
      </c>
      <c r="B805" s="2" t="s">
        <v>2808</v>
      </c>
      <c r="C805" s="2">
        <v>92000872</v>
      </c>
      <c r="D805" s="2" t="s">
        <v>1102</v>
      </c>
      <c r="E805" s="2" t="s">
        <v>2807</v>
      </c>
      <c r="F805" s="2" t="s">
        <v>640</v>
      </c>
      <c r="G805" s="2" t="s">
        <v>1457</v>
      </c>
      <c r="H805" s="2" t="s">
        <v>1458</v>
      </c>
      <c r="I805" s="3" t="str">
        <f t="shared" si="0"/>
        <v>https://dto.kemkes.go.id/kfacode/93001525</v>
      </c>
      <c r="J805" s="34" t="s">
        <v>3768</v>
      </c>
      <c r="K805" t="str">
        <f t="shared" si="13"/>
        <v>insert into mkatalog_kfa93 (kode, uraian, kode_92, uraian_92, nama_dagang, satuan_kecil, sediaan, golongan, url, userid_updt, sysdate_updt) values ('93001525','Levetiracetam 500 mg Tablet Salut Selaput (ACTAVIS INDONESIA)','92000872','Levetiracetam 500 mg Tablet Salut Selaput','LEVETIRACETAM','Tablet','Tablet Salut Selaput','Obat Keras','https://dto.kemkes.go.id/kfacode/93001525',0,'2023-05-01');</v>
      </c>
    </row>
    <row r="806" spans="1:11" ht="15.75" customHeight="1">
      <c r="A806" s="2">
        <v>93000615</v>
      </c>
      <c r="B806" s="2" t="s">
        <v>2809</v>
      </c>
      <c r="C806" s="2">
        <v>92000484</v>
      </c>
      <c r="D806" s="2" t="s">
        <v>1103</v>
      </c>
      <c r="E806" s="2" t="s">
        <v>2810</v>
      </c>
      <c r="F806" s="2" t="s">
        <v>658</v>
      </c>
      <c r="G806" s="2" t="s">
        <v>1530</v>
      </c>
      <c r="H806" s="2" t="s">
        <v>1458</v>
      </c>
      <c r="I806" s="3" t="str">
        <f t="shared" si="0"/>
        <v>https://dto.kemkes.go.id/kfacode/93000615</v>
      </c>
      <c r="J806" s="34" t="s">
        <v>3768</v>
      </c>
      <c r="K806" t="str">
        <f t="shared" si="13"/>
        <v>insert into mkatalog_kfa93 (kode, uraian, kode_92, uraian_92, nama_dagang, satuan_kecil, sediaan, golongan, url, userid_updt, sysdate_updt) values ('93000615','Levofloxacin 5 mg/ml Infus (DEXA MEDICA, 100 mL)','92000484','Levofloxacin 5 mg/ml Infus','LEVOFLOXACIN HEMIHYDRATE','Botol','Infus','Obat Keras','https://dto.kemkes.go.id/kfacode/93000615',0,'2023-05-01');</v>
      </c>
    </row>
    <row r="807" spans="1:11" ht="15.75" customHeight="1">
      <c r="A807" s="2">
        <v>93000618</v>
      </c>
      <c r="B807" s="2" t="s">
        <v>2811</v>
      </c>
      <c r="C807" s="2">
        <v>92000484</v>
      </c>
      <c r="D807" s="2" t="s">
        <v>1103</v>
      </c>
      <c r="E807" s="2" t="s">
        <v>2810</v>
      </c>
      <c r="F807" s="2" t="s">
        <v>658</v>
      </c>
      <c r="G807" s="2" t="s">
        <v>1530</v>
      </c>
      <c r="H807" s="2" t="s">
        <v>1458</v>
      </c>
      <c r="I807" s="3" t="str">
        <f t="shared" si="0"/>
        <v>https://dto.kemkes.go.id/kfacode/93000618</v>
      </c>
      <c r="J807" s="34" t="s">
        <v>3768</v>
      </c>
      <c r="K807" t="str">
        <f t="shared" si="13"/>
        <v>insert into mkatalog_kfa93 (kode, uraian, kode_92, uraian_92, nama_dagang, satuan_kecil, sediaan, golongan, url, userid_updt, sysdate_updt) values ('93000618','Levofloxacin 5 mg/ml Infus (DEXA MEDICA, 150 mL)','92000484','Levofloxacin 5 mg/ml Infus','LEVOFLOXACIN HEMIHYDRATE','Botol','Infus','Obat Keras','https://dto.kemkes.go.id/kfacode/93000618',0,'2023-05-01');</v>
      </c>
    </row>
    <row r="808" spans="1:11" ht="15.75" customHeight="1">
      <c r="A808" s="2">
        <v>93000718</v>
      </c>
      <c r="B808" s="2" t="s">
        <v>2812</v>
      </c>
      <c r="C808" s="2">
        <v>92000135</v>
      </c>
      <c r="D808" s="2" t="s">
        <v>1104</v>
      </c>
      <c r="E808" s="2" t="s">
        <v>2810</v>
      </c>
      <c r="F808" s="2" t="s">
        <v>640</v>
      </c>
      <c r="G808" s="2" t="s">
        <v>1457</v>
      </c>
      <c r="H808" s="2" t="s">
        <v>1458</v>
      </c>
      <c r="I808" s="3" t="str">
        <f t="shared" si="0"/>
        <v>https://dto.kemkes.go.id/kfacode/93000718</v>
      </c>
      <c r="J808" s="34" t="s">
        <v>3768</v>
      </c>
      <c r="K808" t="str">
        <f t="shared" si="13"/>
        <v>insert into mkatalog_kfa93 (kode, uraian, kode_92, uraian_92, nama_dagang, satuan_kecil, sediaan, golongan, url, userid_updt, sysdate_updt) values ('93000718','Levofloxacin 500 mg Tablet Salut Selaput (KIMIA FARMA)','92000135','Levofloxacin 500 mg Tablet Salut Selaput','LEVOFLOXACIN HEMIHYDRATE','Tablet','Tablet Salut Selaput','Obat Keras','https://dto.kemkes.go.id/kfacode/93000718',0,'2023-05-01');</v>
      </c>
    </row>
    <row r="809" spans="1:11" ht="15.75" customHeight="1">
      <c r="A809" s="2">
        <v>93000423</v>
      </c>
      <c r="B809" s="2" t="s">
        <v>2813</v>
      </c>
      <c r="C809" s="2">
        <v>92000309</v>
      </c>
      <c r="D809" s="2" t="s">
        <v>1105</v>
      </c>
      <c r="E809" s="2" t="s">
        <v>2814</v>
      </c>
      <c r="F809" s="2" t="s">
        <v>658</v>
      </c>
      <c r="G809" s="2" t="s">
        <v>2125</v>
      </c>
      <c r="H809" s="2" t="s">
        <v>1458</v>
      </c>
      <c r="I809" s="3" t="str">
        <f t="shared" si="0"/>
        <v>https://dto.kemkes.go.id/kfacode/93000423</v>
      </c>
      <c r="J809" s="34" t="s">
        <v>3768</v>
      </c>
      <c r="K809" t="str">
        <f t="shared" si="13"/>
        <v>insert into mkatalog_kfa93 (kode, uraian, kode_92, uraian_92, nama_dagang, satuan_kecil, sediaan, golongan, url, userid_updt, sysdate_updt) values ('93000423','Levofloxacin Hemihydrate 0,5% Tetes Mata (LEVOCIN)','92000309','Levofloxacin Hemihydrate 0,5% Tetes Mata','LEVOCIN','Botol','Tetes Mata','Obat Keras','https://dto.kemkes.go.id/kfacode/93000423',0,'2023-05-01');</v>
      </c>
    </row>
    <row r="810" spans="1:11" ht="15.75" customHeight="1">
      <c r="A810" s="2">
        <v>93000147</v>
      </c>
      <c r="B810" s="2" t="s">
        <v>2815</v>
      </c>
      <c r="C810" s="2">
        <v>92000150</v>
      </c>
      <c r="D810" s="2" t="s">
        <v>1106</v>
      </c>
      <c r="E810" s="2" t="s">
        <v>2810</v>
      </c>
      <c r="F810" s="2" t="s">
        <v>640</v>
      </c>
      <c r="G810" s="2" t="s">
        <v>1457</v>
      </c>
      <c r="H810" s="2" t="s">
        <v>1458</v>
      </c>
      <c r="I810" s="3" t="str">
        <f t="shared" si="0"/>
        <v>https://dto.kemkes.go.id/kfacode/93000147</v>
      </c>
      <c r="J810" s="34" t="s">
        <v>3768</v>
      </c>
      <c r="K810" t="str">
        <f t="shared" si="13"/>
        <v>insert into mkatalog_kfa93 (kode, uraian, kode_92, uraian_92, nama_dagang, satuan_kecil, sediaan, golongan, url, userid_updt, sysdate_updt) values ('93000147','Levofloxacin Hemihydrate 250 mg Tablet Salut Selaput (KIMIA FARMA)','92000150','Levofloxacin Hemihydrate 250 mg Tablet Salut Selaput','LEVOFLOXACIN HEMIHYDRATE','Tablet','Tablet Salut Selaput','Obat Keras','https://dto.kemkes.go.id/kfacode/93000147',0,'2023-05-01');</v>
      </c>
    </row>
    <row r="811" spans="1:11" ht="15.75" customHeight="1">
      <c r="A811" s="2">
        <v>93000719</v>
      </c>
      <c r="B811" s="2" t="s">
        <v>2816</v>
      </c>
      <c r="C811" s="2">
        <v>92000346</v>
      </c>
      <c r="D811" s="2" t="s">
        <v>1107</v>
      </c>
      <c r="E811" s="2" t="s">
        <v>2810</v>
      </c>
      <c r="F811" s="2" t="s">
        <v>660</v>
      </c>
      <c r="G811" s="2" t="s">
        <v>1619</v>
      </c>
      <c r="H811" s="2" t="s">
        <v>1458</v>
      </c>
      <c r="I811" s="3" t="str">
        <f t="shared" si="0"/>
        <v>https://dto.kemkes.go.id/kfacode/93000719</v>
      </c>
      <c r="J811" s="34" t="s">
        <v>3768</v>
      </c>
      <c r="K811" t="str">
        <f t="shared" si="13"/>
        <v>insert into mkatalog_kfa93 (kode, uraian, kode_92, uraian_92, nama_dagang, satuan_kecil, sediaan, golongan, url, userid_updt, sysdate_updt) values ('93000719','Levofloxacin Hemihydrate 500 mg Kaplet Salut Selaput (HEXPHARM JAYA LABORATORIES)','92000346','Levofloxacin Hemihydrate 500 mg Kaplet Salut Selaput','LEVOFLOXACIN HEMIHYDRATE','Kaplet','Kaplet Salut Selaput','Obat Keras','https://dto.kemkes.go.id/kfacode/93000719',0,'2023-05-01');</v>
      </c>
    </row>
    <row r="812" spans="1:11" ht="15.75" customHeight="1">
      <c r="A812" s="2">
        <v>93001434</v>
      </c>
      <c r="B812" s="2" t="s">
        <v>2817</v>
      </c>
      <c r="C812" s="2">
        <v>92000467</v>
      </c>
      <c r="D812" s="2" t="s">
        <v>1108</v>
      </c>
      <c r="E812" s="2" t="s">
        <v>2818</v>
      </c>
      <c r="F812" s="2" t="s">
        <v>640</v>
      </c>
      <c r="G812" s="2" t="s">
        <v>640</v>
      </c>
      <c r="H812" s="2" t="s">
        <v>1458</v>
      </c>
      <c r="I812" s="3" t="str">
        <f t="shared" si="0"/>
        <v>https://dto.kemkes.go.id/kfacode/93001434</v>
      </c>
      <c r="J812" s="34" t="s">
        <v>3768</v>
      </c>
      <c r="K812" t="str">
        <f t="shared" si="13"/>
        <v>insert into mkatalog_kfa93 (kode, uraian, kode_92, uraian_92, nama_dagang, satuan_kecil, sediaan, golongan, url, userid_updt, sysdate_updt) values ('93001434','Levothyroxine Sodium 100 mcg Tablet (NOVELL PHARMACEUTICAL LABORATORIES)','92000467','Levothyroxine Sodium 100 mcg Tablet','LEVOTHYROXINE SODIUM','Tablet','Tablet','Obat Keras','https://dto.kemkes.go.id/kfacode/93001434',0,'2023-05-01');</v>
      </c>
    </row>
    <row r="813" spans="1:11" ht="15.75" customHeight="1">
      <c r="A813" s="2">
        <v>93000520</v>
      </c>
      <c r="B813" s="2" t="s">
        <v>2819</v>
      </c>
      <c r="C813" s="2">
        <v>92000419</v>
      </c>
      <c r="D813" s="2" t="s">
        <v>1109</v>
      </c>
      <c r="E813" s="2" t="s">
        <v>2820</v>
      </c>
      <c r="F813" s="2" t="s">
        <v>1110</v>
      </c>
      <c r="G813" s="2" t="s">
        <v>640</v>
      </c>
      <c r="H813" s="2" t="s">
        <v>1458</v>
      </c>
      <c r="I813" s="3" t="str">
        <f t="shared" si="0"/>
        <v>https://dto.kemkes.go.id/kfacode/93000520</v>
      </c>
      <c r="J813" s="34" t="s">
        <v>3768</v>
      </c>
      <c r="K813" t="str">
        <f t="shared" si="13"/>
        <v>insert into mkatalog_kfa93 (kode, uraian, kode_92, uraian_92, nama_dagang, satuan_kecil, sediaan, golongan, url, userid_updt, sysdate_updt) values ('93000520','Levothyroxine Sodium 50 mcg Tablet (EUTHYROX)','92000419','Levothyroxine Sodium 50 mcg Tablet','EUTHYROX','mcg','Tablet','Obat Keras','https://dto.kemkes.go.id/kfacode/93000520',0,'2023-05-01');</v>
      </c>
    </row>
    <row r="814" spans="1:11" ht="15.75" customHeight="1">
      <c r="A814" s="2">
        <v>93000415</v>
      </c>
      <c r="B814" s="2" t="s">
        <v>2821</v>
      </c>
      <c r="C814" s="2">
        <v>92000299</v>
      </c>
      <c r="D814" s="2" t="s">
        <v>1111</v>
      </c>
      <c r="E814" s="2" t="s">
        <v>2822</v>
      </c>
      <c r="F814" s="2" t="s">
        <v>655</v>
      </c>
      <c r="G814" s="2" t="s">
        <v>2823</v>
      </c>
      <c r="H814" s="2" t="s">
        <v>1458</v>
      </c>
      <c r="I814" s="3" t="str">
        <f t="shared" si="0"/>
        <v>https://dto.kemkes.go.id/kfacode/93000415</v>
      </c>
      <c r="J814" s="34" t="s">
        <v>3768</v>
      </c>
      <c r="K814" t="str">
        <f t="shared" si="13"/>
        <v>insert into mkatalog_kfa93 (kode, uraian, kode_92, uraian_92, nama_dagang, satuan_kecil, sediaan, golongan, url, userid_updt, sysdate_updt) values ('93000415','Lidocaine Hydrochloride 2% Gel (XYLOCAINE)','92000299','Lidocaine Hydrochloride 2% Gel','XYLOCAINE','Tube','Gel','Obat Keras','https://dto.kemkes.go.id/kfacode/93000415',0,'2023-05-01');</v>
      </c>
    </row>
    <row r="815" spans="1:11" ht="15.75" customHeight="1">
      <c r="A815" s="2">
        <v>93000873</v>
      </c>
      <c r="B815" s="2" t="s">
        <v>2824</v>
      </c>
      <c r="C815" s="2">
        <v>92000616</v>
      </c>
      <c r="D815" s="2" t="s">
        <v>1114</v>
      </c>
      <c r="E815" s="2" t="s">
        <v>2825</v>
      </c>
      <c r="F815" s="2" t="s">
        <v>640</v>
      </c>
      <c r="G815" s="2" t="s">
        <v>640</v>
      </c>
      <c r="H815" s="2" t="s">
        <v>1458</v>
      </c>
      <c r="I815" s="3" t="str">
        <f t="shared" si="0"/>
        <v>https://dto.kemkes.go.id/kfacode/93000873</v>
      </c>
      <c r="J815" s="34" t="s">
        <v>3768</v>
      </c>
      <c r="K815" t="str">
        <f t="shared" si="13"/>
        <v>insert into mkatalog_kfa93 (kode, uraian, kode_92, uraian_92, nama_dagang, satuan_kecil, sediaan, golongan, url, userid_updt, sysdate_updt) values ('93000873','Lithium Carbonate 200 mg Tablet (FRIMANIA 200)','92000616','Lithium Carbonate 200 mg Tablet','FRIMANIA 200','Tablet','Tablet','Obat Keras','https://dto.kemkes.go.id/kfacode/93000873',0,'2023-05-01');</v>
      </c>
    </row>
    <row r="816" spans="1:11" ht="15.75" customHeight="1">
      <c r="A816" s="2">
        <v>93000872</v>
      </c>
      <c r="B816" s="2" t="s">
        <v>2826</v>
      </c>
      <c r="C816" s="2">
        <v>92000615</v>
      </c>
      <c r="D816" s="2" t="s">
        <v>1115</v>
      </c>
      <c r="E816" s="2" t="s">
        <v>2827</v>
      </c>
      <c r="F816" s="2" t="s">
        <v>640</v>
      </c>
      <c r="G816" s="2" t="s">
        <v>640</v>
      </c>
      <c r="H816" s="2" t="s">
        <v>1458</v>
      </c>
      <c r="I816" s="3" t="str">
        <f t="shared" si="0"/>
        <v>https://dto.kemkes.go.id/kfacode/93000872</v>
      </c>
      <c r="J816" s="34" t="s">
        <v>3768</v>
      </c>
      <c r="K816" t="str">
        <f t="shared" si="13"/>
        <v>insert into mkatalog_kfa93 (kode, uraian, kode_92, uraian_92, nama_dagang, satuan_kecil, sediaan, golongan, url, userid_updt, sysdate_updt) values ('93000872','Litium / Lithium Carbonate 400 mg Tablet (FRIMANIA 400)','92000615','Litium / Lithium Carbonate 400 mg Tablet','FRIMANIA 400','Tablet','Tablet','Obat Keras','https://dto.kemkes.go.id/kfacode/93000872',0,'2023-05-01');</v>
      </c>
    </row>
    <row r="817" spans="1:11" ht="15.75" customHeight="1">
      <c r="A817" s="2">
        <v>93001190</v>
      </c>
      <c r="B817" s="2" t="s">
        <v>2828</v>
      </c>
      <c r="C817" s="2">
        <v>92000654</v>
      </c>
      <c r="D817" s="2" t="s">
        <v>1116</v>
      </c>
      <c r="E817" s="2" t="s">
        <v>2829</v>
      </c>
      <c r="F817" s="2" t="s">
        <v>640</v>
      </c>
      <c r="G817" s="2" t="s">
        <v>640</v>
      </c>
      <c r="H817" s="2" t="s">
        <v>1458</v>
      </c>
      <c r="I817" s="3" t="str">
        <f t="shared" si="0"/>
        <v>https://dto.kemkes.go.id/kfacode/93001190</v>
      </c>
      <c r="J817" s="34" t="s">
        <v>3768</v>
      </c>
      <c r="K817" t="str">
        <f t="shared" si="13"/>
        <v>insert into mkatalog_kfa93 (kode, uraian, kode_92, uraian_92, nama_dagang, satuan_kecil, sediaan, golongan, url, userid_updt, sysdate_updt) values ('93001190','Loperamide 2 mg Tablet/Kaplet (IFARS PHARMACEUTICAL LABORATORIES)','92000654','Loperamide 2 mg Tablet/Kaplet','LOPERAMIDE HCL','Tablet','Tablet','Obat Keras','https://dto.kemkes.go.id/kfacode/93001190',0,'2023-05-01');</v>
      </c>
    </row>
    <row r="818" spans="1:11" ht="15.75" customHeight="1">
      <c r="A818" s="2">
        <v>93000944</v>
      </c>
      <c r="B818" s="2" t="s">
        <v>2830</v>
      </c>
      <c r="C818" s="2">
        <v>92000654</v>
      </c>
      <c r="D818" s="2" t="s">
        <v>1116</v>
      </c>
      <c r="E818" s="2" t="s">
        <v>2831</v>
      </c>
      <c r="F818" s="2" t="s">
        <v>640</v>
      </c>
      <c r="G818" s="2" t="s">
        <v>640</v>
      </c>
      <c r="H818" s="2" t="s">
        <v>1458</v>
      </c>
      <c r="I818" s="3" t="str">
        <f t="shared" si="0"/>
        <v>https://dto.kemkes.go.id/kfacode/93000944</v>
      </c>
      <c r="J818" s="34" t="s">
        <v>3768</v>
      </c>
      <c r="K818" t="str">
        <f t="shared" si="13"/>
        <v>insert into mkatalog_kfa93 (kode, uraian, kode_92, uraian_92, nama_dagang, satuan_kecil, sediaan, golongan, url, userid_updt, sysdate_updt) values ('93000944','Loperamide 2 mg Tablet/Kaplet (NOVAPHARIN)','92000654','Loperamide 2 mg Tablet/Kaplet','LOPARAMIDE HCl','Tablet','Tablet','Obat Keras','https://dto.kemkes.go.id/kfacode/93000944',0,'2023-05-01');</v>
      </c>
    </row>
    <row r="819" spans="1:11" ht="15.75" customHeight="1">
      <c r="A819" s="2">
        <v>93001424</v>
      </c>
      <c r="B819" s="2" t="s">
        <v>2832</v>
      </c>
      <c r="C819" s="2">
        <v>92000654</v>
      </c>
      <c r="D819" s="2" t="s">
        <v>1116</v>
      </c>
      <c r="E819" s="2" t="s">
        <v>2833</v>
      </c>
      <c r="F819" s="2" t="s">
        <v>640</v>
      </c>
      <c r="G819" s="2" t="s">
        <v>640</v>
      </c>
      <c r="H819" s="2" t="s">
        <v>1458</v>
      </c>
      <c r="I819" s="3" t="str">
        <f t="shared" si="0"/>
        <v>https://dto.kemkes.go.id/kfacode/93001424</v>
      </c>
      <c r="J819" s="34" t="s">
        <v>3768</v>
      </c>
      <c r="K819" t="str">
        <f t="shared" si="13"/>
        <v>insert into mkatalog_kfa93 (kode, uraian, kode_92, uraian_92, nama_dagang, satuan_kecil, sediaan, golongan, url, userid_updt, sysdate_updt) values ('93001424','Loperamide 2 mg Tablet/Kaplet (PRIMODIAR)','92000654','Loperamide 2 mg Tablet/Kaplet','PRIMODIAR','Tablet','Tablet','Obat Keras','https://dto.kemkes.go.id/kfacode/93001424',0,'2023-05-01');</v>
      </c>
    </row>
    <row r="820" spans="1:11" ht="15.75" customHeight="1">
      <c r="A820" s="2">
        <v>93001425</v>
      </c>
      <c r="B820" s="2" t="s">
        <v>2834</v>
      </c>
      <c r="C820" s="2">
        <v>92000838</v>
      </c>
      <c r="D820" s="2" t="s">
        <v>1117</v>
      </c>
      <c r="E820" s="2" t="s">
        <v>2829</v>
      </c>
      <c r="F820" s="2" t="s">
        <v>640</v>
      </c>
      <c r="G820" s="2" t="s">
        <v>1457</v>
      </c>
      <c r="H820" s="2" t="s">
        <v>1458</v>
      </c>
      <c r="I820" s="3" t="str">
        <f t="shared" si="0"/>
        <v>https://dto.kemkes.go.id/kfacode/93001425</v>
      </c>
      <c r="J820" s="34" t="s">
        <v>3768</v>
      </c>
      <c r="K820" t="str">
        <f t="shared" si="13"/>
        <v>insert into mkatalog_kfa93 (kode, uraian, kode_92, uraian_92, nama_dagang, satuan_kecil, sediaan, golongan, url, userid_updt, sysdate_updt) values ('93001425','Loperamide 2 mg Tablet/Kaplet Salut Selaput (HOLI PHARMA)','92000838','Loperamide 2 mg Tablet/Kaplet Salut Selaput','LOPERAMIDE HCL','Tablet','Tablet Salut Selaput','Obat Keras','https://dto.kemkes.go.id/kfacode/93001425',0,'2023-05-01');</v>
      </c>
    </row>
    <row r="821" spans="1:11" ht="15.75" customHeight="1">
      <c r="A821" s="2">
        <v>93000175</v>
      </c>
      <c r="B821" s="2" t="s">
        <v>2835</v>
      </c>
      <c r="C821" s="2">
        <v>92000166</v>
      </c>
      <c r="D821" s="2" t="s">
        <v>1118</v>
      </c>
      <c r="E821" s="2" t="s">
        <v>2836</v>
      </c>
      <c r="F821" s="2" t="s">
        <v>640</v>
      </c>
      <c r="G821" s="2" t="s">
        <v>1457</v>
      </c>
      <c r="H821" s="2" t="s">
        <v>1458</v>
      </c>
      <c r="I821" s="3" t="str">
        <f t="shared" si="0"/>
        <v>https://dto.kemkes.go.id/kfacode/93000175</v>
      </c>
      <c r="J821" s="34" t="s">
        <v>3768</v>
      </c>
      <c r="K821" t="str">
        <f t="shared" si="13"/>
        <v>insert into mkatalog_kfa93 (kode, uraian, kode_92, uraian_92, nama_dagang, satuan_kecil, sediaan, golongan, url, userid_updt, sysdate_updt) values ('93000175','Lopinavir 100 mg / Ritonavir 25 mg Tablet Salut Selaput (RITOCOM)','92000166','Lopinavir 100 mg / Ritonavir 25 mg Tablet Salut Selaput','RITOCOM','Tablet','Tablet Salut Selaput','Obat Keras','https://dto.kemkes.go.id/kfacode/93000175',0,'2023-05-01');</v>
      </c>
    </row>
    <row r="822" spans="1:11" ht="15.75" customHeight="1">
      <c r="A822" s="2">
        <v>93000430</v>
      </c>
      <c r="B822" s="2" t="s">
        <v>2837</v>
      </c>
      <c r="C822" s="2">
        <v>92000315</v>
      </c>
      <c r="D822" s="2" t="s">
        <v>1119</v>
      </c>
      <c r="E822" s="2" t="s">
        <v>2838</v>
      </c>
      <c r="F822" s="2" t="s">
        <v>640</v>
      </c>
      <c r="G822" s="2" t="s">
        <v>1457</v>
      </c>
      <c r="H822" s="2" t="s">
        <v>1458</v>
      </c>
      <c r="I822" s="3" t="str">
        <f t="shared" si="0"/>
        <v>https://dto.kemkes.go.id/kfacode/93000430</v>
      </c>
      <c r="J822" s="34" t="s">
        <v>3768</v>
      </c>
      <c r="K822" t="str">
        <f t="shared" si="13"/>
        <v>insert into mkatalog_kfa93 (kode, uraian, kode_92, uraian_92, nama_dagang, satuan_kecil, sediaan, golongan, url, userid_updt, sysdate_updt) values ('93000430','Lopinavir 200 mg / Ritonavir 50 mg Tablet Salut Selaput (LOPIVIA)','92000315','Lopinavir 200 mg / Ritonavir 50 mg Tablet Salut Selaput','LOPIVIA 200/50','Tablet','Tablet Salut Selaput','Obat Keras','https://dto.kemkes.go.id/kfacode/93000430',0,'2023-05-01');</v>
      </c>
    </row>
    <row r="823" spans="1:11" ht="15.75" customHeight="1">
      <c r="A823" s="2">
        <v>93001299</v>
      </c>
      <c r="B823" s="2" t="s">
        <v>2839</v>
      </c>
      <c r="C823" s="2">
        <v>92000238</v>
      </c>
      <c r="D823" s="2" t="s">
        <v>1120</v>
      </c>
      <c r="E823" s="2" t="s">
        <v>2840</v>
      </c>
      <c r="F823" s="2" t="s">
        <v>640</v>
      </c>
      <c r="G823" s="2" t="s">
        <v>640</v>
      </c>
      <c r="H823" s="2" t="s">
        <v>1458</v>
      </c>
      <c r="I823" s="3" t="str">
        <f t="shared" si="0"/>
        <v>https://dto.kemkes.go.id/kfacode/93001299</v>
      </c>
      <c r="J823" s="34" t="s">
        <v>3768</v>
      </c>
      <c r="K823" t="str">
        <f t="shared" si="13"/>
        <v>insert into mkatalog_kfa93 (kode, uraian, kode_92, uraian_92, nama_dagang, satuan_kecil, sediaan, golongan, url, userid_updt, sysdate_updt) values ('93001299','Loratadine 10 mg Tablet (INDOFARMA)','92000238','Loratadine 10 mg Tablet','LORATADINE','Tablet','Tablet','Obat Keras','https://dto.kemkes.go.id/kfacode/93001299',0,'2023-05-01');</v>
      </c>
    </row>
    <row r="824" spans="1:11" ht="15.75" customHeight="1">
      <c r="A824" s="2">
        <v>93001300</v>
      </c>
      <c r="B824" s="2" t="s">
        <v>2841</v>
      </c>
      <c r="C824" s="2">
        <v>92000238</v>
      </c>
      <c r="D824" s="2" t="s">
        <v>1120</v>
      </c>
      <c r="E824" s="2" t="s">
        <v>2840</v>
      </c>
      <c r="F824" s="2" t="s">
        <v>640</v>
      </c>
      <c r="G824" s="2" t="s">
        <v>640</v>
      </c>
      <c r="H824" s="2" t="s">
        <v>1458</v>
      </c>
      <c r="I824" s="3" t="str">
        <f t="shared" si="0"/>
        <v>https://dto.kemkes.go.id/kfacode/93001300</v>
      </c>
      <c r="J824" s="34" t="s">
        <v>3768</v>
      </c>
      <c r="K824" t="str">
        <f t="shared" si="13"/>
        <v>insert into mkatalog_kfa93 (kode, uraian, kode_92, uraian_92, nama_dagang, satuan_kecil, sediaan, golongan, url, userid_updt, sysdate_updt) values ('93001300','Loratadine 10 mg Tablet (MEDIKON PRIMA LABORATORIES)','92000238','Loratadine 10 mg Tablet','LORATADINE','Tablet','Tablet','Obat Keras','https://dto.kemkes.go.id/kfacode/93001300',0,'2023-05-01');</v>
      </c>
    </row>
    <row r="825" spans="1:11" ht="15.75" customHeight="1">
      <c r="A825" s="2">
        <v>93001360</v>
      </c>
      <c r="B825" s="2" t="s">
        <v>2842</v>
      </c>
      <c r="C825" s="2">
        <v>92000238</v>
      </c>
      <c r="D825" s="2" t="s">
        <v>1120</v>
      </c>
      <c r="E825" s="2" t="s">
        <v>2840</v>
      </c>
      <c r="F825" s="2" t="s">
        <v>640</v>
      </c>
      <c r="G825" s="2" t="s">
        <v>640</v>
      </c>
      <c r="H825" s="2" t="s">
        <v>1458</v>
      </c>
      <c r="I825" s="3" t="str">
        <f t="shared" si="0"/>
        <v>https://dto.kemkes.go.id/kfacode/93001360</v>
      </c>
      <c r="J825" s="34" t="s">
        <v>3768</v>
      </c>
      <c r="K825" t="str">
        <f t="shared" si="13"/>
        <v>insert into mkatalog_kfa93 (kode, uraian, kode_92, uraian_92, nama_dagang, satuan_kecil, sediaan, golongan, url, userid_updt, sysdate_updt) values ('93001360','Loratadine 10 mg Tablet (NOVAPHARIN)','92000238','Loratadine 10 mg Tablet','LORATADINE','Tablet','Tablet','Obat Keras','https://dto.kemkes.go.id/kfacode/93001360',0,'2023-05-01');</v>
      </c>
    </row>
    <row r="826" spans="1:11" ht="15.75" customHeight="1">
      <c r="A826" s="2">
        <v>93001296</v>
      </c>
      <c r="B826" s="2" t="s">
        <v>2843</v>
      </c>
      <c r="C826" s="2">
        <v>92000238</v>
      </c>
      <c r="D826" s="2" t="s">
        <v>1120</v>
      </c>
      <c r="E826" s="2" t="s">
        <v>2840</v>
      </c>
      <c r="F826" s="2" t="s">
        <v>640</v>
      </c>
      <c r="G826" s="2" t="s">
        <v>640</v>
      </c>
      <c r="H826" s="2" t="s">
        <v>1458</v>
      </c>
      <c r="I826" s="3" t="str">
        <f t="shared" si="0"/>
        <v>https://dto.kemkes.go.id/kfacode/93001296</v>
      </c>
      <c r="J826" s="34" t="s">
        <v>3768</v>
      </c>
      <c r="K826" t="str">
        <f t="shared" si="13"/>
        <v>insert into mkatalog_kfa93 (kode, uraian, kode_92, uraian_92, nama_dagang, satuan_kecil, sediaan, golongan, url, userid_updt, sysdate_updt) values ('93001296','Loratadine 10 mg Tablet (PERTIWI AGUNG)','92000238','Loratadine 10 mg Tablet','LORATADINE','Tablet','Tablet','Obat Keras','https://dto.kemkes.go.id/kfacode/93001296',0,'2023-05-01');</v>
      </c>
    </row>
    <row r="827" spans="1:11" ht="15.75" customHeight="1">
      <c r="A827" s="2">
        <v>93001352</v>
      </c>
      <c r="B827" s="2" t="s">
        <v>2844</v>
      </c>
      <c r="C827" s="2">
        <v>92000775</v>
      </c>
      <c r="D827" s="2" t="s">
        <v>1121</v>
      </c>
      <c r="E827" s="2" t="s">
        <v>2845</v>
      </c>
      <c r="F827" s="2" t="s">
        <v>640</v>
      </c>
      <c r="G827" s="2" t="s">
        <v>640</v>
      </c>
      <c r="H827" s="2" t="s">
        <v>1517</v>
      </c>
      <c r="I827" s="3" t="str">
        <f t="shared" si="0"/>
        <v>https://dto.kemkes.go.id/kfacode/93001352</v>
      </c>
      <c r="J827" s="34" t="s">
        <v>3768</v>
      </c>
      <c r="K827" t="str">
        <f t="shared" si="13"/>
        <v>insert into mkatalog_kfa93 (kode, uraian, kode_92, uraian_92, nama_dagang, satuan_kecil, sediaan, golongan, url, userid_updt, sysdate_updt) values ('93001352','Lorazepam 0,5 mg Tablet (MERSIFARMA TIRMAKU MERCUSANA)','92000775','Lorazepam 0,5 mg Tablet','LORAZEPAM','Tablet','Tablet','Obat Psikotropika','https://dto.kemkes.go.id/kfacode/93001352',0,'2023-05-01');</v>
      </c>
    </row>
    <row r="828" spans="1:11" ht="15.75" customHeight="1">
      <c r="A828" s="2">
        <v>93001528</v>
      </c>
      <c r="B828" s="2" t="s">
        <v>2846</v>
      </c>
      <c r="C828" s="2">
        <v>92000875</v>
      </c>
      <c r="D828" s="2" t="s">
        <v>1122</v>
      </c>
      <c r="E828" s="2" t="s">
        <v>2847</v>
      </c>
      <c r="F828" s="2" t="s">
        <v>640</v>
      </c>
      <c r="G828" s="2" t="s">
        <v>640</v>
      </c>
      <c r="H828" s="2" t="s">
        <v>1517</v>
      </c>
      <c r="I828" s="3" t="str">
        <f t="shared" si="0"/>
        <v>https://dto.kemkes.go.id/kfacode/93001528</v>
      </c>
      <c r="J828" s="34" t="s">
        <v>3768</v>
      </c>
      <c r="K828" t="str">
        <f t="shared" si="13"/>
        <v>insert into mkatalog_kfa93 (kode, uraian, kode_92, uraian_92, nama_dagang, satuan_kecil, sediaan, golongan, url, userid_updt, sysdate_updt) values ('93001528','Lorazepam 1 mg Tablet (RENAQUIL)','92000875','Lorazepam 1 mg Tablet','RENAQUIL','Tablet','Tablet','Obat Psikotropika','https://dto.kemkes.go.id/kfacode/93001528',0,'2023-05-01');</v>
      </c>
    </row>
    <row r="829" spans="1:11" ht="15.75" customHeight="1">
      <c r="A829" s="2">
        <v>93001351</v>
      </c>
      <c r="B829" s="2" t="s">
        <v>2848</v>
      </c>
      <c r="C829" s="2">
        <v>92000774</v>
      </c>
      <c r="D829" s="2" t="s">
        <v>1123</v>
      </c>
      <c r="E829" s="2" t="s">
        <v>2845</v>
      </c>
      <c r="F829" s="2" t="s">
        <v>640</v>
      </c>
      <c r="G829" s="2" t="s">
        <v>1457</v>
      </c>
      <c r="H829" s="2" t="s">
        <v>1517</v>
      </c>
      <c r="I829" s="3" t="str">
        <f t="shared" si="0"/>
        <v>https://dto.kemkes.go.id/kfacode/93001351</v>
      </c>
      <c r="J829" s="34" t="s">
        <v>3768</v>
      </c>
      <c r="K829" t="str">
        <f t="shared" si="13"/>
        <v>insert into mkatalog_kfa93 (kode, uraian, kode_92, uraian_92, nama_dagang, satuan_kecil, sediaan, golongan, url, userid_updt, sysdate_updt) values ('93001351','Lorazepam 2 mg Tablet Salut Selaput (MERSIFARMA TIRMAKU MERCUSANA)','92000774','Lorazepam 2 mg Tablet Salut Selaput','LORAZEPAM','Tablet','Tablet Salut Selaput','Obat Psikotropika','https://dto.kemkes.go.id/kfacode/93001351',0,'2023-05-01');</v>
      </c>
    </row>
    <row r="830" spans="1:11" ht="15.75" customHeight="1">
      <c r="A830" s="2">
        <v>93001103</v>
      </c>
      <c r="B830" s="2" t="s">
        <v>2849</v>
      </c>
      <c r="C830" s="2">
        <v>92000795</v>
      </c>
      <c r="D830" s="2" t="s">
        <v>1124</v>
      </c>
      <c r="E830" s="2" t="s">
        <v>2850</v>
      </c>
      <c r="F830" s="2" t="s">
        <v>645</v>
      </c>
      <c r="G830" s="2" t="s">
        <v>1506</v>
      </c>
      <c r="H830" s="2" t="s">
        <v>1458</v>
      </c>
      <c r="I830" s="3" t="str">
        <f t="shared" si="0"/>
        <v>https://dto.kemkes.go.id/kfacode/93001103</v>
      </c>
      <c r="J830" s="34" t="s">
        <v>3768</v>
      </c>
      <c r="K830" t="str">
        <f t="shared" si="13"/>
        <v>insert into mkatalog_kfa93 (kode, uraian, kode_92, uraian_92, nama_dagang, satuan_kecil, sediaan, golongan, url, userid_updt, sysdate_updt) values ('93001103','Magnesium Sulfate 20% Injeksi (OTSU - MGSO4)','92000795','Magnesium Sulfate 20% Injeksi','OTSU - MGSO4 20','Ampul','Larutan Injeksi','Obat Keras','https://dto.kemkes.go.id/kfacode/93001103',0,'2023-05-01');</v>
      </c>
    </row>
    <row r="831" spans="1:11" ht="15.75" customHeight="1">
      <c r="A831" s="2">
        <v>93000512</v>
      </c>
      <c r="B831" s="2" t="s">
        <v>2851</v>
      </c>
      <c r="C831" s="2">
        <v>92000431</v>
      </c>
      <c r="D831" s="2" t="s">
        <v>1125</v>
      </c>
      <c r="E831" s="2" t="s">
        <v>2852</v>
      </c>
      <c r="F831" s="2" t="s">
        <v>645</v>
      </c>
      <c r="G831" s="2" t="s">
        <v>1506</v>
      </c>
      <c r="H831" s="2" t="s">
        <v>1458</v>
      </c>
      <c r="I831" s="3" t="str">
        <f t="shared" si="0"/>
        <v>https://dto.kemkes.go.id/kfacode/93000512</v>
      </c>
      <c r="J831" s="34" t="s">
        <v>3768</v>
      </c>
      <c r="K831" t="str">
        <f t="shared" si="13"/>
        <v>insert into mkatalog_kfa93 (kode, uraian, kode_92, uraian_92, nama_dagang, satuan_kecil, sediaan, golongan, url, userid_updt, sysdate_updt) values ('93000512','Magnesium Sulfate 400 mg / mL Injeksi (OTSU - MgSO4 40, 25 mL)','92000431','Magnesium Sulfate 400 mg / mL Injeksi','OTSU - MgSO4 40','Ampul','Larutan Injeksi','Obat Keras','https://dto.kemkes.go.id/kfacode/93000512',0,'2023-05-01');</v>
      </c>
    </row>
    <row r="832" spans="1:11" ht="15.75" customHeight="1">
      <c r="A832" s="2">
        <v>93000191</v>
      </c>
      <c r="B832" s="2" t="s">
        <v>2853</v>
      </c>
      <c r="C832" s="2">
        <v>92000193</v>
      </c>
      <c r="D832" s="2" t="s">
        <v>1126</v>
      </c>
      <c r="E832" s="2" t="s">
        <v>2854</v>
      </c>
      <c r="F832" s="2" t="s">
        <v>702</v>
      </c>
      <c r="G832" s="2" t="s">
        <v>1530</v>
      </c>
      <c r="H832" s="2" t="s">
        <v>1458</v>
      </c>
      <c r="I832" s="3" t="str">
        <f t="shared" si="0"/>
        <v>https://dto.kemkes.go.id/kfacode/93000191</v>
      </c>
      <c r="J832" s="34" t="s">
        <v>3768</v>
      </c>
      <c r="K832" t="str">
        <f t="shared" si="13"/>
        <v>insert into mkatalog_kfa93 (kode, uraian, kode_92, uraian_92, nama_dagang, satuan_kecil, sediaan, golongan, url, userid_updt, sysdate_updt) values ('93000191','Maltose 10% Infus (INFUMAL)','92000193','Maltose 10% Infus','INFUMAL','Botol Plastik','Infus','Obat Keras','https://dto.kemkes.go.id/kfacode/93000191',0,'2023-05-01');</v>
      </c>
    </row>
    <row r="833" spans="1:11" ht="15.75" customHeight="1">
      <c r="A833" s="2">
        <v>93000854</v>
      </c>
      <c r="B833" s="2" t="s">
        <v>2855</v>
      </c>
      <c r="C833" s="2">
        <v>92000193</v>
      </c>
      <c r="D833" s="2" t="s">
        <v>1126</v>
      </c>
      <c r="E833" s="2" t="s">
        <v>2856</v>
      </c>
      <c r="F833" s="2" t="s">
        <v>702</v>
      </c>
      <c r="G833" s="2" t="s">
        <v>1530</v>
      </c>
      <c r="H833" s="2" t="s">
        <v>1458</v>
      </c>
      <c r="I833" s="3" t="str">
        <f t="shared" si="0"/>
        <v>https://dto.kemkes.go.id/kfacode/93000854</v>
      </c>
      <c r="J833" s="34" t="s">
        <v>3768</v>
      </c>
      <c r="K833" t="str">
        <f t="shared" si="13"/>
        <v>insert into mkatalog_kfa93 (kode, uraian, kode_92, uraian_92, nama_dagang, satuan_kecil, sediaan, golongan, url, userid_updt, sysdate_updt) values ('93000854','Maltose 10% Infus (MARTOS-10, 500 mL)','92000193','Maltose 10% Infus','MARTOS-10','Botol Plastik','Infus','Obat Keras','https://dto.kemkes.go.id/kfacode/93000854',0,'2023-05-01');</v>
      </c>
    </row>
    <row r="834" spans="1:11" ht="15.75" customHeight="1">
      <c r="A834" s="2">
        <v>93001379</v>
      </c>
      <c r="B834" s="2" t="s">
        <v>2857</v>
      </c>
      <c r="C834" s="2">
        <v>92000214</v>
      </c>
      <c r="D834" s="2" t="s">
        <v>1127</v>
      </c>
      <c r="E834" s="2" t="s">
        <v>2858</v>
      </c>
      <c r="F834" s="2" t="s">
        <v>702</v>
      </c>
      <c r="G834" s="2" t="s">
        <v>1530</v>
      </c>
      <c r="H834" s="2" t="s">
        <v>1458</v>
      </c>
      <c r="I834" s="3" t="str">
        <f t="shared" si="0"/>
        <v>https://dto.kemkes.go.id/kfacode/93001379</v>
      </c>
      <c r="J834" s="34" t="s">
        <v>3768</v>
      </c>
      <c r="K834" t="str">
        <f t="shared" si="13"/>
        <v>insert into mkatalog_kfa93 (kode, uraian, kode_92, uraian_92, nama_dagang, satuan_kecil, sediaan, golongan, url, userid_updt, sysdate_updt) values ('93001379','Mannitol 20% Infus (FINUSOLPRIMA FARMA INTERNASIONAL)','92000214','Mannitol 20% Infus','MANNITOL','Botol Plastik','Infus','Obat Keras','https://dto.kemkes.go.id/kfacode/93001379',0,'2023-05-01');</v>
      </c>
    </row>
    <row r="835" spans="1:11" ht="15.75" customHeight="1">
      <c r="A835" s="2">
        <v>93001297</v>
      </c>
      <c r="B835" s="2" t="s">
        <v>2859</v>
      </c>
      <c r="C835" s="2">
        <v>92000214</v>
      </c>
      <c r="D835" s="2" t="s">
        <v>1127</v>
      </c>
      <c r="F835" s="2" t="s">
        <v>702</v>
      </c>
      <c r="G835" s="2" t="s">
        <v>1530</v>
      </c>
      <c r="H835" s="2" t="s">
        <v>1458</v>
      </c>
      <c r="I835" s="3" t="str">
        <f t="shared" si="0"/>
        <v>https://dto.kemkes.go.id/kfacode/93001297</v>
      </c>
      <c r="J835" s="34" t="s">
        <v>3768</v>
      </c>
      <c r="K835" t="str">
        <f t="shared" ref="K835:K898" si="14">CONCATENATE(J835,"('",A835,"','",B835,"','",C835,"','",D835,"','",E835,"','",F835,"','",G835,"','",H835,"','",I835,"',0,'2023-05-01');")</f>
        <v>insert into mkatalog_kfa93 (kode, uraian, kode_92, uraian_92, nama_dagang, satuan_kecil, sediaan, golongan, url, userid_updt, sysdate_updt) values ('93001297','Mannitol 20% Infus (MERSIFARMA TIRMAKU MERCUSANA, 250 mL)','92000214','Mannitol 20% Infus','','Botol Plastik','Infus','Obat Keras','https://dto.kemkes.go.id/kfacode/93001297',0,'2023-05-01');</v>
      </c>
    </row>
    <row r="836" spans="1:11" ht="15.75" customHeight="1">
      <c r="A836" s="2">
        <v>93000277</v>
      </c>
      <c r="B836" s="2" t="s">
        <v>2860</v>
      </c>
      <c r="C836" s="2">
        <v>92000214</v>
      </c>
      <c r="D836" s="2" t="s">
        <v>1127</v>
      </c>
      <c r="E836" s="2" t="s">
        <v>2858</v>
      </c>
      <c r="F836" s="2" t="s">
        <v>702</v>
      </c>
      <c r="G836" s="2" t="s">
        <v>1530</v>
      </c>
      <c r="H836" s="2" t="s">
        <v>1458</v>
      </c>
      <c r="I836" s="3" t="str">
        <f t="shared" si="0"/>
        <v>https://dto.kemkes.go.id/kfacode/93000277</v>
      </c>
      <c r="J836" s="34" t="s">
        <v>3768</v>
      </c>
      <c r="K836" t="str">
        <f t="shared" si="14"/>
        <v>insert into mkatalog_kfa93 (kode, uraian, kode_92, uraian_92, nama_dagang, satuan_kecil, sediaan, golongan, url, userid_updt, sysdate_updt) values ('93000277','Mannitol 20% Infus (MERSIFARMA TIRMAKU MERCUSANA, 500 mL)','92000214','Mannitol 20% Infus','MANNITOL','Botol Plastik','Infus','Obat Keras','https://dto.kemkes.go.id/kfacode/93000277',0,'2023-05-01');</v>
      </c>
    </row>
    <row r="837" spans="1:11" ht="15.75" customHeight="1">
      <c r="A837" s="2">
        <v>93001200</v>
      </c>
      <c r="B837" s="2" t="s">
        <v>2861</v>
      </c>
      <c r="C837" s="2">
        <v>92000214</v>
      </c>
      <c r="D837" s="2" t="s">
        <v>1127</v>
      </c>
      <c r="E837" s="2" t="s">
        <v>2862</v>
      </c>
      <c r="F837" s="2" t="s">
        <v>702</v>
      </c>
      <c r="G837" s="2" t="s">
        <v>1530</v>
      </c>
      <c r="H837" s="2" t="s">
        <v>1458</v>
      </c>
      <c r="I837" s="3" t="str">
        <f t="shared" si="0"/>
        <v>https://dto.kemkes.go.id/kfacode/93001200</v>
      </c>
      <c r="J837" s="34" t="s">
        <v>3768</v>
      </c>
      <c r="K837" t="str">
        <f t="shared" si="14"/>
        <v>insert into mkatalog_kfa93 (kode, uraian, kode_92, uraian_92, nama_dagang, satuan_kecil, sediaan, golongan, url, userid_updt, sysdate_updt) values ('93001200','Mannitol 20% Infus (OTSU - MANITOL 20, 250 mL)','92000214','Mannitol 20% Infus','OTSU - MANITOL 20','Botol Plastik','Infus','Obat Keras','https://dto.kemkes.go.id/kfacode/93001200',0,'2023-05-01');</v>
      </c>
    </row>
    <row r="838" spans="1:11" ht="15.75" customHeight="1">
      <c r="A838" s="2">
        <v>93000565</v>
      </c>
      <c r="B838" s="2" t="s">
        <v>2863</v>
      </c>
      <c r="C838" s="2">
        <v>92000370</v>
      </c>
      <c r="D838" s="2" t="s">
        <v>1128</v>
      </c>
      <c r="E838" s="2" t="s">
        <v>2864</v>
      </c>
      <c r="F838" s="2" t="s">
        <v>640</v>
      </c>
      <c r="G838" s="2" t="s">
        <v>640</v>
      </c>
      <c r="H838" s="2" t="s">
        <v>1458</v>
      </c>
      <c r="I838" s="3" t="str">
        <f t="shared" si="0"/>
        <v>https://dto.kemkes.go.id/kfacode/93000565</v>
      </c>
      <c r="J838" s="34" t="s">
        <v>3768</v>
      </c>
      <c r="K838" t="str">
        <f t="shared" si="14"/>
        <v>insert into mkatalog_kfa93 (kode, uraian, kode_92, uraian_92, nama_dagang, satuan_kecil, sediaan, golongan, url, userid_updt, sysdate_updt) values ('93000565','Maprotiline Hydrochloride 50 mg Tablet Salut Selaput (MERSIFARMA TIRMAKU MERCUSANA)','92000370','Maprotiline Hydrochloride 50 mg Tablet Salut Selaput','MAPROTILINE HCL','Tablet','Tablet','Obat Keras','https://dto.kemkes.go.id/kfacode/93000565',0,'2023-05-01');</v>
      </c>
    </row>
    <row r="839" spans="1:11" ht="15.75" customHeight="1">
      <c r="A839" s="2">
        <v>93000566</v>
      </c>
      <c r="B839" s="2" t="s">
        <v>2865</v>
      </c>
      <c r="C839" s="2">
        <v>92000370</v>
      </c>
      <c r="D839" s="2" t="s">
        <v>1128</v>
      </c>
      <c r="E839" s="2" t="s">
        <v>2866</v>
      </c>
      <c r="F839" s="2" t="s">
        <v>640</v>
      </c>
      <c r="G839" s="2" t="s">
        <v>640</v>
      </c>
      <c r="H839" s="2" t="s">
        <v>1458</v>
      </c>
      <c r="I839" s="3" t="str">
        <f t="shared" si="0"/>
        <v>https://dto.kemkes.go.id/kfacode/93000566</v>
      </c>
      <c r="J839" s="34" t="s">
        <v>3768</v>
      </c>
      <c r="K839" t="str">
        <f t="shared" si="14"/>
        <v>insert into mkatalog_kfa93 (kode, uraian, kode_92, uraian_92, nama_dagang, satuan_kecil, sediaan, golongan, url, userid_updt, sysdate_updt) values ('93000566','Maprotiline Hydrochloride 50 mg Tablet Salut Selaput (SANDEPRIL)','92000370','Maprotiline Hydrochloride 50 mg Tablet Salut Selaput','SANDEPRIL','Tablet','Tablet','Obat Keras','https://dto.kemkes.go.id/kfacode/93000566',0,'2023-05-01');</v>
      </c>
    </row>
    <row r="840" spans="1:11" ht="15.75" customHeight="1">
      <c r="A840" s="2">
        <v>93000401</v>
      </c>
      <c r="B840" s="2" t="s">
        <v>2867</v>
      </c>
      <c r="C840" s="2">
        <v>92000289</v>
      </c>
      <c r="D840" s="2" t="s">
        <v>1129</v>
      </c>
      <c r="E840" s="2" t="s">
        <v>2868</v>
      </c>
      <c r="F840" s="2" t="s">
        <v>640</v>
      </c>
      <c r="G840" s="2" t="s">
        <v>640</v>
      </c>
      <c r="H840" s="2" t="s">
        <v>1458</v>
      </c>
      <c r="I840" s="3" t="str">
        <f t="shared" si="0"/>
        <v>https://dto.kemkes.go.id/kfacode/93000401</v>
      </c>
      <c r="J840" s="34" t="s">
        <v>3768</v>
      </c>
      <c r="K840" t="str">
        <f t="shared" si="14"/>
        <v>insert into mkatalog_kfa93 (kode, uraian, kode_92, uraian_92, nama_dagang, satuan_kecil, sediaan, golongan, url, userid_updt, sysdate_updt) values ('93000401','Medroxyprogesterone Acetate 10 mg Tablet (PROTHYRA)','92000289','Medroxyprogesterone Acetate 10 mg Tablet','PROTHYRA','Tablet','Tablet','Obat Keras','https://dto.kemkes.go.id/kfacode/93000401',0,'2023-05-01');</v>
      </c>
    </row>
    <row r="841" spans="1:11" ht="15.75" customHeight="1">
      <c r="A841" s="2">
        <v>93000930</v>
      </c>
      <c r="B841" s="2" t="s">
        <v>2869</v>
      </c>
      <c r="C841" s="2">
        <v>92000649</v>
      </c>
      <c r="D841" s="2" t="s">
        <v>1130</v>
      </c>
      <c r="E841" s="2" t="s">
        <v>2870</v>
      </c>
      <c r="F841" s="2" t="s">
        <v>640</v>
      </c>
      <c r="G841" s="2" t="s">
        <v>640</v>
      </c>
      <c r="H841" s="2" t="s">
        <v>1458</v>
      </c>
      <c r="I841" s="3" t="str">
        <f t="shared" si="0"/>
        <v>https://dto.kemkes.go.id/kfacode/93000930</v>
      </c>
      <c r="J841" s="34" t="s">
        <v>3768</v>
      </c>
      <c r="K841" t="str">
        <f t="shared" si="14"/>
        <v>insert into mkatalog_kfa93 (kode, uraian, kode_92, uraian_92, nama_dagang, satuan_kecil, sediaan, golongan, url, userid_updt, sysdate_updt) values ('93000930','Medroxyprogesterone Acetate 100 mg Tablet (PROVERA)','92000649','Medroxyprogesterone Acetate 100 mg Tablet','PROVERA','Tablet','Tablet','Obat Keras','https://dto.kemkes.go.id/kfacode/93000930',0,'2023-05-01');</v>
      </c>
    </row>
    <row r="842" spans="1:11" ht="15.75" customHeight="1">
      <c r="A842" s="2">
        <v>93000865</v>
      </c>
      <c r="B842" s="2" t="s">
        <v>2871</v>
      </c>
      <c r="C842" s="2">
        <v>92000568</v>
      </c>
      <c r="D842" s="2" t="s">
        <v>1131</v>
      </c>
      <c r="E842" s="2" t="s">
        <v>2872</v>
      </c>
      <c r="F842" s="2" t="s">
        <v>660</v>
      </c>
      <c r="G842" s="2" t="s">
        <v>660</v>
      </c>
      <c r="H842" s="2" t="s">
        <v>1458</v>
      </c>
      <c r="I842" s="3" t="str">
        <f t="shared" si="0"/>
        <v>https://dto.kemkes.go.id/kfacode/93000865</v>
      </c>
      <c r="J842" s="34" t="s">
        <v>3768</v>
      </c>
      <c r="K842" t="str">
        <f t="shared" si="14"/>
        <v>insert into mkatalog_kfa93 (kode, uraian, kode_92, uraian_92, nama_dagang, satuan_kecil, sediaan, golongan, url, userid_updt, sysdate_updt) values ('93000865','Mefenamic Acid 500 mg Kaplet (HEXPHARM JAYA LABORATORIES)','92000568','Mefenamic Acid 500 mg Kaplet','MEFENAMIC ACID','Kaplet','Kaplet','Obat Keras','https://dto.kemkes.go.id/kfacode/93000865',0,'2023-05-01');</v>
      </c>
    </row>
    <row r="843" spans="1:11" ht="15.75" customHeight="1">
      <c r="A843" s="2">
        <v>93000821</v>
      </c>
      <c r="B843" s="2" t="s">
        <v>2873</v>
      </c>
      <c r="C843" s="2">
        <v>92000537</v>
      </c>
      <c r="D843" s="2" t="s">
        <v>1132</v>
      </c>
      <c r="E843" s="2" t="s">
        <v>2874</v>
      </c>
      <c r="F843" s="2" t="s">
        <v>640</v>
      </c>
      <c r="G843" s="2" t="s">
        <v>1457</v>
      </c>
      <c r="H843" s="2" t="s">
        <v>1458</v>
      </c>
      <c r="I843" s="3" t="str">
        <f t="shared" si="0"/>
        <v>https://dto.kemkes.go.id/kfacode/93000821</v>
      </c>
      <c r="J843" s="34" t="s">
        <v>3768</v>
      </c>
      <c r="K843" t="str">
        <f t="shared" si="14"/>
        <v>insert into mkatalog_kfa93 (kode, uraian, kode_92, uraian_92, nama_dagang, satuan_kecil, sediaan, golongan, url, userid_updt, sysdate_updt) values ('93000821','Melphalan 2 mg Tablet Salut Selaput (ALKERAN)','92000537','Melphalan 2 mg Tablet Salut Selaput','ALKERAN','Tablet','Tablet Salut Selaput','Obat Keras','https://dto.kemkes.go.id/kfacode/93000821',0,'2023-05-01');</v>
      </c>
    </row>
    <row r="844" spans="1:11" ht="15.75" customHeight="1">
      <c r="A844" s="2">
        <v>93001298</v>
      </c>
      <c r="B844" s="2" t="s">
        <v>2875</v>
      </c>
      <c r="C844" s="2">
        <v>92000237</v>
      </c>
      <c r="D844" s="2" t="s">
        <v>1133</v>
      </c>
      <c r="E844" s="2" t="s">
        <v>2876</v>
      </c>
      <c r="F844" s="2" t="s">
        <v>653</v>
      </c>
      <c r="G844" s="2" t="s">
        <v>1500</v>
      </c>
      <c r="H844" s="2" t="s">
        <v>1458</v>
      </c>
      <c r="I844" s="3" t="str">
        <f t="shared" si="0"/>
        <v>https://dto.kemkes.go.id/kfacode/93001298</v>
      </c>
      <c r="J844" s="34" t="s">
        <v>3768</v>
      </c>
      <c r="K844" t="str">
        <f t="shared" si="14"/>
        <v>insert into mkatalog_kfa93 (kode, uraian, kode_92, uraian_92, nama_dagang, satuan_kecil, sediaan, golongan, url, userid_updt, sysdate_updt) values ('93001298','Meropenem 1 g Serbuk Injeksi (BERNOFARM)','92000237','Meropenem 1 g Serbuk Injeksi','MEROPENEM TRIHYDRATE','Vial','Serbuk Injeksi','Obat Keras','https://dto.kemkes.go.id/kfacode/93001298',0,'2023-05-01');</v>
      </c>
    </row>
    <row r="845" spans="1:11" ht="15.75" customHeight="1">
      <c r="A845" s="2">
        <v>93000398</v>
      </c>
      <c r="B845" s="2" t="s">
        <v>2877</v>
      </c>
      <c r="C845" s="2">
        <v>92000237</v>
      </c>
      <c r="D845" s="2" t="s">
        <v>1133</v>
      </c>
      <c r="E845" s="2" t="s">
        <v>2878</v>
      </c>
      <c r="F845" s="2" t="s">
        <v>653</v>
      </c>
      <c r="G845" s="2" t="s">
        <v>1500</v>
      </c>
      <c r="H845" s="2" t="s">
        <v>1458</v>
      </c>
      <c r="I845" s="3" t="str">
        <f t="shared" si="0"/>
        <v>https://dto.kemkes.go.id/kfacode/93000398</v>
      </c>
      <c r="J845" s="34" t="s">
        <v>3768</v>
      </c>
      <c r="K845" t="str">
        <f t="shared" si="14"/>
        <v>insert into mkatalog_kfa93 (kode, uraian, kode_92, uraian_92, nama_dagang, satuan_kecil, sediaan, golongan, url, userid_updt, sysdate_updt) values ('93000398','Meropenem 1 g Serbuk Injeksi (DEXA MEDICA)','92000237','Meropenem 1 g Serbuk Injeksi','MEROPENEM','Vial','Serbuk Injeksi','Obat Keras','https://dto.kemkes.go.id/kfacode/93000398',0,'2023-05-01');</v>
      </c>
    </row>
    <row r="846" spans="1:11" ht="15.75" customHeight="1">
      <c r="A846" s="2">
        <v>93001302</v>
      </c>
      <c r="B846" s="2" t="s">
        <v>2879</v>
      </c>
      <c r="C846" s="2">
        <v>92000237</v>
      </c>
      <c r="D846" s="2" t="s">
        <v>1133</v>
      </c>
      <c r="E846" s="2" t="s">
        <v>2876</v>
      </c>
      <c r="F846" s="2" t="s">
        <v>653</v>
      </c>
      <c r="G846" s="2" t="s">
        <v>1500</v>
      </c>
      <c r="H846" s="2" t="s">
        <v>1458</v>
      </c>
      <c r="I846" s="3" t="str">
        <f t="shared" si="0"/>
        <v>https://dto.kemkes.go.id/kfacode/93001302</v>
      </c>
      <c r="J846" s="34" t="s">
        <v>3768</v>
      </c>
      <c r="K846" t="str">
        <f t="shared" si="14"/>
        <v>insert into mkatalog_kfa93 (kode, uraian, kode_92, uraian_92, nama_dagang, satuan_kecil, sediaan, golongan, url, userid_updt, sysdate_updt) values ('93001302','Meropenem 1 g Serbuk Injeksi (NOVELL PHARMACEUTICAL LABORATORIES)','92000237','Meropenem 1 g Serbuk Injeksi','MEROPENEM TRIHYDRATE','Vial','Serbuk Injeksi','Obat Keras','https://dto.kemkes.go.id/kfacode/93001302',0,'2023-05-01');</v>
      </c>
    </row>
    <row r="847" spans="1:11" ht="15.75" customHeight="1">
      <c r="A847" s="2">
        <v>93001233</v>
      </c>
      <c r="B847" s="2" t="s">
        <v>2880</v>
      </c>
      <c r="C847" s="2">
        <v>92000707</v>
      </c>
      <c r="D847" s="2" t="s">
        <v>1134</v>
      </c>
      <c r="E847" s="2" t="s">
        <v>2878</v>
      </c>
      <c r="F847" s="2" t="s">
        <v>653</v>
      </c>
      <c r="G847" s="2" t="s">
        <v>1500</v>
      </c>
      <c r="H847" s="2" t="s">
        <v>1458</v>
      </c>
      <c r="I847" s="3" t="str">
        <f t="shared" si="0"/>
        <v>https://dto.kemkes.go.id/kfacode/93001233</v>
      </c>
      <c r="J847" s="34" t="s">
        <v>3768</v>
      </c>
      <c r="K847" t="str">
        <f t="shared" si="14"/>
        <v>insert into mkatalog_kfa93 (kode, uraian, kode_92, uraian_92, nama_dagang, satuan_kecil, sediaan, golongan, url, userid_updt, sysdate_updt) values ('93001233','Meropenem 500 mg Serbuk Injeksi (DEXA MEDICA)','92000707','Meropenem 500 mg Serbuk Injeksi','MEROPENEM','Vial','Serbuk Injeksi','Obat Keras','https://dto.kemkes.go.id/kfacode/93001233',0,'2023-05-01');</v>
      </c>
    </row>
    <row r="848" spans="1:11" ht="15.75" customHeight="1">
      <c r="A848" s="2">
        <v>93000307</v>
      </c>
      <c r="B848" s="2" t="s">
        <v>2881</v>
      </c>
      <c r="C848" s="2">
        <v>92000205</v>
      </c>
      <c r="D848" s="2" t="s">
        <v>1135</v>
      </c>
      <c r="E848" s="2" t="s">
        <v>2882</v>
      </c>
      <c r="F848" s="2" t="s">
        <v>645</v>
      </c>
      <c r="G848" s="2" t="s">
        <v>1506</v>
      </c>
      <c r="H848" s="2" t="s">
        <v>1458</v>
      </c>
      <c r="I848" s="3" t="str">
        <f t="shared" si="0"/>
        <v>https://dto.kemkes.go.id/kfacode/93000307</v>
      </c>
      <c r="J848" s="34" t="s">
        <v>3768</v>
      </c>
      <c r="K848" t="str">
        <f t="shared" si="14"/>
        <v>insert into mkatalog_kfa93 (kode, uraian, kode_92, uraian_92, nama_dagang, satuan_kecil, sediaan, golongan, url, userid_updt, sysdate_updt) values ('93000307','Mesna 100 mg / mL Injeksi (UROMITEXAN)','92000205','Mesna 100 mg / mL Injeksi','UROMITEXAN 400 MG','Ampul','Larutan Injeksi','Obat Keras','https://dto.kemkes.go.id/kfacode/93000307',0,'2023-05-01');</v>
      </c>
    </row>
    <row r="849" spans="1:11" ht="15.75" customHeight="1">
      <c r="A849" s="2">
        <v>93000589</v>
      </c>
      <c r="B849" s="2" t="s">
        <v>2883</v>
      </c>
      <c r="C849" s="2">
        <v>92000470</v>
      </c>
      <c r="D849" s="2" t="s">
        <v>1136</v>
      </c>
      <c r="E849" s="2" t="s">
        <v>2884</v>
      </c>
      <c r="F849" s="2" t="s">
        <v>645</v>
      </c>
      <c r="G849" s="2" t="s">
        <v>1506</v>
      </c>
      <c r="H849" s="2" t="s">
        <v>1458</v>
      </c>
      <c r="I849" s="3" t="str">
        <f t="shared" si="0"/>
        <v>https://dto.kemkes.go.id/kfacode/93000589</v>
      </c>
      <c r="J849" s="34" t="s">
        <v>3768</v>
      </c>
      <c r="K849" t="str">
        <f t="shared" si="14"/>
        <v>insert into mkatalog_kfa93 (kode, uraian, kode_92, uraian_92, nama_dagang, satuan_kecil, sediaan, golongan, url, userid_updt, sysdate_updt) values ('93000589','Metamizole 500 mg Injeksi (ANTRAIN)','92000470','Metamizole 500 mg Injeksi','ANTRAIN','Ampul','Larutan Injeksi','Obat Keras','https://dto.kemkes.go.id/kfacode/93000589',0,'2023-05-01');</v>
      </c>
    </row>
    <row r="850" spans="1:11" ht="15.75" customHeight="1">
      <c r="A850" s="2">
        <v>93000599</v>
      </c>
      <c r="B850" s="2" t="s">
        <v>2885</v>
      </c>
      <c r="C850" s="2">
        <v>92000470</v>
      </c>
      <c r="D850" s="2" t="s">
        <v>1136</v>
      </c>
      <c r="E850" s="2" t="s">
        <v>2886</v>
      </c>
      <c r="F850" s="2" t="s">
        <v>645</v>
      </c>
      <c r="G850" s="2" t="s">
        <v>1506</v>
      </c>
      <c r="H850" s="2" t="s">
        <v>1458</v>
      </c>
      <c r="I850" s="3" t="str">
        <f t="shared" si="0"/>
        <v>https://dto.kemkes.go.id/kfacode/93000599</v>
      </c>
      <c r="J850" s="34" t="s">
        <v>3768</v>
      </c>
      <c r="K850" t="str">
        <f t="shared" si="14"/>
        <v>insert into mkatalog_kfa93 (kode, uraian, kode_92, uraian_92, nama_dagang, satuan_kecil, sediaan, golongan, url, userid_updt, sysdate_updt) values ('93000599','Metamizole 500 mg Injeksi (MEPROFARM - Indonesia - -)','92000470','Metamizole 500 mg Injeksi','METAMIZOLE  SODIUM  MONOHYDRATE','Ampul','Larutan Injeksi','Obat Keras','https://dto.kemkes.go.id/kfacode/93000599',0,'2023-05-01');</v>
      </c>
    </row>
    <row r="851" spans="1:11" ht="15.75" customHeight="1">
      <c r="A851" s="2">
        <v>93000607</v>
      </c>
      <c r="B851" s="2" t="s">
        <v>2887</v>
      </c>
      <c r="C851" s="2">
        <v>92000470</v>
      </c>
      <c r="D851" s="2" t="s">
        <v>1136</v>
      </c>
      <c r="E851" s="2" t="s">
        <v>2888</v>
      </c>
      <c r="F851" s="2" t="s">
        <v>645</v>
      </c>
      <c r="G851" s="2" t="s">
        <v>1506</v>
      </c>
      <c r="H851" s="2" t="s">
        <v>1458</v>
      </c>
      <c r="I851" s="3" t="str">
        <f t="shared" si="0"/>
        <v>https://dto.kemkes.go.id/kfacode/93000607</v>
      </c>
      <c r="J851" s="34" t="s">
        <v>3768</v>
      </c>
      <c r="K851" t="str">
        <f t="shared" si="14"/>
        <v>insert into mkatalog_kfa93 (kode, uraian, kode_92, uraian_92, nama_dagang, satuan_kecil, sediaan, golongan, url, userid_updt, sysdate_updt) values ('93000607','Metamizole 500 mg Injeksi (METZOL)','92000470','Metamizole 500 mg Injeksi','METZOL','Ampul','Larutan Injeksi','Obat Keras','https://dto.kemkes.go.id/kfacode/93000607',0,'2023-05-01');</v>
      </c>
    </row>
    <row r="852" spans="1:11" ht="15.75" customHeight="1">
      <c r="A852" s="2">
        <v>93000609</v>
      </c>
      <c r="B852" s="2" t="s">
        <v>2889</v>
      </c>
      <c r="C852" s="2">
        <v>92000470</v>
      </c>
      <c r="D852" s="2" t="s">
        <v>1136</v>
      </c>
      <c r="E852" s="2" t="s">
        <v>2890</v>
      </c>
      <c r="F852" s="2" t="s">
        <v>645</v>
      </c>
      <c r="G852" s="2" t="s">
        <v>1506</v>
      </c>
      <c r="H852" s="2" t="s">
        <v>1458</v>
      </c>
      <c r="I852" s="3" t="str">
        <f t="shared" si="0"/>
        <v>https://dto.kemkes.go.id/kfacode/93000609</v>
      </c>
      <c r="J852" s="34" t="s">
        <v>3768</v>
      </c>
      <c r="K852" t="str">
        <f t="shared" si="14"/>
        <v>insert into mkatalog_kfa93 (kode, uraian, kode_92, uraian_92, nama_dagang, satuan_kecil, sediaan, golongan, url, userid_updt, sysdate_updt) values ('93000609','Metamizole 500 mg Injeksi (NORAGES)','92000470','Metamizole 500 mg Injeksi','NORAGES','Ampul','Larutan Injeksi','Obat Keras','https://dto.kemkes.go.id/kfacode/93000609',0,'2023-05-01');</v>
      </c>
    </row>
    <row r="853" spans="1:11" ht="15.75" customHeight="1">
      <c r="A853" s="2">
        <v>93000595</v>
      </c>
      <c r="B853" s="2" t="s">
        <v>2891</v>
      </c>
      <c r="C853" s="2">
        <v>92000470</v>
      </c>
      <c r="D853" s="2" t="s">
        <v>1136</v>
      </c>
      <c r="E853" s="2" t="s">
        <v>2892</v>
      </c>
      <c r="F853" s="2" t="s">
        <v>645</v>
      </c>
      <c r="G853" s="2" t="s">
        <v>1506</v>
      </c>
      <c r="H853" s="2" t="s">
        <v>1458</v>
      </c>
      <c r="I853" s="3" t="str">
        <f t="shared" si="0"/>
        <v>https://dto.kemkes.go.id/kfacode/93000595</v>
      </c>
      <c r="J853" s="34" t="s">
        <v>3768</v>
      </c>
      <c r="K853" t="str">
        <f t="shared" si="14"/>
        <v>insert into mkatalog_kfa93 (kode, uraian, kode_92, uraian_92, nama_dagang, satuan_kecil, sediaan, golongan, url, userid_updt, sysdate_updt) values ('93000595','Metamizole 500 mg Injeksi (PRAGESOL)','92000470','Metamizole 500 mg Injeksi','PRAGESOL','Ampul','Larutan Injeksi','Obat Keras','https://dto.kemkes.go.id/kfacode/93000595',0,'2023-05-01');</v>
      </c>
    </row>
    <row r="854" spans="1:11" ht="15.75" customHeight="1">
      <c r="A854" s="2">
        <v>93000605</v>
      </c>
      <c r="B854" s="2" t="s">
        <v>2893</v>
      </c>
      <c r="C854" s="2">
        <v>92000470</v>
      </c>
      <c r="D854" s="2" t="s">
        <v>1136</v>
      </c>
      <c r="E854" s="2" t="s">
        <v>2894</v>
      </c>
      <c r="F854" s="2" t="s">
        <v>645</v>
      </c>
      <c r="G854" s="2" t="s">
        <v>1506</v>
      </c>
      <c r="H854" s="2" t="s">
        <v>1458</v>
      </c>
      <c r="I854" s="3" t="str">
        <f t="shared" si="0"/>
        <v>https://dto.kemkes.go.id/kfacode/93000605</v>
      </c>
      <c r="J854" s="34" t="s">
        <v>3768</v>
      </c>
      <c r="K854" t="str">
        <f t="shared" si="14"/>
        <v>insert into mkatalog_kfa93 (kode, uraian, kode_92, uraian_92, nama_dagang, satuan_kecil, sediaan, golongan, url, userid_updt, sysdate_updt) values ('93000605','Metamizole 500 mg Injeksi (SANTAGESIK)','92000470','Metamizole 500 mg Injeksi','SANTAGESIK','Ampul','Larutan Injeksi','Obat Keras','https://dto.kemkes.go.id/kfacode/93000605',0,'2023-05-01');</v>
      </c>
    </row>
    <row r="855" spans="1:11" ht="15.75" customHeight="1">
      <c r="A855" s="2">
        <v>93001199</v>
      </c>
      <c r="B855" s="2" t="s">
        <v>2895</v>
      </c>
      <c r="C855" s="2">
        <v>92000209</v>
      </c>
      <c r="D855" s="2" t="s">
        <v>1137</v>
      </c>
      <c r="E855" s="2" t="s">
        <v>2896</v>
      </c>
      <c r="F855" s="2" t="s">
        <v>640</v>
      </c>
      <c r="G855" s="2" t="s">
        <v>640</v>
      </c>
      <c r="H855" s="2" t="s">
        <v>1458</v>
      </c>
      <c r="I855" s="3" t="str">
        <f t="shared" si="0"/>
        <v>https://dto.kemkes.go.id/kfacode/93001199</v>
      </c>
      <c r="J855" s="34" t="s">
        <v>3768</v>
      </c>
      <c r="K855" t="str">
        <f t="shared" si="14"/>
        <v>insert into mkatalog_kfa93 (kode, uraian, kode_92, uraian_92, nama_dagang, satuan_kecil, sediaan, golongan, url, userid_updt, sysdate_updt) values ('93001199','Metformin Hidroklorida 500 mg Tablet (HEXPHARM JAYA LABORATORIES)','92000209','Metformin Hidroklorida 500 mg Tablet','METFORMIN HCL','Tablet','Tablet','Obat Keras','https://dto.kemkes.go.id/kfacode/93001199',0,'2023-05-01');</v>
      </c>
    </row>
    <row r="856" spans="1:11" ht="15.75" customHeight="1">
      <c r="A856" s="2">
        <v>93001303</v>
      </c>
      <c r="B856" s="2" t="s">
        <v>2897</v>
      </c>
      <c r="C856" s="2">
        <v>92000211</v>
      </c>
      <c r="D856" s="2" t="s">
        <v>1138</v>
      </c>
      <c r="E856" s="2" t="s">
        <v>2898</v>
      </c>
      <c r="F856" s="2" t="s">
        <v>660</v>
      </c>
      <c r="G856" s="2" t="s">
        <v>2899</v>
      </c>
      <c r="H856" s="2" t="s">
        <v>1458</v>
      </c>
      <c r="I856" s="3" t="str">
        <f t="shared" si="0"/>
        <v>https://dto.kemkes.go.id/kfacode/93001303</v>
      </c>
      <c r="J856" s="34" t="s">
        <v>3768</v>
      </c>
      <c r="K856" t="str">
        <f t="shared" si="14"/>
        <v>insert into mkatalog_kfa93 (kode, uraian, kode_92, uraian_92, nama_dagang, satuan_kecil, sediaan, golongan, url, userid_updt, sysdate_updt) values ('93001303','Metformin Hidroklorida 500 mg Tablet/Kaplet Pelepasan Lambat (GLUMIN XR)','92000211','Metformin Hidroklorida 500 mg Tablet/Kaplet Pelepasan Lambat','GLUMIN XR 500','Kaplet','Kaplet Pelepasan Lambat','Obat Keras','https://dto.kemkes.go.id/kfacode/93001303',0,'2023-05-01');</v>
      </c>
    </row>
    <row r="857" spans="1:11" ht="15.75" customHeight="1">
      <c r="A857" s="2">
        <v>93000311</v>
      </c>
      <c r="B857" s="2" t="s">
        <v>2900</v>
      </c>
      <c r="C857" s="2">
        <v>92000212</v>
      </c>
      <c r="D857" s="2" t="s">
        <v>1139</v>
      </c>
      <c r="E857" s="2" t="s">
        <v>2901</v>
      </c>
      <c r="F857" s="2" t="s">
        <v>660</v>
      </c>
      <c r="G857" s="2" t="s">
        <v>1619</v>
      </c>
      <c r="H857" s="2" t="s">
        <v>1458</v>
      </c>
      <c r="I857" s="3" t="str">
        <f t="shared" si="0"/>
        <v>https://dto.kemkes.go.id/kfacode/93000311</v>
      </c>
      <c r="J857" s="34" t="s">
        <v>3768</v>
      </c>
      <c r="K857" t="str">
        <f t="shared" si="14"/>
        <v>insert into mkatalog_kfa93 (kode, uraian, kode_92, uraian_92, nama_dagang, satuan_kecil, sediaan, golongan, url, userid_updt, sysdate_updt) values ('93000311','Metformin Hydrochloride 500 mg Tablet/Kaplet Salut Selaput (DIAFAC)','92000212','Metformin Hydrochloride 500 mg Tablet/Kaplet Salut Selaput','DIAFAC','Kaplet','Kaplet Salut Selaput','Obat Keras','https://dto.kemkes.go.id/kfacode/93000311',0,'2023-05-01');</v>
      </c>
    </row>
    <row r="858" spans="1:11" ht="15.75" customHeight="1">
      <c r="A858" s="2">
        <v>93000312</v>
      </c>
      <c r="B858" s="2" t="s">
        <v>2902</v>
      </c>
      <c r="C858" s="2">
        <v>92000212</v>
      </c>
      <c r="D858" s="2" t="s">
        <v>1139</v>
      </c>
      <c r="E858" s="2" t="s">
        <v>2903</v>
      </c>
      <c r="F858" s="2" t="s">
        <v>660</v>
      </c>
      <c r="G858" s="2" t="s">
        <v>1619</v>
      </c>
      <c r="H858" s="2" t="s">
        <v>1458</v>
      </c>
      <c r="I858" s="3" t="str">
        <f t="shared" si="0"/>
        <v>https://dto.kemkes.go.id/kfacode/93000312</v>
      </c>
      <c r="J858" s="34" t="s">
        <v>3768</v>
      </c>
      <c r="K858" t="str">
        <f t="shared" si="14"/>
        <v>insert into mkatalog_kfa93 (kode, uraian, kode_92, uraian_92, nama_dagang, satuan_kecil, sediaan, golongan, url, userid_updt, sysdate_updt) values ('93000312','Metformin Hydrochloride 500 mg Tablet/Kaplet Salut Selaput (GLIFORMIN)','92000212','Metformin Hydrochloride 500 mg Tablet/Kaplet Salut Selaput','GLIFORMIN 500','Kaplet','Kaplet Salut Selaput','Obat Keras','https://dto.kemkes.go.id/kfacode/93000312',0,'2023-05-01');</v>
      </c>
    </row>
    <row r="859" spans="1:11" ht="15.75" customHeight="1">
      <c r="A859" s="2">
        <v>93000313</v>
      </c>
      <c r="B859" s="2" t="s">
        <v>2904</v>
      </c>
      <c r="C859" s="2">
        <v>92000212</v>
      </c>
      <c r="D859" s="2" t="s">
        <v>1139</v>
      </c>
      <c r="E859" s="2" t="s">
        <v>2905</v>
      </c>
      <c r="F859" s="2" t="s">
        <v>660</v>
      </c>
      <c r="G859" s="2" t="s">
        <v>1619</v>
      </c>
      <c r="H859" s="2" t="s">
        <v>1458</v>
      </c>
      <c r="I859" s="3" t="str">
        <f t="shared" si="0"/>
        <v>https://dto.kemkes.go.id/kfacode/93000313</v>
      </c>
      <c r="J859" s="34" t="s">
        <v>3768</v>
      </c>
      <c r="K859" t="str">
        <f t="shared" si="14"/>
        <v>insert into mkatalog_kfa93 (kode, uraian, kode_92, uraian_92, nama_dagang, satuan_kecil, sediaan, golongan, url, userid_updt, sysdate_updt) values ('93000313','Metformin Hydrochloride 500 mg Tablet/Kaplet Salut Selaput (GLIKOS)','92000212','Metformin Hydrochloride 500 mg Tablet/Kaplet Salut Selaput','GLIKOS','Kaplet','Kaplet Salut Selaput','Obat Keras','https://dto.kemkes.go.id/kfacode/93000313',0,'2023-05-01');</v>
      </c>
    </row>
    <row r="860" spans="1:11" ht="15.75" customHeight="1">
      <c r="A860" s="2">
        <v>93001361</v>
      </c>
      <c r="B860" s="2" t="s">
        <v>2906</v>
      </c>
      <c r="C860" s="2">
        <v>92000212</v>
      </c>
      <c r="D860" s="2" t="s">
        <v>1139</v>
      </c>
      <c r="E860" s="2" t="s">
        <v>2896</v>
      </c>
      <c r="F860" s="2" t="s">
        <v>660</v>
      </c>
      <c r="G860" s="2" t="s">
        <v>1619</v>
      </c>
      <c r="H860" s="2" t="s">
        <v>1458</v>
      </c>
      <c r="I860" s="3" t="str">
        <f t="shared" si="0"/>
        <v>https://dto.kemkes.go.id/kfacode/93001361</v>
      </c>
      <c r="J860" s="34" t="s">
        <v>3768</v>
      </c>
      <c r="K860" t="str">
        <f t="shared" si="14"/>
        <v>insert into mkatalog_kfa93 (kode, uraian, kode_92, uraian_92, nama_dagang, satuan_kecil, sediaan, golongan, url, userid_updt, sysdate_updt) values ('93001361','Metformin Hydrochloride 500 mg Tablet/Kaplet Salut Selaput (TEMPO SCAN PACIFIC Tbk)','92000212','Metformin Hydrochloride 500 mg Tablet/Kaplet Salut Selaput','METFORMIN HCL','Kaplet','Kaplet Salut Selaput','Obat Keras','https://dto.kemkes.go.id/kfacode/93001361',0,'2023-05-01');</v>
      </c>
    </row>
    <row r="861" spans="1:11" ht="15.75" customHeight="1">
      <c r="A861" s="2">
        <v>93000470</v>
      </c>
      <c r="B861" s="2" t="s">
        <v>2907</v>
      </c>
      <c r="C861" s="2">
        <v>92000395</v>
      </c>
      <c r="D861" s="2" t="s">
        <v>1140</v>
      </c>
      <c r="E861" s="2" t="s">
        <v>2896</v>
      </c>
      <c r="F861" s="2" t="s">
        <v>660</v>
      </c>
      <c r="G861" s="2" t="s">
        <v>1619</v>
      </c>
      <c r="H861" s="2" t="s">
        <v>1458</v>
      </c>
      <c r="I861" s="3" t="str">
        <f t="shared" si="0"/>
        <v>https://dto.kemkes.go.id/kfacode/93000470</v>
      </c>
      <c r="J861" s="34" t="s">
        <v>3768</v>
      </c>
      <c r="K861" t="str">
        <f t="shared" si="14"/>
        <v>insert into mkatalog_kfa93 (kode, uraian, kode_92, uraian_92, nama_dagang, satuan_kecil, sediaan, golongan, url, userid_updt, sysdate_updt) values ('93000470','Metformin Hydrochloride 850 mg Kaplet Salut Selaput (TEMPO SCAN PACIFIC)','92000395','Metformin Hydrochloride 850 mg Kaplet Salut Selaput','METFORMIN HCL','Kaplet','Kaplet Salut Selaput','Obat Keras','https://dto.kemkes.go.id/kfacode/93000470',0,'2023-05-01');</v>
      </c>
    </row>
    <row r="862" spans="1:11" ht="15.75" customHeight="1">
      <c r="A862" s="2">
        <v>93000432</v>
      </c>
      <c r="B862" s="2" t="s">
        <v>2908</v>
      </c>
      <c r="C862" s="2">
        <v>92000317</v>
      </c>
      <c r="D862" s="2" t="s">
        <v>1141</v>
      </c>
      <c r="E862" s="2" t="s">
        <v>2909</v>
      </c>
      <c r="F862" s="2" t="s">
        <v>658</v>
      </c>
      <c r="G862" s="2" t="s">
        <v>1832</v>
      </c>
      <c r="H862" s="2" t="s">
        <v>1973</v>
      </c>
      <c r="I862" s="3" t="str">
        <f t="shared" si="0"/>
        <v>https://dto.kemkes.go.id/kfacode/93000432</v>
      </c>
      <c r="J862" s="34" t="s">
        <v>3768</v>
      </c>
      <c r="K862" t="str">
        <f t="shared" si="14"/>
        <v>insert into mkatalog_kfa93 (kode, uraian, kode_92, uraian_92, nama_dagang, satuan_kecil, sediaan, golongan, url, userid_updt, sysdate_updt) values ('93000432','Methadone Hydrochloride 50 mg/5 mL Sirup (KIMIA FARMA Tbk)','92000317','Methadone Hydrochloride 50 mg/5 mL Sirup','METHADONE','Botol','Sirup','Obat Narkotik','https://dto.kemkes.go.id/kfacode/93000432',0,'2023-05-01');</v>
      </c>
    </row>
    <row r="863" spans="1:11" ht="15.75" customHeight="1">
      <c r="A863" s="2">
        <v>93000945</v>
      </c>
      <c r="B863" s="2" t="s">
        <v>2910</v>
      </c>
      <c r="C863" s="2">
        <v>92000308</v>
      </c>
      <c r="D863" s="2" t="s">
        <v>1142</v>
      </c>
      <c r="E863" s="2" t="s">
        <v>2911</v>
      </c>
      <c r="F863" s="2" t="s">
        <v>640</v>
      </c>
      <c r="G863" s="2" t="s">
        <v>640</v>
      </c>
      <c r="H863" s="2" t="s">
        <v>1458</v>
      </c>
      <c r="I863" s="3" t="str">
        <f t="shared" si="0"/>
        <v>https://dto.kemkes.go.id/kfacode/93000945</v>
      </c>
      <c r="J863" s="34" t="s">
        <v>3768</v>
      </c>
      <c r="K863" t="str">
        <f t="shared" si="14"/>
        <v>insert into mkatalog_kfa93 (kode, uraian, kode_92, uraian_92, nama_dagang, satuan_kecil, sediaan, golongan, url, userid_updt, sysdate_updt) values ('93000945','Methotrexate 2,5 mg Tablet (FERXATE)','92000308','Methotrexate 2,5 mg Tablet','FERXATE','Tablet','Tablet','Obat Keras','https://dto.kemkes.go.id/kfacode/93000945',0,'2023-05-01');</v>
      </c>
    </row>
    <row r="864" spans="1:11" ht="15.75" customHeight="1">
      <c r="A864" s="2">
        <v>93000422</v>
      </c>
      <c r="B864" s="2" t="s">
        <v>2912</v>
      </c>
      <c r="C864" s="2">
        <v>92000308</v>
      </c>
      <c r="D864" s="2" t="s">
        <v>1142</v>
      </c>
      <c r="E864" s="2" t="s">
        <v>2913</v>
      </c>
      <c r="F864" s="2" t="s">
        <v>640</v>
      </c>
      <c r="G864" s="2" t="s">
        <v>640</v>
      </c>
      <c r="H864" s="2" t="s">
        <v>1458</v>
      </c>
      <c r="I864" s="3" t="str">
        <f t="shared" si="0"/>
        <v>https://dto.kemkes.go.id/kfacode/93000422</v>
      </c>
      <c r="J864" s="34" t="s">
        <v>3768</v>
      </c>
      <c r="K864" t="str">
        <f t="shared" si="14"/>
        <v>insert into mkatalog_kfa93 (kode, uraian, kode_92, uraian_92, nama_dagang, satuan_kecil, sediaan, golongan, url, userid_updt, sysdate_updt) values ('93000422','Methotrexate 2,5 mg Tablet (RHEU - TREX)','92000308','Methotrexate 2,5 mg Tablet','RHEU - TREX','Tablet','Tablet','Obat Keras','https://dto.kemkes.go.id/kfacode/93000422',0,'2023-05-01');</v>
      </c>
    </row>
    <row r="865" spans="1:11" ht="15.75" customHeight="1">
      <c r="A865" s="2">
        <v>93000885</v>
      </c>
      <c r="B865" s="2" t="s">
        <v>2914</v>
      </c>
      <c r="C865" s="2">
        <v>92000184</v>
      </c>
      <c r="D865" s="2" t="s">
        <v>1143</v>
      </c>
      <c r="E865" s="2" t="s">
        <v>2915</v>
      </c>
      <c r="F865" s="2" t="s">
        <v>653</v>
      </c>
      <c r="G865" s="2" t="s">
        <v>1506</v>
      </c>
      <c r="H865" s="2" t="s">
        <v>1458</v>
      </c>
      <c r="I865" s="3" t="str">
        <f t="shared" si="0"/>
        <v>https://dto.kemkes.go.id/kfacode/93000885</v>
      </c>
      <c r="J865" s="34" t="s">
        <v>3768</v>
      </c>
      <c r="K865" t="str">
        <f t="shared" si="14"/>
        <v>insert into mkatalog_kfa93 (kode, uraian, kode_92, uraian_92, nama_dagang, satuan_kecil, sediaan, golongan, url, userid_updt, sysdate_updt) values ('93000885','Methotrexate 25 mg / mL Injeksi (CKD OTTO Pharmaceuticals, 2 mL)','92000184','Methotrexate 25 mg / mL Injeksi','METHOTREXATE','Vial','Larutan Injeksi','Obat Keras','https://dto.kemkes.go.id/kfacode/93000885',0,'2023-05-01');</v>
      </c>
    </row>
    <row r="866" spans="1:11" ht="15.75" customHeight="1">
      <c r="A866" s="2">
        <v>93000215</v>
      </c>
      <c r="B866" s="2" t="s">
        <v>2916</v>
      </c>
      <c r="C866" s="2">
        <v>92000184</v>
      </c>
      <c r="D866" s="2" t="s">
        <v>1143</v>
      </c>
      <c r="E866" s="2" t="s">
        <v>2915</v>
      </c>
      <c r="F866" s="2" t="s">
        <v>653</v>
      </c>
      <c r="G866" s="2" t="s">
        <v>1506</v>
      </c>
      <c r="H866" s="2" t="s">
        <v>1458</v>
      </c>
      <c r="I866" s="3" t="str">
        <f t="shared" si="0"/>
        <v>https://dto.kemkes.go.id/kfacode/93000215</v>
      </c>
      <c r="J866" s="34" t="s">
        <v>3768</v>
      </c>
      <c r="K866" t="str">
        <f t="shared" si="14"/>
        <v>insert into mkatalog_kfa93 (kode, uraian, kode_92, uraian_92, nama_dagang, satuan_kecil, sediaan, golongan, url, userid_updt, sysdate_updt) values ('93000215','Methotrexate 25 mg / mL Injeksi (DANKOS FARMA, 2 mL)','92000184','Methotrexate 25 mg / mL Injeksi','METHOTREXATE','Vial','Larutan Injeksi','Obat Keras','https://dto.kemkes.go.id/kfacode/93000215',0,'2023-05-01');</v>
      </c>
    </row>
    <row r="867" spans="1:11" ht="15.75" customHeight="1">
      <c r="A867" s="2">
        <v>93000216</v>
      </c>
      <c r="B867" s="2" t="s">
        <v>2917</v>
      </c>
      <c r="C867" s="2">
        <v>92000184</v>
      </c>
      <c r="D867" s="2" t="s">
        <v>1143</v>
      </c>
      <c r="E867" s="2" t="s">
        <v>2915</v>
      </c>
      <c r="F867" s="2" t="s">
        <v>653</v>
      </c>
      <c r="G867" s="2" t="s">
        <v>1506</v>
      </c>
      <c r="H867" s="2" t="s">
        <v>1458</v>
      </c>
      <c r="I867" s="3" t="str">
        <f t="shared" si="0"/>
        <v>https://dto.kemkes.go.id/kfacode/93000216</v>
      </c>
      <c r="J867" s="34" t="s">
        <v>3768</v>
      </c>
      <c r="K867" t="str">
        <f t="shared" si="14"/>
        <v>insert into mkatalog_kfa93 (kode, uraian, kode_92, uraian_92, nama_dagang, satuan_kecil, sediaan, golongan, url, userid_updt, sysdate_updt) values ('93000216','Methotrexate 25 mg / mL Injeksi (GLOBAL ONKOLAB FARMA, 2 mL)','92000184','Methotrexate 25 mg / mL Injeksi','METHOTREXATE','Vial','Larutan Injeksi','Obat Keras','https://dto.kemkes.go.id/kfacode/93000216',0,'2023-05-01');</v>
      </c>
    </row>
    <row r="868" spans="1:11" ht="15.75" customHeight="1">
      <c r="A868" s="2">
        <v>93000213</v>
      </c>
      <c r="B868" s="2" t="s">
        <v>2918</v>
      </c>
      <c r="C868" s="2">
        <v>92000184</v>
      </c>
      <c r="D868" s="2" t="s">
        <v>1143</v>
      </c>
      <c r="E868" s="2" t="s">
        <v>2919</v>
      </c>
      <c r="F868" s="2" t="s">
        <v>653</v>
      </c>
      <c r="G868" s="2" t="s">
        <v>1506</v>
      </c>
      <c r="H868" s="2" t="s">
        <v>1458</v>
      </c>
      <c r="I868" s="3" t="str">
        <f t="shared" si="0"/>
        <v>https://dto.kemkes.go.id/kfacode/93000213</v>
      </c>
      <c r="J868" s="34" t="s">
        <v>3768</v>
      </c>
      <c r="K868" t="str">
        <f t="shared" si="14"/>
        <v>insert into mkatalog_kfa93 (kode, uraian, kode_92, uraian_92, nama_dagang, satuan_kecil, sediaan, golongan, url, userid_updt, sysdate_updt) values ('93000213','Methotrexate 25 mg / mL Injeksi (KEMOTREXATE, 2 mL)','92000184','Methotrexate 25 mg / mL Injeksi','KEMOTREXATE','Vial','Larutan Injeksi','Obat Keras','https://dto.kemkes.go.id/kfacode/93000213',0,'2023-05-01');</v>
      </c>
    </row>
    <row r="869" spans="1:11" ht="15.75" customHeight="1">
      <c r="A869" s="2">
        <v>93000212</v>
      </c>
      <c r="B869" s="2" t="s">
        <v>2920</v>
      </c>
      <c r="C869" s="2">
        <v>92000184</v>
      </c>
      <c r="D869" s="2" t="s">
        <v>1143</v>
      </c>
      <c r="E869" s="2" t="s">
        <v>2915</v>
      </c>
      <c r="F869" s="2" t="s">
        <v>653</v>
      </c>
      <c r="G869" s="2" t="s">
        <v>1506</v>
      </c>
      <c r="H869" s="2" t="s">
        <v>1458</v>
      </c>
      <c r="I869" s="3" t="str">
        <f t="shared" si="0"/>
        <v>https://dto.kemkes.go.id/kfacode/93000212</v>
      </c>
      <c r="J869" s="34" t="s">
        <v>3768</v>
      </c>
      <c r="K869" t="str">
        <f t="shared" si="14"/>
        <v>insert into mkatalog_kfa93 (kode, uraian, kode_92, uraian_92, nama_dagang, satuan_kecil, sediaan, golongan, url, userid_updt, sysdate_updt) values ('93000212','Methotrexate 25 mg / mL Injeksi (SANBE FARMA, 2 mL)','92000184','Methotrexate 25 mg / mL Injeksi','METHOTREXATE','Vial','Larutan Injeksi','Obat Keras','https://dto.kemkes.go.id/kfacode/93000212',0,'2023-05-01');</v>
      </c>
    </row>
    <row r="870" spans="1:11" ht="15.75" customHeight="1">
      <c r="A870" s="2">
        <v>93000214</v>
      </c>
      <c r="B870" s="2" t="s">
        <v>2921</v>
      </c>
      <c r="C870" s="2">
        <v>92000184</v>
      </c>
      <c r="D870" s="2" t="s">
        <v>1143</v>
      </c>
      <c r="E870" s="2" t="s">
        <v>2922</v>
      </c>
      <c r="F870" s="2" t="s">
        <v>653</v>
      </c>
      <c r="G870" s="2" t="s">
        <v>1506</v>
      </c>
      <c r="H870" s="2" t="s">
        <v>1458</v>
      </c>
      <c r="I870" s="3" t="str">
        <f t="shared" si="0"/>
        <v>https://dto.kemkes.go.id/kfacode/93000214</v>
      </c>
      <c r="J870" s="34" t="s">
        <v>3768</v>
      </c>
      <c r="K870" t="str">
        <f t="shared" si="14"/>
        <v>insert into mkatalog_kfa93 (kode, uraian, kode_92, uraian_92, nama_dagang, satuan_kecil, sediaan, golongan, url, userid_updt, sysdate_updt) values ('93000214','Methotrexate 25 mg / mL Injeksi (SANOTREXAT, 2 mL)','92000184','Methotrexate 25 mg / mL Injeksi','SANOTREXAT','Vial','Larutan Injeksi','Obat Keras','https://dto.kemkes.go.id/kfacode/93000214',0,'2023-05-01');</v>
      </c>
    </row>
    <row r="871" spans="1:11" ht="15.75" customHeight="1">
      <c r="A871" s="2">
        <v>93001650</v>
      </c>
      <c r="B871" s="2" t="s">
        <v>2923</v>
      </c>
      <c r="C871" s="2">
        <v>92000946</v>
      </c>
      <c r="D871" s="2" t="s">
        <v>1144</v>
      </c>
      <c r="E871" s="2" t="s">
        <v>2924</v>
      </c>
      <c r="F871" s="2" t="s">
        <v>899</v>
      </c>
      <c r="G871" s="2" t="s">
        <v>1506</v>
      </c>
      <c r="H871" s="2" t="s">
        <v>1458</v>
      </c>
      <c r="I871" s="3" t="str">
        <f t="shared" si="0"/>
        <v>https://dto.kemkes.go.id/kfacode/93001650</v>
      </c>
      <c r="J871" s="34" t="s">
        <v>3768</v>
      </c>
      <c r="K871" t="str">
        <f t="shared" si="14"/>
        <v>insert into mkatalog_kfa93 (kode, uraian, kode_92, uraian_92, nama_dagang, satuan_kecil, sediaan, golongan, url, userid_updt, sysdate_updt) values ('93001650','Methoxy Polyethylene Glycol-epoetin Beta 50 mcg / 0,3 mL Injeksi (MIRCERA)','92000946','Methoxy Polyethylene Glycol-epoetin Beta 50 mcg / 0,3 mL Injeksi','MIRCERA','Prefilled Syringe','Larutan Injeksi','Obat Keras','https://dto.kemkes.go.id/kfacode/93001650',0,'2023-05-01');</v>
      </c>
    </row>
    <row r="872" spans="1:11" ht="15.75" customHeight="1">
      <c r="A872" s="2">
        <v>93001649</v>
      </c>
      <c r="B872" s="2" t="s">
        <v>2925</v>
      </c>
      <c r="C872" s="2">
        <v>92000945</v>
      </c>
      <c r="D872" s="2" t="s">
        <v>1145</v>
      </c>
      <c r="E872" s="2" t="s">
        <v>2924</v>
      </c>
      <c r="F872" s="2" t="s">
        <v>899</v>
      </c>
      <c r="G872" s="2" t="s">
        <v>1506</v>
      </c>
      <c r="H872" s="2" t="s">
        <v>1458</v>
      </c>
      <c r="I872" s="3" t="str">
        <f t="shared" si="0"/>
        <v>https://dto.kemkes.go.id/kfacode/93001649</v>
      </c>
      <c r="J872" s="34" t="s">
        <v>3768</v>
      </c>
      <c r="K872" t="str">
        <f t="shared" si="14"/>
        <v>insert into mkatalog_kfa93 (kode, uraian, kode_92, uraian_92, nama_dagang, satuan_kecil, sediaan, golongan, url, userid_updt, sysdate_updt) values ('93001649','Methoxy Polyethylene Glycol-epoetin Beta 75 mcg / 0,3 mL Injeksi (MIRCERA)','92000945','Methoxy Polyethylene Glycol-epoetin Beta 75 mcg / 0,3 mL Injeksi','MIRCERA','Prefilled Syringe','Larutan Injeksi','Obat Keras','https://dto.kemkes.go.id/kfacode/93001649',0,'2023-05-01');</v>
      </c>
    </row>
    <row r="873" spans="1:11" ht="15.75" customHeight="1">
      <c r="A873" s="2">
        <v>93001401</v>
      </c>
      <c r="B873" s="2" t="s">
        <v>2926</v>
      </c>
      <c r="C873" s="2">
        <v>92000738</v>
      </c>
      <c r="D873" s="2" t="s">
        <v>1146</v>
      </c>
      <c r="E873" s="2" t="s">
        <v>2927</v>
      </c>
      <c r="F873" s="2" t="s">
        <v>640</v>
      </c>
      <c r="G873" s="2" t="s">
        <v>1457</v>
      </c>
      <c r="H873" s="2" t="s">
        <v>1458</v>
      </c>
      <c r="I873" s="3" t="str">
        <f t="shared" si="0"/>
        <v>https://dto.kemkes.go.id/kfacode/93001401</v>
      </c>
      <c r="J873" s="34" t="s">
        <v>3768</v>
      </c>
      <c r="K873" t="str">
        <f t="shared" si="14"/>
        <v>insert into mkatalog_kfa93 (kode, uraian, kode_92, uraian_92, nama_dagang, satuan_kecil, sediaan, golongan, url, userid_updt, sysdate_updt) values ('93001401','Methyldopa 250 mg Tablet Salut Selaput (DOPAMET)','92000738','Methyldopa 250 mg Tablet Salut Selaput','DOPAMET','Tablet','Tablet Salut Selaput','Obat Keras','https://dto.kemkes.go.id/kfacode/93001401',0,'2023-05-01');</v>
      </c>
    </row>
    <row r="874" spans="1:11" ht="15.75" customHeight="1">
      <c r="A874" s="2">
        <v>93001561</v>
      </c>
      <c r="B874" s="2" t="s">
        <v>2928</v>
      </c>
      <c r="C874" s="2">
        <v>92000846</v>
      </c>
      <c r="D874" s="2" t="s">
        <v>1147</v>
      </c>
      <c r="E874" s="2" t="s">
        <v>2929</v>
      </c>
      <c r="F874" s="2" t="s">
        <v>640</v>
      </c>
      <c r="G874" s="2" t="s">
        <v>1457</v>
      </c>
      <c r="H874" s="2" t="s">
        <v>1458</v>
      </c>
      <c r="I874" s="3" t="str">
        <f t="shared" si="0"/>
        <v>https://dto.kemkes.go.id/kfacode/93001561</v>
      </c>
      <c r="J874" s="34" t="s">
        <v>3768</v>
      </c>
      <c r="K874" t="str">
        <f t="shared" si="14"/>
        <v>insert into mkatalog_kfa93 (kode, uraian, kode_92, uraian_92, nama_dagang, satuan_kecil, sediaan, golongan, url, userid_updt, sysdate_updt) values ('93001561','Methylergometrine 0,125 mg Tablet Salut Selaput (KIMIA FARMA)','92000846','Methylergometrine 0,125 mg Tablet Salut Selaput','METHYLERGOMETRINE','Tablet','Tablet Salut Selaput','Obat Keras','https://dto.kemkes.go.id/kfacode/93001561',0,'2023-05-01');</v>
      </c>
    </row>
    <row r="875" spans="1:11" ht="15.75" customHeight="1">
      <c r="A875" s="2">
        <v>93001115</v>
      </c>
      <c r="B875" s="2" t="s">
        <v>2930</v>
      </c>
      <c r="C875" s="2">
        <v>92000351</v>
      </c>
      <c r="D875" s="2" t="s">
        <v>1148</v>
      </c>
      <c r="E875" s="2" t="s">
        <v>2931</v>
      </c>
      <c r="F875" s="2" t="s">
        <v>645</v>
      </c>
      <c r="G875" s="2" t="s">
        <v>1506</v>
      </c>
      <c r="H875" s="2" t="s">
        <v>1458</v>
      </c>
      <c r="I875" s="3" t="str">
        <f t="shared" si="0"/>
        <v>https://dto.kemkes.go.id/kfacode/93001115</v>
      </c>
      <c r="J875" s="34" t="s">
        <v>3768</v>
      </c>
      <c r="K875" t="str">
        <f t="shared" si="14"/>
        <v>insert into mkatalog_kfa93 (kode, uraian, kode_92, uraian_92, nama_dagang, satuan_kecil, sediaan, golongan, url, userid_updt, sysdate_updt) values ('93001115','Methylergometrine Maleate 0,2 mg / mL Injeksi (FERRON PAR PHARMACEUTICALS)','92000351','Methylergometrine Maleate 0,2 mg / mL Injeksi','METHYLERGOMETRINE MALEATE','Ampul','Larutan Injeksi','Obat Keras','https://dto.kemkes.go.id/kfacode/93001115',0,'2023-05-01');</v>
      </c>
    </row>
    <row r="876" spans="1:11" ht="15.75" customHeight="1">
      <c r="A876" s="2">
        <v>93000911</v>
      </c>
      <c r="B876" s="2" t="s">
        <v>2932</v>
      </c>
      <c r="C876" s="2">
        <v>92000536</v>
      </c>
      <c r="D876" s="2" t="s">
        <v>1149</v>
      </c>
      <c r="E876" s="2" t="s">
        <v>2933</v>
      </c>
      <c r="F876" s="2" t="s">
        <v>640</v>
      </c>
      <c r="G876" s="2" t="s">
        <v>1608</v>
      </c>
      <c r="H876" s="2" t="s">
        <v>1517</v>
      </c>
      <c r="I876" s="3" t="str">
        <f t="shared" si="0"/>
        <v>https://dto.kemkes.go.id/kfacode/93000911</v>
      </c>
      <c r="J876" s="34" t="s">
        <v>3768</v>
      </c>
      <c r="K876" t="str">
        <f t="shared" si="14"/>
        <v>insert into mkatalog_kfa93 (kode, uraian, kode_92, uraian_92, nama_dagang, satuan_kecil, sediaan, golongan, url, userid_updt, sysdate_updt) values ('93000911','Methylphenidate 18 mg Tablet Pelepasan Lambat (CONCERTA)','92000536','Methylphenidate 18 mg Tablet Pelepasan Lambat','CONCERTA','Tablet','Tablet Pelepasan Lambat','Obat Psikotropika','https://dto.kemkes.go.id/kfacode/93000911',0,'2023-05-01');</v>
      </c>
    </row>
    <row r="877" spans="1:11" ht="15.75" customHeight="1">
      <c r="A877" s="2">
        <v>93001377</v>
      </c>
      <c r="B877" s="2" t="s">
        <v>2934</v>
      </c>
      <c r="C877" s="2">
        <v>92000764</v>
      </c>
      <c r="D877" s="2" t="s">
        <v>1150</v>
      </c>
      <c r="E877" s="2" t="s">
        <v>2935</v>
      </c>
      <c r="F877" s="2" t="s">
        <v>824</v>
      </c>
      <c r="G877" s="2" t="s">
        <v>1500</v>
      </c>
      <c r="H877" s="2" t="s">
        <v>1458</v>
      </c>
      <c r="I877" s="3" t="str">
        <f t="shared" si="0"/>
        <v>https://dto.kemkes.go.id/kfacode/93001377</v>
      </c>
      <c r="J877" s="34" t="s">
        <v>3768</v>
      </c>
      <c r="K877" t="str">
        <f t="shared" si="14"/>
        <v>insert into mkatalog_kfa93 (kode, uraian, kode_92, uraian_92, nama_dagang, satuan_kecil, sediaan, golongan, url, userid_updt, sysdate_updt) values ('93001377','Methylprednisolone 125 mg / vial Serbuk Injeksi (PHAPROS Tbk)','92000764','Methylprednisolone 125 mg / vial Serbuk Injeksi','METHYLPREDNISOLONE','Vial + Ampul Pelarut','Serbuk Injeksi','Obat Keras','https://dto.kemkes.go.id/kfacode/93001377',0,'2023-05-01');</v>
      </c>
    </row>
    <row r="878" spans="1:11" ht="15.75" customHeight="1">
      <c r="A878" s="2">
        <v>93000507</v>
      </c>
      <c r="B878" s="2" t="s">
        <v>2936</v>
      </c>
      <c r="C878" s="2">
        <v>92000418</v>
      </c>
      <c r="D878" s="2" t="s">
        <v>1151</v>
      </c>
      <c r="E878" s="2" t="s">
        <v>2935</v>
      </c>
      <c r="F878" s="2" t="s">
        <v>660</v>
      </c>
      <c r="G878" s="2" t="s">
        <v>660</v>
      </c>
      <c r="H878" s="2" t="s">
        <v>1458</v>
      </c>
      <c r="I878" s="3" t="str">
        <f t="shared" si="0"/>
        <v>https://dto.kemkes.go.id/kfacode/93000507</v>
      </c>
      <c r="J878" s="34" t="s">
        <v>3768</v>
      </c>
      <c r="K878" t="str">
        <f t="shared" si="14"/>
        <v>insert into mkatalog_kfa93 (kode, uraian, kode_92, uraian_92, nama_dagang, satuan_kecil, sediaan, golongan, url, userid_updt, sysdate_updt) values ('93000507','Methylprednisolone 16 mg Kaplet (NOVAPHARIN)','92000418','Methylprednisolone 16 mg Kaplet','METHYLPREDNISOLONE','Kaplet','Kaplet','Obat Keras','https://dto.kemkes.go.id/kfacode/93000507',0,'2023-05-01');</v>
      </c>
    </row>
    <row r="879" spans="1:11" ht="15.75" customHeight="1">
      <c r="A879" s="2">
        <v>93000989</v>
      </c>
      <c r="B879" s="2" t="s">
        <v>2937</v>
      </c>
      <c r="C879" s="2">
        <v>92000529</v>
      </c>
      <c r="D879" s="2" t="s">
        <v>1152</v>
      </c>
      <c r="F879" s="2" t="s">
        <v>640</v>
      </c>
      <c r="G879" s="2" t="s">
        <v>640</v>
      </c>
      <c r="H879" s="2" t="s">
        <v>1458</v>
      </c>
      <c r="I879" s="3" t="str">
        <f t="shared" si="0"/>
        <v>https://dto.kemkes.go.id/kfacode/93000989</v>
      </c>
      <c r="J879" s="34" t="s">
        <v>3768</v>
      </c>
      <c r="K879" t="str">
        <f t="shared" si="14"/>
        <v>insert into mkatalog_kfa93 (kode, uraian, kode_92, uraian_92, nama_dagang, satuan_kecil, sediaan, golongan, url, userid_updt, sysdate_updt) values ('93000989','Methylprednisolone 4 mg Tablet (HEXPHARM JAYA LABORATORIES)','92000529','Methylprednisolone 4 mg Tablet','','Tablet','Tablet','Obat Keras','https://dto.kemkes.go.id/kfacode/93000989',0,'2023-05-01');</v>
      </c>
    </row>
    <row r="880" spans="1:11" ht="15.75" customHeight="1">
      <c r="A880" s="2">
        <v>93000149</v>
      </c>
      <c r="B880" s="2" t="s">
        <v>2938</v>
      </c>
      <c r="C880" s="2">
        <v>92000152</v>
      </c>
      <c r="D880" s="2" t="s">
        <v>1153</v>
      </c>
      <c r="E880" s="2" t="s">
        <v>2935</v>
      </c>
      <c r="F880" s="2" t="s">
        <v>640</v>
      </c>
      <c r="G880" s="2" t="s">
        <v>640</v>
      </c>
      <c r="H880" s="2" t="s">
        <v>1458</v>
      </c>
      <c r="I880" s="3" t="str">
        <f t="shared" si="0"/>
        <v>https://dto.kemkes.go.id/kfacode/93000149</v>
      </c>
      <c r="J880" s="34" t="s">
        <v>3768</v>
      </c>
      <c r="K880" t="str">
        <f t="shared" si="14"/>
        <v>insert into mkatalog_kfa93 (kode, uraian, kode_92, uraian_92, nama_dagang, satuan_kecil, sediaan, golongan, url, userid_updt, sysdate_updt) values ('93000149','Methylprednisolone 8 mg Tablet (DEXA MEDICA)','92000152','Methylprednisolone 8 mg Tablet','METHYLPREDNISOLONE','Tablet','Tablet','Obat Keras','https://dto.kemkes.go.id/kfacode/93000149',0,'2023-05-01');</v>
      </c>
    </row>
    <row r="881" spans="1:11" ht="15.75" customHeight="1">
      <c r="A881" s="2">
        <v>93000720</v>
      </c>
      <c r="B881" s="2" t="s">
        <v>2939</v>
      </c>
      <c r="C881" s="2">
        <v>92000152</v>
      </c>
      <c r="D881" s="2" t="s">
        <v>1153</v>
      </c>
      <c r="E881" s="2" t="s">
        <v>2935</v>
      </c>
      <c r="F881" s="2" t="s">
        <v>640</v>
      </c>
      <c r="G881" s="2" t="s">
        <v>640</v>
      </c>
      <c r="H881" s="2" t="s">
        <v>1458</v>
      </c>
      <c r="I881" s="3" t="str">
        <f t="shared" si="0"/>
        <v>https://dto.kemkes.go.id/kfacode/93000720</v>
      </c>
      <c r="J881" s="34" t="s">
        <v>3768</v>
      </c>
      <c r="K881" t="str">
        <f t="shared" si="14"/>
        <v>insert into mkatalog_kfa93 (kode, uraian, kode_92, uraian_92, nama_dagang, satuan_kecil, sediaan, golongan, url, userid_updt, sysdate_updt) values ('93000720','Methylprednisolone 8 mg Tablet (NOVAPHARIN)','92000152','Methylprednisolone 8 mg Tablet','METHYLPREDNISOLONE','Tablet','Tablet','Obat Keras','https://dto.kemkes.go.id/kfacode/93000720',0,'2023-05-01');</v>
      </c>
    </row>
    <row r="882" spans="1:11" ht="15.75" customHeight="1">
      <c r="A882" s="2">
        <v>93000508</v>
      </c>
      <c r="B882" s="2" t="s">
        <v>2940</v>
      </c>
      <c r="C882" s="2">
        <v>92000152</v>
      </c>
      <c r="D882" s="2" t="s">
        <v>1153</v>
      </c>
      <c r="E882" s="2" t="s">
        <v>2935</v>
      </c>
      <c r="F882" s="2" t="s">
        <v>640</v>
      </c>
      <c r="G882" s="2" t="s">
        <v>640</v>
      </c>
      <c r="H882" s="2" t="s">
        <v>1458</v>
      </c>
      <c r="I882" s="3" t="str">
        <f t="shared" si="0"/>
        <v>https://dto.kemkes.go.id/kfacode/93000508</v>
      </c>
      <c r="J882" s="34" t="s">
        <v>3768</v>
      </c>
      <c r="K882" t="str">
        <f t="shared" si="14"/>
        <v>insert into mkatalog_kfa93 (kode, uraian, kode_92, uraian_92, nama_dagang, satuan_kecil, sediaan, golongan, url, userid_updt, sysdate_updt) values ('93000508','Methylprednisolone 8 mg Tablet (PROMEDRAHARDJO FARMASI INDUSTRI)','92000152','Methylprednisolone 8 mg Tablet','METHYLPREDNISOLONE','Tablet','Tablet','Obat Keras','https://dto.kemkes.go.id/kfacode/93000508',0,'2023-05-01');</v>
      </c>
    </row>
    <row r="883" spans="1:11" ht="15.75" customHeight="1">
      <c r="A883" s="2">
        <v>93001068</v>
      </c>
      <c r="B883" s="2" t="s">
        <v>2941</v>
      </c>
      <c r="C883" s="2">
        <v>92000782</v>
      </c>
      <c r="D883" s="2" t="s">
        <v>1154</v>
      </c>
      <c r="E883" s="2" t="s">
        <v>2942</v>
      </c>
      <c r="F883" s="2" t="s">
        <v>640</v>
      </c>
      <c r="G883" s="2" t="s">
        <v>640</v>
      </c>
      <c r="H883" s="2" t="s">
        <v>1458</v>
      </c>
      <c r="I883" s="3" t="str">
        <f t="shared" si="0"/>
        <v>https://dto.kemkes.go.id/kfacode/93001068</v>
      </c>
      <c r="J883" s="34" t="s">
        <v>3768</v>
      </c>
      <c r="K883" t="str">
        <f t="shared" si="14"/>
        <v>insert into mkatalog_kfa93 (kode, uraian, kode_92, uraian_92, nama_dagang, satuan_kecil, sediaan, golongan, url, userid_updt, sysdate_updt) values ('93001068','Metilfenidat / Methylphenidate 10 mg Tablet (MERSIFARMA TIRMAKU MERCUSANA)','92000782','Metilfenidat / Methylphenidate 10 mg Tablet','METHYLPHENIDATE HCl','Tablet','Tablet','Obat Keras','https://dto.kemkes.go.id/kfacode/93001068',0,'2023-05-01');</v>
      </c>
    </row>
    <row r="884" spans="1:11" ht="15.75" customHeight="1">
      <c r="A884" s="2">
        <v>93000152</v>
      </c>
      <c r="B884" s="2" t="s">
        <v>2943</v>
      </c>
      <c r="C884" s="2">
        <v>92000155</v>
      </c>
      <c r="D884" s="2" t="s">
        <v>1155</v>
      </c>
      <c r="E884" s="2" t="s">
        <v>2933</v>
      </c>
      <c r="F884" s="2" t="s">
        <v>660</v>
      </c>
      <c r="G884" s="2" t="s">
        <v>2899</v>
      </c>
      <c r="H884" s="2" t="s">
        <v>1458</v>
      </c>
      <c r="I884" s="3" t="str">
        <f t="shared" si="0"/>
        <v>https://dto.kemkes.go.id/kfacode/93000152</v>
      </c>
      <c r="J884" s="34" t="s">
        <v>3768</v>
      </c>
      <c r="K884" t="str">
        <f t="shared" si="14"/>
        <v>insert into mkatalog_kfa93 (kode, uraian, kode_92, uraian_92, nama_dagang, satuan_kecil, sediaan, golongan, url, userid_updt, sysdate_updt) values ('93000152','Metilfenidat / Methylphenidate 36 mg Kaplet Pelepasan Lambat (CONCERTA)','92000155','Metilfenidat / Methylphenidate 36 mg Kaplet Pelepasan Lambat','CONCERTA','Kaplet','Kaplet Pelepasan Lambat','Obat Keras','https://dto.kemkes.go.id/kfacode/93000152',0,'2023-05-01');</v>
      </c>
    </row>
    <row r="885" spans="1:11" ht="15.75" customHeight="1">
      <c r="A885" s="2">
        <v>93000816</v>
      </c>
      <c r="B885" s="2" t="s">
        <v>2944</v>
      </c>
      <c r="C885" s="2">
        <v>92000571</v>
      </c>
      <c r="D885" s="2" t="s">
        <v>1156</v>
      </c>
      <c r="E885" s="2" t="s">
        <v>2945</v>
      </c>
      <c r="F885" s="2" t="s">
        <v>640</v>
      </c>
      <c r="G885" s="2" t="s">
        <v>640</v>
      </c>
      <c r="H885" s="2" t="s">
        <v>1458</v>
      </c>
      <c r="I885" s="3" t="str">
        <f t="shared" si="0"/>
        <v>https://dto.kemkes.go.id/kfacode/93000816</v>
      </c>
      <c r="J885" s="34" t="s">
        <v>3768</v>
      </c>
      <c r="K885" t="str">
        <f t="shared" si="14"/>
        <v>insert into mkatalog_kfa93 (kode, uraian, kode_92, uraian_92, nama_dagang, satuan_kecil, sediaan, golongan, url, userid_updt, sysdate_updt) values ('93000816','Metoclopramide Hydrochloride 10 mg Tablet (KIMIA FARMA Tbk.)','92000571','Metoclopramide Hydrochloride 10 mg Tablet','METOCLOPRAMIDE HCL','Tablet','Tablet','Obat Keras','https://dto.kemkes.go.id/kfacode/93000816',0,'2023-05-01');</v>
      </c>
    </row>
    <row r="886" spans="1:11" ht="15.75" customHeight="1">
      <c r="A886" s="2">
        <v>93001385</v>
      </c>
      <c r="B886" s="2" t="s">
        <v>2946</v>
      </c>
      <c r="C886" s="2">
        <v>92000755</v>
      </c>
      <c r="D886" s="2" t="s">
        <v>1157</v>
      </c>
      <c r="E886" s="2" t="s">
        <v>2945</v>
      </c>
      <c r="F886" s="2" t="s">
        <v>645</v>
      </c>
      <c r="G886" s="2" t="s">
        <v>1506</v>
      </c>
      <c r="H886" s="2" t="s">
        <v>1458</v>
      </c>
      <c r="I886" s="3" t="str">
        <f t="shared" si="0"/>
        <v>https://dto.kemkes.go.id/kfacode/93001385</v>
      </c>
      <c r="J886" s="34" t="s">
        <v>3768</v>
      </c>
      <c r="K886" t="str">
        <f t="shared" si="14"/>
        <v>insert into mkatalog_kfa93 (kode, uraian, kode_92, uraian_92, nama_dagang, satuan_kecil, sediaan, golongan, url, userid_updt, sysdate_updt) values ('93001385','Metoclopramide Hydrochloride 5 mg / mL Injeksi (IPHA LABORATORIES)','92000755','Metoclopramide Hydrochloride 5 mg / mL Injeksi','METOCLOPRAMIDE HCL','Ampul','Larutan Injeksi','Obat Keras','https://dto.kemkes.go.id/kfacode/93001385',0,'2023-05-01');</v>
      </c>
    </row>
    <row r="887" spans="1:11" ht="15.75" customHeight="1">
      <c r="A887" s="2">
        <v>93001334</v>
      </c>
      <c r="B887" s="2" t="s">
        <v>2947</v>
      </c>
      <c r="C887" s="2">
        <v>92000792</v>
      </c>
      <c r="D887" s="2" t="s">
        <v>1158</v>
      </c>
      <c r="E887" s="2" t="s">
        <v>2945</v>
      </c>
      <c r="F887" s="2" t="s">
        <v>640</v>
      </c>
      <c r="G887" s="2" t="s">
        <v>640</v>
      </c>
      <c r="H887" s="2" t="s">
        <v>1458</v>
      </c>
      <c r="I887" s="3" t="str">
        <f t="shared" si="0"/>
        <v>https://dto.kemkes.go.id/kfacode/93001334</v>
      </c>
      <c r="J887" s="34" t="s">
        <v>3768</v>
      </c>
      <c r="K887" t="str">
        <f t="shared" si="14"/>
        <v>insert into mkatalog_kfa93 (kode, uraian, kode_92, uraian_92, nama_dagang, satuan_kecil, sediaan, golongan, url, userid_updt, sysdate_updt) values ('93001334','Metoclopramide Hydrochloride 5 mg Tablet (KIMIA FARMA Tbk.)','92000792','Metoclopramide Hydrochloride 5 mg Tablet','METOCLOPRAMIDE HCL','Tablet','Tablet','Obat Keras','https://dto.kemkes.go.id/kfacode/93001334',0,'2023-05-01');</v>
      </c>
    </row>
    <row r="888" spans="1:11" ht="15.75" customHeight="1">
      <c r="A888" s="2">
        <v>93000500</v>
      </c>
      <c r="B888" s="2" t="s">
        <v>2948</v>
      </c>
      <c r="C888" s="2">
        <v>92000414</v>
      </c>
      <c r="D888" s="2" t="s">
        <v>1159</v>
      </c>
      <c r="E888" s="2" t="s">
        <v>2949</v>
      </c>
      <c r="F888" s="2" t="s">
        <v>658</v>
      </c>
      <c r="G888" s="2" t="s">
        <v>1530</v>
      </c>
      <c r="H888" s="2" t="s">
        <v>1458</v>
      </c>
      <c r="I888" s="3" t="str">
        <f t="shared" si="0"/>
        <v>https://dto.kemkes.go.id/kfacode/93000500</v>
      </c>
      <c r="J888" s="34" t="s">
        <v>3768</v>
      </c>
      <c r="K888" t="str">
        <f t="shared" si="14"/>
        <v>insert into mkatalog_kfa93 (kode, uraian, kode_92, uraian_92, nama_dagang, satuan_kecil, sediaan, golongan, url, userid_updt, sysdate_updt) values ('93000500','Metronidazole 500 mg Infus (DARYA-VARIA LABORATORIA, 100 mL)','92000414','Metronidazole 500 mg Infus','METRONIDAZOLE','Botol','Infus','Obat Keras','https://dto.kemkes.go.id/kfacode/93000500',0,'2023-05-01');</v>
      </c>
    </row>
    <row r="889" spans="1:11" ht="15.75" customHeight="1">
      <c r="A889" s="2">
        <v>93001304</v>
      </c>
      <c r="B889" s="2" t="s">
        <v>2950</v>
      </c>
      <c r="C889" s="2">
        <v>92000414</v>
      </c>
      <c r="D889" s="2" t="s">
        <v>1159</v>
      </c>
      <c r="E889" s="2" t="s">
        <v>2949</v>
      </c>
      <c r="F889" s="2" t="s">
        <v>658</v>
      </c>
      <c r="G889" s="2" t="s">
        <v>1530</v>
      </c>
      <c r="H889" s="2" t="s">
        <v>1458</v>
      </c>
      <c r="I889" s="3" t="str">
        <f t="shared" si="0"/>
        <v>https://dto.kemkes.go.id/kfacode/93001304</v>
      </c>
      <c r="J889" s="34" t="s">
        <v>3768</v>
      </c>
      <c r="K889" t="str">
        <f t="shared" si="14"/>
        <v>insert into mkatalog_kfa93 (kode, uraian, kode_92, uraian_92, nama_dagang, satuan_kecil, sediaan, golongan, url, userid_updt, sysdate_updt) values ('93001304','Metronidazole 500 mg Infus (DARYA-VARIA LABORATORIA)','92000414','Metronidazole 500 mg Infus','METRONIDAZOLE','Botol','Infus','Obat Keras','https://dto.kemkes.go.id/kfacode/93001304',0,'2023-05-01');</v>
      </c>
    </row>
    <row r="890" spans="1:11" ht="15.75" customHeight="1">
      <c r="A890" s="2">
        <v>93001536</v>
      </c>
      <c r="B890" s="2" t="s">
        <v>2951</v>
      </c>
      <c r="C890" s="2">
        <v>92000882</v>
      </c>
      <c r="D890" s="2" t="s">
        <v>1160</v>
      </c>
      <c r="E890" s="2" t="s">
        <v>2952</v>
      </c>
      <c r="F890" s="2" t="s">
        <v>1161</v>
      </c>
      <c r="G890" s="2" t="s">
        <v>1161</v>
      </c>
      <c r="H890" s="2" t="s">
        <v>1458</v>
      </c>
      <c r="I890" s="3" t="str">
        <f t="shared" si="0"/>
        <v>https://dto.kemkes.go.id/kfacode/93001536</v>
      </c>
      <c r="J890" s="34" t="s">
        <v>3768</v>
      </c>
      <c r="K890" t="str">
        <f t="shared" si="14"/>
        <v>insert into mkatalog_kfa93 (kode, uraian, kode_92, uraian_92, nama_dagang, satuan_kecil, sediaan, golongan, url, userid_updt, sysdate_updt) values ('93001536','Metronidazole 500 mg Ovula (VAGIZOL)','92000882','Metronidazole 500 mg Ovula','VAGIZOL','Ovula','Ovula','Obat Keras','https://dto.kemkes.go.id/kfacode/93001536',0,'2023-05-01');</v>
      </c>
    </row>
    <row r="891" spans="1:11" ht="15.75" customHeight="1">
      <c r="A891" s="2">
        <v>93001375</v>
      </c>
      <c r="B891" s="2" t="s">
        <v>2953</v>
      </c>
      <c r="C891" s="2">
        <v>92000766</v>
      </c>
      <c r="D891" s="2" t="s">
        <v>1162</v>
      </c>
      <c r="E891" s="2" t="s">
        <v>2954</v>
      </c>
      <c r="F891" s="2" t="s">
        <v>658</v>
      </c>
      <c r="G891" s="2" t="s">
        <v>1509</v>
      </c>
      <c r="H891" s="2" t="s">
        <v>1458</v>
      </c>
      <c r="I891" s="3" t="str">
        <f t="shared" si="0"/>
        <v>https://dto.kemkes.go.id/kfacode/93001375</v>
      </c>
      <c r="J891" s="34" t="s">
        <v>3768</v>
      </c>
      <c r="K891" t="str">
        <f t="shared" si="14"/>
        <v>insert into mkatalog_kfa93 (kode, uraian, kode_92, uraian_92, nama_dagang, satuan_kecil, sediaan, golongan, url, userid_updt, sysdate_updt) values ('93001375','Metronidazole Benzoate 125 mg / 5 mL Suspensi (MEPROFARM)','92000766','Metronidazole Benzoate 125 mg / 5 mL Suspensi','METRONIDAZOLE BENZOATE','Botol','Suspensi','Obat Keras','https://dto.kemkes.go.id/kfacode/93001375',0,'2023-05-01');</v>
      </c>
    </row>
    <row r="892" spans="1:11" ht="15.75" customHeight="1">
      <c r="A892" s="2">
        <v>93000449</v>
      </c>
      <c r="B892" s="2" t="s">
        <v>2955</v>
      </c>
      <c r="C892" s="2">
        <v>92000324</v>
      </c>
      <c r="D892" s="2" t="s">
        <v>1163</v>
      </c>
      <c r="E892" s="2" t="s">
        <v>2956</v>
      </c>
      <c r="F892" s="2" t="s">
        <v>653</v>
      </c>
      <c r="G892" s="2" t="s">
        <v>1500</v>
      </c>
      <c r="H892" s="2" t="s">
        <v>1458</v>
      </c>
      <c r="I892" s="3" t="str">
        <f t="shared" si="0"/>
        <v>https://dto.kemkes.go.id/kfacode/93000449</v>
      </c>
      <c r="J892" s="34" t="s">
        <v>3768</v>
      </c>
      <c r="K892" t="str">
        <f t="shared" si="14"/>
        <v>insert into mkatalog_kfa93 (kode, uraian, kode_92, uraian_92, nama_dagang, satuan_kecil, sediaan, golongan, url, userid_updt, sysdate_updt) values ('93000449','Micafungin Sodium 50 mg Serbuk Injeksi (MYCAMINE)','92000324','Micafungin Sodium 50 mg Serbuk Injeksi','MYCAMINE','Vial','Serbuk Injeksi','Obat Keras','https://dto.kemkes.go.id/kfacode/93000449',0,'2023-05-01');</v>
      </c>
    </row>
    <row r="893" spans="1:11" ht="15.75" customHeight="1">
      <c r="A893" s="2">
        <v>93000584</v>
      </c>
      <c r="B893" s="2" t="s">
        <v>2957</v>
      </c>
      <c r="C893" s="2">
        <v>92000403</v>
      </c>
      <c r="D893" s="2" t="s">
        <v>1164</v>
      </c>
      <c r="E893" s="2" t="s">
        <v>2958</v>
      </c>
      <c r="F893" s="2" t="s">
        <v>655</v>
      </c>
      <c r="G893" s="2" t="s">
        <v>1661</v>
      </c>
      <c r="H893" s="2" t="s">
        <v>1672</v>
      </c>
      <c r="I893" s="3" t="str">
        <f t="shared" si="0"/>
        <v>https://dto.kemkes.go.id/kfacode/93000584</v>
      </c>
      <c r="J893" s="34" t="s">
        <v>3768</v>
      </c>
      <c r="K893" t="str">
        <f t="shared" si="14"/>
        <v>insert into mkatalog_kfa93 (kode, uraian, kode_92, uraian_92, nama_dagang, satuan_kecil, sediaan, golongan, url, userid_updt, sysdate_updt) values ('93000584','Miconazole 2 % Krim (DAKTARIN)','92000403','Miconazole 2 % Krim','DAKTARIN','Tube','Krim','Obat Bebas Terbatas','https://dto.kemkes.go.id/kfacode/93000584',0,'2023-05-01');</v>
      </c>
    </row>
    <row r="894" spans="1:11" ht="15.75" customHeight="1">
      <c r="A894" s="2">
        <v>93000581</v>
      </c>
      <c r="B894" s="2" t="s">
        <v>2959</v>
      </c>
      <c r="C894" s="2">
        <v>92000403</v>
      </c>
      <c r="D894" s="2" t="s">
        <v>1164</v>
      </c>
      <c r="E894" s="2" t="s">
        <v>2960</v>
      </c>
      <c r="F894" s="2" t="s">
        <v>655</v>
      </c>
      <c r="G894" s="2" t="s">
        <v>1661</v>
      </c>
      <c r="H894" s="2" t="s">
        <v>1672</v>
      </c>
      <c r="I894" s="3" t="str">
        <f t="shared" si="0"/>
        <v>https://dto.kemkes.go.id/kfacode/93000581</v>
      </c>
      <c r="J894" s="34" t="s">
        <v>3768</v>
      </c>
      <c r="K894" t="str">
        <f t="shared" si="14"/>
        <v>insert into mkatalog_kfa93 (kode, uraian, kode_92, uraian_92, nama_dagang, satuan_kecil, sediaan, golongan, url, userid_updt, sysdate_updt) values ('93000581','Miconazole 2 % Krim (FUNGARES)','92000403','Miconazole 2 % Krim','FUNGARES','Tube','Krim','Obat Bebas Terbatas','https://dto.kemkes.go.id/kfacode/93000581',0,'2023-05-01');</v>
      </c>
    </row>
    <row r="895" spans="1:11" ht="15.75" customHeight="1">
      <c r="A895" s="2">
        <v>93000580</v>
      </c>
      <c r="B895" s="2" t="s">
        <v>2961</v>
      </c>
      <c r="C895" s="2">
        <v>92000403</v>
      </c>
      <c r="D895" s="2" t="s">
        <v>1164</v>
      </c>
      <c r="E895" s="2" t="s">
        <v>2962</v>
      </c>
      <c r="F895" s="2" t="s">
        <v>655</v>
      </c>
      <c r="G895" s="2" t="s">
        <v>1661</v>
      </c>
      <c r="H895" s="2" t="s">
        <v>1672</v>
      </c>
      <c r="I895" s="3" t="str">
        <f t="shared" si="0"/>
        <v>https://dto.kemkes.go.id/kfacode/93000580</v>
      </c>
      <c r="J895" s="34" t="s">
        <v>3768</v>
      </c>
      <c r="K895" t="str">
        <f t="shared" si="14"/>
        <v>insert into mkatalog_kfa93 (kode, uraian, kode_92, uraian_92, nama_dagang, satuan_kecil, sediaan, golongan, url, userid_updt, sysdate_updt) values ('93000580','Miconazole 2 % Krim (FUNTAS)','92000403','Miconazole 2 % Krim','FUNTAS','Tube','Krim','Obat Bebas Terbatas','https://dto.kemkes.go.id/kfacode/93000580',0,'2023-05-01');</v>
      </c>
    </row>
    <row r="896" spans="1:11" ht="15.75" customHeight="1">
      <c r="A896" s="2">
        <v>93000582</v>
      </c>
      <c r="B896" s="2" t="s">
        <v>2963</v>
      </c>
      <c r="C896" s="2">
        <v>92000403</v>
      </c>
      <c r="D896" s="2" t="s">
        <v>1164</v>
      </c>
      <c r="E896" s="2" t="s">
        <v>2964</v>
      </c>
      <c r="F896" s="2" t="s">
        <v>655</v>
      </c>
      <c r="G896" s="2" t="s">
        <v>1661</v>
      </c>
      <c r="H896" s="2" t="s">
        <v>1672</v>
      </c>
      <c r="I896" s="3" t="str">
        <f t="shared" si="0"/>
        <v>https://dto.kemkes.go.id/kfacode/93000582</v>
      </c>
      <c r="J896" s="34" t="s">
        <v>3768</v>
      </c>
      <c r="K896" t="str">
        <f t="shared" si="14"/>
        <v>insert into mkatalog_kfa93 (kode, uraian, kode_92, uraian_92, nama_dagang, satuan_kecil, sediaan, golongan, url, userid_updt, sysdate_updt) values ('93000582','Miconazole 2 % Krim (KANESOL)','92000403','Miconazole 2 % Krim','KANESOL','Tube','Krim','Obat Bebas Terbatas','https://dto.kemkes.go.id/kfacode/93000582',0,'2023-05-01');</v>
      </c>
    </row>
    <row r="897" spans="1:11" ht="15.75" customHeight="1">
      <c r="A897" s="2">
        <v>93000861</v>
      </c>
      <c r="B897" s="2" t="s">
        <v>2965</v>
      </c>
      <c r="C897" s="2">
        <v>92000612</v>
      </c>
      <c r="D897" s="2" t="s">
        <v>1165</v>
      </c>
      <c r="E897" s="2" t="s">
        <v>2966</v>
      </c>
      <c r="F897" s="2" t="s">
        <v>702</v>
      </c>
      <c r="G897" s="2" t="s">
        <v>2967</v>
      </c>
      <c r="H897" s="2" t="s">
        <v>1672</v>
      </c>
      <c r="I897" s="3" t="str">
        <f t="shared" si="0"/>
        <v>https://dto.kemkes.go.id/kfacode/93000861</v>
      </c>
      <c r="J897" s="34" t="s">
        <v>3768</v>
      </c>
      <c r="K897" t="str">
        <f t="shared" si="14"/>
        <v>insert into mkatalog_kfa93 (kode, uraian, kode_92, uraian_92, nama_dagang, satuan_kecil, sediaan, golongan, url, userid_updt, sysdate_updt) values ('93000861','Miconazole Nitrate 2 % Serbuk (MYCORINE, 25 g)','92000612','Miconazole Nitrate 2 % Serbuk','MYCORINE','Botol Plastik','Serbuk Obat Luar / Serbuk Tabur','Obat Bebas Terbatas','https://dto.kemkes.go.id/kfacode/93000861',0,'2023-05-01');</v>
      </c>
    </row>
    <row r="898" spans="1:11" ht="15.75" customHeight="1">
      <c r="A898" s="2">
        <v>93001089</v>
      </c>
      <c r="B898" s="2" t="s">
        <v>2968</v>
      </c>
      <c r="C898" s="2">
        <v>92000480</v>
      </c>
      <c r="D898" s="2" t="s">
        <v>1166</v>
      </c>
      <c r="E898" s="2" t="s">
        <v>2969</v>
      </c>
      <c r="F898" s="2" t="s">
        <v>645</v>
      </c>
      <c r="G898" s="2" t="s">
        <v>1506</v>
      </c>
      <c r="H898" s="2" t="s">
        <v>1458</v>
      </c>
      <c r="I898" s="3" t="str">
        <f t="shared" si="0"/>
        <v>https://dto.kemkes.go.id/kfacode/93001089</v>
      </c>
      <c r="J898" s="34" t="s">
        <v>3768</v>
      </c>
      <c r="K898" t="str">
        <f t="shared" si="14"/>
        <v>insert into mkatalog_kfa93 (kode, uraian, kode_92, uraian_92, nama_dagang, satuan_kecil, sediaan, golongan, url, userid_updt, sysdate_updt) values ('93001089','Midazolam 1 mg / mL Injeksi (ETHICA INDUSTRI FARMASI)','92000480','Midazolam 1 mg / mL Injeksi','MIDAZOLAM HYDROCHLORIDE','Ampul','Larutan Injeksi','Obat Keras','https://dto.kemkes.go.id/kfacode/93001089',0,'2023-05-01');</v>
      </c>
    </row>
    <row r="899" spans="1:11" ht="15.75" customHeight="1">
      <c r="A899" s="2">
        <v>93001035</v>
      </c>
      <c r="B899" s="2" t="s">
        <v>2970</v>
      </c>
      <c r="C899" s="2">
        <v>92000722</v>
      </c>
      <c r="D899" s="2" t="s">
        <v>1167</v>
      </c>
      <c r="E899" s="2" t="s">
        <v>2971</v>
      </c>
      <c r="F899" s="2" t="s">
        <v>660</v>
      </c>
      <c r="G899" s="2" t="s">
        <v>1619</v>
      </c>
      <c r="H899" s="2" t="s">
        <v>1458</v>
      </c>
      <c r="I899" s="3" t="str">
        <f t="shared" si="0"/>
        <v>https://dto.kemkes.go.id/kfacode/93001035</v>
      </c>
      <c r="J899" s="34" t="s">
        <v>3768</v>
      </c>
      <c r="K899" t="str">
        <f t="shared" ref="K899:K962" si="15">CONCATENATE(J899,"('",A899,"','",B899,"','",C899,"','",D899,"','",E899,"','",F899,"','",G899,"','",H899,"','",I899,"',0,'2023-05-01');")</f>
        <v>insert into mkatalog_kfa93 (kode, uraian, kode_92, uraian_92, nama_dagang, satuan_kecil, sediaan, golongan, url, userid_updt, sysdate_updt) values ('93001035','Mikofenolat / Mycophenolate Mofetil 500 mg Kaplet Salut Selaput (CELMUNOS)','92000722','Mikofenolat / Mycophenolate Mofetil 500 mg Kaplet Salut Selaput','CELMUNOS','Kaplet','Kaplet Salut Selaput','Obat Keras','https://dto.kemkes.go.id/kfacode/93001035',0,'2023-05-01');</v>
      </c>
    </row>
    <row r="900" spans="1:11" ht="15.75" customHeight="1">
      <c r="A900" s="2">
        <v>93001557</v>
      </c>
      <c r="B900" s="2" t="s">
        <v>2972</v>
      </c>
      <c r="C900" s="2">
        <v>92000722</v>
      </c>
      <c r="D900" s="2" t="s">
        <v>1167</v>
      </c>
      <c r="E900" s="2" t="s">
        <v>2973</v>
      </c>
      <c r="F900" s="2" t="s">
        <v>660</v>
      </c>
      <c r="G900" s="2" t="s">
        <v>1619</v>
      </c>
      <c r="H900" s="2" t="s">
        <v>1458</v>
      </c>
      <c r="I900" s="3" t="str">
        <f t="shared" si="0"/>
        <v>https://dto.kemkes.go.id/kfacode/93001557</v>
      </c>
      <c r="J900" s="34" t="s">
        <v>3768</v>
      </c>
      <c r="K900" t="str">
        <f t="shared" si="15"/>
        <v>insert into mkatalog_kfa93 (kode, uraian, kode_92, uraian_92, nama_dagang, satuan_kecil, sediaan, golongan, url, userid_updt, sysdate_updt) values ('93001557','Mikofenolat / Mycophenolate Mofetil 500 mg Kaplet Salut Selaput (KAMYFET)','92000722','Mikofenolat / Mycophenolate Mofetil 500 mg Kaplet Salut Selaput','KAMYFET','Kaplet','Kaplet Salut Selaput','Obat Keras','https://dto.kemkes.go.id/kfacode/93001557',0,'2023-05-01');</v>
      </c>
    </row>
    <row r="901" spans="1:11" ht="15.75" customHeight="1">
      <c r="A901" s="2">
        <v>93000660</v>
      </c>
      <c r="B901" s="2" t="s">
        <v>2974</v>
      </c>
      <c r="C901" s="2">
        <v>92000495</v>
      </c>
      <c r="D901" s="2" t="s">
        <v>1168</v>
      </c>
      <c r="F901" s="2" t="s">
        <v>640</v>
      </c>
      <c r="G901" s="2" t="s">
        <v>1588</v>
      </c>
      <c r="H901" s="2" t="s">
        <v>1458</v>
      </c>
      <c r="I901" s="3" t="str">
        <f t="shared" si="0"/>
        <v>https://dto.kemkes.go.id/kfacode/93000660</v>
      </c>
      <c r="J901" s="34" t="s">
        <v>3768</v>
      </c>
      <c r="K901" t="str">
        <f t="shared" si="15"/>
        <v>insert into mkatalog_kfa93 (kode, uraian, kode_92, uraian_92, nama_dagang, satuan_kecil, sediaan, golongan, url, userid_updt, sysdate_updt) values ('93000660','Mikofenolat 180 mg Tablet Salut Enterik (MYCOPHEN)','92000495','Mikofenolat 180 mg Tablet Salut Enterik','','Tablet','Tablet Salut Enterik','Obat Keras','https://dto.kemkes.go.id/kfacode/93000660',0,'2023-05-01');</v>
      </c>
    </row>
    <row r="902" spans="1:11" ht="15.75" customHeight="1">
      <c r="A902" s="2">
        <v>93000982</v>
      </c>
      <c r="B902" s="2" t="s">
        <v>2975</v>
      </c>
      <c r="C902" s="2">
        <v>92000495</v>
      </c>
      <c r="D902" s="2" t="s">
        <v>1168</v>
      </c>
      <c r="E902" s="2" t="s">
        <v>2976</v>
      </c>
      <c r="F902" s="2" t="s">
        <v>640</v>
      </c>
      <c r="G902" s="2" t="s">
        <v>1588</v>
      </c>
      <c r="H902" s="2" t="s">
        <v>1458</v>
      </c>
      <c r="I902" s="3" t="str">
        <f t="shared" si="0"/>
        <v>https://dto.kemkes.go.id/kfacode/93000982</v>
      </c>
      <c r="J902" s="34" t="s">
        <v>3768</v>
      </c>
      <c r="K902" t="str">
        <f t="shared" si="15"/>
        <v>insert into mkatalog_kfa93 (kode, uraian, kode_92, uraian_92, nama_dagang, satuan_kecil, sediaan, golongan, url, userid_updt, sysdate_updt) values ('93000982','Mikofenolat 180 mg Tablet Salut Enterik (MYFORTIC)','92000495','Mikofenolat 180 mg Tablet Salut Enterik','MYFORTIC','Tablet','Tablet Salut Enterik','Obat Keras','https://dto.kemkes.go.id/kfacode/93000982',0,'2023-05-01');</v>
      </c>
    </row>
    <row r="903" spans="1:11" ht="15.75" customHeight="1">
      <c r="A903" s="2">
        <v>93000690</v>
      </c>
      <c r="B903" s="2" t="s">
        <v>2977</v>
      </c>
      <c r="C903" s="2">
        <v>92000667</v>
      </c>
      <c r="D903" s="2" t="s">
        <v>1169</v>
      </c>
      <c r="E903" s="2" t="s">
        <v>2978</v>
      </c>
      <c r="F903" s="2" t="s">
        <v>640</v>
      </c>
      <c r="G903" s="2" t="s">
        <v>1588</v>
      </c>
      <c r="H903" s="2" t="s">
        <v>1458</v>
      </c>
      <c r="I903" s="3" t="str">
        <f t="shared" si="0"/>
        <v>https://dto.kemkes.go.id/kfacode/93000690</v>
      </c>
      <c r="J903" s="34" t="s">
        <v>3768</v>
      </c>
      <c r="K903" t="str">
        <f t="shared" si="15"/>
        <v>insert into mkatalog_kfa93 (kode, uraian, kode_92, uraian_92, nama_dagang, satuan_kecil, sediaan, golongan, url, userid_updt, sysdate_updt) values ('93000690','Mikofenolat 360 mg Tablet Salut Enterik (MYCOPHEN)','92000667','Mikofenolat 360 mg Tablet Salut Enterik','MYCOPHEN 360','Tablet','Tablet Salut Enterik','Obat Keras','https://dto.kemkes.go.id/kfacode/93000690',0,'2023-05-01');</v>
      </c>
    </row>
    <row r="904" spans="1:11" ht="15.75" customHeight="1">
      <c r="A904" s="2">
        <v>93000965</v>
      </c>
      <c r="B904" s="2" t="s">
        <v>2979</v>
      </c>
      <c r="C904" s="2">
        <v>92000667</v>
      </c>
      <c r="D904" s="2" t="s">
        <v>1169</v>
      </c>
      <c r="E904" s="2" t="s">
        <v>2976</v>
      </c>
      <c r="F904" s="2" t="s">
        <v>640</v>
      </c>
      <c r="G904" s="2" t="s">
        <v>1588</v>
      </c>
      <c r="H904" s="2" t="s">
        <v>1458</v>
      </c>
      <c r="I904" s="3" t="str">
        <f t="shared" si="0"/>
        <v>https://dto.kemkes.go.id/kfacode/93000965</v>
      </c>
      <c r="J904" s="34" t="s">
        <v>3768</v>
      </c>
      <c r="K904" t="str">
        <f t="shared" si="15"/>
        <v>insert into mkatalog_kfa93 (kode, uraian, kode_92, uraian_92, nama_dagang, satuan_kecil, sediaan, golongan, url, userid_updt, sysdate_updt) values ('93000965','Mikofenolat 360 mg Tablet Salut Enterik (MYFORTIC)','92000667','Mikofenolat 360 mg Tablet Salut Enterik','MYFORTIC','Tablet','Tablet Salut Enterik','Obat Keras','https://dto.kemkes.go.id/kfacode/93000965',0,'2023-05-01');</v>
      </c>
    </row>
    <row r="905" spans="1:11" ht="15.75" customHeight="1">
      <c r="A905" s="2">
        <v>93001155</v>
      </c>
      <c r="B905" s="2" t="s">
        <v>2980</v>
      </c>
      <c r="C905" s="2">
        <v>92000167</v>
      </c>
      <c r="D905" s="2" t="s">
        <v>1170</v>
      </c>
      <c r="E905" s="2" t="s">
        <v>2981</v>
      </c>
      <c r="F905" s="2" t="s">
        <v>647</v>
      </c>
      <c r="G905" s="2" t="s">
        <v>2982</v>
      </c>
      <c r="H905" s="2" t="s">
        <v>1458</v>
      </c>
      <c r="I905" s="3" t="str">
        <f t="shared" si="0"/>
        <v>https://dto.kemkes.go.id/kfacode/93001155</v>
      </c>
      <c r="J905" s="34" t="s">
        <v>3768</v>
      </c>
      <c r="K905" t="str">
        <f t="shared" si="15"/>
        <v>insert into mkatalog_kfa93 (kode, uraian, kode_92, uraian_92, nama_dagang, satuan_kecil, sediaan, golongan, url, userid_updt, sysdate_updt) values ('93001155','Mineral Mix Serbuk Oral (INDOFARMA, 8 g)','92000167','Mineral Mix Serbuk Oral','MINERAL MIX','Sachet','Serbuk Oral','Obat Keras','https://dto.kemkes.go.id/kfacode/93001155',0,'2023-05-01');</v>
      </c>
    </row>
    <row r="906" spans="1:11" ht="15.75" customHeight="1">
      <c r="A906" s="2">
        <v>93001341</v>
      </c>
      <c r="B906" s="2" t="s">
        <v>2983</v>
      </c>
      <c r="C906" s="2">
        <v>92000339</v>
      </c>
      <c r="D906" s="2" t="s">
        <v>1171</v>
      </c>
      <c r="E906" s="2" t="s">
        <v>2984</v>
      </c>
      <c r="F906" s="2" t="s">
        <v>655</v>
      </c>
      <c r="G906" s="2" t="s">
        <v>1661</v>
      </c>
      <c r="H906" s="2" t="s">
        <v>1458</v>
      </c>
      <c r="I906" s="3" t="str">
        <f t="shared" si="0"/>
        <v>https://dto.kemkes.go.id/kfacode/93001341</v>
      </c>
      <c r="J906" s="34" t="s">
        <v>3768</v>
      </c>
      <c r="K906" t="str">
        <f t="shared" si="15"/>
        <v>insert into mkatalog_kfa93 (kode, uraian, kode_92, uraian_92, nama_dagang, satuan_kecil, sediaan, golongan, url, userid_updt, sysdate_updt) values ('93001341','Mometasone furoate 0,1 % Krim (DEXA MEDICA)','92000339','Mometasone furoate 0,1 % Krim','MOMETASONE FUROATE','Tube','Krim','Obat Keras','https://dto.kemkes.go.id/kfacode/93001341',0,'2023-05-01');</v>
      </c>
    </row>
    <row r="907" spans="1:11" ht="15.75" customHeight="1">
      <c r="A907" s="2">
        <v>94001243</v>
      </c>
      <c r="B907" s="2" t="s">
        <v>2985</v>
      </c>
      <c r="C907" s="2">
        <v>92000339</v>
      </c>
      <c r="D907" s="2" t="s">
        <v>1171</v>
      </c>
      <c r="E907" s="2" t="s">
        <v>2984</v>
      </c>
      <c r="F907" s="2" t="s">
        <v>655</v>
      </c>
      <c r="G907" s="2" t="s">
        <v>1661</v>
      </c>
      <c r="H907" s="2" t="s">
        <v>1458</v>
      </c>
      <c r="I907" s="3" t="str">
        <f t="shared" si="0"/>
        <v>https://dto.kemkes.go.id/kfacode/94001243</v>
      </c>
      <c r="J907" s="34" t="s">
        <v>3768</v>
      </c>
      <c r="K907" t="str">
        <f t="shared" si="15"/>
        <v>insert into mkatalog_kfa93 (kode, uraian, kode_92, uraian_92, nama_dagang, satuan_kecil, sediaan, golongan, url, userid_updt, sysdate_updt) values ('94001243','Mometasone furoate 0,1 % Krim (IKAPHARMINDO PUTRAMAS, 10 g)','92000339','Mometasone furoate 0,1 % Krim','MOMETASONE FUROATE','Tube','Krim','Obat Keras','https://dto.kemkes.go.id/kfacode/94001243',0,'2023-05-01');</v>
      </c>
    </row>
    <row r="908" spans="1:11" ht="15.75" customHeight="1">
      <c r="A908" s="2">
        <v>93001305</v>
      </c>
      <c r="B908" s="2" t="s">
        <v>2986</v>
      </c>
      <c r="C908" s="2">
        <v>92000339</v>
      </c>
      <c r="D908" s="2" t="s">
        <v>1171</v>
      </c>
      <c r="E908" s="2" t="s">
        <v>2984</v>
      </c>
      <c r="F908" s="2" t="s">
        <v>655</v>
      </c>
      <c r="G908" s="2" t="s">
        <v>1661</v>
      </c>
      <c r="H908" s="2" t="s">
        <v>1458</v>
      </c>
      <c r="I908" s="3" t="str">
        <f t="shared" si="0"/>
        <v>https://dto.kemkes.go.id/kfacode/93001305</v>
      </c>
      <c r="J908" s="34" t="s">
        <v>3768</v>
      </c>
      <c r="K908" t="str">
        <f t="shared" si="15"/>
        <v>insert into mkatalog_kfa93 (kode, uraian, kode_92, uraian_92, nama_dagang, satuan_kecil, sediaan, golongan, url, userid_updt, sysdate_updt) values ('93001305','Mometasone furoate 0,1 % Krim (IKAPHARMINDO PUTRAMAS, 5 g)','92000339','Mometasone furoate 0,1 % Krim','MOMETASONE FUROATE','Tube','Krim','Obat Keras','https://dto.kemkes.go.id/kfacode/93001305',0,'2023-05-01');</v>
      </c>
    </row>
    <row r="909" spans="1:11" ht="15.75" customHeight="1">
      <c r="A909" s="2">
        <v>93000571</v>
      </c>
      <c r="B909" s="2" t="s">
        <v>2987</v>
      </c>
      <c r="C909" s="2">
        <v>92000377</v>
      </c>
      <c r="D909" s="2" t="s">
        <v>1172</v>
      </c>
      <c r="E909" s="2" t="s">
        <v>2988</v>
      </c>
      <c r="F909" s="2" t="s">
        <v>645</v>
      </c>
      <c r="G909" s="2" t="s">
        <v>1506</v>
      </c>
      <c r="H909" s="2" t="s">
        <v>1973</v>
      </c>
      <c r="I909" s="3" t="str">
        <f t="shared" si="0"/>
        <v>https://dto.kemkes.go.id/kfacode/93000571</v>
      </c>
      <c r="J909" s="34" t="s">
        <v>3768</v>
      </c>
      <c r="K909" t="str">
        <f t="shared" si="15"/>
        <v>insert into mkatalog_kfa93 (kode, uraian, kode_92, uraian_92, nama_dagang, satuan_kecil, sediaan, golongan, url, userid_updt, sysdate_updt) values ('93000571','Morphine Hydrochloride 10 mg / mL Injeksi (MORFINA)','92000377','Morphine Hydrochloride 10 mg / mL Injeksi','MORFINA','Ampul','Larutan Injeksi','Obat Narkotik','https://dto.kemkes.go.id/kfacode/93000571',0,'2023-05-01');</v>
      </c>
    </row>
    <row r="910" spans="1:11" ht="15.75" customHeight="1">
      <c r="A910" s="2">
        <v>93000808</v>
      </c>
      <c r="B910" s="2" t="s">
        <v>2989</v>
      </c>
      <c r="C910" s="2">
        <v>92000573</v>
      </c>
      <c r="D910" s="2" t="s">
        <v>1173</v>
      </c>
      <c r="E910" s="2" t="s">
        <v>2990</v>
      </c>
      <c r="F910" s="2" t="s">
        <v>640</v>
      </c>
      <c r="G910" s="2" t="s">
        <v>640</v>
      </c>
      <c r="H910" s="2" t="s">
        <v>1973</v>
      </c>
      <c r="I910" s="3" t="str">
        <f t="shared" si="0"/>
        <v>https://dto.kemkes.go.id/kfacode/93000808</v>
      </c>
      <c r="J910" s="34" t="s">
        <v>3768</v>
      </c>
      <c r="K910" t="str">
        <f t="shared" si="15"/>
        <v>insert into mkatalog_kfa93 (kode, uraian, kode_92, uraian_92, nama_dagang, satuan_kecil, sediaan, golongan, url, userid_updt, sysdate_updt) values ('93000808','Morphine Hydrochloride 10 mg Tablet (KIMIA FARMA)','92000573','Morphine Hydrochloride 10 mg Tablet','MORPHINE HYDROCHLORIDE','Tablet','Tablet','Obat Narkotik','https://dto.kemkes.go.id/kfacode/93000808',0,'2023-05-01');</v>
      </c>
    </row>
    <row r="911" spans="1:11" ht="15.75" customHeight="1">
      <c r="A911" s="2">
        <v>93000150</v>
      </c>
      <c r="B911" s="2" t="s">
        <v>2991</v>
      </c>
      <c r="C911" s="2">
        <v>92000153</v>
      </c>
      <c r="D911" s="2" t="s">
        <v>1174</v>
      </c>
      <c r="E911" s="2" t="s">
        <v>2992</v>
      </c>
      <c r="F911" s="2" t="s">
        <v>640</v>
      </c>
      <c r="G911" s="2" t="s">
        <v>1608</v>
      </c>
      <c r="H911" s="2" t="s">
        <v>1973</v>
      </c>
      <c r="I911" s="3" t="str">
        <f t="shared" si="0"/>
        <v>https://dto.kemkes.go.id/kfacode/93000150</v>
      </c>
      <c r="J911" s="34" t="s">
        <v>3768</v>
      </c>
      <c r="K911" t="str">
        <f t="shared" si="15"/>
        <v>insert into mkatalog_kfa93 (kode, uraian, kode_92, uraian_92, nama_dagang, satuan_kecil, sediaan, golongan, url, userid_updt, sysdate_updt) values ('93000150','Morphine sulfate 10 mg Tablet Pelepasan Lambat (MST CONTINUS)','92000153','Morphine sulfate 10 mg Tablet Pelepasan Lambat','MST CONTINUS','Tablet','Tablet Pelepasan Lambat','Obat Narkotik','https://dto.kemkes.go.id/kfacode/93000150',0,'2023-05-01');</v>
      </c>
    </row>
    <row r="912" spans="1:11" ht="15.75" customHeight="1">
      <c r="A912" s="2">
        <v>93000121</v>
      </c>
      <c r="B912" s="2" t="s">
        <v>2993</v>
      </c>
      <c r="C912" s="2">
        <v>92000113</v>
      </c>
      <c r="D912" s="2" t="s">
        <v>1175</v>
      </c>
      <c r="E912" s="2" t="s">
        <v>2992</v>
      </c>
      <c r="F912" s="2" t="s">
        <v>640</v>
      </c>
      <c r="G912" s="2" t="s">
        <v>1608</v>
      </c>
      <c r="H912" s="2" t="s">
        <v>1973</v>
      </c>
      <c r="I912" s="3" t="str">
        <f t="shared" si="0"/>
        <v>https://dto.kemkes.go.id/kfacode/93000121</v>
      </c>
      <c r="J912" s="34" t="s">
        <v>3768</v>
      </c>
      <c r="K912" t="str">
        <f t="shared" si="15"/>
        <v>insert into mkatalog_kfa93 (kode, uraian, kode_92, uraian_92, nama_dagang, satuan_kecil, sediaan, golongan, url, userid_updt, sysdate_updt) values ('93000121','Morphine Sulfate 15 mg Tablet Pelepasan Lambat (MST CONTINUS)','92000113','Morphine Sulfate 15 mg Tablet Pelepasan Lambat','MST CONTINUS','Tablet','Tablet Pelepasan Lambat','Obat Narkotik','https://dto.kemkes.go.id/kfacode/93000121',0,'2023-05-01');</v>
      </c>
    </row>
    <row r="913" spans="1:11" ht="15.75" customHeight="1">
      <c r="A913" s="2">
        <v>93000952</v>
      </c>
      <c r="B913" s="2" t="s">
        <v>2994</v>
      </c>
      <c r="C913" s="2">
        <v>92000658</v>
      </c>
      <c r="D913" s="2" t="s">
        <v>1176</v>
      </c>
      <c r="E913" s="2" t="s">
        <v>2992</v>
      </c>
      <c r="F913" s="2" t="s">
        <v>640</v>
      </c>
      <c r="G913" s="2" t="s">
        <v>1608</v>
      </c>
      <c r="H913" s="2" t="s">
        <v>1973</v>
      </c>
      <c r="I913" s="3" t="str">
        <f t="shared" si="0"/>
        <v>https://dto.kemkes.go.id/kfacode/93000952</v>
      </c>
      <c r="J913" s="34" t="s">
        <v>3768</v>
      </c>
      <c r="K913" t="str">
        <f t="shared" si="15"/>
        <v>insert into mkatalog_kfa93 (kode, uraian, kode_92, uraian_92, nama_dagang, satuan_kecil, sediaan, golongan, url, userid_updt, sysdate_updt) values ('93000952','Morphine Sulfate 30 mg Tablet Pelepasan Lambat (MST CONTINUS)','92000658','Morphine Sulfate 30 mg Tablet Pelepasan Lambat','MST CONTINUS','Tablet','Tablet Pelepasan Lambat','Obat Narkotik','https://dto.kemkes.go.id/kfacode/93000952',0,'2023-05-01');</v>
      </c>
    </row>
    <row r="914" spans="1:11" ht="15.75" customHeight="1">
      <c r="A914" s="2">
        <v>93001235</v>
      </c>
      <c r="B914" s="2" t="s">
        <v>2995</v>
      </c>
      <c r="C914" s="2">
        <v>92000714</v>
      </c>
      <c r="D914" s="2" t="s">
        <v>1177</v>
      </c>
      <c r="E914" s="2" t="s">
        <v>2996</v>
      </c>
      <c r="F914" s="2" t="s">
        <v>658</v>
      </c>
      <c r="G914" s="2" t="s">
        <v>1530</v>
      </c>
      <c r="H914" s="2" t="s">
        <v>1458</v>
      </c>
      <c r="I914" s="3" t="str">
        <f t="shared" si="0"/>
        <v>https://dto.kemkes.go.id/kfacode/93001235</v>
      </c>
      <c r="J914" s="34" t="s">
        <v>3768</v>
      </c>
      <c r="K914" t="str">
        <f t="shared" si="15"/>
        <v>insert into mkatalog_kfa93 (kode, uraian, kode_92, uraian_92, nama_dagang, satuan_kecil, sediaan, golongan, url, userid_updt, sysdate_updt) values ('93001235','Moxifloxacin 1,6 mg / mL Infus (DEXA MEDICA)','92000714','Moxifloxacin 1,6 mg / mL Infus','MOXIFLOXACIN HCL','Botol','Infus','Obat Keras','https://dto.kemkes.go.id/kfacode/93001235',0,'2023-05-01');</v>
      </c>
    </row>
    <row r="915" spans="1:11" ht="15.75" customHeight="1">
      <c r="A915" s="2">
        <v>93001392</v>
      </c>
      <c r="B915" s="2" t="s">
        <v>2997</v>
      </c>
      <c r="C915" s="2">
        <v>92000746</v>
      </c>
      <c r="D915" s="2" t="s">
        <v>1178</v>
      </c>
      <c r="E915" s="2" t="s">
        <v>2998</v>
      </c>
      <c r="F915" s="2" t="s">
        <v>660</v>
      </c>
      <c r="G915" s="2" t="s">
        <v>1619</v>
      </c>
      <c r="H915" s="2" t="s">
        <v>1458</v>
      </c>
      <c r="I915" s="3" t="str">
        <f t="shared" si="0"/>
        <v>https://dto.kemkes.go.id/kfacode/93001392</v>
      </c>
      <c r="J915" s="34" t="s">
        <v>3768</v>
      </c>
      <c r="K915" t="str">
        <f t="shared" si="15"/>
        <v>insert into mkatalog_kfa93 (kode, uraian, kode_92, uraian_92, nama_dagang, satuan_kecil, sediaan, golongan, url, userid_updt, sysdate_updt) values ('93001392','Moxifloxacin 400 mg Kaplet Salut Selaput (DEXA MEDICA)','92000746','Moxifloxacin 400 mg Kaplet Salut Selaput','MOXIFLOXACIN HCl','Kaplet','Kaplet Salut Selaput','Obat Keras','https://dto.kemkes.go.id/kfacode/93001392',0,'2023-05-01');</v>
      </c>
    </row>
    <row r="916" spans="1:11" ht="15.75" customHeight="1">
      <c r="A916" s="2">
        <v>93000877</v>
      </c>
      <c r="B916" s="2" t="s">
        <v>2999</v>
      </c>
      <c r="C916" s="2">
        <v>92000562</v>
      </c>
      <c r="D916" s="2" t="s">
        <v>1181</v>
      </c>
      <c r="E916" s="2" t="s">
        <v>3000</v>
      </c>
      <c r="F916" s="2" t="s">
        <v>702</v>
      </c>
      <c r="G916" s="2" t="s">
        <v>1530</v>
      </c>
      <c r="H916" s="2" t="s">
        <v>1458</v>
      </c>
      <c r="I916" s="3" t="str">
        <f t="shared" si="0"/>
        <v>https://dto.kemkes.go.id/kfacode/93000877</v>
      </c>
      <c r="J916" s="34" t="s">
        <v>3768</v>
      </c>
      <c r="K916" t="str">
        <f t="shared" si="15"/>
        <v>insert into mkatalog_kfa93 (kode, uraian, kode_92, uraian_92, nama_dagang, satuan_kecil, sediaan, golongan, url, userid_updt, sysdate_updt) values ('93000877','N(2)-L-Alanyl-L-Glutamine 20% Infus (DIPEPTIVEN)','92000562','N(2)-L-Alanyl-L-Glutamine 20% Infus','DIPEPTIVEN','Botol Plastik','Infus','Obat Keras','https://dto.kemkes.go.id/kfacode/93000877',0,'2023-05-01');</v>
      </c>
    </row>
    <row r="917" spans="1:11" ht="15.75" customHeight="1">
      <c r="A917" s="2">
        <v>93000995</v>
      </c>
      <c r="B917" s="2" t="s">
        <v>3001</v>
      </c>
      <c r="C917" s="2">
        <v>92000562</v>
      </c>
      <c r="D917" s="2" t="s">
        <v>1181</v>
      </c>
      <c r="E917" s="2" t="s">
        <v>3002</v>
      </c>
      <c r="F917" s="2" t="s">
        <v>702</v>
      </c>
      <c r="G917" s="2" t="s">
        <v>1530</v>
      </c>
      <c r="H917" s="2" t="s">
        <v>1458</v>
      </c>
      <c r="I917" s="3" t="str">
        <f t="shared" si="0"/>
        <v>https://dto.kemkes.go.id/kfacode/93000995</v>
      </c>
      <c r="J917" s="34" t="s">
        <v>3768</v>
      </c>
      <c r="K917" t="str">
        <f t="shared" si="15"/>
        <v>insert into mkatalog_kfa93 (kode, uraian, kode_92, uraian_92, nama_dagang, satuan_kecil, sediaan, golongan, url, userid_updt, sysdate_updt) values ('93000995','N(2)-L-Alanyl-L-Glutamine 20% Infus (GLUTALAN, 100 mL)','92000562','N(2)-L-Alanyl-L-Glutamine 20% Infus','GLUTALAN','Botol Plastik','Infus','Obat Keras','https://dto.kemkes.go.id/kfacode/93000995',0,'2023-05-01');</v>
      </c>
    </row>
    <row r="918" spans="1:11" ht="15.75" customHeight="1">
      <c r="A918" s="2">
        <v>93000894</v>
      </c>
      <c r="B918" s="2" t="s">
        <v>3003</v>
      </c>
      <c r="C918" s="2">
        <v>92000562</v>
      </c>
      <c r="D918" s="2" t="s">
        <v>1181</v>
      </c>
      <c r="E918" s="2" t="s">
        <v>3004</v>
      </c>
      <c r="F918" s="2" t="s">
        <v>702</v>
      </c>
      <c r="G918" s="2" t="s">
        <v>1530</v>
      </c>
      <c r="H918" s="2" t="s">
        <v>1458</v>
      </c>
      <c r="I918" s="3" t="str">
        <f t="shared" si="0"/>
        <v>https://dto.kemkes.go.id/kfacode/93000894</v>
      </c>
      <c r="J918" s="34" t="s">
        <v>3768</v>
      </c>
      <c r="K918" t="str">
        <f t="shared" si="15"/>
        <v>insert into mkatalog_kfa93 (kode, uraian, kode_92, uraian_92, nama_dagang, satuan_kecil, sediaan, golongan, url, userid_updt, sysdate_updt) values ('93000894','N(2)-L-Alanyl-L-Glutamine 20% Infus (GLUTIVEN, 100 mL)','92000562','N(2)-L-Alanyl-L-Glutamine 20% Infus','GLUTIVEN','Botol Plastik','Infus','Obat Keras','https://dto.kemkes.go.id/kfacode/93000894',0,'2023-05-01');</v>
      </c>
    </row>
    <row r="919" spans="1:11" ht="15.75" customHeight="1">
      <c r="A919" s="2">
        <v>93001124</v>
      </c>
      <c r="B919" s="2" t="s">
        <v>3005</v>
      </c>
      <c r="C919" s="2">
        <v>92000678</v>
      </c>
      <c r="D919" s="2" t="s">
        <v>1182</v>
      </c>
      <c r="E919" s="2" t="s">
        <v>3006</v>
      </c>
      <c r="F919" s="2" t="s">
        <v>645</v>
      </c>
      <c r="G919" s="2" t="s">
        <v>1506</v>
      </c>
      <c r="H919" s="2" t="s">
        <v>1458</v>
      </c>
      <c r="I919" s="3" t="str">
        <f t="shared" si="0"/>
        <v>https://dto.kemkes.go.id/kfacode/93001124</v>
      </c>
      <c r="J919" s="34" t="s">
        <v>3768</v>
      </c>
      <c r="K919" t="str">
        <f t="shared" si="15"/>
        <v>insert into mkatalog_kfa93 (kode, uraian, kode_92, uraian_92, nama_dagang, satuan_kecil, sediaan, golongan, url, userid_updt, sysdate_updt) values ('93001124','Naloxone Hydrochloride 0,4 mg / mL Injeksi (ETHICA INDUSTRI FARMASI)','92000678','Naloxone Hydrochloride 0,4 mg / mL Injeksi','NALOXONE HYDROCHLORIDE DIHYDRATE','Ampul','Larutan Injeksi','Obat Keras','https://dto.kemkes.go.id/kfacode/93001124',0,'2023-05-01');</v>
      </c>
    </row>
    <row r="920" spans="1:11" ht="15.75" customHeight="1">
      <c r="A920" s="2">
        <v>93001030</v>
      </c>
      <c r="B920" s="2" t="s">
        <v>3007</v>
      </c>
      <c r="C920" s="2">
        <v>92000678</v>
      </c>
      <c r="D920" s="2" t="s">
        <v>1182</v>
      </c>
      <c r="E920" s="2" t="s">
        <v>3008</v>
      </c>
      <c r="F920" s="2" t="s">
        <v>645</v>
      </c>
      <c r="G920" s="2" t="s">
        <v>1506</v>
      </c>
      <c r="H920" s="2" t="s">
        <v>1458</v>
      </c>
      <c r="I920" s="3" t="str">
        <f t="shared" si="0"/>
        <v>https://dto.kemkes.go.id/kfacode/93001030</v>
      </c>
      <c r="J920" s="34" t="s">
        <v>3768</v>
      </c>
      <c r="K920" t="str">
        <f t="shared" si="15"/>
        <v>insert into mkatalog_kfa93 (kode, uraian, kode_92, uraian_92, nama_dagang, satuan_kecil, sediaan, golongan, url, userid_updt, sysdate_updt) values ('93001030','Naloxone Hydrochloride 0,4 mg / mL Injeksi (PRATAPA NIRMALA)','92000678','Naloxone Hydrochloride 0,4 mg / mL Injeksi','NALOXONE HYDROCHLORIDE','Ampul','Larutan Injeksi','Obat Keras','https://dto.kemkes.go.id/kfacode/93001030',0,'2023-05-01');</v>
      </c>
    </row>
    <row r="921" spans="1:11" ht="15.75" customHeight="1">
      <c r="A921" s="2">
        <v>93001050</v>
      </c>
      <c r="B921" s="2" t="s">
        <v>3009</v>
      </c>
      <c r="C921" s="2">
        <v>92000735</v>
      </c>
      <c r="D921" s="2" t="s">
        <v>1183</v>
      </c>
      <c r="E921" s="2" t="s">
        <v>3010</v>
      </c>
      <c r="F921" s="2" t="s">
        <v>645</v>
      </c>
      <c r="G921" s="2" t="s">
        <v>1506</v>
      </c>
      <c r="H921" s="2" t="s">
        <v>1458</v>
      </c>
      <c r="I921" s="3" t="str">
        <f t="shared" si="0"/>
        <v>https://dto.kemkes.go.id/kfacode/93001050</v>
      </c>
      <c r="J921" s="34" t="s">
        <v>3768</v>
      </c>
      <c r="K921" t="str">
        <f t="shared" si="15"/>
        <v>insert into mkatalog_kfa93 (kode, uraian, kode_92, uraian_92, nama_dagang, satuan_kecil, sediaan, golongan, url, userid_updt, sysdate_updt) values ('93001050','Natrium Diklofenak / Diclofenac Sodium 25 mg / mL Injeksi (VOLTAREN)','92000735','Natrium Diklofenak / Diclofenac Sodium 25 mg / mL Injeksi','VOLTAREN','Ampul','Larutan Injeksi','Obat Keras','https://dto.kemkes.go.id/kfacode/93001050',0,'2023-05-01');</v>
      </c>
    </row>
    <row r="922" spans="1:11" ht="15.75" customHeight="1">
      <c r="A922" s="2">
        <v>93001106</v>
      </c>
      <c r="B922" s="2" t="s">
        <v>3011</v>
      </c>
      <c r="C922" s="2">
        <v>92000115</v>
      </c>
      <c r="D922" s="2" t="s">
        <v>1184</v>
      </c>
      <c r="E922" s="2" t="s">
        <v>3012</v>
      </c>
      <c r="F922" s="2" t="s">
        <v>645</v>
      </c>
      <c r="G922" s="2" t="s">
        <v>1506</v>
      </c>
      <c r="H922" s="2" t="s">
        <v>1458</v>
      </c>
      <c r="I922" s="3" t="str">
        <f t="shared" si="0"/>
        <v>https://dto.kemkes.go.id/kfacode/93001106</v>
      </c>
      <c r="J922" s="34" t="s">
        <v>3768</v>
      </c>
      <c r="K922" t="str">
        <f t="shared" si="15"/>
        <v>insert into mkatalog_kfa93 (kode, uraian, kode_92, uraian_92, nama_dagang, satuan_kecil, sediaan, golongan, url, userid_updt, sysdate_updt) values ('93001106','Neostigmine Metilsulfate 0,5 mg / mL Injeksi (ETHICA)','92000115','Neostigmine Metilsulfate 0,5 mg / mL Injeksi','NEOSTIGMINE METILSULFATE','Ampul','Larutan Injeksi','Obat Keras','https://dto.kemkes.go.id/kfacode/93001106',0,'2023-05-01');</v>
      </c>
    </row>
    <row r="923" spans="1:11" ht="15.75" customHeight="1">
      <c r="A923" s="2">
        <v>93001512</v>
      </c>
      <c r="B923" s="2" t="s">
        <v>3013</v>
      </c>
      <c r="C923" s="2">
        <v>92000115</v>
      </c>
      <c r="D923" s="2" t="s">
        <v>1184</v>
      </c>
      <c r="E923" s="2" t="s">
        <v>3014</v>
      </c>
      <c r="F923" s="2" t="s">
        <v>645</v>
      </c>
      <c r="G923" s="2" t="s">
        <v>1506</v>
      </c>
      <c r="H923" s="2" t="s">
        <v>1458</v>
      </c>
      <c r="I923" s="3" t="str">
        <f t="shared" si="0"/>
        <v>https://dto.kemkes.go.id/kfacode/93001512</v>
      </c>
      <c r="J923" s="34" t="s">
        <v>3768</v>
      </c>
      <c r="K923" t="str">
        <f t="shared" si="15"/>
        <v>insert into mkatalog_kfa93 (kode, uraian, kode_92, uraian_92, nama_dagang, satuan_kecil, sediaan, golongan, url, userid_updt, sysdate_updt) values ('93001512','Neostigmine Metilsulfate 0,5 mg / mL Injeksi (Neostigmine - Hameln)','92000115','Neostigmine Metilsulfate 0,5 mg / mL Injeksi','NEOSTIGMINE - HAMELN','Ampul','Larutan Injeksi','Obat Keras','https://dto.kemkes.go.id/kfacode/93001512',0,'2023-05-01');</v>
      </c>
    </row>
    <row r="924" spans="1:11" ht="15.75" customHeight="1">
      <c r="A924" s="2">
        <v>93001513</v>
      </c>
      <c r="B924" s="2" t="s">
        <v>3015</v>
      </c>
      <c r="C924" s="2">
        <v>92000115</v>
      </c>
      <c r="D924" s="2" t="s">
        <v>1184</v>
      </c>
      <c r="E924" s="2" t="s">
        <v>3016</v>
      </c>
      <c r="F924" s="2" t="s">
        <v>645</v>
      </c>
      <c r="G924" s="2" t="s">
        <v>1506</v>
      </c>
      <c r="H924" s="2" t="s">
        <v>1458</v>
      </c>
      <c r="I924" s="3" t="str">
        <f t="shared" si="0"/>
        <v>https://dto.kemkes.go.id/kfacode/93001513</v>
      </c>
      <c r="J924" s="34" t="s">
        <v>3768</v>
      </c>
      <c r="K924" t="str">
        <f t="shared" si="15"/>
        <v>insert into mkatalog_kfa93 (kode, uraian, kode_92, uraian_92, nama_dagang, satuan_kecil, sediaan, golongan, url, userid_updt, sysdate_updt) values ('93001513','Neostigmine Metilsulfate 0,5 mg / mL Injeksi (Prostigmin)','92000115','Neostigmine Metilsulfate 0,5 mg / mL Injeksi','PROSTIGMIN','Ampul','Larutan Injeksi','Obat Keras','https://dto.kemkes.go.id/kfacode/93001513',0,'2023-05-01');</v>
      </c>
    </row>
    <row r="925" spans="1:11" ht="15.75" customHeight="1">
      <c r="A925" s="2">
        <v>93001514</v>
      </c>
      <c r="B925" s="2" t="s">
        <v>3017</v>
      </c>
      <c r="C925" s="2">
        <v>92000115</v>
      </c>
      <c r="D925" s="2" t="s">
        <v>1184</v>
      </c>
      <c r="E925" s="2" t="s">
        <v>3018</v>
      </c>
      <c r="F925" s="2" t="s">
        <v>645</v>
      </c>
      <c r="G925" s="2" t="s">
        <v>1506</v>
      </c>
      <c r="H925" s="2" t="s">
        <v>1458</v>
      </c>
      <c r="I925" s="3" t="str">
        <f t="shared" si="0"/>
        <v>https://dto.kemkes.go.id/kfacode/93001514</v>
      </c>
      <c r="J925" s="34" t="s">
        <v>3768</v>
      </c>
      <c r="K925" t="str">
        <f t="shared" si="15"/>
        <v>insert into mkatalog_kfa93 (kode, uraian, kode_92, uraian_92, nama_dagang, satuan_kecil, sediaan, golongan, url, userid_updt, sysdate_updt) values ('93001514','Neostigmine Metilsulfate 0,5 mg / mL Injeksi (Tyzox)','92000115','Neostigmine Metilsulfate 0,5 mg / mL Injeksi','TYZOX','Ampul','Larutan Injeksi','Obat Keras','https://dto.kemkes.go.id/kfacode/93001514',0,'2023-05-01');</v>
      </c>
    </row>
    <row r="926" spans="1:11" ht="15.75" customHeight="1">
      <c r="A926" s="2">
        <v>93000948</v>
      </c>
      <c r="B926" s="2" t="s">
        <v>3019</v>
      </c>
      <c r="C926" s="2">
        <v>92000655</v>
      </c>
      <c r="D926" s="2" t="s">
        <v>1185</v>
      </c>
      <c r="E926" s="2" t="s">
        <v>3020</v>
      </c>
      <c r="F926" s="2" t="s">
        <v>660</v>
      </c>
      <c r="G926" s="2" t="s">
        <v>660</v>
      </c>
      <c r="H926" s="2" t="s">
        <v>1458</v>
      </c>
      <c r="I926" s="3" t="str">
        <f t="shared" si="0"/>
        <v>https://dto.kemkes.go.id/kfacode/93000948</v>
      </c>
      <c r="J926" s="34" t="s">
        <v>3768</v>
      </c>
      <c r="K926" t="str">
        <f t="shared" si="15"/>
        <v>insert into mkatalog_kfa93 (kode, uraian, kode_92, uraian_92, nama_dagang, satuan_kecil, sediaan, golongan, url, userid_updt, sysdate_updt) values ('93000948','Nevirapine 200 mg Kaplet (KIMIA FARMA)','92000655','Nevirapine 200 mg Kaplet','NEVIRAPINE','Kaplet','Kaplet','Obat Keras','https://dto.kemkes.go.id/kfacode/93000948',0,'2023-05-01');</v>
      </c>
    </row>
    <row r="927" spans="1:11" ht="15.75" customHeight="1">
      <c r="A927" s="2">
        <v>93000759</v>
      </c>
      <c r="B927" s="2" t="s">
        <v>3021</v>
      </c>
      <c r="C927" s="2">
        <v>92000412</v>
      </c>
      <c r="D927" s="2" t="s">
        <v>1186</v>
      </c>
      <c r="E927" s="2" t="s">
        <v>3022</v>
      </c>
      <c r="F927" s="2" t="s">
        <v>645</v>
      </c>
      <c r="G927" s="2" t="s">
        <v>1506</v>
      </c>
      <c r="H927" s="2" t="s">
        <v>1458</v>
      </c>
      <c r="I927" s="3" t="str">
        <f t="shared" si="0"/>
        <v>https://dto.kemkes.go.id/kfacode/93000759</v>
      </c>
      <c r="J927" s="34" t="s">
        <v>3768</v>
      </c>
      <c r="K927" t="str">
        <f t="shared" si="15"/>
        <v>insert into mkatalog_kfa93 (kode, uraian, kode_92, uraian_92, nama_dagang, satuan_kecil, sediaan, golongan, url, userid_updt, sysdate_updt) values ('93000759','Nicardipine Hydrochloride 1 mg/ml Injeksi (DEXA MEDICA)','92000412','Nicardipine Hydrochloride 1 mg/ml Injeksi','NICARDIPINE HYDROCHLORIDE','Ampul','Larutan Injeksi','Obat Keras','https://dto.kemkes.go.id/kfacode/93000759',0,'2023-05-01');</v>
      </c>
    </row>
    <row r="928" spans="1:11" ht="15.75" customHeight="1">
      <c r="A928" s="2">
        <v>93000329</v>
      </c>
      <c r="B928" s="2" t="s">
        <v>3023</v>
      </c>
      <c r="C928" s="2">
        <v>92000257</v>
      </c>
      <c r="D928" s="2" t="s">
        <v>1187</v>
      </c>
      <c r="E928" s="2" t="s">
        <v>3024</v>
      </c>
      <c r="F928" s="2" t="s">
        <v>640</v>
      </c>
      <c r="G928" s="2" t="s">
        <v>1608</v>
      </c>
      <c r="H928" s="2" t="s">
        <v>1458</v>
      </c>
      <c r="I928" s="3" t="str">
        <f t="shared" si="0"/>
        <v>https://dto.kemkes.go.id/kfacode/93000329</v>
      </c>
      <c r="J928" s="34" t="s">
        <v>3768</v>
      </c>
      <c r="K928" t="str">
        <f t="shared" si="15"/>
        <v>insert into mkatalog_kfa93 (kode, uraian, kode_92, uraian_92, nama_dagang, satuan_kecil, sediaan, golongan, url, userid_updt, sysdate_updt) values ('93000329','Nifedipine 30 mg Tablet Pelepasan Lambat (ADALAT OROS)','92000257','Nifedipine 30 mg Tablet Pelepasan Lambat','ADALAT OROS','Tablet','Tablet Pelepasan Lambat','Obat Keras','https://dto.kemkes.go.id/kfacode/93000329',0,'2023-05-01');</v>
      </c>
    </row>
    <row r="929" spans="1:11" ht="15.75" customHeight="1">
      <c r="A929" s="2">
        <v>93001388</v>
      </c>
      <c r="B929" s="2" t="s">
        <v>3025</v>
      </c>
      <c r="C929" s="2">
        <v>92000752</v>
      </c>
      <c r="D929" s="2" t="s">
        <v>1188</v>
      </c>
      <c r="E929" s="2" t="s">
        <v>3026</v>
      </c>
      <c r="F929" s="2" t="s">
        <v>649</v>
      </c>
      <c r="G929" s="2" t="s">
        <v>649</v>
      </c>
      <c r="H929" s="2" t="s">
        <v>1458</v>
      </c>
      <c r="I929" s="3" t="str">
        <f t="shared" si="0"/>
        <v>https://dto.kemkes.go.id/kfacode/93001388</v>
      </c>
      <c r="J929" s="34" t="s">
        <v>3768</v>
      </c>
      <c r="K929" t="str">
        <f t="shared" si="15"/>
        <v>insert into mkatalog_kfa93 (kode, uraian, kode_92, uraian_92, nama_dagang, satuan_kecil, sediaan, golongan, url, userid_updt, sysdate_updt) values ('93001388','Nilotinib Hydrochloride 150 mg Kapsul (TASIGNA)','92000752','Nilotinib Hydrochloride 150 mg Kapsul','TASIGNA','Kapsul','Kapsul','Obat Keras','https://dto.kemkes.go.id/kfacode/93001388',0,'2023-05-01');</v>
      </c>
    </row>
    <row r="930" spans="1:11" ht="15.75" customHeight="1">
      <c r="A930" s="2">
        <v>93001387</v>
      </c>
      <c r="B930" s="2" t="s">
        <v>3027</v>
      </c>
      <c r="C930" s="2">
        <v>92000750</v>
      </c>
      <c r="D930" s="2" t="s">
        <v>1189</v>
      </c>
      <c r="E930" s="2" t="s">
        <v>3026</v>
      </c>
      <c r="F930" s="2" t="s">
        <v>649</v>
      </c>
      <c r="G930" s="2" t="s">
        <v>649</v>
      </c>
      <c r="H930" s="2" t="s">
        <v>1458</v>
      </c>
      <c r="I930" s="3" t="str">
        <f t="shared" si="0"/>
        <v>https://dto.kemkes.go.id/kfacode/93001387</v>
      </c>
      <c r="J930" s="34" t="s">
        <v>3768</v>
      </c>
      <c r="K930" t="str">
        <f t="shared" si="15"/>
        <v>insert into mkatalog_kfa93 (kode, uraian, kode_92, uraian_92, nama_dagang, satuan_kecil, sediaan, golongan, url, userid_updt, sysdate_updt) values ('93001387','Nilotinib Hydrochloride 200 mg Kapsul (TASIGNA)','92000750','Nilotinib Hydrochloride 200 mg Kapsul','TASIGNA','Kapsul','Kapsul','Obat Keras','https://dto.kemkes.go.id/kfacode/93001387',0,'2023-05-01');</v>
      </c>
    </row>
    <row r="931" spans="1:11" ht="15.75" customHeight="1">
      <c r="A931" s="2">
        <v>93000188</v>
      </c>
      <c r="B931" s="2" t="s">
        <v>3028</v>
      </c>
      <c r="C931" s="2">
        <v>92000190</v>
      </c>
      <c r="D931" s="2" t="s">
        <v>1190</v>
      </c>
      <c r="E931" s="2" t="s">
        <v>3029</v>
      </c>
      <c r="F931" s="2" t="s">
        <v>653</v>
      </c>
      <c r="G931" s="2" t="s">
        <v>1530</v>
      </c>
      <c r="H931" s="2" t="s">
        <v>1458</v>
      </c>
      <c r="I931" s="3" t="str">
        <f t="shared" si="0"/>
        <v>https://dto.kemkes.go.id/kfacode/93000188</v>
      </c>
      <c r="J931" s="34" t="s">
        <v>3768</v>
      </c>
      <c r="K931" t="str">
        <f t="shared" si="15"/>
        <v>insert into mkatalog_kfa93 (kode, uraian, kode_92, uraian_92, nama_dagang, satuan_kecil, sediaan, golongan, url, userid_updt, sysdate_updt) values ('93000188','Nimodipine 10 mg Infus (BERNOFARM)','92000190','Nimodipine 10 mg Infus','NIMODIPINE','Vial','Infus','Obat Keras','https://dto.kemkes.go.id/kfacode/93000188',0,'2023-05-01');</v>
      </c>
    </row>
    <row r="932" spans="1:11" ht="15.75" customHeight="1">
      <c r="A932" s="2">
        <v>93001185</v>
      </c>
      <c r="B932" s="2" t="s">
        <v>3030</v>
      </c>
      <c r="C932" s="2">
        <v>92000688</v>
      </c>
      <c r="D932" s="2" t="s">
        <v>1191</v>
      </c>
      <c r="E932" s="2" t="s">
        <v>3031</v>
      </c>
      <c r="F932" s="2" t="s">
        <v>640</v>
      </c>
      <c r="G932" s="2" t="s">
        <v>1457</v>
      </c>
      <c r="H932" s="2" t="s">
        <v>1458</v>
      </c>
      <c r="I932" s="3" t="str">
        <f t="shared" si="0"/>
        <v>https://dto.kemkes.go.id/kfacode/93001185</v>
      </c>
      <c r="J932" s="34" t="s">
        <v>3768</v>
      </c>
      <c r="K932" t="str">
        <f t="shared" si="15"/>
        <v>insert into mkatalog_kfa93 (kode, uraian, kode_92, uraian_92, nama_dagang, satuan_kecil, sediaan, golongan, url, userid_updt, sysdate_updt) values ('93001185','Nimodipine 30 mg Tablet Salut Selaput (NIMOTOP)','92000688','Nimodipine 30 mg Tablet Salut Selaput','NIMOTOP','Tablet','Tablet Salut Selaput','Obat Keras','https://dto.kemkes.go.id/kfacode/93001185',0,'2023-05-01');</v>
      </c>
    </row>
    <row r="933" spans="1:11" ht="15.75" customHeight="1">
      <c r="A933" s="2">
        <v>93001332</v>
      </c>
      <c r="B933" s="2" t="s">
        <v>3032</v>
      </c>
      <c r="C933" s="2">
        <v>92000791</v>
      </c>
      <c r="D933" s="2" t="s">
        <v>1192</v>
      </c>
      <c r="E933" s="2" t="s">
        <v>3033</v>
      </c>
      <c r="F933" s="2" t="s">
        <v>645</v>
      </c>
      <c r="G933" s="2" t="s">
        <v>1506</v>
      </c>
      <c r="H933" s="2" t="s">
        <v>1458</v>
      </c>
      <c r="I933" s="3" t="str">
        <f t="shared" si="0"/>
        <v>https://dto.kemkes.go.id/kfacode/93001332</v>
      </c>
      <c r="J933" s="34" t="s">
        <v>3768</v>
      </c>
      <c r="K933" t="str">
        <f t="shared" si="15"/>
        <v>insert into mkatalog_kfa93 (kode, uraian, kode_92, uraian_92, nama_dagang, satuan_kecil, sediaan, golongan, url, userid_updt, sysdate_updt) values ('93001332','Norepinephrine Bitartate 1 mg / mL Injeksi (DEXA MEDICA)','92000791','Norepinephrine Bitartate 1 mg / mL Injeksi','NOREPINEPHRINE BITARTRATE MONOHYDRATE','Ampul','Larutan Injeksi','Obat Keras','https://dto.kemkes.go.id/kfacode/93001332',0,'2023-05-01');</v>
      </c>
    </row>
    <row r="934" spans="1:11" ht="15.75" customHeight="1">
      <c r="A934" s="2">
        <v>93001402</v>
      </c>
      <c r="B934" s="2" t="s">
        <v>3034</v>
      </c>
      <c r="C934" s="2">
        <v>92000728</v>
      </c>
      <c r="D934" s="2" t="s">
        <v>1193</v>
      </c>
      <c r="E934" s="2" t="s">
        <v>3035</v>
      </c>
      <c r="F934" s="2" t="s">
        <v>640</v>
      </c>
      <c r="G934" s="2" t="s">
        <v>640</v>
      </c>
      <c r="H934" s="2" t="s">
        <v>1458</v>
      </c>
      <c r="I934" s="3" t="str">
        <f t="shared" si="0"/>
        <v>https://dto.kemkes.go.id/kfacode/93001402</v>
      </c>
      <c r="J934" s="34" t="s">
        <v>3768</v>
      </c>
      <c r="K934" t="str">
        <f t="shared" si="15"/>
        <v>insert into mkatalog_kfa93 (kode, uraian, kode_92, uraian_92, nama_dagang, satuan_kecil, sediaan, golongan, url, userid_updt, sysdate_updt) values ('93001402','Norethisterone 5 mg Tablet (LUTERON)','92000728','Norethisterone 5 mg Tablet','LUTERON','Tablet','Tablet','Obat Keras','https://dto.kemkes.go.id/kfacode/93001402',0,'2023-05-01');</v>
      </c>
    </row>
    <row r="935" spans="1:11" ht="15.75" customHeight="1">
      <c r="A935" s="2">
        <v>93001153</v>
      </c>
      <c r="B935" s="2" t="s">
        <v>3036</v>
      </c>
      <c r="C935" s="2">
        <v>92000662</v>
      </c>
      <c r="D935" s="2" t="s">
        <v>1194</v>
      </c>
      <c r="E935" s="2" t="s">
        <v>3037</v>
      </c>
      <c r="F935" s="2" t="s">
        <v>671</v>
      </c>
      <c r="G935" s="2" t="s">
        <v>1530</v>
      </c>
      <c r="H935" s="2" t="s">
        <v>1458</v>
      </c>
      <c r="I935" s="3" t="str">
        <f t="shared" si="0"/>
        <v>https://dto.kemkes.go.id/kfacode/93001153</v>
      </c>
      <c r="J935" s="34" t="s">
        <v>3768</v>
      </c>
      <c r="K935" t="str">
        <f t="shared" si="15"/>
        <v>insert into mkatalog_kfa93 (kode, uraian, kode_92, uraian_92, nama_dagang, satuan_kecil, sediaan, golongan, url, userid_updt, sysdate_updt) values ('93001153','Nutriflex Infus (NUTRIFLEX LIPID SPECIAL, 1250 mL)','92000662','Nutriflex Infus','NUTRIFLEX LIPID SPECIAL','Kantong','Infus','Obat Keras','https://dto.kemkes.go.id/kfacode/93001153',0,'2023-05-01');</v>
      </c>
    </row>
    <row r="936" spans="1:11" ht="15.75" customHeight="1">
      <c r="A936" s="2">
        <v>93001152</v>
      </c>
      <c r="B936" s="2" t="s">
        <v>3038</v>
      </c>
      <c r="C936" s="2">
        <v>92000662</v>
      </c>
      <c r="D936" s="2" t="s">
        <v>1194</v>
      </c>
      <c r="E936" s="2" t="s">
        <v>3037</v>
      </c>
      <c r="F936" s="2" t="s">
        <v>671</v>
      </c>
      <c r="G936" s="2" t="s">
        <v>1530</v>
      </c>
      <c r="H936" s="2" t="s">
        <v>1458</v>
      </c>
      <c r="I936" s="3" t="str">
        <f t="shared" si="0"/>
        <v>https://dto.kemkes.go.id/kfacode/93001152</v>
      </c>
      <c r="J936" s="34" t="s">
        <v>3768</v>
      </c>
      <c r="K936" t="str">
        <f t="shared" si="15"/>
        <v>insert into mkatalog_kfa93 (kode, uraian, kode_92, uraian_92, nama_dagang, satuan_kecil, sediaan, golongan, url, userid_updt, sysdate_updt) values ('93001152','Nutriflex Infus (NUTRIFLEX LIPID SPECIAL, 625 mL)','92000662','Nutriflex Infus','NUTRIFLEX LIPID SPECIAL','Kantong','Infus','Obat Keras','https://dto.kemkes.go.id/kfacode/93001152',0,'2023-05-01');</v>
      </c>
    </row>
    <row r="937" spans="1:11" ht="15.75" customHeight="1">
      <c r="A937" s="2">
        <v>93001014</v>
      </c>
      <c r="B937" s="2" t="s">
        <v>3039</v>
      </c>
      <c r="C937" s="2">
        <v>92000302</v>
      </c>
      <c r="D937" s="2" t="s">
        <v>1195</v>
      </c>
      <c r="E937" s="2" t="s">
        <v>3040</v>
      </c>
      <c r="F937" s="2" t="s">
        <v>658</v>
      </c>
      <c r="G937" s="2" t="s">
        <v>1509</v>
      </c>
      <c r="H937" s="2" t="s">
        <v>1458</v>
      </c>
      <c r="I937" s="3" t="str">
        <f t="shared" si="0"/>
        <v>https://dto.kemkes.go.id/kfacode/93001014</v>
      </c>
      <c r="J937" s="34" t="s">
        <v>3768</v>
      </c>
      <c r="K937" t="str">
        <f t="shared" si="15"/>
        <v>insert into mkatalog_kfa93 (kode, uraian, kode_92, uraian_92, nama_dagang, satuan_kecil, sediaan, golongan, url, userid_updt, sysdate_updt) values ('93001014','Nystatin 100.000 IU / mL Suspensi (BERNOFARM)','92000302','Nystatin 100.000 IU / mL Suspensi','NYSTATIN','Botol','Suspensi','Obat Keras','https://dto.kemkes.go.id/kfacode/93001014',0,'2023-05-01');</v>
      </c>
    </row>
    <row r="938" spans="1:11" ht="15.75" customHeight="1">
      <c r="A938" s="2">
        <v>93001515</v>
      </c>
      <c r="B938" s="2" t="s">
        <v>3041</v>
      </c>
      <c r="C938" s="2">
        <v>92000302</v>
      </c>
      <c r="D938" s="2" t="s">
        <v>1195</v>
      </c>
      <c r="E938" s="2" t="s">
        <v>3040</v>
      </c>
      <c r="F938" s="2" t="s">
        <v>658</v>
      </c>
      <c r="G938" s="2" t="s">
        <v>1509</v>
      </c>
      <c r="H938" s="2" t="s">
        <v>1458</v>
      </c>
      <c r="I938" s="3" t="str">
        <f t="shared" si="0"/>
        <v>https://dto.kemkes.go.id/kfacode/93001515</v>
      </c>
      <c r="J938" s="34" t="s">
        <v>3768</v>
      </c>
      <c r="K938" t="str">
        <f t="shared" si="15"/>
        <v>insert into mkatalog_kfa93 (kode, uraian, kode_92, uraian_92, nama_dagang, satuan_kecil, sediaan, golongan, url, userid_updt, sysdate_updt) values ('93001515','Nystatin 100.000 IU / mL Suspensi (IFARS PHARMACEUTICAL LABORATORIES)','92000302','Nystatin 100.000 IU / mL Suspensi','NYSTATIN','Botol','Suspensi','Obat Keras','https://dto.kemkes.go.id/kfacode/93001515',0,'2023-05-01');</v>
      </c>
    </row>
    <row r="939" spans="1:11" ht="15.75" customHeight="1">
      <c r="A939" s="2">
        <v>93001405</v>
      </c>
      <c r="B939" s="2" t="s">
        <v>3042</v>
      </c>
      <c r="C939" s="2">
        <v>92000302</v>
      </c>
      <c r="D939" s="2" t="s">
        <v>1195</v>
      </c>
      <c r="E939" s="2" t="s">
        <v>3040</v>
      </c>
      <c r="F939" s="2" t="s">
        <v>658</v>
      </c>
      <c r="G939" s="2" t="s">
        <v>1509</v>
      </c>
      <c r="H939" s="2" t="s">
        <v>1458</v>
      </c>
      <c r="I939" s="3" t="str">
        <f t="shared" si="0"/>
        <v>https://dto.kemkes.go.id/kfacode/93001405</v>
      </c>
      <c r="J939" s="34" t="s">
        <v>3768</v>
      </c>
      <c r="K939" t="str">
        <f t="shared" si="15"/>
        <v>insert into mkatalog_kfa93 (kode, uraian, kode_92, uraian_92, nama_dagang, satuan_kecil, sediaan, golongan, url, userid_updt, sysdate_updt) values ('93001405','Nystatin 100.000 IU / mL Suspensi (LAPI LABORATORIES)','92000302','Nystatin 100.000 IU / mL Suspensi','NYSTATIN','Botol','Suspensi','Obat Keras','https://dto.kemkes.go.id/kfacode/93001405',0,'2023-05-01');</v>
      </c>
    </row>
    <row r="940" spans="1:11" ht="15.75" customHeight="1">
      <c r="A940" s="2">
        <v>93001179</v>
      </c>
      <c r="B940" s="2" t="s">
        <v>3043</v>
      </c>
      <c r="C940" s="2">
        <v>92000600</v>
      </c>
      <c r="D940" s="2" t="s">
        <v>1196</v>
      </c>
      <c r="E940" s="2" t="s">
        <v>3040</v>
      </c>
      <c r="F940" s="2" t="s">
        <v>640</v>
      </c>
      <c r="G940" s="2" t="s">
        <v>3044</v>
      </c>
      <c r="H940" s="2" t="s">
        <v>1458</v>
      </c>
      <c r="I940" s="3" t="str">
        <f t="shared" si="0"/>
        <v>https://dto.kemkes.go.id/kfacode/93001179</v>
      </c>
      <c r="J940" s="34" t="s">
        <v>3768</v>
      </c>
      <c r="K940" t="str">
        <f t="shared" si="15"/>
        <v>insert into mkatalog_kfa93 (kode, uraian, kode_92, uraian_92, nama_dagang, satuan_kecil, sediaan, golongan, url, userid_updt, sysdate_updt) values ('93001179','Nystatin 100.000 IU Tablet Vaginal (PHAPROS Tbk)','92000600','Nystatin 100.000 IU Tablet Vaginal','NYSTATIN','Tablet','Tablet Vaginal','Obat Keras','https://dto.kemkes.go.id/kfacode/93001179',0,'2023-05-01');</v>
      </c>
    </row>
    <row r="941" spans="1:11" ht="15.75" customHeight="1">
      <c r="A941" s="2">
        <v>93001172</v>
      </c>
      <c r="B941" s="2" t="s">
        <v>3045</v>
      </c>
      <c r="C941" s="2">
        <v>92000521</v>
      </c>
      <c r="D941" s="2" t="s">
        <v>1197</v>
      </c>
      <c r="E941" s="2" t="s">
        <v>3040</v>
      </c>
      <c r="F941" s="2" t="s">
        <v>640</v>
      </c>
      <c r="G941" s="2" t="s">
        <v>2307</v>
      </c>
      <c r="H941" s="2" t="s">
        <v>1458</v>
      </c>
      <c r="I941" s="3" t="str">
        <f t="shared" si="0"/>
        <v>https://dto.kemkes.go.id/kfacode/93001172</v>
      </c>
      <c r="J941" s="34" t="s">
        <v>3768</v>
      </c>
      <c r="K941" t="str">
        <f t="shared" si="15"/>
        <v>insert into mkatalog_kfa93 (kode, uraian, kode_92, uraian_92, nama_dagang, satuan_kecil, sediaan, golongan, url, userid_updt, sysdate_updt) values ('93001172','Nystatin 500.000 IU Tablet Salut Gula (PHAPROS Tbk)','92000521','Nystatin 500.000 IU Tablet Salut Gula','NYSTATIN','Tablet','Tablet Salut Gula','Obat Keras','https://dto.kemkes.go.id/kfacode/93001172',0,'2023-05-01');</v>
      </c>
    </row>
    <row r="942" spans="1:11" ht="15.75" customHeight="1">
      <c r="A942" s="2">
        <v>93001017</v>
      </c>
      <c r="B942" s="2" t="s">
        <v>3046</v>
      </c>
      <c r="C942" s="2">
        <v>92000715</v>
      </c>
      <c r="D942" s="2" t="s">
        <v>1198</v>
      </c>
      <c r="E942" s="2" t="s">
        <v>3047</v>
      </c>
      <c r="F942" s="2" t="s">
        <v>640</v>
      </c>
      <c r="G942" s="2" t="s">
        <v>1457</v>
      </c>
      <c r="H942" s="2" t="s">
        <v>1458</v>
      </c>
      <c r="I942" s="3" t="str">
        <f t="shared" si="0"/>
        <v>https://dto.kemkes.go.id/kfacode/93001017</v>
      </c>
      <c r="J942" s="34" t="s">
        <v>3768</v>
      </c>
      <c r="K942" t="str">
        <f t="shared" si="15"/>
        <v>insert into mkatalog_kfa93 (kode, uraian, kode_92, uraian_92, nama_dagang, satuan_kecil, sediaan, golongan, url, userid_updt, sysdate_updt) values ('93001017','Obat Anti Tuberculosis / Rifampicin 150 mg / Isoniazid 150 mg Tablet Salut Selaput (KIMIA FARMA)','92000715','Obat Anti Tuberculosis / Rifampicin 150 mg / Isoniazid 150 mg Tablet Salut Selaput','RIFAMPICIN 150 MG/ ISONIAZID 150 MG','Tablet','Tablet Salut Selaput','Obat Keras','https://dto.kemkes.go.id/kfacode/93001017',0,'2023-05-01');</v>
      </c>
    </row>
    <row r="943" spans="1:11" ht="15.75" customHeight="1">
      <c r="A943" s="2">
        <v>93001019</v>
      </c>
      <c r="B943" s="2" t="s">
        <v>3048</v>
      </c>
      <c r="C943" s="2">
        <v>92000716</v>
      </c>
      <c r="D943" s="2" t="s">
        <v>1199</v>
      </c>
      <c r="E943" s="2" t="s">
        <v>3049</v>
      </c>
      <c r="F943" s="2" t="s">
        <v>660</v>
      </c>
      <c r="G943" s="2" t="s">
        <v>1619</v>
      </c>
      <c r="H943" s="2" t="s">
        <v>1458</v>
      </c>
      <c r="I943" s="3" t="str">
        <f t="shared" si="0"/>
        <v>https://dto.kemkes.go.id/kfacode/93001019</v>
      </c>
      <c r="J943" s="34" t="s">
        <v>3768</v>
      </c>
      <c r="K943" t="str">
        <f t="shared" si="15"/>
        <v>insert into mkatalog_kfa93 (kode, uraian, kode_92, uraian_92, nama_dagang, satuan_kecil, sediaan, golongan, url, userid_updt, sysdate_updt) values ('93001019','Obat Anti Tuberculosis / Rifampicin 150 mg / Isoniazid 75 mg / Pyrazinamide 400 mg / Ethambutol 275 mg Kaplet Salut Selaput (KIMIA FARMA)','92000716','Obat Anti Tuberculosis / Rifampicin 150 mg / Isoniazid 75 mg / Pyrazinamide 400 mg / Ethambutol 275 mg Kaplet Salut Selaput','RIFAMPICIN 150 MG/ISONIAZID 75 MG/PYRAZINAMIDE 400 MG/ETHAMBUTOL 275 MG','Kaplet','Kaplet Salut Selaput','Obat Keras','https://dto.kemkes.go.id/kfacode/93001019',0,'2023-05-01');</v>
      </c>
    </row>
    <row r="944" spans="1:11" ht="15.75" customHeight="1">
      <c r="A944" s="2">
        <v>93001021</v>
      </c>
      <c r="B944" s="2" t="s">
        <v>3050</v>
      </c>
      <c r="C944" s="2">
        <v>92000716</v>
      </c>
      <c r="D944" s="2" t="s">
        <v>1199</v>
      </c>
      <c r="E944" s="2" t="s">
        <v>3049</v>
      </c>
      <c r="F944" s="2" t="s">
        <v>660</v>
      </c>
      <c r="G944" s="2" t="s">
        <v>1619</v>
      </c>
      <c r="H944" s="2" t="s">
        <v>1458</v>
      </c>
      <c r="I944" s="3" t="str">
        <f t="shared" si="0"/>
        <v>https://dto.kemkes.go.id/kfacode/93001021</v>
      </c>
      <c r="J944" s="34" t="s">
        <v>3768</v>
      </c>
      <c r="K944" t="str">
        <f t="shared" si="15"/>
        <v>insert into mkatalog_kfa93 (kode, uraian, kode_92, uraian_92, nama_dagang, satuan_kecil, sediaan, golongan, url, userid_updt, sysdate_updt) values ('93001021','Obat Anti Tuberculosis / Rifampicin 150 mg / Isoniazid 75 mg / Pyrazinamide 400 mg / Ethambutol 275 mg Kaplet Salut Selaput (PHAPROS)','92000716','Obat Anti Tuberculosis / Rifampicin 150 mg / Isoniazid 75 mg / Pyrazinamide 400 mg / Ethambutol 275 mg Kaplet Salut Selaput','RIFAMPICIN 150 MG/ISONIAZID 75 MG/PYRAZINAMIDE 400 MG/ETHAMBUTOL 275 MG','Kaplet','Kaplet Salut Selaput','Obat Keras','https://dto.kemkes.go.id/kfacode/93001021',0,'2023-05-01');</v>
      </c>
    </row>
    <row r="945" spans="1:11" ht="15.75" customHeight="1">
      <c r="A945" s="2">
        <v>93001025</v>
      </c>
      <c r="B945" s="2" t="s">
        <v>3051</v>
      </c>
      <c r="C945" s="2">
        <v>92000710</v>
      </c>
      <c r="D945" s="2" t="s">
        <v>1200</v>
      </c>
      <c r="E945" s="2" t="s">
        <v>3052</v>
      </c>
      <c r="F945" s="2" t="s">
        <v>640</v>
      </c>
      <c r="G945" s="2" t="s">
        <v>1648</v>
      </c>
      <c r="H945" s="2" t="s">
        <v>1458</v>
      </c>
      <c r="I945" s="3" t="str">
        <f t="shared" si="0"/>
        <v>https://dto.kemkes.go.id/kfacode/93001025</v>
      </c>
      <c r="J945" s="34" t="s">
        <v>3768</v>
      </c>
      <c r="K945" t="str">
        <f t="shared" si="15"/>
        <v>insert into mkatalog_kfa93 (kode, uraian, kode_92, uraian_92, nama_dagang, satuan_kecil, sediaan, golongan, url, userid_updt, sysdate_updt) values ('93001025','Obat Anti Tuberculosis / Rifampicin 75 mg / Isoniazid 50 mg / Pyrazinamide 150 mg Tablet Dispersibel (INDOFARMA)','92000710','Obat Anti Tuberculosis / Rifampicin 75 mg / Isoniazid 50 mg / Pyrazinamide 150 mg Tablet Dispersibel','RIFAMPICIN/ISONIAZID/PYRAZINAMID','Tablet','Tablet Dispersibel','Obat Keras','https://dto.kemkes.go.id/kfacode/93001025',0,'2023-05-01');</v>
      </c>
    </row>
    <row r="946" spans="1:11" ht="15.75" customHeight="1">
      <c r="A946" s="2">
        <v>93001516</v>
      </c>
      <c r="B946" s="2" t="s">
        <v>3053</v>
      </c>
      <c r="C946" s="2">
        <v>92000710</v>
      </c>
      <c r="D946" s="2" t="s">
        <v>1200</v>
      </c>
      <c r="E946" s="2" t="s">
        <v>3054</v>
      </c>
      <c r="F946" s="2" t="s">
        <v>640</v>
      </c>
      <c r="G946" s="2" t="s">
        <v>1648</v>
      </c>
      <c r="H946" s="2" t="s">
        <v>1458</v>
      </c>
      <c r="I946" s="3" t="str">
        <f t="shared" si="0"/>
        <v>https://dto.kemkes.go.id/kfacode/93001516</v>
      </c>
      <c r="J946" s="34" t="s">
        <v>3768</v>
      </c>
      <c r="K946" t="str">
        <f t="shared" si="15"/>
        <v>insert into mkatalog_kfa93 (kode, uraian, kode_92, uraian_92, nama_dagang, satuan_kecil, sediaan, golongan, url, userid_updt, sysdate_updt) values ('93001516','Obat Anti Tuberculosis / Rifampicin 75 mg / Isoniazid 50 mg / Pyrazinamide 150 mg Tablet Dispersibel (KIMIA FARMA)','92000710','Obat Anti Tuberculosis / Rifampicin 75 mg / Isoniazid 50 mg / Pyrazinamide 150 mg Tablet Dispersibel','RIFAMPICIN/ISONIAZID/PIRAZINAMID','Tablet','Tablet Dispersibel','Obat Keras','https://dto.kemkes.go.id/kfacode/93001516',0,'2023-05-01');</v>
      </c>
    </row>
    <row r="947" spans="1:11" ht="15.75" customHeight="1">
      <c r="A947" s="2">
        <v>93001013</v>
      </c>
      <c r="B947" s="2" t="s">
        <v>3055</v>
      </c>
      <c r="C947" s="2">
        <v>92000710</v>
      </c>
      <c r="D947" s="2" t="s">
        <v>1200</v>
      </c>
      <c r="E947" s="2" t="s">
        <v>3056</v>
      </c>
      <c r="F947" s="2" t="s">
        <v>640</v>
      </c>
      <c r="G947" s="2" t="s">
        <v>1648</v>
      </c>
      <c r="H947" s="2" t="s">
        <v>1458</v>
      </c>
      <c r="I947" s="3" t="str">
        <f t="shared" si="0"/>
        <v>https://dto.kemkes.go.id/kfacode/93001013</v>
      </c>
      <c r="J947" s="34" t="s">
        <v>3768</v>
      </c>
      <c r="K947" t="str">
        <f t="shared" si="15"/>
        <v>insert into mkatalog_kfa93 (kode, uraian, kode_92, uraian_92, nama_dagang, satuan_kecil, sediaan, golongan, url, userid_updt, sysdate_updt) values ('93001013','Obat Anti Tuberculosis / Rifampicin 75 mg / Isoniazid 50 mg / Pyrazinamide 150 mg Tablet Dispersibel (PHAPROS Tbk)','92000710','Obat Anti Tuberculosis / Rifampicin 75 mg / Isoniazid 50 mg / Pyrazinamide 150 mg Tablet Dispersibel','RIFAMPICIN 75 MG/ISONIAZID 50 MG/PYRAZINAMIDE 150 MG','Tablet','Tablet Dispersibel','Obat Keras','https://dto.kemkes.go.id/kfacode/93001013',0,'2023-05-01');</v>
      </c>
    </row>
    <row r="948" spans="1:11" ht="15.75" customHeight="1">
      <c r="A948" s="2">
        <v>93001022</v>
      </c>
      <c r="B948" s="2" t="s">
        <v>3057</v>
      </c>
      <c r="C948" s="2">
        <v>92000717</v>
      </c>
      <c r="D948" s="2" t="s">
        <v>1201</v>
      </c>
      <c r="E948" s="2" t="s">
        <v>3058</v>
      </c>
      <c r="F948" s="2" t="s">
        <v>640</v>
      </c>
      <c r="G948" s="2" t="s">
        <v>1648</v>
      </c>
      <c r="H948" s="2" t="s">
        <v>1458</v>
      </c>
      <c r="I948" s="3" t="str">
        <f t="shared" si="0"/>
        <v>https://dto.kemkes.go.id/kfacode/93001022</v>
      </c>
      <c r="J948" s="34" t="s">
        <v>3768</v>
      </c>
      <c r="K948" t="str">
        <f t="shared" si="15"/>
        <v>insert into mkatalog_kfa93 (kode, uraian, kode_92, uraian_92, nama_dagang, satuan_kecil, sediaan, golongan, url, userid_updt, sysdate_updt) values ('93001022','Obat Anti Tuberculosis / Rifampicin 75 mg / Isoniazid 50 mg Tablet Dispersibel (INDOFARMA)','92000717','Obat Anti Tuberculosis / Rifampicin 75 mg / Isoniazid 50 mg Tablet Dispersibel','RIFAMPICIN/ISONIAZID','Tablet','Tablet Dispersibel','Obat Keras','https://dto.kemkes.go.id/kfacode/93001022',0,'2023-05-01');</v>
      </c>
    </row>
    <row r="949" spans="1:11" ht="15.75" customHeight="1">
      <c r="A949" s="2">
        <v>93001518</v>
      </c>
      <c r="B949" s="2" t="s">
        <v>3059</v>
      </c>
      <c r="C949" s="2">
        <v>92000717</v>
      </c>
      <c r="D949" s="2" t="s">
        <v>1201</v>
      </c>
      <c r="E949" s="2" t="s">
        <v>3060</v>
      </c>
      <c r="F949" s="2" t="s">
        <v>640</v>
      </c>
      <c r="G949" s="2" t="s">
        <v>1648</v>
      </c>
      <c r="H949" s="2" t="s">
        <v>1458</v>
      </c>
      <c r="I949" s="3" t="str">
        <f t="shared" si="0"/>
        <v>https://dto.kemkes.go.id/kfacode/93001518</v>
      </c>
      <c r="J949" s="34" t="s">
        <v>3768</v>
      </c>
      <c r="K949" t="str">
        <f t="shared" si="15"/>
        <v>insert into mkatalog_kfa93 (kode, uraian, kode_92, uraian_92, nama_dagang, satuan_kecil, sediaan, golongan, url, userid_updt, sysdate_updt) values ('93001518','Obat Anti Tuberculosis / Rifampicin 75 mg / Isoniazid 50 mg Tablet Dispersibel (KIMIA FARMA)','92000717','Obat Anti Tuberculosis / Rifampicin 75 mg / Isoniazid 50 mg Tablet Dispersibel','RIFAMPICIN/ ISONIAZID','Tablet','Tablet Dispersibel','Obat Keras','https://dto.kemkes.go.id/kfacode/93001518',0,'2023-05-01');</v>
      </c>
    </row>
    <row r="950" spans="1:11" ht="15.75" customHeight="1">
      <c r="A950" s="2">
        <v>93001530</v>
      </c>
      <c r="B950" s="2" t="s">
        <v>3061</v>
      </c>
      <c r="C950" s="2">
        <v>92000876</v>
      </c>
      <c r="D950" s="2" t="s">
        <v>1202</v>
      </c>
      <c r="E950" s="2" t="s">
        <v>3062</v>
      </c>
      <c r="F950" s="2" t="s">
        <v>645</v>
      </c>
      <c r="G950" s="2" t="s">
        <v>1506</v>
      </c>
      <c r="H950" s="2" t="s">
        <v>1458</v>
      </c>
      <c r="I950" s="3" t="str">
        <f t="shared" si="0"/>
        <v>https://dto.kemkes.go.id/kfacode/93001530</v>
      </c>
      <c r="J950" s="34" t="s">
        <v>3768</v>
      </c>
      <c r="K950" t="str">
        <f t="shared" si="15"/>
        <v>insert into mkatalog_kfa93 (kode, uraian, kode_92, uraian_92, nama_dagang, satuan_kecil, sediaan, golongan, url, userid_updt, sysdate_updt) values ('93001530','Octreotide 0,1  mg / mL Injeksi (PRATAPA NIRMALA)','92000876','Octreotide 0,1  mg / mL Injeksi','OCTREOTIDE ACETATE','Ampul','Larutan Injeksi','Obat Keras','https://dto.kemkes.go.id/kfacode/93001530',0,'2023-05-01');</v>
      </c>
    </row>
    <row r="951" spans="1:11" ht="15.75" customHeight="1">
      <c r="A951" s="2">
        <v>93000883</v>
      </c>
      <c r="B951" s="2" t="s">
        <v>3063</v>
      </c>
      <c r="C951" s="2">
        <v>92000557</v>
      </c>
      <c r="D951" s="2" t="s">
        <v>1203</v>
      </c>
      <c r="E951" s="2" t="s">
        <v>3064</v>
      </c>
      <c r="F951" s="2" t="s">
        <v>899</v>
      </c>
      <c r="G951" s="2" t="s">
        <v>1500</v>
      </c>
      <c r="H951" s="2" t="s">
        <v>1458</v>
      </c>
      <c r="I951" s="3" t="str">
        <f t="shared" si="0"/>
        <v>https://dto.kemkes.go.id/kfacode/93000883</v>
      </c>
      <c r="J951" s="34" t="s">
        <v>3768</v>
      </c>
      <c r="K951" t="str">
        <f t="shared" si="15"/>
        <v>insert into mkatalog_kfa93 (kode, uraian, kode_92, uraian_92, nama_dagang, satuan_kecil, sediaan, golongan, url, userid_updt, sysdate_updt) values ('93000883','Octreotide 20 mg Serbuk Injeksi (SANDOSTATIN LAR)','92000557','Octreotide 20 mg Serbuk Injeksi','SANDOSTATIN LAR','Prefilled Syringe','Serbuk Injeksi','Obat Keras','https://dto.kemkes.go.id/kfacode/93000883',0,'2023-05-01');</v>
      </c>
    </row>
    <row r="952" spans="1:11" ht="15.75" customHeight="1">
      <c r="A952" s="2">
        <v>93000900</v>
      </c>
      <c r="B952" s="2" t="s">
        <v>3065</v>
      </c>
      <c r="C952" s="2">
        <v>92000544</v>
      </c>
      <c r="D952" s="2" t="s">
        <v>1204</v>
      </c>
      <c r="E952" s="2" t="s">
        <v>3064</v>
      </c>
      <c r="F952" s="2" t="s">
        <v>653</v>
      </c>
      <c r="G952" s="2" t="s">
        <v>1500</v>
      </c>
      <c r="H952" s="2" t="s">
        <v>1458</v>
      </c>
      <c r="I952" s="3" t="str">
        <f t="shared" si="0"/>
        <v>https://dto.kemkes.go.id/kfacode/93000900</v>
      </c>
      <c r="J952" s="34" t="s">
        <v>3768</v>
      </c>
      <c r="K952" t="str">
        <f t="shared" si="15"/>
        <v>insert into mkatalog_kfa93 (kode, uraian, kode_92, uraian_92, nama_dagang, satuan_kecil, sediaan, golongan, url, userid_updt, sysdate_updt) values ('93000900','Octreotide 30 mg Serbuk Injeksi (SANDOSTATIN LAR)','92000544','Octreotide 30 mg Serbuk Injeksi','SANDOSTATIN LAR','Vial','Serbuk Injeksi','Obat Keras','https://dto.kemkes.go.id/kfacode/93000900',0,'2023-05-01');</v>
      </c>
    </row>
    <row r="953" spans="1:11" ht="15.75" customHeight="1">
      <c r="A953" s="2">
        <v>93000908</v>
      </c>
      <c r="B953" s="2" t="s">
        <v>3066</v>
      </c>
      <c r="C953" s="2">
        <v>92000539</v>
      </c>
      <c r="D953" s="2" t="s">
        <v>1205</v>
      </c>
      <c r="E953" s="2" t="s">
        <v>3067</v>
      </c>
      <c r="F953" s="2" t="s">
        <v>640</v>
      </c>
      <c r="G953" s="2" t="s">
        <v>1457</v>
      </c>
      <c r="H953" s="2" t="s">
        <v>1458</v>
      </c>
      <c r="I953" s="3" t="str">
        <f t="shared" si="0"/>
        <v>https://dto.kemkes.go.id/kfacode/93000908</v>
      </c>
      <c r="J953" s="34" t="s">
        <v>3768</v>
      </c>
      <c r="K953" t="str">
        <f t="shared" si="15"/>
        <v>insert into mkatalog_kfa93 (kode, uraian, kode_92, uraian_92, nama_dagang, satuan_kecil, sediaan, golongan, url, userid_updt, sysdate_updt) values ('93000908','Ofloxacin 200 mg Tablet Salut Selaput (INDOFARMA)','92000539','Ofloxacin 200 mg Tablet Salut Selaput','OFLOXACIN','Tablet','Tablet Salut Selaput','Obat Keras','https://dto.kemkes.go.id/kfacode/93000908',0,'2023-05-01');</v>
      </c>
    </row>
    <row r="954" spans="1:11" ht="15.75" customHeight="1">
      <c r="A954" s="2">
        <v>93001128</v>
      </c>
      <c r="B954" s="2" t="s">
        <v>3068</v>
      </c>
      <c r="C954" s="2">
        <v>92000333</v>
      </c>
      <c r="D954" s="2" t="s">
        <v>1206</v>
      </c>
      <c r="E954" s="2" t="s">
        <v>3069</v>
      </c>
      <c r="F954" s="2" t="s">
        <v>702</v>
      </c>
      <c r="G954" s="2" t="s">
        <v>3070</v>
      </c>
      <c r="H954" s="2" t="s">
        <v>1458</v>
      </c>
      <c r="I954" s="3" t="str">
        <f t="shared" si="0"/>
        <v>https://dto.kemkes.go.id/kfacode/93001128</v>
      </c>
      <c r="J954" s="34" t="s">
        <v>3768</v>
      </c>
      <c r="K954" t="str">
        <f t="shared" si="15"/>
        <v>insert into mkatalog_kfa93 (kode, uraian, kode_92, uraian_92, nama_dagang, satuan_kecil, sediaan, golongan, url, userid_updt, sysdate_updt) values ('93001128','Ofloxacin 3% Tetes Telinga (AKILEN)','92000333','Ofloxacin 3% Tetes Telinga','AKILEN','Botol Plastik','Tetes Telinga','Obat Keras','https://dto.kemkes.go.id/kfacode/93001128',0,'2023-05-01');</v>
      </c>
    </row>
    <row r="955" spans="1:11" ht="15.75" customHeight="1">
      <c r="A955" s="2">
        <v>93001473</v>
      </c>
      <c r="B955" s="2" t="s">
        <v>3071</v>
      </c>
      <c r="C955" s="2">
        <v>92000333</v>
      </c>
      <c r="D955" s="2" t="s">
        <v>1206</v>
      </c>
      <c r="E955" s="2" t="s">
        <v>3072</v>
      </c>
      <c r="F955" s="2" t="s">
        <v>702</v>
      </c>
      <c r="G955" s="2" t="s">
        <v>3070</v>
      </c>
      <c r="H955" s="2" t="s">
        <v>1458</v>
      </c>
      <c r="I955" s="3" t="str">
        <f t="shared" si="0"/>
        <v>https://dto.kemkes.go.id/kfacode/93001473</v>
      </c>
      <c r="J955" s="34" t="s">
        <v>3768</v>
      </c>
      <c r="K955" t="str">
        <f t="shared" si="15"/>
        <v>insert into mkatalog_kfa93 (kode, uraian, kode_92, uraian_92, nama_dagang, satuan_kecil, sediaan, golongan, url, userid_updt, sysdate_updt) values ('93001473','Ofloxacin 3% Tetes Telinga (TARIVID)','92000333','Ofloxacin 3% Tetes Telinga','TARIVID','Botol Plastik','Tetes Telinga','Obat Keras','https://dto.kemkes.go.id/kfacode/93001473',0,'2023-05-01');</v>
      </c>
    </row>
    <row r="956" spans="1:11" ht="15.75" customHeight="1">
      <c r="A956" s="2">
        <v>93001344</v>
      </c>
      <c r="B956" s="2" t="s">
        <v>3073</v>
      </c>
      <c r="C956" s="2">
        <v>92000781</v>
      </c>
      <c r="D956" s="2" t="s">
        <v>1207</v>
      </c>
      <c r="E956" s="2" t="s">
        <v>3067</v>
      </c>
      <c r="F956" s="2" t="s">
        <v>640</v>
      </c>
      <c r="G956" s="2" t="s">
        <v>1457</v>
      </c>
      <c r="H956" s="2" t="s">
        <v>1458</v>
      </c>
      <c r="I956" s="3" t="str">
        <f t="shared" si="0"/>
        <v>https://dto.kemkes.go.id/kfacode/93001344</v>
      </c>
      <c r="J956" s="34" t="s">
        <v>3768</v>
      </c>
      <c r="K956" t="str">
        <f t="shared" si="15"/>
        <v>insert into mkatalog_kfa93 (kode, uraian, kode_92, uraian_92, nama_dagang, satuan_kecil, sediaan, golongan, url, userid_updt, sysdate_updt) values ('93001344','Ofloxacin 400 mg Tablet Salut Selaput (DEXA MEDICA)','92000781','Ofloxacin 400 mg Tablet Salut Selaput','OFLOXACIN','Tablet','Tablet Salut Selaput','Obat Keras','https://dto.kemkes.go.id/kfacode/93001344',0,'2023-05-01');</v>
      </c>
    </row>
    <row r="957" spans="1:11" ht="15.75" customHeight="1">
      <c r="A957" s="2">
        <v>93001196</v>
      </c>
      <c r="B957" s="2" t="s">
        <v>3074</v>
      </c>
      <c r="C957" s="2">
        <v>92000805</v>
      </c>
      <c r="D957" s="2" t="s">
        <v>1208</v>
      </c>
      <c r="E957" s="2" t="s">
        <v>3075</v>
      </c>
      <c r="F957" s="2" t="s">
        <v>653</v>
      </c>
      <c r="G957" s="2" t="s">
        <v>1500</v>
      </c>
      <c r="H957" s="2" t="s">
        <v>1458</v>
      </c>
      <c r="I957" s="3" t="str">
        <f t="shared" si="0"/>
        <v>https://dto.kemkes.go.id/kfacode/93001196</v>
      </c>
      <c r="J957" s="34" t="s">
        <v>3768</v>
      </c>
      <c r="K957" t="str">
        <f t="shared" si="15"/>
        <v>insert into mkatalog_kfa93 (kode, uraian, kode_92, uraian_92, nama_dagang, satuan_kecil, sediaan, golongan, url, userid_updt, sysdate_updt) values ('93001196','Olanzapine 10 mg Serbuk Injeksi (ZYPREXA IM)','92000805','Olanzapine 10 mg Serbuk Injeksi','ZYPREXA IM','Vial','Serbuk Injeksi','Obat Keras','https://dto.kemkes.go.id/kfacode/93001196',0,'2023-05-01');</v>
      </c>
    </row>
    <row r="958" spans="1:11" ht="15.75" customHeight="1">
      <c r="A958" s="2">
        <v>93001353</v>
      </c>
      <c r="B958" s="2" t="s">
        <v>3076</v>
      </c>
      <c r="C958" s="2">
        <v>92000776</v>
      </c>
      <c r="D958" s="2" t="s">
        <v>1209</v>
      </c>
      <c r="E958" s="2" t="s">
        <v>3077</v>
      </c>
      <c r="F958" s="2" t="s">
        <v>640</v>
      </c>
      <c r="G958" s="2" t="s">
        <v>1457</v>
      </c>
      <c r="H958" s="2" t="s">
        <v>1458</v>
      </c>
      <c r="I958" s="3" t="str">
        <f t="shared" si="0"/>
        <v>https://dto.kemkes.go.id/kfacode/93001353</v>
      </c>
      <c r="J958" s="34" t="s">
        <v>3768</v>
      </c>
      <c r="K958" t="str">
        <f t="shared" si="15"/>
        <v>insert into mkatalog_kfa93 (kode, uraian, kode_92, uraian_92, nama_dagang, satuan_kecil, sediaan, golongan, url, userid_updt, sysdate_updt) values ('93001353','Olanzapine 10 mg Tablet Salut Selaput (DEXA MEDICA)','92000776','Olanzapine 10 mg Tablet Salut Selaput','OLANZAPINE','Tablet','Tablet Salut Selaput','Obat Keras','https://dto.kemkes.go.id/kfacode/93001353',0,'2023-05-01');</v>
      </c>
    </row>
    <row r="959" spans="1:11" ht="15.75" customHeight="1">
      <c r="A959" s="2">
        <v>93001354</v>
      </c>
      <c r="B959" s="2" t="s">
        <v>3078</v>
      </c>
      <c r="C959" s="2">
        <v>92000777</v>
      </c>
      <c r="D959" s="2" t="s">
        <v>1210</v>
      </c>
      <c r="E959" s="2" t="s">
        <v>3077</v>
      </c>
      <c r="F959" s="2" t="s">
        <v>640</v>
      </c>
      <c r="G959" s="2" t="s">
        <v>1457</v>
      </c>
      <c r="H959" s="2" t="s">
        <v>1458</v>
      </c>
      <c r="I959" s="3" t="str">
        <f t="shared" si="0"/>
        <v>https://dto.kemkes.go.id/kfacode/93001354</v>
      </c>
      <c r="J959" s="34" t="s">
        <v>3768</v>
      </c>
      <c r="K959" t="str">
        <f t="shared" si="15"/>
        <v>insert into mkatalog_kfa93 (kode, uraian, kode_92, uraian_92, nama_dagang, satuan_kecil, sediaan, golongan, url, userid_updt, sysdate_updt) values ('93001354','Olanzapine 5 mg Tablet Salut Selaput (DEXA MEDICA)','92000777','Olanzapine 5 mg Tablet Salut Selaput','OLANZAPINE','Tablet','Tablet Salut Selaput','Obat Keras','https://dto.kemkes.go.id/kfacode/93001354',0,'2023-05-01');</v>
      </c>
    </row>
    <row r="960" spans="1:11" ht="15.75" customHeight="1">
      <c r="A960" s="2">
        <v>93001441</v>
      </c>
      <c r="B960" s="2" t="s">
        <v>3079</v>
      </c>
      <c r="C960" s="2">
        <v>92000853</v>
      </c>
      <c r="D960" s="2" t="s">
        <v>1211</v>
      </c>
      <c r="E960" s="2" t="s">
        <v>3080</v>
      </c>
      <c r="F960" s="2" t="s">
        <v>668</v>
      </c>
      <c r="G960" s="2" t="s">
        <v>1530</v>
      </c>
      <c r="H960" s="2" t="s">
        <v>1458</v>
      </c>
      <c r="I960" s="3" t="str">
        <f t="shared" si="0"/>
        <v>https://dto.kemkes.go.id/kfacode/93001441</v>
      </c>
      <c r="J960" s="34" t="s">
        <v>3768</v>
      </c>
      <c r="K960" t="str">
        <f t="shared" si="15"/>
        <v>insert into mkatalog_kfa93 (kode, uraian, kode_92, uraian_92, nama_dagang, satuan_kecil, sediaan, golongan, url, userid_updt, sysdate_updt) values ('93001441','Olimel Infus (OLIMEL N9E, 1000 mL)','92000853','Olimel Infus','OLIMEL N9E','Units','Infus','Obat Keras','https://dto.kemkes.go.id/kfacode/93001441',0,'2023-05-01');</v>
      </c>
    </row>
    <row r="961" spans="1:11" ht="15.75" customHeight="1">
      <c r="A961" s="2">
        <v>93001593</v>
      </c>
      <c r="B961" s="2" t="s">
        <v>3081</v>
      </c>
      <c r="C961" s="2">
        <v>92000863</v>
      </c>
      <c r="D961" s="2" t="s">
        <v>1212</v>
      </c>
      <c r="E961" s="2" t="s">
        <v>3082</v>
      </c>
      <c r="F961" s="2" t="s">
        <v>673</v>
      </c>
      <c r="G961" s="2" t="s">
        <v>3083</v>
      </c>
      <c r="H961" s="2" t="s">
        <v>1458</v>
      </c>
      <c r="I961" s="3" t="str">
        <f t="shared" si="0"/>
        <v>https://dto.kemkes.go.id/kfacode/93001593</v>
      </c>
      <c r="J961" s="34" t="s">
        <v>3768</v>
      </c>
      <c r="K961" t="str">
        <f t="shared" si="15"/>
        <v>insert into mkatalog_kfa93 (kode, uraian, kode_92, uraian_92, nama_dagang, satuan_kecil, sediaan, golongan, url, userid_updt, sysdate_updt) values ('93001593','Olive Oil 16 g / Soybean Oil 4 g Infus (CLINOLEIC, 100 mL)','92000863','Olive Oil 16 g / Soybean Oil 4 g Infus','CLINOLEIC 20 %','Flexy Bag','Emulsi','Obat Keras','https://dto.kemkes.go.id/kfacode/93001593',0,'2023-05-01');</v>
      </c>
    </row>
    <row r="962" spans="1:11" ht="15.75" customHeight="1">
      <c r="A962" s="2">
        <v>93001573</v>
      </c>
      <c r="B962" s="2" t="s">
        <v>3084</v>
      </c>
      <c r="C962" s="2">
        <v>92000901</v>
      </c>
      <c r="D962" s="2" t="s">
        <v>1213</v>
      </c>
      <c r="E962" s="2" t="s">
        <v>3085</v>
      </c>
      <c r="F962" s="2" t="s">
        <v>1046</v>
      </c>
      <c r="G962" s="2" t="s">
        <v>1489</v>
      </c>
      <c r="H962" s="2" t="s">
        <v>1458</v>
      </c>
      <c r="I962" s="3" t="str">
        <f t="shared" si="0"/>
        <v>https://dto.kemkes.go.id/kfacode/93001573</v>
      </c>
      <c r="J962" s="34" t="s">
        <v>3768</v>
      </c>
      <c r="K962" t="str">
        <f t="shared" si="15"/>
        <v>insert into mkatalog_kfa93 (kode, uraian, kode_92, uraian_92, nama_dagang, satuan_kecil, sediaan, golongan, url, userid_updt, sysdate_updt) values ('93001573','Olodaterol 2,5 mcg / Tiotropium 2,5 mcg Cairan Inhalasi (SPIOLTO RESPIMAT, RESPIMAT REUSABLE INHALER + DEVICE)','92000901','Olodaterol 2,5 mcg / Tiotropium 2,5 mcg Cairan Inhalasi','SPIOLTO RESPIMAT','Cartridges','Larutan Inhalasi','Obat Keras','https://dto.kemkes.go.id/kfacode/93001573',0,'2023-05-01');</v>
      </c>
    </row>
    <row r="963" spans="1:11" ht="15.75" customHeight="1">
      <c r="A963" s="2">
        <v>93001574</v>
      </c>
      <c r="B963" s="2" t="s">
        <v>3086</v>
      </c>
      <c r="C963" s="2">
        <v>92000901</v>
      </c>
      <c r="D963" s="2" t="s">
        <v>1213</v>
      </c>
      <c r="E963" s="2" t="s">
        <v>3085</v>
      </c>
      <c r="F963" s="2" t="s">
        <v>1046</v>
      </c>
      <c r="G963" s="2" t="s">
        <v>1489</v>
      </c>
      <c r="H963" s="2" t="s">
        <v>1458</v>
      </c>
      <c r="I963" s="3" t="str">
        <f t="shared" si="0"/>
        <v>https://dto.kemkes.go.id/kfacode/93001574</v>
      </c>
      <c r="J963" s="34" t="s">
        <v>3768</v>
      </c>
      <c r="K963" t="str">
        <f t="shared" ref="K963:K1026" si="16">CONCATENATE(J963,"('",A963,"','",B963,"','",C963,"','",D963,"','",E963,"','",F963,"','",G963,"','",H963,"','",I963,"',0,'2023-05-01');")</f>
        <v>insert into mkatalog_kfa93 (kode, uraian, kode_92, uraian_92, nama_dagang, satuan_kecil, sediaan, golongan, url, userid_updt, sysdate_updt) values ('93001574','Olodaterol 2,5 mcg / Tiotropium 2,5 mcg Cairan Inhalasi (SPIOLTO RESPIMAT, SINGLE REFILL PACK)','92000901','Olodaterol 2,5 mcg / Tiotropium 2,5 mcg Cairan Inhalasi','SPIOLTO RESPIMAT','Cartridges','Larutan Inhalasi','Obat Keras','https://dto.kemkes.go.id/kfacode/93001574',0,'2023-05-01');</v>
      </c>
    </row>
    <row r="964" spans="1:11" ht="15.75" customHeight="1">
      <c r="A964" s="2">
        <v>93001575</v>
      </c>
      <c r="B964" s="2" t="s">
        <v>3087</v>
      </c>
      <c r="C964" s="2">
        <v>92000579</v>
      </c>
      <c r="D964" s="2" t="s">
        <v>1214</v>
      </c>
      <c r="E964" s="2" t="s">
        <v>3088</v>
      </c>
      <c r="F964" s="2" t="s">
        <v>1046</v>
      </c>
      <c r="G964" s="2" t="s">
        <v>1489</v>
      </c>
      <c r="H964" s="2" t="s">
        <v>1458</v>
      </c>
      <c r="I964" s="3" t="str">
        <f t="shared" si="0"/>
        <v>https://dto.kemkes.go.id/kfacode/93001575</v>
      </c>
      <c r="J964" s="34" t="s">
        <v>3768</v>
      </c>
      <c r="K964" t="str">
        <f t="shared" si="16"/>
        <v>insert into mkatalog_kfa93 (kode, uraian, kode_92, uraian_92, nama_dagang, satuan_kecil, sediaan, golongan, url, userid_updt, sysdate_updt) values ('93001575','Olodaterol 2,5 mcg Cairan Inhalasi (STRIVERDI RESPIMAT, RESPIMAT REUSABLE INHALER + DEVICE)','92000579','Olodaterol 2,5 mcg Cairan Inhalasi','STRIVERDI RESPIMAT','Cartridges','Larutan Inhalasi','Obat Keras','https://dto.kemkes.go.id/kfacode/93001575',0,'2023-05-01');</v>
      </c>
    </row>
    <row r="965" spans="1:11" ht="15.75" customHeight="1">
      <c r="A965" s="2">
        <v>93001576</v>
      </c>
      <c r="B965" s="2" t="s">
        <v>3089</v>
      </c>
      <c r="C965" s="2">
        <v>92000579</v>
      </c>
      <c r="D965" s="2" t="s">
        <v>1214</v>
      </c>
      <c r="E965" s="2" t="s">
        <v>3088</v>
      </c>
      <c r="F965" s="2" t="s">
        <v>1046</v>
      </c>
      <c r="G965" s="2" t="s">
        <v>1489</v>
      </c>
      <c r="H965" s="2" t="s">
        <v>1458</v>
      </c>
      <c r="I965" s="3" t="str">
        <f t="shared" si="0"/>
        <v>https://dto.kemkes.go.id/kfacode/93001576</v>
      </c>
      <c r="J965" s="34" t="s">
        <v>3768</v>
      </c>
      <c r="K965" t="str">
        <f t="shared" si="16"/>
        <v>insert into mkatalog_kfa93 (kode, uraian, kode_92, uraian_92, nama_dagang, satuan_kecil, sediaan, golongan, url, userid_updt, sysdate_updt) values ('93001576','Olodaterol 2,5 mcg Cairan Inhalasi (STRIVERDI RESPIMAT, SINGLE REFILL PACK)','92000579','Olodaterol 2,5 mcg Cairan Inhalasi','STRIVERDI RESPIMAT','Cartridges','Larutan Inhalasi','Obat Keras','https://dto.kemkes.go.id/kfacode/93001576',0,'2023-05-01');</v>
      </c>
    </row>
    <row r="966" spans="1:11" ht="15.75" customHeight="1">
      <c r="A966" s="2">
        <v>93000133</v>
      </c>
      <c r="B966" s="2" t="s">
        <v>3090</v>
      </c>
      <c r="C966" s="2">
        <v>92000111</v>
      </c>
      <c r="D966" s="2" t="s">
        <v>1215</v>
      </c>
      <c r="E966" s="2" t="s">
        <v>3091</v>
      </c>
      <c r="F966" s="2" t="s">
        <v>702</v>
      </c>
      <c r="G966" s="2" t="s">
        <v>3092</v>
      </c>
      <c r="H966" s="2" t="s">
        <v>1458</v>
      </c>
      <c r="I966" s="3" t="str">
        <f t="shared" si="0"/>
        <v>https://dto.kemkes.go.id/kfacode/93000133</v>
      </c>
      <c r="J966" s="34" t="s">
        <v>3768</v>
      </c>
      <c r="K966" t="str">
        <f t="shared" si="16"/>
        <v>insert into mkatalog_kfa93 (kode, uraian, kode_92, uraian_92, nama_dagang, satuan_kecil, sediaan, golongan, url, userid_updt, sysdate_updt) values ('93000133','Olopatadine Hydrochloride 0,1 % Cairan Mata (FERRON PAR PHARMACEUTICALS)','92000111','Olopatadine Hydrochloride 0,1 % Cairan Mata','OLOPATADINE HCL','Botol Plastik','Cairan Mata','Obat Keras','https://dto.kemkes.go.id/kfacode/93000133',0,'2023-05-01');</v>
      </c>
    </row>
    <row r="967" spans="1:11" ht="15.75" customHeight="1">
      <c r="A967" s="2">
        <v>93001643</v>
      </c>
      <c r="B967" s="2" t="s">
        <v>3093</v>
      </c>
      <c r="C967" s="2">
        <v>92000938</v>
      </c>
      <c r="D967" s="2" t="s">
        <v>1216</v>
      </c>
      <c r="E967" s="2" t="s">
        <v>3094</v>
      </c>
      <c r="F967" s="2" t="s">
        <v>653</v>
      </c>
      <c r="G967" s="2" t="s">
        <v>1530</v>
      </c>
      <c r="H967" s="2" t="s">
        <v>1458</v>
      </c>
      <c r="I967" s="3" t="str">
        <f t="shared" si="0"/>
        <v>https://dto.kemkes.go.id/kfacode/93001643</v>
      </c>
      <c r="J967" s="34" t="s">
        <v>3768</v>
      </c>
      <c r="K967" t="str">
        <f t="shared" si="16"/>
        <v>insert into mkatalog_kfa93 (kode, uraian, kode_92, uraian_92, nama_dagang, satuan_kecil, sediaan, golongan, url, userid_updt, sysdate_updt) values ('93001643','Omegaven Infus (OMEGAVEN)','92000938','Omegaven Infus','OMEGAVEN','Vial','Infus','Obat Keras','https://dto.kemkes.go.id/kfacode/93001643',0,'2023-05-01');</v>
      </c>
    </row>
    <row r="968" spans="1:11" ht="15.75" customHeight="1">
      <c r="A968" s="2">
        <v>93001000</v>
      </c>
      <c r="B968" s="2" t="s">
        <v>3095</v>
      </c>
      <c r="C968" s="2">
        <v>92000684</v>
      </c>
      <c r="D968" s="2" t="s">
        <v>1217</v>
      </c>
      <c r="E968" s="2" t="s">
        <v>3096</v>
      </c>
      <c r="F968" s="2" t="s">
        <v>649</v>
      </c>
      <c r="G968" s="2" t="s">
        <v>2114</v>
      </c>
      <c r="H968" s="2" t="s">
        <v>1458</v>
      </c>
      <c r="I968" s="3" t="str">
        <f t="shared" si="0"/>
        <v>https://dto.kemkes.go.id/kfacode/93001000</v>
      </c>
      <c r="J968" s="34" t="s">
        <v>3768</v>
      </c>
      <c r="K968" t="str">
        <f t="shared" si="16"/>
        <v>insert into mkatalog_kfa93 (kode, uraian, kode_92, uraian_92, nama_dagang, satuan_kecil, sediaan, golongan, url, userid_updt, sysdate_updt) values ('93001000','Omeprazole Sodium 20 mg Kapsul Pelepasan Lambat (HEXPHARM JAYA LABORATORIES)','92000684','Omeprazole Sodium 20 mg Kapsul Pelepasan Lambat','OMEPRAZOLE','Kapsul','Kapsul Pelepasan Lambat','Obat Keras','https://dto.kemkes.go.id/kfacode/93001000',0,'2023-05-01');</v>
      </c>
    </row>
    <row r="969" spans="1:11" ht="15.75" customHeight="1">
      <c r="A969" s="2">
        <v>93001318</v>
      </c>
      <c r="B969" s="2" t="s">
        <v>3097</v>
      </c>
      <c r="C969" s="2">
        <v>92000684</v>
      </c>
      <c r="D969" s="2" t="s">
        <v>1217</v>
      </c>
      <c r="E969" s="2" t="s">
        <v>3096</v>
      </c>
      <c r="F969" s="2" t="s">
        <v>649</v>
      </c>
      <c r="G969" s="2" t="s">
        <v>2114</v>
      </c>
      <c r="H969" s="2" t="s">
        <v>1458</v>
      </c>
      <c r="I969" s="3" t="str">
        <f t="shared" si="0"/>
        <v>https://dto.kemkes.go.id/kfacode/93001318</v>
      </c>
      <c r="J969" s="34" t="s">
        <v>3768</v>
      </c>
      <c r="K969" t="str">
        <f t="shared" si="16"/>
        <v>insert into mkatalog_kfa93 (kode, uraian, kode_92, uraian_92, nama_dagang, satuan_kecil, sediaan, golongan, url, userid_updt, sysdate_updt) values ('93001318','Omeprazole Sodium 20 mg Kapsul Pelepasan Lambat (KIMIA FARMA Tbk)','92000684','Omeprazole Sodium 20 mg Kapsul Pelepasan Lambat','OMEPRAZOLE','Kapsul','Kapsul Pelepasan Lambat','Obat Keras','https://dto.kemkes.go.id/kfacode/93001318',0,'2023-05-01');</v>
      </c>
    </row>
    <row r="970" spans="1:11" ht="15.75" customHeight="1">
      <c r="A970" s="2">
        <v>93001047</v>
      </c>
      <c r="B970" s="2" t="s">
        <v>3098</v>
      </c>
      <c r="C970" s="2">
        <v>92000733</v>
      </c>
      <c r="D970" s="2" t="s">
        <v>1218</v>
      </c>
      <c r="E970" s="2" t="s">
        <v>3099</v>
      </c>
      <c r="F970" s="2" t="s">
        <v>653</v>
      </c>
      <c r="G970" s="2" t="s">
        <v>1719</v>
      </c>
      <c r="H970" s="2" t="s">
        <v>1458</v>
      </c>
      <c r="I970" s="3" t="str">
        <f t="shared" si="0"/>
        <v>https://dto.kemkes.go.id/kfacode/93001047</v>
      </c>
      <c r="J970" s="34" t="s">
        <v>3768</v>
      </c>
      <c r="K970" t="str">
        <f t="shared" si="16"/>
        <v>insert into mkatalog_kfa93 (kode, uraian, kode_92, uraian_92, nama_dagang, satuan_kecil, sediaan, golongan, url, userid_updt, sysdate_updt) values ('93001047','Omeprazole Sodium 40 mg Serbuk Injeksi (DEXA MEDICA)','92000733','Omeprazole Sodium 40 mg Serbuk Injeksi','OMEPRAZOLE SODIUM','Vial','Serbuk Injeksi Liofilisasi','Obat Keras','https://dto.kemkes.go.id/kfacode/93001047',0,'2023-05-01');</v>
      </c>
    </row>
    <row r="971" spans="1:11" ht="15.75" customHeight="1">
      <c r="A971" s="2">
        <v>93001378</v>
      </c>
      <c r="B971" s="2" t="s">
        <v>3100</v>
      </c>
      <c r="C971" s="2">
        <v>92000733</v>
      </c>
      <c r="D971" s="2" t="s">
        <v>1218</v>
      </c>
      <c r="E971" s="2" t="s">
        <v>3099</v>
      </c>
      <c r="F971" s="2" t="s">
        <v>653</v>
      </c>
      <c r="G971" s="2" t="s">
        <v>1719</v>
      </c>
      <c r="H971" s="2" t="s">
        <v>1458</v>
      </c>
      <c r="I971" s="3" t="str">
        <f t="shared" si="0"/>
        <v>https://dto.kemkes.go.id/kfacode/93001378</v>
      </c>
      <c r="J971" s="34" t="s">
        <v>3768</v>
      </c>
      <c r="K971" t="str">
        <f t="shared" si="16"/>
        <v>insert into mkatalog_kfa93 (kode, uraian, kode_92, uraian_92, nama_dagang, satuan_kecil, sediaan, golongan, url, userid_updt, sysdate_updt) values ('93001378','Omeprazole Sodium 40 mg Serbuk Injeksi (PHAPROS Tbk)','92000733','Omeprazole Sodium 40 mg Serbuk Injeksi','OMEPRAZOLE SODIUM','Vial','Serbuk Injeksi Liofilisasi','Obat Keras','https://dto.kemkes.go.id/kfacode/93001378',0,'2023-05-01');</v>
      </c>
    </row>
    <row r="972" spans="1:11" ht="15.75" customHeight="1">
      <c r="A972" s="2">
        <v>93000645</v>
      </c>
      <c r="B972" s="2" t="s">
        <v>3101</v>
      </c>
      <c r="C972" s="2">
        <v>92000485</v>
      </c>
      <c r="D972" s="2" t="s">
        <v>1219</v>
      </c>
      <c r="E972" s="2" t="s">
        <v>3102</v>
      </c>
      <c r="F972" s="2" t="s">
        <v>645</v>
      </c>
      <c r="G972" s="2" t="s">
        <v>1506</v>
      </c>
      <c r="H972" s="2" t="s">
        <v>1458</v>
      </c>
      <c r="I972" s="3" t="str">
        <f t="shared" si="0"/>
        <v>https://dto.kemkes.go.id/kfacode/93000645</v>
      </c>
      <c r="J972" s="34" t="s">
        <v>3768</v>
      </c>
      <c r="K972" t="str">
        <f t="shared" si="16"/>
        <v>insert into mkatalog_kfa93 (kode, uraian, kode_92, uraian_92, nama_dagang, satuan_kecil, sediaan, golongan, url, userid_updt, sysdate_updt) values ('93000645','Ondansetron 2 mg/ml Injeksi (DEXA MEDICA, 2 mL)','92000485','Ondansetron 2 mg/ml Injeksi','ONDANSETRON HCL DIHYDRATE','Ampul','Larutan Injeksi','Obat Keras','https://dto.kemkes.go.id/kfacode/93000645',0,'2023-05-01');</v>
      </c>
    </row>
    <row r="973" spans="1:11" ht="15.75" customHeight="1">
      <c r="A973" s="2">
        <v>93000647</v>
      </c>
      <c r="B973" s="2" t="s">
        <v>3103</v>
      </c>
      <c r="C973" s="2">
        <v>92000485</v>
      </c>
      <c r="D973" s="2" t="s">
        <v>1219</v>
      </c>
      <c r="E973" s="2" t="s">
        <v>3102</v>
      </c>
      <c r="F973" s="2" t="s">
        <v>645</v>
      </c>
      <c r="G973" s="2" t="s">
        <v>1506</v>
      </c>
      <c r="H973" s="2" t="s">
        <v>1458</v>
      </c>
      <c r="I973" s="3" t="str">
        <f t="shared" si="0"/>
        <v>https://dto.kemkes.go.id/kfacode/93000647</v>
      </c>
      <c r="J973" s="34" t="s">
        <v>3768</v>
      </c>
      <c r="K973" t="str">
        <f t="shared" si="16"/>
        <v>insert into mkatalog_kfa93 (kode, uraian, kode_92, uraian_92, nama_dagang, satuan_kecil, sediaan, golongan, url, userid_updt, sysdate_updt) values ('93000647','Ondansetron 2 mg/ml Injeksi (DEXA MEDICA, 4 mL)','92000485','Ondansetron 2 mg/ml Injeksi','ONDANSETRON HCL DIHYDRATE','Ampul','Larutan Injeksi','Obat Keras','https://dto.kemkes.go.id/kfacode/93000647',0,'2023-05-01');</v>
      </c>
    </row>
    <row r="974" spans="1:11" ht="15.75" customHeight="1">
      <c r="A974" s="2">
        <v>93000475</v>
      </c>
      <c r="B974" s="2" t="s">
        <v>3104</v>
      </c>
      <c r="C974" s="2">
        <v>92000396</v>
      </c>
      <c r="D974" s="2" t="s">
        <v>1220</v>
      </c>
      <c r="E974" s="2" t="s">
        <v>3105</v>
      </c>
      <c r="F974" s="2" t="s">
        <v>660</v>
      </c>
      <c r="G974" s="2" t="s">
        <v>1619</v>
      </c>
      <c r="H974" s="2" t="s">
        <v>1458</v>
      </c>
      <c r="I974" s="3" t="str">
        <f t="shared" si="0"/>
        <v>https://dto.kemkes.go.id/kfacode/93000475</v>
      </c>
      <c r="J974" s="34" t="s">
        <v>3768</v>
      </c>
      <c r="K974" t="str">
        <f t="shared" si="16"/>
        <v>insert into mkatalog_kfa93 (kode, uraian, kode_92, uraian_92, nama_dagang, satuan_kecil, sediaan, golongan, url, userid_updt, sysdate_updt) values ('93000475','Ondansetron Hydrochloride 4 mg Kaplet Salut Selaput (KLIRAN)','92000396','Ondansetron Hydrochloride 4 mg Kaplet Salut Selaput','KLIRAN','Kaplet','Kaplet Salut Selaput','Obat Keras','https://dto.kemkes.go.id/kfacode/93000475',0,'2023-05-01');</v>
      </c>
    </row>
    <row r="975" spans="1:11" ht="15.75" customHeight="1">
      <c r="A975" s="2">
        <v>93000476</v>
      </c>
      <c r="B975" s="2" t="s">
        <v>3106</v>
      </c>
      <c r="C975" s="2">
        <v>92000396</v>
      </c>
      <c r="D975" s="2" t="s">
        <v>1220</v>
      </c>
      <c r="E975" s="2" t="s">
        <v>3107</v>
      </c>
      <c r="F975" s="2" t="s">
        <v>660</v>
      </c>
      <c r="G975" s="2" t="s">
        <v>1619</v>
      </c>
      <c r="H975" s="2" t="s">
        <v>1458</v>
      </c>
      <c r="I975" s="3" t="str">
        <f t="shared" si="0"/>
        <v>https://dto.kemkes.go.id/kfacode/93000476</v>
      </c>
      <c r="J975" s="34" t="s">
        <v>3768</v>
      </c>
      <c r="K975" t="str">
        <f t="shared" si="16"/>
        <v>insert into mkatalog_kfa93 (kode, uraian, kode_92, uraian_92, nama_dagang, satuan_kecil, sediaan, golongan, url, userid_updt, sysdate_updt) values ('93000476','Ondansetron Hydrochloride 4 mg Kaplet Salut Selaput (ODANOSTIN)','92000396','Ondansetron Hydrochloride 4 mg Kaplet Salut Selaput','ODANOSTIN','Kaplet','Kaplet Salut Selaput','Obat Keras','https://dto.kemkes.go.id/kfacode/93000476',0,'2023-05-01');</v>
      </c>
    </row>
    <row r="976" spans="1:11" ht="15.75" customHeight="1">
      <c r="A976" s="2">
        <v>93000480</v>
      </c>
      <c r="B976" s="2" t="s">
        <v>3108</v>
      </c>
      <c r="C976" s="2">
        <v>92000398</v>
      </c>
      <c r="D976" s="2" t="s">
        <v>1221</v>
      </c>
      <c r="F976" s="2" t="s">
        <v>640</v>
      </c>
      <c r="G976" s="2" t="s">
        <v>1457</v>
      </c>
      <c r="H976" s="2" t="s">
        <v>1458</v>
      </c>
      <c r="I976" s="3" t="str">
        <f t="shared" si="0"/>
        <v>https://dto.kemkes.go.id/kfacode/93000480</v>
      </c>
      <c r="J976" s="34" t="s">
        <v>3768</v>
      </c>
      <c r="K976" t="str">
        <f t="shared" si="16"/>
        <v>insert into mkatalog_kfa93 (kode, uraian, kode_92, uraian_92, nama_dagang, satuan_kecil, sediaan, golongan, url, userid_updt, sysdate_updt) values ('93000480','Ondansetron Hydrochloride 4 mg Tablet Salut Selaput (DEXA MEDICA)','92000398','Ondansetron Hydrochloride 4 mg Tablet Salut Selaput','','Tablet','Tablet Salut Selaput','Obat Keras','https://dto.kemkes.go.id/kfacode/93000480',0,'2023-05-01');</v>
      </c>
    </row>
    <row r="977" spans="1:11" ht="15.75" customHeight="1">
      <c r="A977" s="2">
        <v>93001247</v>
      </c>
      <c r="B977" s="2" t="s">
        <v>3109</v>
      </c>
      <c r="C977" s="2">
        <v>92000398</v>
      </c>
      <c r="D977" s="2" t="s">
        <v>1221</v>
      </c>
      <c r="E977" s="2" t="s">
        <v>3110</v>
      </c>
      <c r="F977" s="2" t="s">
        <v>640</v>
      </c>
      <c r="G977" s="2" t="s">
        <v>1457</v>
      </c>
      <c r="H977" s="2" t="s">
        <v>1458</v>
      </c>
      <c r="I977" s="3" t="str">
        <f t="shared" si="0"/>
        <v>https://dto.kemkes.go.id/kfacode/93001247</v>
      </c>
      <c r="J977" s="34" t="s">
        <v>3768</v>
      </c>
      <c r="K977" t="str">
        <f t="shared" si="16"/>
        <v>insert into mkatalog_kfa93 (kode, uraian, kode_92, uraian_92, nama_dagang, satuan_kecil, sediaan, golongan, url, userid_updt, sysdate_updt) values ('93001247','Ondansetron Hydrochloride 4 mg Tablet Salut Selaput (PROMEDRAHARDJO FARMASI INDUSTRI)','92000398','Ondansetron Hydrochloride 4 mg Tablet Salut Selaput','ONDANSETRON HYDROCHLORIDE DIHYDRATE','Tablet','Tablet Salut Selaput','Obat Keras','https://dto.kemkes.go.id/kfacode/93001247',0,'2023-05-01');</v>
      </c>
    </row>
    <row r="978" spans="1:11" ht="15.75" customHeight="1">
      <c r="A978" s="2">
        <v>93001508</v>
      </c>
      <c r="B978" s="2" t="s">
        <v>3111</v>
      </c>
      <c r="C978" s="2">
        <v>92000221</v>
      </c>
      <c r="D978" s="2" t="s">
        <v>1224</v>
      </c>
      <c r="E978" s="2" t="s">
        <v>3112</v>
      </c>
      <c r="F978" s="2" t="s">
        <v>640</v>
      </c>
      <c r="G978" s="2" t="s">
        <v>640</v>
      </c>
      <c r="H978" s="2" t="s">
        <v>1458</v>
      </c>
      <c r="I978" s="3" t="str">
        <f t="shared" si="0"/>
        <v>https://dto.kemkes.go.id/kfacode/93001508</v>
      </c>
      <c r="J978" s="34" t="s">
        <v>3768</v>
      </c>
      <c r="K978" t="str">
        <f t="shared" si="16"/>
        <v>insert into mkatalog_kfa93 (kode, uraian, kode_92, uraian_92, nama_dagang, satuan_kecil, sediaan, golongan, url, userid_updt, sysdate_updt) values ('93001508','Ondansetron Hydrochloride 8 mg Tablet (GENCETRON)','92000221','Ondansetron Hydrochloride 8 mg Tablet','GENCETRON 8','Tablet','Tablet','Obat Keras','https://dto.kemkes.go.id/kfacode/93001508',0,'2023-05-01');</v>
      </c>
    </row>
    <row r="979" spans="1:11" ht="15.75" customHeight="1">
      <c r="A979" s="2">
        <v>93001506</v>
      </c>
      <c r="B979" s="2" t="s">
        <v>3113</v>
      </c>
      <c r="C979" s="2">
        <v>92000221</v>
      </c>
      <c r="D979" s="2" t="s">
        <v>1224</v>
      </c>
      <c r="E979" s="2" t="s">
        <v>3114</v>
      </c>
      <c r="F979" s="2" t="s">
        <v>640</v>
      </c>
      <c r="G979" s="2" t="s">
        <v>640</v>
      </c>
      <c r="H979" s="2" t="s">
        <v>1458</v>
      </c>
      <c r="I979" s="3" t="str">
        <f t="shared" si="0"/>
        <v>https://dto.kemkes.go.id/kfacode/93001506</v>
      </c>
      <c r="J979" s="34" t="s">
        <v>3768</v>
      </c>
      <c r="K979" t="str">
        <f t="shared" si="16"/>
        <v>insert into mkatalog_kfa93 (kode, uraian, kode_92, uraian_92, nama_dagang, satuan_kecil, sediaan, golongan, url, userid_updt, sysdate_updt) values ('93001506','Ondansetron Hydrochloride 8 mg Tablet (MAHAKAM BETA FARMA)','92000221','Ondansetron Hydrochloride 8 mg Tablet','VOMETRON 8','Tablet','Tablet','Obat Keras','https://dto.kemkes.go.id/kfacode/93001506',0,'2023-05-01');</v>
      </c>
    </row>
    <row r="980" spans="1:11" ht="15.75" customHeight="1">
      <c r="A980" s="2">
        <v>93000387</v>
      </c>
      <c r="B980" s="2" t="s">
        <v>3115</v>
      </c>
      <c r="C980" s="2">
        <v>92000221</v>
      </c>
      <c r="D980" s="2" t="s">
        <v>1224</v>
      </c>
      <c r="E980" s="2" t="s">
        <v>3110</v>
      </c>
      <c r="F980" s="2" t="s">
        <v>640</v>
      </c>
      <c r="G980" s="2" t="s">
        <v>640</v>
      </c>
      <c r="H980" s="2" t="s">
        <v>1458</v>
      </c>
      <c r="I980" s="3" t="str">
        <f t="shared" si="0"/>
        <v>https://dto.kemkes.go.id/kfacode/93000387</v>
      </c>
      <c r="J980" s="34" t="s">
        <v>3768</v>
      </c>
      <c r="K980" t="str">
        <f t="shared" si="16"/>
        <v>insert into mkatalog_kfa93 (kode, uraian, kode_92, uraian_92, nama_dagang, satuan_kecil, sediaan, golongan, url, userid_updt, sysdate_updt) values ('93000387','Ondansetron Hydrochloride 8 mg Tablet (MULIA FARMA SUCI)','92000221','Ondansetron Hydrochloride 8 mg Tablet','ONDANSETRON HYDROCHLORIDE DIHYDRATE','Tablet','Tablet','Obat Keras','https://dto.kemkes.go.id/kfacode/93000387',0,'2023-05-01');</v>
      </c>
    </row>
    <row r="981" spans="1:11" ht="15.75" customHeight="1">
      <c r="A981" s="2">
        <v>93001507</v>
      </c>
      <c r="B981" s="2" t="s">
        <v>3116</v>
      </c>
      <c r="C981" s="2">
        <v>92000221</v>
      </c>
      <c r="D981" s="2" t="s">
        <v>1224</v>
      </c>
      <c r="E981" s="2" t="s">
        <v>3114</v>
      </c>
      <c r="F981" s="2" t="s">
        <v>640</v>
      </c>
      <c r="G981" s="2" t="s">
        <v>640</v>
      </c>
      <c r="H981" s="2" t="s">
        <v>1458</v>
      </c>
      <c r="I981" s="3" t="str">
        <f t="shared" si="0"/>
        <v>https://dto.kemkes.go.id/kfacode/93001507</v>
      </c>
      <c r="J981" s="34" t="s">
        <v>3768</v>
      </c>
      <c r="K981" t="str">
        <f t="shared" si="16"/>
        <v>insert into mkatalog_kfa93 (kode, uraian, kode_92, uraian_92, nama_dagang, satuan_kecil, sediaan, golongan, url, userid_updt, sysdate_updt) values ('93001507','Ondansetron Hydrochloride 8 mg Tablet (VOMETRON)','92000221','Ondansetron Hydrochloride 8 mg Tablet','VOMETRON 8','Tablet','Tablet','Obat Keras','https://dto.kemkes.go.id/kfacode/93001507',0,'2023-05-01');</v>
      </c>
    </row>
    <row r="982" spans="1:11" ht="15.75" customHeight="1">
      <c r="A982" s="2">
        <v>93000187</v>
      </c>
      <c r="B982" s="2" t="s">
        <v>3117</v>
      </c>
      <c r="C982" s="2">
        <v>92000188</v>
      </c>
      <c r="D982" s="2" t="s">
        <v>1225</v>
      </c>
      <c r="E982" s="2" t="s">
        <v>3118</v>
      </c>
      <c r="F982" s="2" t="s">
        <v>640</v>
      </c>
      <c r="G982" s="2" t="s">
        <v>1457</v>
      </c>
      <c r="H982" s="2" t="s">
        <v>1458</v>
      </c>
      <c r="I982" s="3" t="str">
        <f t="shared" si="0"/>
        <v>https://dto.kemkes.go.id/kfacode/93000187</v>
      </c>
      <c r="J982" s="34" t="s">
        <v>3768</v>
      </c>
      <c r="K982" t="str">
        <f t="shared" si="16"/>
        <v>insert into mkatalog_kfa93 (kode, uraian, kode_92, uraian_92, nama_dagang, satuan_kecil, sediaan, golongan, url, userid_updt, sysdate_updt) values ('93000187','Ondansetron Hydrochloride 8 mg Tablet Salut Selaput (DEXA MEDICA)','92000188','Ondansetron Hydrochloride 8 mg Tablet Salut Selaput','ONDANSETRON HCl DIHYDRATE','Tablet','Tablet Salut Selaput','Obat Keras','https://dto.kemkes.go.id/kfacode/93000187',0,'2023-05-01');</v>
      </c>
    </row>
    <row r="983" spans="1:11" ht="15.75" customHeight="1">
      <c r="A983" s="2">
        <v>93001211</v>
      </c>
      <c r="B983" s="2" t="s">
        <v>3119</v>
      </c>
      <c r="C983" s="2">
        <v>92000188</v>
      </c>
      <c r="D983" s="2" t="s">
        <v>1225</v>
      </c>
      <c r="E983" s="2" t="s">
        <v>3110</v>
      </c>
      <c r="F983" s="2" t="s">
        <v>640</v>
      </c>
      <c r="G983" s="2" t="s">
        <v>1457</v>
      </c>
      <c r="H983" s="2" t="s">
        <v>1458</v>
      </c>
      <c r="I983" s="3" t="str">
        <f t="shared" si="0"/>
        <v>https://dto.kemkes.go.id/kfacode/93001211</v>
      </c>
      <c r="J983" s="34" t="s">
        <v>3768</v>
      </c>
      <c r="K983" t="str">
        <f t="shared" si="16"/>
        <v>insert into mkatalog_kfa93 (kode, uraian, kode_92, uraian_92, nama_dagang, satuan_kecil, sediaan, golongan, url, userid_updt, sysdate_updt) values ('93001211','Ondansetron Hydrochloride 8 mg Tablet Salut Selaput (PROMEDRAHARDJO FARMASI INDUSTRI)','92000188','Ondansetron Hydrochloride 8 mg Tablet Salut Selaput','ONDANSETRON HYDROCHLORIDE DIHYDRATE','Tablet','Tablet Salut Selaput','Obat Keras','https://dto.kemkes.go.id/kfacode/93001211',0,'2023-05-01');</v>
      </c>
    </row>
    <row r="984" spans="1:11" ht="15.75" customHeight="1">
      <c r="A984" s="2">
        <v>93001636</v>
      </c>
      <c r="B984" s="2" t="s">
        <v>3120</v>
      </c>
      <c r="C984" s="2">
        <v>92000935</v>
      </c>
      <c r="D984" s="2" t="s">
        <v>1226</v>
      </c>
      <c r="E984" s="2" t="s">
        <v>3121</v>
      </c>
      <c r="F984" s="2" t="s">
        <v>702</v>
      </c>
      <c r="G984" s="2" t="s">
        <v>1530</v>
      </c>
      <c r="H984" s="2" t="s">
        <v>1458</v>
      </c>
      <c r="I984" s="3" t="str">
        <f t="shared" si="0"/>
        <v>https://dto.kemkes.go.id/kfacode/93001636</v>
      </c>
      <c r="J984" s="34" t="s">
        <v>3768</v>
      </c>
      <c r="K984" t="str">
        <f t="shared" si="16"/>
        <v>insert into mkatalog_kfa93 (kode, uraian, kode_92, uraian_92, nama_dagang, satuan_kecil, sediaan, golongan, url, userid_updt, sysdate_updt) values ('93001636','OTSU - RL D5 Infus (OTSU - RL D5)','92000935','OTSU - RL D5 Infus','OTSU - RL D5','Botol Plastik','Infus','Obat Keras','https://dto.kemkes.go.id/kfacode/93001636',0,'2023-05-01');</v>
      </c>
    </row>
    <row r="985" spans="1:11" ht="15.75" customHeight="1">
      <c r="A985" s="2">
        <v>93001097</v>
      </c>
      <c r="B985" s="2" t="s">
        <v>3122</v>
      </c>
      <c r="C985" s="2">
        <v>92000207</v>
      </c>
      <c r="D985" s="2" t="s">
        <v>1227</v>
      </c>
      <c r="E985" s="2" t="s">
        <v>3123</v>
      </c>
      <c r="F985" s="2" t="s">
        <v>653</v>
      </c>
      <c r="G985" s="2" t="s">
        <v>1500</v>
      </c>
      <c r="H985" s="2" t="s">
        <v>1458</v>
      </c>
      <c r="I985" s="3" t="str">
        <f t="shared" si="0"/>
        <v>https://dto.kemkes.go.id/kfacode/93001097</v>
      </c>
      <c r="J985" s="34" t="s">
        <v>3768</v>
      </c>
      <c r="K985" t="str">
        <f t="shared" si="16"/>
        <v>insert into mkatalog_kfa93 (kode, uraian, kode_92, uraian_92, nama_dagang, satuan_kecil, sediaan, golongan, url, userid_updt, sysdate_updt) values ('93001097','Oxaliplatin 100 mg Serbuk Injeksi (BELLOXA, OTTO PHARMACEUTICAL INDUSTRIES)','92000207','Oxaliplatin 100 mg Serbuk Injeksi','BELLOXA','Vial','Serbuk Injeksi','Obat Keras','https://dto.kemkes.go.id/kfacode/93001097',0,'2023-05-01');</v>
      </c>
    </row>
    <row r="986" spans="1:11" ht="15.75" customHeight="1">
      <c r="A986" s="2">
        <v>93000309</v>
      </c>
      <c r="B986" s="2" t="s">
        <v>3124</v>
      </c>
      <c r="C986" s="2">
        <v>92000207</v>
      </c>
      <c r="D986" s="2" t="s">
        <v>1227</v>
      </c>
      <c r="E986" s="2" t="s">
        <v>3125</v>
      </c>
      <c r="F986" s="2" t="s">
        <v>653</v>
      </c>
      <c r="G986" s="2" t="s">
        <v>1500</v>
      </c>
      <c r="H986" s="2" t="s">
        <v>1458</v>
      </c>
      <c r="I986" s="3" t="str">
        <f t="shared" si="0"/>
        <v>https://dto.kemkes.go.id/kfacode/93000309</v>
      </c>
      <c r="J986" s="34" t="s">
        <v>3768</v>
      </c>
      <c r="K986" t="str">
        <f t="shared" si="16"/>
        <v>insert into mkatalog_kfa93 (kode, uraian, kode_92, uraian_92, nama_dagang, satuan_kecil, sediaan, golongan, url, userid_updt, sysdate_updt) values ('93000309','Oxaliplatin 100 mg Serbuk Injeksi (CKD OTTO Pharmaceuticals)','92000207','Oxaliplatin 100 mg Serbuk Injeksi','OXALIPLATIN','Vial','Serbuk Injeksi','Obat Keras','https://dto.kemkes.go.id/kfacode/93000309',0,'2023-05-01');</v>
      </c>
    </row>
    <row r="987" spans="1:11" ht="15.75" customHeight="1">
      <c r="A987" s="2">
        <v>93000324</v>
      </c>
      <c r="B987" s="2" t="s">
        <v>3126</v>
      </c>
      <c r="C987" s="2">
        <v>92000207</v>
      </c>
      <c r="D987" s="2" t="s">
        <v>1227</v>
      </c>
      <c r="E987" s="2" t="s">
        <v>3125</v>
      </c>
      <c r="F987" s="2" t="s">
        <v>653</v>
      </c>
      <c r="G987" s="2" t="s">
        <v>1500</v>
      </c>
      <c r="H987" s="2" t="s">
        <v>1458</v>
      </c>
      <c r="I987" s="3" t="str">
        <f t="shared" si="0"/>
        <v>https://dto.kemkes.go.id/kfacode/93000324</v>
      </c>
      <c r="J987" s="34" t="s">
        <v>3768</v>
      </c>
      <c r="K987" t="str">
        <f t="shared" si="16"/>
        <v>insert into mkatalog_kfa93 (kode, uraian, kode_92, uraian_92, nama_dagang, satuan_kecil, sediaan, golongan, url, userid_updt, sysdate_updt) values ('93000324','Oxaliplatin 100 mg Serbuk Injeksi (FERRON PAR PHARMACEUTICALS)','92000207','Oxaliplatin 100 mg Serbuk Injeksi','OXALIPLATIN','Vial','Serbuk Injeksi','Obat Keras','https://dto.kemkes.go.id/kfacode/93000324',0,'2023-05-01');</v>
      </c>
    </row>
    <row r="988" spans="1:11" ht="15.75" customHeight="1">
      <c r="A988" s="2">
        <v>93001198</v>
      </c>
      <c r="B988" s="2" t="s">
        <v>3127</v>
      </c>
      <c r="C988" s="2">
        <v>92000207</v>
      </c>
      <c r="D988" s="2" t="s">
        <v>1227</v>
      </c>
      <c r="E988" s="2" t="s">
        <v>3128</v>
      </c>
      <c r="F988" s="2" t="s">
        <v>653</v>
      </c>
      <c r="G988" s="2" t="s">
        <v>1500</v>
      </c>
      <c r="H988" s="2" t="s">
        <v>1458</v>
      </c>
      <c r="I988" s="3" t="str">
        <f t="shared" si="0"/>
        <v>https://dto.kemkes.go.id/kfacode/93001198</v>
      </c>
      <c r="J988" s="34" t="s">
        <v>3768</v>
      </c>
      <c r="K988" t="str">
        <f t="shared" si="16"/>
        <v>insert into mkatalog_kfa93 (kode, uraian, kode_92, uraian_92, nama_dagang, satuan_kecil, sediaan, golongan, url, userid_updt, sysdate_updt) values ('93001198','Oxaliplatin 100 mg Serbuk Injeksi (OXALIPLATIN MEDAC)','92000207','Oxaliplatin 100 mg Serbuk Injeksi','OXALIPLATIN MEDAC','Vial','Serbuk Injeksi','Obat Keras','https://dto.kemkes.go.id/kfacode/93001198',0,'2023-05-01');</v>
      </c>
    </row>
    <row r="989" spans="1:11" ht="15.75" customHeight="1">
      <c r="A989" s="2">
        <v>93000344</v>
      </c>
      <c r="B989" s="2" t="s">
        <v>3129</v>
      </c>
      <c r="C989" s="2">
        <v>92000207</v>
      </c>
      <c r="D989" s="2" t="s">
        <v>1227</v>
      </c>
      <c r="E989" s="2" t="s">
        <v>3130</v>
      </c>
      <c r="F989" s="2" t="s">
        <v>653</v>
      </c>
      <c r="G989" s="2" t="s">
        <v>1500</v>
      </c>
      <c r="H989" s="2" t="s">
        <v>1458</v>
      </c>
      <c r="I989" s="3" t="str">
        <f t="shared" si="0"/>
        <v>https://dto.kemkes.go.id/kfacode/93000344</v>
      </c>
      <c r="J989" s="34" t="s">
        <v>3768</v>
      </c>
      <c r="K989" t="str">
        <f t="shared" si="16"/>
        <v>insert into mkatalog_kfa93 (kode, uraian, kode_92, uraian_92, nama_dagang, satuan_kecil, sediaan, golongan, url, userid_updt, sysdate_updt) values ('93000344','Oxaliplatin 100 mg Serbuk Injeksi (OXITAN)','92000207','Oxaliplatin 100 mg Serbuk Injeksi','OXITAN','Vial','Serbuk Injeksi','Obat Keras','https://dto.kemkes.go.id/kfacode/93000344',0,'2023-05-01');</v>
      </c>
    </row>
    <row r="990" spans="1:11" ht="15.75" customHeight="1">
      <c r="A990" s="2">
        <v>93000322</v>
      </c>
      <c r="B990" s="2" t="s">
        <v>3131</v>
      </c>
      <c r="C990" s="2">
        <v>92000207</v>
      </c>
      <c r="D990" s="2" t="s">
        <v>1227</v>
      </c>
      <c r="E990" s="2" t="s">
        <v>3132</v>
      </c>
      <c r="F990" s="2" t="s">
        <v>653</v>
      </c>
      <c r="G990" s="2" t="s">
        <v>1500</v>
      </c>
      <c r="H990" s="2" t="s">
        <v>1458</v>
      </c>
      <c r="I990" s="3" t="str">
        <f t="shared" si="0"/>
        <v>https://dto.kemkes.go.id/kfacode/93000322</v>
      </c>
      <c r="J990" s="34" t="s">
        <v>3768</v>
      </c>
      <c r="K990" t="str">
        <f t="shared" si="16"/>
        <v>insert into mkatalog_kfa93 (kode, uraian, kode_92, uraian_92, nama_dagang, satuan_kecil, sediaan, golongan, url, userid_updt, sysdate_updt) values ('93000322','Oxaliplatin 100 mg Serbuk Injeksi (PLAXAT)','92000207','Oxaliplatin 100 mg Serbuk Injeksi','PLAXAT','Vial','Serbuk Injeksi','Obat Keras','https://dto.kemkes.go.id/kfacode/93000322',0,'2023-05-01');</v>
      </c>
    </row>
    <row r="991" spans="1:11" ht="15.75" customHeight="1">
      <c r="A991" s="2">
        <v>93001271</v>
      </c>
      <c r="B991" s="2" t="s">
        <v>3133</v>
      </c>
      <c r="C991" s="2">
        <v>92000207</v>
      </c>
      <c r="D991" s="2" t="s">
        <v>1227</v>
      </c>
      <c r="E991" s="2" t="s">
        <v>3134</v>
      </c>
      <c r="F991" s="2" t="s">
        <v>653</v>
      </c>
      <c r="G991" s="2" t="s">
        <v>1500</v>
      </c>
      <c r="H991" s="2" t="s">
        <v>1458</v>
      </c>
      <c r="I991" s="3" t="str">
        <f t="shared" si="0"/>
        <v>https://dto.kemkes.go.id/kfacode/93001271</v>
      </c>
      <c r="J991" s="34" t="s">
        <v>3768</v>
      </c>
      <c r="K991" t="str">
        <f t="shared" si="16"/>
        <v>insert into mkatalog_kfa93 (kode, uraian, kode_92, uraian_92, nama_dagang, satuan_kecil, sediaan, golongan, url, userid_updt, sysdate_updt) values ('93001271','Oxaliplatin 100 mg Serbuk Injeksi (REXTA)','92000207','Oxaliplatin 100 mg Serbuk Injeksi','REXTA','Vial','Serbuk Injeksi','Obat Keras','https://dto.kemkes.go.id/kfacode/93001271',0,'2023-05-01');</v>
      </c>
    </row>
    <row r="992" spans="1:11" ht="15.75" customHeight="1">
      <c r="A992" s="2">
        <v>93000319</v>
      </c>
      <c r="B992" s="2" t="s">
        <v>3135</v>
      </c>
      <c r="C992" s="2">
        <v>92000207</v>
      </c>
      <c r="D992" s="2" t="s">
        <v>1227</v>
      </c>
      <c r="E992" s="2" t="s">
        <v>3125</v>
      </c>
      <c r="F992" s="2" t="s">
        <v>653</v>
      </c>
      <c r="G992" s="2" t="s">
        <v>1500</v>
      </c>
      <c r="H992" s="2" t="s">
        <v>1458</v>
      </c>
      <c r="I992" s="3" t="str">
        <f t="shared" si="0"/>
        <v>https://dto.kemkes.go.id/kfacode/93000319</v>
      </c>
      <c r="J992" s="34" t="s">
        <v>3768</v>
      </c>
      <c r="K992" t="str">
        <f t="shared" si="16"/>
        <v>insert into mkatalog_kfa93 (kode, uraian, kode_92, uraian_92, nama_dagang, satuan_kecil, sediaan, golongan, url, userid_updt, sysdate_updt) values ('93000319','Oxaliplatin 100 mg Serbuk Injeksi (SANBE FARMA)','92000207','Oxaliplatin 100 mg Serbuk Injeksi','OXALIPLATIN','Vial','Serbuk Injeksi','Obat Keras','https://dto.kemkes.go.id/kfacode/93000319',0,'2023-05-01');</v>
      </c>
    </row>
    <row r="993" spans="1:11" ht="15.75" customHeight="1">
      <c r="A993" s="2">
        <v>93000318</v>
      </c>
      <c r="B993" s="2" t="s">
        <v>3136</v>
      </c>
      <c r="C993" s="2">
        <v>92000207</v>
      </c>
      <c r="D993" s="2" t="s">
        <v>1227</v>
      </c>
      <c r="E993" s="2" t="s">
        <v>3137</v>
      </c>
      <c r="F993" s="2" t="s">
        <v>653</v>
      </c>
      <c r="G993" s="2" t="s">
        <v>1500</v>
      </c>
      <c r="H993" s="2" t="s">
        <v>1458</v>
      </c>
      <c r="I993" s="3" t="str">
        <f t="shared" si="0"/>
        <v>https://dto.kemkes.go.id/kfacode/93000318</v>
      </c>
      <c r="J993" s="34" t="s">
        <v>3768</v>
      </c>
      <c r="K993" t="str">
        <f t="shared" si="16"/>
        <v>insert into mkatalog_kfa93 (kode, uraian, kode_92, uraian_92, nama_dagang, satuan_kecil, sediaan, golongan, url, userid_updt, sysdate_updt) values ('93000318','Oxaliplatin 100 mg Serbuk Injeksi (TEMPO SCAN PACIFIC Tbk)','92000207','Oxaliplatin 100 mg Serbuk Injeksi','OXALIPLATIN HOSPIRA','Vial','Serbuk Injeksi','Obat Keras','https://dto.kemkes.go.id/kfacode/93000318',0,'2023-05-01');</v>
      </c>
    </row>
    <row r="994" spans="1:11" ht="15.75" customHeight="1">
      <c r="A994" s="2">
        <v>93001098</v>
      </c>
      <c r="B994" s="2" t="s">
        <v>3138</v>
      </c>
      <c r="C994" s="2">
        <v>92000206</v>
      </c>
      <c r="D994" s="2" t="s">
        <v>1228</v>
      </c>
      <c r="E994" s="2" t="s">
        <v>3123</v>
      </c>
      <c r="F994" s="2" t="s">
        <v>653</v>
      </c>
      <c r="G994" s="2" t="s">
        <v>1500</v>
      </c>
      <c r="H994" s="2" t="s">
        <v>1458</v>
      </c>
      <c r="I994" s="3" t="str">
        <f t="shared" si="0"/>
        <v>https://dto.kemkes.go.id/kfacode/93001098</v>
      </c>
      <c r="J994" s="34" t="s">
        <v>3768</v>
      </c>
      <c r="K994" t="str">
        <f t="shared" si="16"/>
        <v>insert into mkatalog_kfa93 (kode, uraian, kode_92, uraian_92, nama_dagang, satuan_kecil, sediaan, golongan, url, userid_updt, sysdate_updt) values ('93001098','Oxaliplatin 50 mg Serbuk Injeksi (BELLOXA, OTTO PHARMACEUTICAL INDUSTRIES)','92000206','Oxaliplatin 50 mg Serbuk Injeksi','BELLOXA','Vial','Serbuk Injeksi','Obat Keras','https://dto.kemkes.go.id/kfacode/93001098',0,'2023-05-01');</v>
      </c>
    </row>
    <row r="995" spans="1:11" ht="15.75" customHeight="1">
      <c r="A995" s="2">
        <v>93000308</v>
      </c>
      <c r="B995" s="2" t="s">
        <v>3139</v>
      </c>
      <c r="C995" s="2">
        <v>92000206</v>
      </c>
      <c r="D995" s="2" t="s">
        <v>1228</v>
      </c>
      <c r="E995" s="2" t="s">
        <v>3125</v>
      </c>
      <c r="F995" s="2" t="s">
        <v>653</v>
      </c>
      <c r="G995" s="2" t="s">
        <v>1500</v>
      </c>
      <c r="H995" s="2" t="s">
        <v>1458</v>
      </c>
      <c r="I995" s="3" t="str">
        <f t="shared" si="0"/>
        <v>https://dto.kemkes.go.id/kfacode/93000308</v>
      </c>
      <c r="J995" s="34" t="s">
        <v>3768</v>
      </c>
      <c r="K995" t="str">
        <f t="shared" si="16"/>
        <v>insert into mkatalog_kfa93 (kode, uraian, kode_92, uraian_92, nama_dagang, satuan_kecil, sediaan, golongan, url, userid_updt, sysdate_updt) values ('93000308','Oxaliplatin 50 mg Serbuk Injeksi (CKD OTTO Pharmaceuticals)','92000206','Oxaliplatin 50 mg Serbuk Injeksi','OXALIPLATIN','Vial','Serbuk Injeksi','Obat Keras','https://dto.kemkes.go.id/kfacode/93000308',0,'2023-05-01');</v>
      </c>
    </row>
    <row r="996" spans="1:11" ht="15.75" customHeight="1">
      <c r="A996" s="2">
        <v>93000323</v>
      </c>
      <c r="B996" s="2" t="s">
        <v>3140</v>
      </c>
      <c r="C996" s="2">
        <v>92000206</v>
      </c>
      <c r="D996" s="2" t="s">
        <v>1228</v>
      </c>
      <c r="E996" s="2" t="s">
        <v>3125</v>
      </c>
      <c r="F996" s="2" t="s">
        <v>653</v>
      </c>
      <c r="G996" s="2" t="s">
        <v>1500</v>
      </c>
      <c r="H996" s="2" t="s">
        <v>1458</v>
      </c>
      <c r="I996" s="3" t="str">
        <f t="shared" si="0"/>
        <v>https://dto.kemkes.go.id/kfacode/93000323</v>
      </c>
      <c r="J996" s="34" t="s">
        <v>3768</v>
      </c>
      <c r="K996" t="str">
        <f t="shared" si="16"/>
        <v>insert into mkatalog_kfa93 (kode, uraian, kode_92, uraian_92, nama_dagang, satuan_kecil, sediaan, golongan, url, userid_updt, sysdate_updt) values ('93000323','Oxaliplatin 50 mg Serbuk Injeksi (FERRON PAR PHARMACEUTICALS)','92000206','Oxaliplatin 50 mg Serbuk Injeksi','OXALIPLATIN','Vial','Serbuk Injeksi','Obat Keras','https://dto.kemkes.go.id/kfacode/93000323',0,'2023-05-01');</v>
      </c>
    </row>
    <row r="997" spans="1:11" ht="15.75" customHeight="1">
      <c r="A997" s="2">
        <v>93001197</v>
      </c>
      <c r="B997" s="2" t="s">
        <v>3141</v>
      </c>
      <c r="C997" s="2">
        <v>92000206</v>
      </c>
      <c r="D997" s="2" t="s">
        <v>1228</v>
      </c>
      <c r="E997" s="2" t="s">
        <v>3128</v>
      </c>
      <c r="F997" s="2" t="s">
        <v>653</v>
      </c>
      <c r="G997" s="2" t="s">
        <v>1500</v>
      </c>
      <c r="H997" s="2" t="s">
        <v>1458</v>
      </c>
      <c r="I997" s="3" t="str">
        <f t="shared" si="0"/>
        <v>https://dto.kemkes.go.id/kfacode/93001197</v>
      </c>
      <c r="J997" s="34" t="s">
        <v>3768</v>
      </c>
      <c r="K997" t="str">
        <f t="shared" si="16"/>
        <v>insert into mkatalog_kfa93 (kode, uraian, kode_92, uraian_92, nama_dagang, satuan_kecil, sediaan, golongan, url, userid_updt, sysdate_updt) values ('93001197','Oxaliplatin 50 mg Serbuk Injeksi (OXALIPLATIN MEDAC)','92000206','Oxaliplatin 50 mg Serbuk Injeksi','OXALIPLATIN MEDAC','Vial','Serbuk Injeksi','Obat Keras','https://dto.kemkes.go.id/kfacode/93001197',0,'2023-05-01');</v>
      </c>
    </row>
    <row r="998" spans="1:11" ht="15.75" customHeight="1">
      <c r="A998" s="2">
        <v>93000343</v>
      </c>
      <c r="B998" s="2" t="s">
        <v>3142</v>
      </c>
      <c r="C998" s="2">
        <v>92000206</v>
      </c>
      <c r="D998" s="2" t="s">
        <v>1228</v>
      </c>
      <c r="E998" s="2" t="s">
        <v>3130</v>
      </c>
      <c r="F998" s="2" t="s">
        <v>653</v>
      </c>
      <c r="G998" s="2" t="s">
        <v>1500</v>
      </c>
      <c r="H998" s="2" t="s">
        <v>1458</v>
      </c>
      <c r="I998" s="3" t="str">
        <f t="shared" si="0"/>
        <v>https://dto.kemkes.go.id/kfacode/93000343</v>
      </c>
      <c r="J998" s="34" t="s">
        <v>3768</v>
      </c>
      <c r="K998" t="str">
        <f t="shared" si="16"/>
        <v>insert into mkatalog_kfa93 (kode, uraian, kode_92, uraian_92, nama_dagang, satuan_kecil, sediaan, golongan, url, userid_updt, sysdate_updt) values ('93000343','Oxaliplatin 50 mg Serbuk Injeksi (OXITAN)','92000206','Oxaliplatin 50 mg Serbuk Injeksi','OXITAN','Vial','Serbuk Injeksi','Obat Keras','https://dto.kemkes.go.id/kfacode/93000343',0,'2023-05-01');</v>
      </c>
    </row>
    <row r="999" spans="1:11" ht="15.75" customHeight="1">
      <c r="A999" s="2">
        <v>93000321</v>
      </c>
      <c r="B999" s="2" t="s">
        <v>3143</v>
      </c>
      <c r="C999" s="2">
        <v>92000206</v>
      </c>
      <c r="D999" s="2" t="s">
        <v>1228</v>
      </c>
      <c r="E999" s="2" t="s">
        <v>3132</v>
      </c>
      <c r="F999" s="2" t="s">
        <v>653</v>
      </c>
      <c r="G999" s="2" t="s">
        <v>1500</v>
      </c>
      <c r="H999" s="2" t="s">
        <v>1458</v>
      </c>
      <c r="I999" s="3" t="str">
        <f t="shared" si="0"/>
        <v>https://dto.kemkes.go.id/kfacode/93000321</v>
      </c>
      <c r="J999" s="34" t="s">
        <v>3768</v>
      </c>
      <c r="K999" t="str">
        <f t="shared" si="16"/>
        <v>insert into mkatalog_kfa93 (kode, uraian, kode_92, uraian_92, nama_dagang, satuan_kecil, sediaan, golongan, url, userid_updt, sysdate_updt) values ('93000321','Oxaliplatin 50 mg Serbuk Injeksi (PLAXAT)','92000206','Oxaliplatin 50 mg Serbuk Injeksi','PLAXAT','Vial','Serbuk Injeksi','Obat Keras','https://dto.kemkes.go.id/kfacode/93000321',0,'2023-05-01');</v>
      </c>
    </row>
    <row r="1000" spans="1:11" ht="15.75" customHeight="1">
      <c r="A1000" s="2">
        <v>93001270</v>
      </c>
      <c r="B1000" s="2" t="s">
        <v>3144</v>
      </c>
      <c r="C1000" s="2">
        <v>92000206</v>
      </c>
      <c r="D1000" s="2" t="s">
        <v>1228</v>
      </c>
      <c r="E1000" s="2" t="s">
        <v>3134</v>
      </c>
      <c r="F1000" s="2" t="s">
        <v>653</v>
      </c>
      <c r="G1000" s="2" t="s">
        <v>1500</v>
      </c>
      <c r="H1000" s="2" t="s">
        <v>1458</v>
      </c>
      <c r="I1000" s="3" t="str">
        <f t="shared" si="0"/>
        <v>https://dto.kemkes.go.id/kfacode/93001270</v>
      </c>
      <c r="J1000" s="34" t="s">
        <v>3768</v>
      </c>
      <c r="K1000" t="str">
        <f t="shared" si="16"/>
        <v>insert into mkatalog_kfa93 (kode, uraian, kode_92, uraian_92, nama_dagang, satuan_kecil, sediaan, golongan, url, userid_updt, sysdate_updt) values ('93001270','Oxaliplatin 50 mg Serbuk Injeksi (REXTA)','92000206','Oxaliplatin 50 mg Serbuk Injeksi','REXTA','Vial','Serbuk Injeksi','Obat Keras','https://dto.kemkes.go.id/kfacode/93001270',0,'2023-05-01');</v>
      </c>
    </row>
    <row r="1001" spans="1:11" ht="15.75" customHeight="1">
      <c r="A1001" s="2">
        <v>93000320</v>
      </c>
      <c r="B1001" s="2" t="s">
        <v>3145</v>
      </c>
      <c r="C1001" s="2">
        <v>92000206</v>
      </c>
      <c r="D1001" s="2" t="s">
        <v>1228</v>
      </c>
      <c r="E1001" s="2" t="s">
        <v>3125</v>
      </c>
      <c r="F1001" s="2" t="s">
        <v>653</v>
      </c>
      <c r="G1001" s="2" t="s">
        <v>1500</v>
      </c>
      <c r="H1001" s="2" t="s">
        <v>1458</v>
      </c>
      <c r="I1001" s="3" t="str">
        <f t="shared" si="0"/>
        <v>https://dto.kemkes.go.id/kfacode/93000320</v>
      </c>
      <c r="J1001" s="34" t="s">
        <v>3768</v>
      </c>
      <c r="K1001" t="str">
        <f t="shared" si="16"/>
        <v>insert into mkatalog_kfa93 (kode, uraian, kode_92, uraian_92, nama_dagang, satuan_kecil, sediaan, golongan, url, userid_updt, sysdate_updt) values ('93000320','Oxaliplatin 50 mg Serbuk Injeksi (SANBE FARMA)','92000206','Oxaliplatin 50 mg Serbuk Injeksi','OXALIPLATIN','Vial','Serbuk Injeksi','Obat Keras','https://dto.kemkes.go.id/kfacode/93000320',0,'2023-05-01');</v>
      </c>
    </row>
    <row r="1002" spans="1:11" ht="15.75" customHeight="1">
      <c r="A1002" s="2">
        <v>93000317</v>
      </c>
      <c r="B1002" s="2" t="s">
        <v>3146</v>
      </c>
      <c r="C1002" s="2">
        <v>92000206</v>
      </c>
      <c r="D1002" s="2" t="s">
        <v>1228</v>
      </c>
      <c r="E1002" s="2" t="s">
        <v>3137</v>
      </c>
      <c r="F1002" s="2" t="s">
        <v>653</v>
      </c>
      <c r="G1002" s="2" t="s">
        <v>1500</v>
      </c>
      <c r="H1002" s="2" t="s">
        <v>1458</v>
      </c>
      <c r="I1002" s="3" t="str">
        <f t="shared" si="0"/>
        <v>https://dto.kemkes.go.id/kfacode/93000317</v>
      </c>
      <c r="J1002" s="34" t="s">
        <v>3768</v>
      </c>
      <c r="K1002" t="str">
        <f t="shared" si="16"/>
        <v>insert into mkatalog_kfa93 (kode, uraian, kode_92, uraian_92, nama_dagang, satuan_kecil, sediaan, golongan, url, userid_updt, sysdate_updt) values ('93000317','Oxaliplatin 50 mg Serbuk Injeksi (TEMPO SCAN PACIFIC Tbk)','92000206','Oxaliplatin 50 mg Serbuk Injeksi','OXALIPLATIN HOSPIRA','Vial','Serbuk Injeksi','Obat Keras','https://dto.kemkes.go.id/kfacode/93000317',0,'2023-05-01');</v>
      </c>
    </row>
    <row r="1003" spans="1:11" ht="15.75" customHeight="1">
      <c r="A1003" s="2">
        <v>93000140</v>
      </c>
      <c r="B1003" s="2" t="s">
        <v>3147</v>
      </c>
      <c r="C1003" s="2">
        <v>92000144</v>
      </c>
      <c r="D1003" s="2" t="s">
        <v>1229</v>
      </c>
      <c r="E1003" s="2" t="s">
        <v>3148</v>
      </c>
      <c r="F1003" s="2" t="s">
        <v>658</v>
      </c>
      <c r="G1003" s="2" t="s">
        <v>1509</v>
      </c>
      <c r="H1003" s="2" t="s">
        <v>1458</v>
      </c>
      <c r="I1003" s="3" t="str">
        <f t="shared" si="0"/>
        <v>https://dto.kemkes.go.id/kfacode/93000140</v>
      </c>
      <c r="J1003" s="34" t="s">
        <v>3768</v>
      </c>
      <c r="K1003" t="str">
        <f t="shared" si="16"/>
        <v>insert into mkatalog_kfa93 (kode, uraian, kode_92, uraian_92, nama_dagang, satuan_kecil, sediaan, golongan, url, userid_updt, sysdate_updt) values ('93000140','Oxcarbazepine 60 mg / mL Suspensi (TRILEPTAL)','92000144','Oxcarbazepine 60 mg / mL Suspensi','TRILEPTAL','Botol','Suspensi','Obat Keras','https://dto.kemkes.go.id/kfacode/93000140',0,'2023-05-01');</v>
      </c>
    </row>
    <row r="1004" spans="1:11" ht="15.75" customHeight="1">
      <c r="A1004" s="2">
        <v>93000438</v>
      </c>
      <c r="B1004" s="2" t="s">
        <v>3149</v>
      </c>
      <c r="C1004" s="2">
        <v>92000318</v>
      </c>
      <c r="D1004" s="2" t="s">
        <v>1230</v>
      </c>
      <c r="E1004" s="2" t="s">
        <v>3150</v>
      </c>
      <c r="F1004" s="2" t="s">
        <v>645</v>
      </c>
      <c r="G1004" s="2" t="s">
        <v>1506</v>
      </c>
      <c r="H1004" s="2" t="s">
        <v>1973</v>
      </c>
      <c r="I1004" s="3" t="str">
        <f t="shared" si="0"/>
        <v>https://dto.kemkes.go.id/kfacode/93000438</v>
      </c>
      <c r="J1004" s="34" t="s">
        <v>3768</v>
      </c>
      <c r="K1004" t="str">
        <f t="shared" si="16"/>
        <v>insert into mkatalog_kfa93 (kode, uraian, kode_92, uraian_92, nama_dagang, satuan_kecil, sediaan, golongan, url, userid_updt, sysdate_updt) values ('93000438','Oxycodone Hydrochloride 10 mg / mL Injeksi (OXYNORM, 1 mL)','92000318','Oxycodone Hydrochloride 10 mg / mL Injeksi','OXYNORM','Ampul','Larutan Injeksi','Obat Narkotik','https://dto.kemkes.go.id/kfacode/93000438',0,'2023-05-01');</v>
      </c>
    </row>
    <row r="1005" spans="1:11" ht="15.75" customHeight="1">
      <c r="A1005" s="2">
        <v>93000433</v>
      </c>
      <c r="B1005" s="2" t="s">
        <v>3151</v>
      </c>
      <c r="C1005" s="2">
        <v>92000318</v>
      </c>
      <c r="D1005" s="2" t="s">
        <v>1230</v>
      </c>
      <c r="E1005" s="2" t="s">
        <v>3150</v>
      </c>
      <c r="F1005" s="2" t="s">
        <v>645</v>
      </c>
      <c r="G1005" s="2" t="s">
        <v>1506</v>
      </c>
      <c r="H1005" s="2" t="s">
        <v>1973</v>
      </c>
      <c r="I1005" s="3" t="str">
        <f t="shared" si="0"/>
        <v>https://dto.kemkes.go.id/kfacode/93000433</v>
      </c>
      <c r="J1005" s="34" t="s">
        <v>3768</v>
      </c>
      <c r="K1005" t="str">
        <f t="shared" si="16"/>
        <v>insert into mkatalog_kfa93 (kode, uraian, kode_92, uraian_92, nama_dagang, satuan_kecil, sediaan, golongan, url, userid_updt, sysdate_updt) values ('93000433','Oxycodone Hydrochloride 10 mg / mL Injeksi (OXYNORM, 2 mL)','92000318','Oxycodone Hydrochloride 10 mg / mL Injeksi','OXYNORM','Ampul','Larutan Injeksi','Obat Narkotik','https://dto.kemkes.go.id/kfacode/93000433',0,'2023-05-01');</v>
      </c>
    </row>
    <row r="1006" spans="1:11" ht="15.75" customHeight="1">
      <c r="A1006" s="2">
        <v>93000785</v>
      </c>
      <c r="B1006" s="2" t="s">
        <v>3152</v>
      </c>
      <c r="C1006" s="2">
        <v>92000588</v>
      </c>
      <c r="D1006" s="2" t="s">
        <v>1231</v>
      </c>
      <c r="E1006" s="2" t="s">
        <v>3150</v>
      </c>
      <c r="F1006" s="2" t="s">
        <v>649</v>
      </c>
      <c r="G1006" s="2" t="s">
        <v>649</v>
      </c>
      <c r="H1006" s="2" t="s">
        <v>1973</v>
      </c>
      <c r="I1006" s="3" t="str">
        <f t="shared" si="0"/>
        <v>https://dto.kemkes.go.id/kfacode/93000785</v>
      </c>
      <c r="J1006" s="34" t="s">
        <v>3768</v>
      </c>
      <c r="K1006" t="str">
        <f t="shared" si="16"/>
        <v>insert into mkatalog_kfa93 (kode, uraian, kode_92, uraian_92, nama_dagang, satuan_kecil, sediaan, golongan, url, userid_updt, sysdate_updt) values ('93000785','Oxycodone Hydrochloride 10 mg Kapsul (OXYNORM)','92000588','Oxycodone Hydrochloride 10 mg Kapsul','OXYNORM','Kapsul','Kapsul','Obat Narkotik','https://dto.kemkes.go.id/kfacode/93000785',0,'2023-05-01');</v>
      </c>
    </row>
    <row r="1007" spans="1:11" ht="15.75" customHeight="1">
      <c r="A1007" s="2">
        <v>93000791</v>
      </c>
      <c r="B1007" s="2" t="s">
        <v>3153</v>
      </c>
      <c r="C1007" s="2">
        <v>92000592</v>
      </c>
      <c r="D1007" s="2" t="s">
        <v>1232</v>
      </c>
      <c r="E1007" s="2" t="s">
        <v>3154</v>
      </c>
      <c r="F1007" s="2" t="s">
        <v>640</v>
      </c>
      <c r="G1007" s="2" t="s">
        <v>1608</v>
      </c>
      <c r="H1007" s="2" t="s">
        <v>1973</v>
      </c>
      <c r="I1007" s="3" t="str">
        <f t="shared" si="0"/>
        <v>https://dto.kemkes.go.id/kfacode/93000791</v>
      </c>
      <c r="J1007" s="34" t="s">
        <v>3768</v>
      </c>
      <c r="K1007" t="str">
        <f t="shared" si="16"/>
        <v>insert into mkatalog_kfa93 (kode, uraian, kode_92, uraian_92, nama_dagang, satuan_kecil, sediaan, golongan, url, userid_updt, sysdate_updt) values ('93000791','Oxycodone Hydrochloride 10 mg Tablet Pelepasan Lambat (OXYNEO)','92000592','Oxycodone Hydrochloride 10 mg Tablet Pelepasan Lambat','OXYNEO','Tablet','Tablet Pelepasan Lambat','Obat Narkotik','https://dto.kemkes.go.id/kfacode/93000791',0,'2023-05-01');</v>
      </c>
    </row>
    <row r="1008" spans="1:11" ht="15.75" customHeight="1">
      <c r="A1008" s="2">
        <v>93000790</v>
      </c>
      <c r="B1008" s="2" t="s">
        <v>3155</v>
      </c>
      <c r="C1008" s="2">
        <v>92000320</v>
      </c>
      <c r="D1008" s="2" t="s">
        <v>1233</v>
      </c>
      <c r="E1008" s="2" t="s">
        <v>3154</v>
      </c>
      <c r="F1008" s="2" t="s">
        <v>668</v>
      </c>
      <c r="G1008" s="2" t="s">
        <v>1608</v>
      </c>
      <c r="H1008" s="2" t="s">
        <v>1973</v>
      </c>
      <c r="I1008" s="3" t="str">
        <f t="shared" si="0"/>
        <v>https://dto.kemkes.go.id/kfacode/93000790</v>
      </c>
      <c r="J1008" s="34" t="s">
        <v>3768</v>
      </c>
      <c r="K1008" t="str">
        <f t="shared" si="16"/>
        <v>insert into mkatalog_kfa93 (kode, uraian, kode_92, uraian_92, nama_dagang, satuan_kecil, sediaan, golongan, url, userid_updt, sysdate_updt) values ('93000790','Oxycodone Hydrochloride 15 mg Tablet Pelepasan Lambat (OXYNEO)','92000320','Oxycodone Hydrochloride 15 mg Tablet Pelepasan Lambat','OXYNEO','Units','Tablet Pelepasan Lambat','Obat Narkotik','https://dto.kemkes.go.id/kfacode/93000790',0,'2023-05-01');</v>
      </c>
    </row>
    <row r="1009" spans="1:11" ht="15.75" customHeight="1">
      <c r="A1009" s="2">
        <v>93000787</v>
      </c>
      <c r="B1009" s="2" t="s">
        <v>3156</v>
      </c>
      <c r="C1009" s="2">
        <v>92000590</v>
      </c>
      <c r="D1009" s="2" t="s">
        <v>1234</v>
      </c>
      <c r="E1009" s="2" t="s">
        <v>3150</v>
      </c>
      <c r="F1009" s="2" t="s">
        <v>649</v>
      </c>
      <c r="G1009" s="2" t="s">
        <v>649</v>
      </c>
      <c r="H1009" s="2" t="s">
        <v>1973</v>
      </c>
      <c r="I1009" s="3" t="str">
        <f t="shared" si="0"/>
        <v>https://dto.kemkes.go.id/kfacode/93000787</v>
      </c>
      <c r="J1009" s="34" t="s">
        <v>3768</v>
      </c>
      <c r="K1009" t="str">
        <f t="shared" si="16"/>
        <v>insert into mkatalog_kfa93 (kode, uraian, kode_92, uraian_92, nama_dagang, satuan_kecil, sediaan, golongan, url, userid_updt, sysdate_updt) values ('93000787','Oxycodone Hydrochloride 20 mg Kapsul (OXYNORM)','92000590','Oxycodone Hydrochloride 20 mg Kapsul','OXYNORM','Kapsul','Kapsul','Obat Narkotik','https://dto.kemkes.go.id/kfacode/93000787',0,'2023-05-01');</v>
      </c>
    </row>
    <row r="1010" spans="1:11" ht="15.75" customHeight="1">
      <c r="A1010" s="2">
        <v>93000795</v>
      </c>
      <c r="B1010" s="2" t="s">
        <v>3157</v>
      </c>
      <c r="C1010" s="2">
        <v>92000593</v>
      </c>
      <c r="D1010" s="2" t="s">
        <v>1235</v>
      </c>
      <c r="E1010" s="2" t="s">
        <v>3154</v>
      </c>
      <c r="F1010" s="2" t="s">
        <v>640</v>
      </c>
      <c r="G1010" s="2" t="s">
        <v>1608</v>
      </c>
      <c r="H1010" s="2" t="s">
        <v>1973</v>
      </c>
      <c r="I1010" s="3" t="str">
        <f t="shared" si="0"/>
        <v>https://dto.kemkes.go.id/kfacode/93000795</v>
      </c>
      <c r="J1010" s="34" t="s">
        <v>3768</v>
      </c>
      <c r="K1010" t="str">
        <f t="shared" si="16"/>
        <v>insert into mkatalog_kfa93 (kode, uraian, kode_92, uraian_92, nama_dagang, satuan_kecil, sediaan, golongan, url, userid_updt, sysdate_updt) values ('93000795','Oxycodone Hydrochloride 20 mg Tablet Pelepasan Lambat (OXYNEO)','92000593','Oxycodone Hydrochloride 20 mg Tablet Pelepasan Lambat','OXYNEO','Tablet','Tablet Pelepasan Lambat','Obat Narkotik','https://dto.kemkes.go.id/kfacode/93000795',0,'2023-05-01');</v>
      </c>
    </row>
    <row r="1011" spans="1:11" ht="15.75" customHeight="1">
      <c r="A1011" s="2">
        <v>93000783</v>
      </c>
      <c r="B1011" s="2" t="s">
        <v>3158</v>
      </c>
      <c r="C1011" s="2">
        <v>92000319</v>
      </c>
      <c r="D1011" s="2" t="s">
        <v>1236</v>
      </c>
      <c r="E1011" s="2" t="s">
        <v>3150</v>
      </c>
      <c r="F1011" s="2" t="s">
        <v>649</v>
      </c>
      <c r="G1011" s="2" t="s">
        <v>649</v>
      </c>
      <c r="H1011" s="2" t="s">
        <v>1973</v>
      </c>
      <c r="I1011" s="3" t="str">
        <f t="shared" si="0"/>
        <v>https://dto.kemkes.go.id/kfacode/93000783</v>
      </c>
      <c r="J1011" s="34" t="s">
        <v>3768</v>
      </c>
      <c r="K1011" t="str">
        <f t="shared" si="16"/>
        <v>insert into mkatalog_kfa93 (kode, uraian, kode_92, uraian_92, nama_dagang, satuan_kecil, sediaan, golongan, url, userid_updt, sysdate_updt) values ('93000783','Oxycodone Hydrochloride 5 mg Kapsul (OXYNORM)','92000319','Oxycodone Hydrochloride 5 mg Kapsul','OXYNORM','Kapsul','Kapsul','Obat Narkotik','https://dto.kemkes.go.id/kfacode/93000783',0,'2023-05-01');</v>
      </c>
    </row>
    <row r="1012" spans="1:11" ht="15.75" customHeight="1">
      <c r="A1012" s="2">
        <v>93001559</v>
      </c>
      <c r="B1012" s="2" t="s">
        <v>3159</v>
      </c>
      <c r="C1012" s="2">
        <v>92000844</v>
      </c>
      <c r="D1012" s="2" t="s">
        <v>1237</v>
      </c>
      <c r="E1012" s="2" t="s">
        <v>3160</v>
      </c>
      <c r="F1012" s="2" t="s">
        <v>655</v>
      </c>
      <c r="G1012" s="2" t="s">
        <v>1503</v>
      </c>
      <c r="H1012" s="2" t="s">
        <v>1458</v>
      </c>
      <c r="I1012" s="3" t="str">
        <f t="shared" si="0"/>
        <v>https://dto.kemkes.go.id/kfacode/93001559</v>
      </c>
      <c r="J1012" s="34" t="s">
        <v>3768</v>
      </c>
      <c r="K1012" t="str">
        <f t="shared" si="16"/>
        <v>insert into mkatalog_kfa93 (kode, uraian, kode_92, uraian_92, nama_dagang, satuan_kecil, sediaan, golongan, url, userid_updt, sysdate_updt) values ('93001559','Oxytetracycline 1 % Salep Mata (KIMIA FARMA)','92000844','Oxytetracycline 1 % Salep Mata','OXYTETRACYCLINE','Tube','Salep Mata','Obat Keras','https://dto.kemkes.go.id/kfacode/93001559',0,'2023-05-01');</v>
      </c>
    </row>
    <row r="1013" spans="1:11" ht="15.75" customHeight="1">
      <c r="A1013" s="2">
        <v>93001384</v>
      </c>
      <c r="B1013" s="2" t="s">
        <v>3161</v>
      </c>
      <c r="C1013" s="2">
        <v>92000756</v>
      </c>
      <c r="D1013" s="2" t="s">
        <v>1238</v>
      </c>
      <c r="E1013" s="2" t="s">
        <v>3162</v>
      </c>
      <c r="F1013" s="2" t="s">
        <v>645</v>
      </c>
      <c r="G1013" s="2" t="s">
        <v>1506</v>
      </c>
      <c r="H1013" s="2" t="s">
        <v>1458</v>
      </c>
      <c r="I1013" s="3" t="str">
        <f t="shared" si="0"/>
        <v>https://dto.kemkes.go.id/kfacode/93001384</v>
      </c>
      <c r="J1013" s="34" t="s">
        <v>3768</v>
      </c>
      <c r="K1013" t="str">
        <f t="shared" si="16"/>
        <v>insert into mkatalog_kfa93 (kode, uraian, kode_92, uraian_92, nama_dagang, satuan_kecil, sediaan, golongan, url, userid_updt, sysdate_updt) values ('93001384','Oxytocin 10 IU / mL Injeksi (ETHICA)','92000756','Oxytocin 10 IU / mL Injeksi','OXYTOCIN','Ampul','Larutan Injeksi','Obat Keras','https://dto.kemkes.go.id/kfacode/93001384',0,'2023-05-01');</v>
      </c>
    </row>
    <row r="1014" spans="1:11" ht="15.75" customHeight="1">
      <c r="A1014" s="2">
        <v>93000241</v>
      </c>
      <c r="B1014" s="2" t="s">
        <v>3163</v>
      </c>
      <c r="C1014" s="2">
        <v>92000108</v>
      </c>
      <c r="D1014" s="2" t="s">
        <v>1239</v>
      </c>
      <c r="E1014" s="2" t="s">
        <v>3164</v>
      </c>
      <c r="F1014" s="2" t="s">
        <v>653</v>
      </c>
      <c r="G1014" s="2" t="s">
        <v>1506</v>
      </c>
      <c r="H1014" s="2" t="s">
        <v>1458</v>
      </c>
      <c r="I1014" s="3" t="str">
        <f t="shared" si="0"/>
        <v>https://dto.kemkes.go.id/kfacode/93000241</v>
      </c>
      <c r="J1014" s="34" t="s">
        <v>3768</v>
      </c>
      <c r="K1014" t="str">
        <f t="shared" si="16"/>
        <v>insert into mkatalog_kfa93 (kode, uraian, kode_92, uraian_92, nama_dagang, satuan_kecil, sediaan, golongan, url, userid_updt, sysdate_updt) values ('93000241','Paclitaxel 6 mg / mL Injeksi (16,7 mL, CKD OTTO Pharmaceuticals)','92000108','Paclitaxel 6 mg / mL Injeksi','PACLITAXEL','Vial','Larutan Injeksi','Obat Keras','https://dto.kemkes.go.id/kfacode/93000241',0,'2023-05-01');</v>
      </c>
    </row>
    <row r="1015" spans="1:11" ht="15.75" customHeight="1">
      <c r="A1015" s="2">
        <v>93000240</v>
      </c>
      <c r="B1015" s="2" t="s">
        <v>3165</v>
      </c>
      <c r="C1015" s="2">
        <v>92000108</v>
      </c>
      <c r="D1015" s="2" t="s">
        <v>1239</v>
      </c>
      <c r="E1015" s="2" t="s">
        <v>3166</v>
      </c>
      <c r="F1015" s="2" t="s">
        <v>653</v>
      </c>
      <c r="G1015" s="2" t="s">
        <v>1506</v>
      </c>
      <c r="H1015" s="2" t="s">
        <v>1458</v>
      </c>
      <c r="I1015" s="3" t="str">
        <f t="shared" si="0"/>
        <v>https://dto.kemkes.go.id/kfacode/93000240</v>
      </c>
      <c r="J1015" s="34" t="s">
        <v>3768</v>
      </c>
      <c r="K1015" t="str">
        <f t="shared" si="16"/>
        <v>insert into mkatalog_kfa93 (kode, uraian, kode_92, uraian_92, nama_dagang, satuan_kecil, sediaan, golongan, url, userid_updt, sysdate_updt) values ('93000240','Paclitaxel 6 mg / mL Injeksi (16,7 mL, FONKOPAC)','92000108','Paclitaxel 6 mg / mL Injeksi','FONKOPAC','Vial','Larutan Injeksi','Obat Keras','https://dto.kemkes.go.id/kfacode/93000240',0,'2023-05-01');</v>
      </c>
    </row>
    <row r="1016" spans="1:11" ht="15.75" customHeight="1">
      <c r="A1016" s="2">
        <v>93000199</v>
      </c>
      <c r="B1016" s="2" t="s">
        <v>3167</v>
      </c>
      <c r="C1016" s="2">
        <v>92000108</v>
      </c>
      <c r="D1016" s="2" t="s">
        <v>1239</v>
      </c>
      <c r="E1016" s="2" t="s">
        <v>3168</v>
      </c>
      <c r="F1016" s="2" t="s">
        <v>653</v>
      </c>
      <c r="G1016" s="2" t="s">
        <v>1506</v>
      </c>
      <c r="H1016" s="2" t="s">
        <v>1458</v>
      </c>
      <c r="I1016" s="3" t="str">
        <f t="shared" si="0"/>
        <v>https://dto.kemkes.go.id/kfacode/93000199</v>
      </c>
      <c r="J1016" s="34" t="s">
        <v>3768</v>
      </c>
      <c r="K1016" t="str">
        <f t="shared" si="16"/>
        <v>insert into mkatalog_kfa93 (kode, uraian, kode_92, uraian_92, nama_dagang, satuan_kecil, sediaan, golongan, url, userid_updt, sysdate_updt) values ('93000199','Paclitaxel 6 mg / mL Injeksi (16,7 mL, INTAXEL)','92000108','Paclitaxel 6 mg / mL Injeksi','INTAXEL','Vial','Larutan Injeksi','Obat Keras','https://dto.kemkes.go.id/kfacode/93000199',0,'2023-05-01');</v>
      </c>
    </row>
    <row r="1017" spans="1:11" ht="15.75" customHeight="1">
      <c r="A1017" s="2">
        <v>93000131</v>
      </c>
      <c r="B1017" s="2" t="s">
        <v>3169</v>
      </c>
      <c r="C1017" s="2">
        <v>92000108</v>
      </c>
      <c r="D1017" s="2" t="s">
        <v>1239</v>
      </c>
      <c r="E1017" s="2" t="s">
        <v>3170</v>
      </c>
      <c r="F1017" s="2" t="s">
        <v>653</v>
      </c>
      <c r="G1017" s="2" t="s">
        <v>1506</v>
      </c>
      <c r="H1017" s="2" t="s">
        <v>1458</v>
      </c>
      <c r="I1017" s="3" t="str">
        <f t="shared" si="0"/>
        <v>https://dto.kemkes.go.id/kfacode/93000131</v>
      </c>
      <c r="J1017" s="34" t="s">
        <v>3768</v>
      </c>
      <c r="K1017" t="str">
        <f t="shared" si="16"/>
        <v>insert into mkatalog_kfa93 (kode, uraian, kode_92, uraian_92, nama_dagang, satuan_kecil, sediaan, golongan, url, userid_updt, sysdate_updt) values ('93000131','Paclitaxel 6 mg / mL Injeksi (16,7 mL, NAPRO-TAX)','92000108','Paclitaxel 6 mg / mL Injeksi','NAPRO-TAX','Vial','Larutan Injeksi','Obat Keras','https://dto.kemkes.go.id/kfacode/93000131',0,'2023-05-01');</v>
      </c>
    </row>
    <row r="1018" spans="1:11" ht="15.75" customHeight="1">
      <c r="A1018" s="2">
        <v>93000236</v>
      </c>
      <c r="B1018" s="2" t="s">
        <v>3171</v>
      </c>
      <c r="C1018" s="2">
        <v>92000108</v>
      </c>
      <c r="D1018" s="2" t="s">
        <v>1239</v>
      </c>
      <c r="E1018" s="2" t="s">
        <v>3172</v>
      </c>
      <c r="F1018" s="2" t="s">
        <v>653</v>
      </c>
      <c r="G1018" s="2" t="s">
        <v>1506</v>
      </c>
      <c r="H1018" s="2" t="s">
        <v>1458</v>
      </c>
      <c r="I1018" s="3" t="str">
        <f t="shared" si="0"/>
        <v>https://dto.kemkes.go.id/kfacode/93000236</v>
      </c>
      <c r="J1018" s="34" t="s">
        <v>3768</v>
      </c>
      <c r="K1018" t="str">
        <f t="shared" si="16"/>
        <v>insert into mkatalog_kfa93 (kode, uraian, kode_92, uraian_92, nama_dagang, satuan_kecil, sediaan, golongan, url, userid_updt, sysdate_updt) values ('93000236','Paclitaxel 6 mg / mL Injeksi (16,7 mL, PAXOMED)','92000108','Paclitaxel 6 mg / mL Injeksi','PAXOMED','Vial','Larutan Injeksi','Obat Keras','https://dto.kemkes.go.id/kfacode/93000236',0,'2023-05-01');</v>
      </c>
    </row>
    <row r="1019" spans="1:11" ht="15.75" customHeight="1">
      <c r="A1019" s="2">
        <v>93000208</v>
      </c>
      <c r="B1019" s="2" t="s">
        <v>3173</v>
      </c>
      <c r="C1019" s="2">
        <v>92000108</v>
      </c>
      <c r="D1019" s="2" t="s">
        <v>1239</v>
      </c>
      <c r="E1019" s="2" t="s">
        <v>3174</v>
      </c>
      <c r="F1019" s="2" t="s">
        <v>653</v>
      </c>
      <c r="G1019" s="2" t="s">
        <v>1506</v>
      </c>
      <c r="H1019" s="2" t="s">
        <v>1458</v>
      </c>
      <c r="I1019" s="3" t="str">
        <f t="shared" si="0"/>
        <v>https://dto.kemkes.go.id/kfacode/93000208</v>
      </c>
      <c r="J1019" s="34" t="s">
        <v>3768</v>
      </c>
      <c r="K1019" t="str">
        <f t="shared" si="16"/>
        <v>insert into mkatalog_kfa93 (kode, uraian, kode_92, uraian_92, nama_dagang, satuan_kecil, sediaan, golongan, url, userid_updt, sysdate_updt) values ('93000208','Paclitaxel 6 mg / mL Injeksi (16,7 mL, SINDAXEL)','92000108','Paclitaxel 6 mg / mL Injeksi','SINDAXEL','Vial','Larutan Injeksi','Obat Keras','https://dto.kemkes.go.id/kfacode/93000208',0,'2023-05-01');</v>
      </c>
    </row>
    <row r="1020" spans="1:11" ht="15.75" customHeight="1">
      <c r="A1020" s="2">
        <v>93000197</v>
      </c>
      <c r="B1020" s="2" t="s">
        <v>3175</v>
      </c>
      <c r="C1020" s="2">
        <v>92000108</v>
      </c>
      <c r="D1020" s="2" t="s">
        <v>1239</v>
      </c>
      <c r="E1020" s="2" t="s">
        <v>3176</v>
      </c>
      <c r="F1020" s="2" t="s">
        <v>653</v>
      </c>
      <c r="G1020" s="2" t="s">
        <v>1506</v>
      </c>
      <c r="H1020" s="2" t="s">
        <v>1458</v>
      </c>
      <c r="I1020" s="3" t="str">
        <f t="shared" si="0"/>
        <v>https://dto.kemkes.go.id/kfacode/93000197</v>
      </c>
      <c r="J1020" s="34" t="s">
        <v>3768</v>
      </c>
      <c r="K1020" t="str">
        <f t="shared" si="16"/>
        <v>insert into mkatalog_kfa93 (kode, uraian, kode_92, uraian_92, nama_dagang, satuan_kecil, sediaan, golongan, url, userid_updt, sysdate_updt) values ('93000197','Paclitaxel 6 mg / mL Injeksi (5 mL, ANZATAX)','92000108','Paclitaxel 6 mg / mL Injeksi','ANZATAX','Vial','Larutan Injeksi','Obat Keras','https://dto.kemkes.go.id/kfacode/93000197',0,'2023-05-01');</v>
      </c>
    </row>
    <row r="1021" spans="1:11" ht="15.75" customHeight="1">
      <c r="A1021" s="2">
        <v>93000242</v>
      </c>
      <c r="B1021" s="2" t="s">
        <v>3177</v>
      </c>
      <c r="C1021" s="2">
        <v>92000108</v>
      </c>
      <c r="D1021" s="2" t="s">
        <v>1239</v>
      </c>
      <c r="E1021" s="2" t="s">
        <v>3164</v>
      </c>
      <c r="F1021" s="2" t="s">
        <v>653</v>
      </c>
      <c r="G1021" s="2" t="s">
        <v>1506</v>
      </c>
      <c r="H1021" s="2" t="s">
        <v>1458</v>
      </c>
      <c r="I1021" s="3" t="str">
        <f t="shared" si="0"/>
        <v>https://dto.kemkes.go.id/kfacode/93000242</v>
      </c>
      <c r="J1021" s="34" t="s">
        <v>3768</v>
      </c>
      <c r="K1021" t="str">
        <f t="shared" si="16"/>
        <v>insert into mkatalog_kfa93 (kode, uraian, kode_92, uraian_92, nama_dagang, satuan_kecil, sediaan, golongan, url, userid_updt, sysdate_updt) values ('93000242','Paclitaxel 6 mg / mL Injeksi (5 mL, CKD OTTO Pharmaceuticals)','92000108','Paclitaxel 6 mg / mL Injeksi','PACLITAXEL','Vial','Larutan Injeksi','Obat Keras','https://dto.kemkes.go.id/kfacode/93000242',0,'2023-05-01');</v>
      </c>
    </row>
    <row r="1022" spans="1:11" ht="15.75" customHeight="1">
      <c r="A1022" s="2">
        <v>93000239</v>
      </c>
      <c r="B1022" s="2" t="s">
        <v>3178</v>
      </c>
      <c r="C1022" s="2">
        <v>92000108</v>
      </c>
      <c r="D1022" s="2" t="s">
        <v>1239</v>
      </c>
      <c r="E1022" s="2" t="s">
        <v>3166</v>
      </c>
      <c r="F1022" s="2" t="s">
        <v>653</v>
      </c>
      <c r="G1022" s="2" t="s">
        <v>1506</v>
      </c>
      <c r="H1022" s="2" t="s">
        <v>1458</v>
      </c>
      <c r="I1022" s="3" t="str">
        <f t="shared" si="0"/>
        <v>https://dto.kemkes.go.id/kfacode/93000239</v>
      </c>
      <c r="J1022" s="34" t="s">
        <v>3768</v>
      </c>
      <c r="K1022" t="str">
        <f t="shared" si="16"/>
        <v>insert into mkatalog_kfa93 (kode, uraian, kode_92, uraian_92, nama_dagang, satuan_kecil, sediaan, golongan, url, userid_updt, sysdate_updt) values ('93000239','Paclitaxel 6 mg / mL Injeksi (5 mL, FONKOPAC)','92000108','Paclitaxel 6 mg / mL Injeksi','FONKOPAC','Vial','Larutan Injeksi','Obat Keras','https://dto.kemkes.go.id/kfacode/93000239',0,'2023-05-01');</v>
      </c>
    </row>
    <row r="1023" spans="1:11" ht="15.75" customHeight="1">
      <c r="A1023" s="2">
        <v>93000198</v>
      </c>
      <c r="B1023" s="2" t="s">
        <v>3179</v>
      </c>
      <c r="C1023" s="2">
        <v>92000108</v>
      </c>
      <c r="D1023" s="2" t="s">
        <v>1239</v>
      </c>
      <c r="E1023" s="2" t="s">
        <v>3168</v>
      </c>
      <c r="F1023" s="2" t="s">
        <v>653</v>
      </c>
      <c r="G1023" s="2" t="s">
        <v>1506</v>
      </c>
      <c r="H1023" s="2" t="s">
        <v>1458</v>
      </c>
      <c r="I1023" s="3" t="str">
        <f t="shared" si="0"/>
        <v>https://dto.kemkes.go.id/kfacode/93000198</v>
      </c>
      <c r="J1023" s="34" t="s">
        <v>3768</v>
      </c>
      <c r="K1023" t="str">
        <f t="shared" si="16"/>
        <v>insert into mkatalog_kfa93 (kode, uraian, kode_92, uraian_92, nama_dagang, satuan_kecil, sediaan, golongan, url, userid_updt, sysdate_updt) values ('93000198','Paclitaxel 6 mg / mL Injeksi (5 mL, INTAXEL)','92000108','Paclitaxel 6 mg / mL Injeksi','INTAXEL','Vial','Larutan Injeksi','Obat Keras','https://dto.kemkes.go.id/kfacode/93000198',0,'2023-05-01');</v>
      </c>
    </row>
    <row r="1024" spans="1:11" ht="15.75" customHeight="1">
      <c r="A1024" s="2">
        <v>93000132</v>
      </c>
      <c r="B1024" s="2" t="s">
        <v>3180</v>
      </c>
      <c r="C1024" s="2">
        <v>92000108</v>
      </c>
      <c r="D1024" s="2" t="s">
        <v>1239</v>
      </c>
      <c r="E1024" s="2" t="s">
        <v>3170</v>
      </c>
      <c r="F1024" s="2" t="s">
        <v>653</v>
      </c>
      <c r="G1024" s="2" t="s">
        <v>1506</v>
      </c>
      <c r="H1024" s="2" t="s">
        <v>1458</v>
      </c>
      <c r="I1024" s="3" t="str">
        <f t="shared" si="0"/>
        <v>https://dto.kemkes.go.id/kfacode/93000132</v>
      </c>
      <c r="J1024" s="34" t="s">
        <v>3768</v>
      </c>
      <c r="K1024" t="str">
        <f t="shared" si="16"/>
        <v>insert into mkatalog_kfa93 (kode, uraian, kode_92, uraian_92, nama_dagang, satuan_kecil, sediaan, golongan, url, userid_updt, sysdate_updt) values ('93000132','Paclitaxel 6 mg / mL Injeksi (5 mL, NAPRO-TAX)','92000108','Paclitaxel 6 mg / mL Injeksi','NAPRO-TAX','Vial','Larutan Injeksi','Obat Keras','https://dto.kemkes.go.id/kfacode/93000132',0,'2023-05-01');</v>
      </c>
    </row>
    <row r="1025" spans="1:11" ht="15.75" customHeight="1">
      <c r="A1025" s="2">
        <v>93000200</v>
      </c>
      <c r="B1025" s="2" t="s">
        <v>3181</v>
      </c>
      <c r="C1025" s="2">
        <v>92000108</v>
      </c>
      <c r="D1025" s="2" t="s">
        <v>1239</v>
      </c>
      <c r="E1025" s="2" t="s">
        <v>3182</v>
      </c>
      <c r="F1025" s="2" t="s">
        <v>653</v>
      </c>
      <c r="G1025" s="2" t="s">
        <v>1506</v>
      </c>
      <c r="H1025" s="2" t="s">
        <v>1458</v>
      </c>
      <c r="I1025" s="3" t="str">
        <f t="shared" si="0"/>
        <v>https://dto.kemkes.go.id/kfacode/93000200</v>
      </c>
      <c r="J1025" s="34" t="s">
        <v>3768</v>
      </c>
      <c r="K1025" t="str">
        <f t="shared" si="16"/>
        <v>insert into mkatalog_kfa93 (kode, uraian, kode_92, uraian_92, nama_dagang, satuan_kecil, sediaan, golongan, url, userid_updt, sysdate_updt) values ('93000200','Paclitaxel 6 mg / mL Injeksi (5 mL, PACLIHOPE)','92000108','Paclitaxel 6 mg / mL Injeksi','PACLIHOPE 300','Vial','Larutan Injeksi','Obat Keras','https://dto.kemkes.go.id/kfacode/93000200',0,'2023-05-01');</v>
      </c>
    </row>
    <row r="1026" spans="1:11" ht="15.75" customHeight="1">
      <c r="A1026" s="2">
        <v>93000136</v>
      </c>
      <c r="B1026" s="2" t="s">
        <v>3183</v>
      </c>
      <c r="C1026" s="2">
        <v>92000108</v>
      </c>
      <c r="D1026" s="2" t="s">
        <v>1239</v>
      </c>
      <c r="E1026" s="2" t="s">
        <v>3172</v>
      </c>
      <c r="F1026" s="2" t="s">
        <v>653</v>
      </c>
      <c r="G1026" s="2" t="s">
        <v>1506</v>
      </c>
      <c r="H1026" s="2" t="s">
        <v>1458</v>
      </c>
      <c r="I1026" s="3" t="str">
        <f t="shared" si="0"/>
        <v>https://dto.kemkes.go.id/kfacode/93000136</v>
      </c>
      <c r="J1026" s="34" t="s">
        <v>3768</v>
      </c>
      <c r="K1026" t="str">
        <f t="shared" si="16"/>
        <v>insert into mkatalog_kfa93 (kode, uraian, kode_92, uraian_92, nama_dagang, satuan_kecil, sediaan, golongan, url, userid_updt, sysdate_updt) values ('93000136','Paclitaxel 6 mg / mL Injeksi (5 mL, PAXOMED)','92000108','Paclitaxel 6 mg / mL Injeksi','PAXOMED','Vial','Larutan Injeksi','Obat Keras','https://dto.kemkes.go.id/kfacode/93000136',0,'2023-05-01');</v>
      </c>
    </row>
    <row r="1027" spans="1:11" ht="15.75" customHeight="1">
      <c r="A1027" s="2">
        <v>93000209</v>
      </c>
      <c r="B1027" s="2" t="s">
        <v>3184</v>
      </c>
      <c r="C1027" s="2">
        <v>92000108</v>
      </c>
      <c r="D1027" s="2" t="s">
        <v>1239</v>
      </c>
      <c r="E1027" s="2" t="s">
        <v>3174</v>
      </c>
      <c r="F1027" s="2" t="s">
        <v>653</v>
      </c>
      <c r="G1027" s="2" t="s">
        <v>1506</v>
      </c>
      <c r="H1027" s="2" t="s">
        <v>1458</v>
      </c>
      <c r="I1027" s="3" t="str">
        <f t="shared" si="0"/>
        <v>https://dto.kemkes.go.id/kfacode/93000209</v>
      </c>
      <c r="J1027" s="34" t="s">
        <v>3768</v>
      </c>
      <c r="K1027" t="str">
        <f t="shared" ref="K1027:K1090" si="17">CONCATENATE(J1027,"('",A1027,"','",B1027,"','",C1027,"','",D1027,"','",E1027,"','",F1027,"','",G1027,"','",H1027,"','",I1027,"',0,'2023-05-01');")</f>
        <v>insert into mkatalog_kfa93 (kode, uraian, kode_92, uraian_92, nama_dagang, satuan_kecil, sediaan, golongan, url, userid_updt, sysdate_updt) values ('93000209','Paclitaxel 6 mg / mL Injeksi (5 mL, SINDAXEL)','92000108','Paclitaxel 6 mg / mL Injeksi','SINDAXEL','Vial','Larutan Injeksi','Obat Keras','https://dto.kemkes.go.id/kfacode/93000209',0,'2023-05-01');</v>
      </c>
    </row>
    <row r="1028" spans="1:11" ht="15.75" customHeight="1">
      <c r="A1028" s="2">
        <v>93000238</v>
      </c>
      <c r="B1028" s="2" t="s">
        <v>3185</v>
      </c>
      <c r="C1028" s="2">
        <v>92000108</v>
      </c>
      <c r="D1028" s="2" t="s">
        <v>1239</v>
      </c>
      <c r="E1028" s="2" t="s">
        <v>3164</v>
      </c>
      <c r="F1028" s="2" t="s">
        <v>653</v>
      </c>
      <c r="G1028" s="2" t="s">
        <v>1506</v>
      </c>
      <c r="H1028" s="2" t="s">
        <v>1458</v>
      </c>
      <c r="I1028" s="3" t="str">
        <f t="shared" si="0"/>
        <v>https://dto.kemkes.go.id/kfacode/93000238</v>
      </c>
      <c r="J1028" s="34" t="s">
        <v>3768</v>
      </c>
      <c r="K1028" t="str">
        <f t="shared" si="17"/>
        <v>insert into mkatalog_kfa93 (kode, uraian, kode_92, uraian_92, nama_dagang, satuan_kecil, sediaan, golongan, url, userid_updt, sysdate_updt) values ('93000238','Paclitaxel 6 mg / mL Injeksi (50 mL, CKD OTTO Pharmaceuticals)','92000108','Paclitaxel 6 mg / mL Injeksi','PACLITAXEL','Vial','Larutan Injeksi','Obat Keras','https://dto.kemkes.go.id/kfacode/93000238',0,'2023-05-01');</v>
      </c>
    </row>
    <row r="1029" spans="1:11" ht="15.75" customHeight="1">
      <c r="A1029" s="2">
        <v>93000205</v>
      </c>
      <c r="B1029" s="2" t="s">
        <v>3186</v>
      </c>
      <c r="C1029" s="2">
        <v>92000108</v>
      </c>
      <c r="D1029" s="2" t="s">
        <v>1239</v>
      </c>
      <c r="E1029" s="2" t="s">
        <v>3164</v>
      </c>
      <c r="F1029" s="2" t="s">
        <v>653</v>
      </c>
      <c r="G1029" s="2" t="s">
        <v>1506</v>
      </c>
      <c r="H1029" s="2" t="s">
        <v>1458</v>
      </c>
      <c r="I1029" s="3" t="str">
        <f t="shared" si="0"/>
        <v>https://dto.kemkes.go.id/kfacode/93000205</v>
      </c>
      <c r="J1029" s="34" t="s">
        <v>3768</v>
      </c>
      <c r="K1029" t="str">
        <f t="shared" si="17"/>
        <v>insert into mkatalog_kfa93 (kode, uraian, kode_92, uraian_92, nama_dagang, satuan_kecil, sediaan, golongan, url, userid_updt, sysdate_updt) values ('93000205','Paclitaxel 6 mg / mL Injeksi (50 mL, DANKOS FARMA)','92000108','Paclitaxel 6 mg / mL Injeksi','PACLITAXEL','Vial','Larutan Injeksi','Obat Keras','https://dto.kemkes.go.id/kfacode/93000205',0,'2023-05-01');</v>
      </c>
    </row>
    <row r="1030" spans="1:11" ht="15.75" customHeight="1">
      <c r="A1030" s="2">
        <v>93000237</v>
      </c>
      <c r="B1030" s="2" t="s">
        <v>3187</v>
      </c>
      <c r="C1030" s="2">
        <v>92000108</v>
      </c>
      <c r="D1030" s="2" t="s">
        <v>1239</v>
      </c>
      <c r="E1030" s="2" t="s">
        <v>3166</v>
      </c>
      <c r="F1030" s="2" t="s">
        <v>653</v>
      </c>
      <c r="G1030" s="2" t="s">
        <v>1506</v>
      </c>
      <c r="H1030" s="2" t="s">
        <v>1458</v>
      </c>
      <c r="I1030" s="3" t="str">
        <f t="shared" si="0"/>
        <v>https://dto.kemkes.go.id/kfacode/93000237</v>
      </c>
      <c r="J1030" s="34" t="s">
        <v>3768</v>
      </c>
      <c r="K1030" t="str">
        <f t="shared" si="17"/>
        <v>insert into mkatalog_kfa93 (kode, uraian, kode_92, uraian_92, nama_dagang, satuan_kecil, sediaan, golongan, url, userid_updt, sysdate_updt) values ('93000237','Paclitaxel 6 mg / mL Injeksi (50 mL, FONKOPAC)','92000108','Paclitaxel 6 mg / mL Injeksi','FONKOPAC','Vial','Larutan Injeksi','Obat Keras','https://dto.kemkes.go.id/kfacode/93000237',0,'2023-05-01');</v>
      </c>
    </row>
    <row r="1031" spans="1:11" ht="15.75" customHeight="1">
      <c r="A1031" s="2">
        <v>93000201</v>
      </c>
      <c r="B1031" s="2" t="s">
        <v>3188</v>
      </c>
      <c r="C1031" s="2">
        <v>92000108</v>
      </c>
      <c r="D1031" s="2" t="s">
        <v>1239</v>
      </c>
      <c r="E1031" s="2" t="s">
        <v>3182</v>
      </c>
      <c r="F1031" s="2" t="s">
        <v>653</v>
      </c>
      <c r="G1031" s="2" t="s">
        <v>1506</v>
      </c>
      <c r="H1031" s="2" t="s">
        <v>1458</v>
      </c>
      <c r="I1031" s="3" t="str">
        <f t="shared" si="0"/>
        <v>https://dto.kemkes.go.id/kfacode/93000201</v>
      </c>
      <c r="J1031" s="34" t="s">
        <v>3768</v>
      </c>
      <c r="K1031" t="str">
        <f t="shared" si="17"/>
        <v>insert into mkatalog_kfa93 (kode, uraian, kode_92, uraian_92, nama_dagang, satuan_kecil, sediaan, golongan, url, userid_updt, sysdate_updt) values ('93000201','Paclitaxel 6 mg / mL Injeksi (50 mL, PACLIHOPE)','92000108','Paclitaxel 6 mg / mL Injeksi','PACLIHOPE 300','Vial','Larutan Injeksi','Obat Keras','https://dto.kemkes.go.id/kfacode/93000201',0,'2023-05-01');</v>
      </c>
    </row>
    <row r="1032" spans="1:11" ht="15.75" customHeight="1">
      <c r="A1032" s="2">
        <v>93000845</v>
      </c>
      <c r="B1032" s="2" t="s">
        <v>3189</v>
      </c>
      <c r="C1032" s="2">
        <v>92000182</v>
      </c>
      <c r="D1032" s="2" t="s">
        <v>1240</v>
      </c>
      <c r="E1032" s="2" t="s">
        <v>3190</v>
      </c>
      <c r="F1032" s="2" t="s">
        <v>899</v>
      </c>
      <c r="G1032" s="2" t="s">
        <v>1506</v>
      </c>
      <c r="H1032" s="2" t="s">
        <v>1458</v>
      </c>
      <c r="I1032" s="3" t="str">
        <f t="shared" si="0"/>
        <v>https://dto.kemkes.go.id/kfacode/93000845</v>
      </c>
      <c r="J1032" s="34" t="s">
        <v>3768</v>
      </c>
      <c r="K1032" t="str">
        <f t="shared" si="17"/>
        <v>insert into mkatalog_kfa93 (kode, uraian, kode_92, uraian_92, nama_dagang, satuan_kecil, sediaan, golongan, url, userid_updt, sysdate_updt) values ('93000845','Paliperidone Palmitate 100 mg / mL Injeksi Pelepasan Lambat (INVEGA SUSTENNA, 0.5 mL)','92000182','Paliperidone Palmitate 100 mg / mL Injeksi Pelepasan Lambat','INVEGA SUSTENNA','Prefilled Syringe','Larutan Injeksi','Obat Keras','https://dto.kemkes.go.id/kfacode/93000845',0,'2023-05-01');</v>
      </c>
    </row>
    <row r="1033" spans="1:11" ht="15.75" customHeight="1">
      <c r="A1033" s="2">
        <v>93000846</v>
      </c>
      <c r="B1033" s="2" t="s">
        <v>3191</v>
      </c>
      <c r="C1033" s="2">
        <v>92000182</v>
      </c>
      <c r="D1033" s="2" t="s">
        <v>1240</v>
      </c>
      <c r="E1033" s="2" t="s">
        <v>3190</v>
      </c>
      <c r="F1033" s="2" t="s">
        <v>899</v>
      </c>
      <c r="G1033" s="2" t="s">
        <v>1506</v>
      </c>
      <c r="H1033" s="2" t="s">
        <v>1458</v>
      </c>
      <c r="I1033" s="3" t="str">
        <f t="shared" si="0"/>
        <v>https://dto.kemkes.go.id/kfacode/93000846</v>
      </c>
      <c r="J1033" s="34" t="s">
        <v>3768</v>
      </c>
      <c r="K1033" t="str">
        <f t="shared" si="17"/>
        <v>insert into mkatalog_kfa93 (kode, uraian, kode_92, uraian_92, nama_dagang, satuan_kecil, sediaan, golongan, url, userid_updt, sysdate_updt) values ('93000846','Paliperidone Palmitate 100 mg / mL Injeksi Pelepasan Lambat (INVEGA SUSTENNA, 0.75 mL)','92000182','Paliperidone Palmitate 100 mg / mL Injeksi Pelepasan Lambat','INVEGA SUSTENNA','Prefilled Syringe','Larutan Injeksi','Obat Keras','https://dto.kemkes.go.id/kfacode/93000846',0,'2023-05-01');</v>
      </c>
    </row>
    <row r="1034" spans="1:11" ht="15.75" customHeight="1">
      <c r="A1034" s="2">
        <v>93000843</v>
      </c>
      <c r="B1034" s="2" t="s">
        <v>3192</v>
      </c>
      <c r="C1034" s="2">
        <v>92000182</v>
      </c>
      <c r="D1034" s="2" t="s">
        <v>1240</v>
      </c>
      <c r="E1034" s="2" t="s">
        <v>3190</v>
      </c>
      <c r="F1034" s="2" t="s">
        <v>899</v>
      </c>
      <c r="G1034" s="2" t="s">
        <v>1506</v>
      </c>
      <c r="H1034" s="2" t="s">
        <v>1458</v>
      </c>
      <c r="I1034" s="3" t="str">
        <f t="shared" si="0"/>
        <v>https://dto.kemkes.go.id/kfacode/93000843</v>
      </c>
      <c r="J1034" s="34" t="s">
        <v>3768</v>
      </c>
      <c r="K1034" t="str">
        <f t="shared" si="17"/>
        <v>insert into mkatalog_kfa93 (kode, uraian, kode_92, uraian_92, nama_dagang, satuan_kecil, sediaan, golongan, url, userid_updt, sysdate_updt) values ('93000843','Paliperidone Palmitate 100 mg / mL Injeksi Pelepasan Lambat (INVEGA SUSTENNA, 1 mL)','92000182','Paliperidone Palmitate 100 mg / mL Injeksi Pelepasan Lambat','INVEGA SUSTENNA','Prefilled Syringe','Larutan Injeksi','Obat Keras','https://dto.kemkes.go.id/kfacode/93000843',0,'2023-05-01');</v>
      </c>
    </row>
    <row r="1035" spans="1:11" ht="15.75" customHeight="1">
      <c r="A1035" s="2">
        <v>93000844</v>
      </c>
      <c r="B1035" s="2" t="s">
        <v>3193</v>
      </c>
      <c r="C1035" s="2">
        <v>92000182</v>
      </c>
      <c r="D1035" s="2" t="s">
        <v>1240</v>
      </c>
      <c r="E1035" s="2" t="s">
        <v>3190</v>
      </c>
      <c r="F1035" s="2" t="s">
        <v>899</v>
      </c>
      <c r="G1035" s="2" t="s">
        <v>1506</v>
      </c>
      <c r="H1035" s="2" t="s">
        <v>1458</v>
      </c>
      <c r="I1035" s="3" t="str">
        <f t="shared" si="0"/>
        <v>https://dto.kemkes.go.id/kfacode/93000844</v>
      </c>
      <c r="J1035" s="34" t="s">
        <v>3768</v>
      </c>
      <c r="K1035" t="str">
        <f t="shared" si="17"/>
        <v>insert into mkatalog_kfa93 (kode, uraian, kode_92, uraian_92, nama_dagang, satuan_kecil, sediaan, golongan, url, userid_updt, sysdate_updt) values ('93000844','Paliperidone Palmitate 100 mg / mL Injeksi Pelepasan Lambat (INVEGA SUSTENNA, 1.5 mL)','92000182','Paliperidone Palmitate 100 mg / mL Injeksi Pelepasan Lambat','INVEGA SUSTENNA','Prefilled Syringe','Larutan Injeksi','Obat Keras','https://dto.kemkes.go.id/kfacode/93000844',0,'2023-05-01');</v>
      </c>
    </row>
    <row r="1036" spans="1:11" ht="15.75" customHeight="1">
      <c r="A1036" s="2">
        <v>93001459</v>
      </c>
      <c r="B1036" s="2" t="s">
        <v>3194</v>
      </c>
      <c r="C1036" s="2">
        <v>92000855</v>
      </c>
      <c r="D1036" s="2" t="s">
        <v>1241</v>
      </c>
      <c r="E1036" s="2" t="s">
        <v>3195</v>
      </c>
      <c r="F1036" s="2" t="s">
        <v>658</v>
      </c>
      <c r="G1036" s="2" t="s">
        <v>1530</v>
      </c>
      <c r="H1036" s="2" t="s">
        <v>1458</v>
      </c>
      <c r="I1036" s="3" t="str">
        <f t="shared" si="0"/>
        <v>https://dto.kemkes.go.id/kfacode/93001459</v>
      </c>
      <c r="J1036" s="34" t="s">
        <v>3768</v>
      </c>
      <c r="K1036" t="str">
        <f t="shared" si="17"/>
        <v>insert into mkatalog_kfa93 (kode, uraian, kode_92, uraian_92, nama_dagang, satuan_kecil, sediaan, golongan, url, userid_updt, sysdate_updt) values ('93001459','Paracetamol 10 mg / mL Infus (MERSIFARMA TIRMAKU MERCUSANA, 100 mL)','92000855','Paracetamol 10 mg / mL Infus','PARACETAMOL','Botol','Infus','Obat Keras','https://dto.kemkes.go.id/kfacode/93001459',0,'2023-05-01');</v>
      </c>
    </row>
    <row r="1037" spans="1:11" ht="15.75" customHeight="1">
      <c r="A1037" s="2">
        <v>93000725</v>
      </c>
      <c r="B1037" s="2" t="s">
        <v>3196</v>
      </c>
      <c r="C1037" s="2">
        <v>92000511</v>
      </c>
      <c r="D1037" s="2" t="s">
        <v>62</v>
      </c>
      <c r="E1037" s="2" t="s">
        <v>3197</v>
      </c>
      <c r="F1037" s="2" t="s">
        <v>702</v>
      </c>
      <c r="G1037" s="2" t="s">
        <v>1832</v>
      </c>
      <c r="H1037" s="2" t="s">
        <v>1525</v>
      </c>
      <c r="I1037" s="3" t="str">
        <f t="shared" si="0"/>
        <v>https://dto.kemkes.go.id/kfacode/93000725</v>
      </c>
      <c r="J1037" s="34" t="s">
        <v>3768</v>
      </c>
      <c r="K1037" t="str">
        <f t="shared" si="17"/>
        <v>insert into mkatalog_kfa93 (kode, uraian, kode_92, uraian_92, nama_dagang, satuan_kecil, sediaan, golongan, url, userid_updt, sysdate_updt) values ('93000725','Paracetamol 120 mg / 5 mL Sirup (AFI FARMA, STRAWBERRY)','92000511','Paracetamol 120 mg / 5 mL Sirup','PARACETAMOL (RASA STRAWBERRY)','Botol Plastik','Sirup','Obat Bebas','https://dto.kemkes.go.id/kfacode/93000725',0,'2023-05-01');</v>
      </c>
    </row>
    <row r="1038" spans="1:11" ht="15.75" customHeight="1">
      <c r="A1038" s="2">
        <v>93000723</v>
      </c>
      <c r="B1038" s="2" t="s">
        <v>3198</v>
      </c>
      <c r="C1038" s="2">
        <v>92000511</v>
      </c>
      <c r="D1038" s="2" t="s">
        <v>62</v>
      </c>
      <c r="E1038" s="2" t="s">
        <v>3195</v>
      </c>
      <c r="F1038" s="2" t="s">
        <v>702</v>
      </c>
      <c r="G1038" s="2" t="s">
        <v>1832</v>
      </c>
      <c r="H1038" s="2" t="s">
        <v>1525</v>
      </c>
      <c r="I1038" s="3" t="str">
        <f t="shared" si="0"/>
        <v>https://dto.kemkes.go.id/kfacode/93000723</v>
      </c>
      <c r="J1038" s="34" t="s">
        <v>3768</v>
      </c>
      <c r="K1038" t="str">
        <f t="shared" si="17"/>
        <v>insert into mkatalog_kfa93 (kode, uraian, kode_92, uraian_92, nama_dagang, satuan_kecil, sediaan, golongan, url, userid_updt, sysdate_updt) values ('93000723','Paracetamol 120 mg / 5 mL Sirup (MERSIFARMA TIRMAKU MERCUSANA)','92000511','Paracetamol 120 mg / 5 mL Sirup','PARACETAMOL','Botol Plastik','Sirup','Obat Bebas','https://dto.kemkes.go.id/kfacode/93000723',0,'2023-05-01');</v>
      </c>
    </row>
    <row r="1039" spans="1:11" ht="15.75" customHeight="1">
      <c r="A1039" s="2">
        <v>93000462</v>
      </c>
      <c r="B1039" s="2" t="s">
        <v>3199</v>
      </c>
      <c r="C1039" s="2">
        <v>92000384</v>
      </c>
      <c r="D1039" s="2" t="s">
        <v>1242</v>
      </c>
      <c r="E1039" s="2" t="s">
        <v>3195</v>
      </c>
      <c r="F1039" s="2" t="s">
        <v>658</v>
      </c>
      <c r="G1039" s="2" t="s">
        <v>1562</v>
      </c>
      <c r="H1039" s="2" t="s">
        <v>1525</v>
      </c>
      <c r="I1039" s="3" t="str">
        <f t="shared" si="0"/>
        <v>https://dto.kemkes.go.id/kfacode/93000462</v>
      </c>
      <c r="J1039" s="34" t="s">
        <v>3768</v>
      </c>
      <c r="K1039" t="str">
        <f t="shared" si="17"/>
        <v>insert into mkatalog_kfa93 (kode, uraian, kode_92, uraian_92, nama_dagang, satuan_kecil, sediaan, golongan, url, userid_updt, sysdate_updt) values ('93000462','Paracetamol 60 mg / 0,6 ml Drops (AFI FARMA)','92000384','Paracetamol 60 mg / 0,6 ml Drops','PARACETAMOL','Botol','Tetes Oral (Oral Drops)','Obat Bebas','https://dto.kemkes.go.id/kfacode/93000462',0,'2023-05-01');</v>
      </c>
    </row>
    <row r="1040" spans="1:11" ht="15.75" customHeight="1">
      <c r="A1040" s="2">
        <v>93001611</v>
      </c>
      <c r="B1040" s="2" t="s">
        <v>3200</v>
      </c>
      <c r="C1040" s="2">
        <v>92000919</v>
      </c>
      <c r="D1040" s="2" t="s">
        <v>1243</v>
      </c>
      <c r="E1040" s="2" t="s">
        <v>3201</v>
      </c>
      <c r="F1040" s="2" t="s">
        <v>640</v>
      </c>
      <c r="G1040" s="2" t="s">
        <v>1457</v>
      </c>
      <c r="H1040" s="2" t="s">
        <v>1458</v>
      </c>
      <c r="I1040" s="3" t="str">
        <f t="shared" si="0"/>
        <v>https://dto.kemkes.go.id/kfacode/93001611</v>
      </c>
      <c r="J1040" s="34" t="s">
        <v>3768</v>
      </c>
      <c r="K1040" t="str">
        <f t="shared" si="17"/>
        <v>insert into mkatalog_kfa93 (kode, uraian, kode_92, uraian_92, nama_dagang, satuan_kecil, sediaan, golongan, url, userid_updt, sysdate_updt) values ('93001611','Pazopanib 200 mg Tablet Salut Selaput (VOTRIENT)','92000919','Pazopanib 200 mg Tablet Salut Selaput','VOTRIENT','Tablet','Tablet Salut Selaput','Obat Keras','https://dto.kemkes.go.id/kfacode/93001611',0,'2023-05-01');</v>
      </c>
    </row>
    <row r="1041" spans="1:11" ht="15.75" customHeight="1">
      <c r="A1041" s="2">
        <v>93001612</v>
      </c>
      <c r="B1041" s="2" t="s">
        <v>3202</v>
      </c>
      <c r="C1041" s="2">
        <v>92000920</v>
      </c>
      <c r="D1041" s="2" t="s">
        <v>1244</v>
      </c>
      <c r="E1041" s="2" t="s">
        <v>3201</v>
      </c>
      <c r="F1041" s="2" t="s">
        <v>640</v>
      </c>
      <c r="G1041" s="2" t="s">
        <v>1457</v>
      </c>
      <c r="H1041" s="2" t="s">
        <v>1458</v>
      </c>
      <c r="I1041" s="3" t="str">
        <f t="shared" si="0"/>
        <v>https://dto.kemkes.go.id/kfacode/93001612</v>
      </c>
      <c r="J1041" s="34" t="s">
        <v>3768</v>
      </c>
      <c r="K1041" t="str">
        <f t="shared" si="17"/>
        <v>insert into mkatalog_kfa93 (kode, uraian, kode_92, uraian_92, nama_dagang, satuan_kecil, sediaan, golongan, url, userid_updt, sysdate_updt) values ('93001612','Pazopanib 400 mg Tablet Salut Selaput (VOTRIENT)','92000920','Pazopanib 400 mg Tablet Salut Selaput','VOTRIENT','Tablet','Tablet Salut Selaput','Obat Keras','https://dto.kemkes.go.id/kfacode/93001612',0,'2023-05-01');</v>
      </c>
    </row>
    <row r="1042" spans="1:11" ht="15.75" customHeight="1">
      <c r="A1042" s="2">
        <v>93000859</v>
      </c>
      <c r="B1042" s="2" t="s">
        <v>3203</v>
      </c>
      <c r="C1042" s="2">
        <v>92000611</v>
      </c>
      <c r="D1042" s="2" t="s">
        <v>1245</v>
      </c>
      <c r="E1042" s="2" t="s">
        <v>3204</v>
      </c>
      <c r="F1042" s="2" t="s">
        <v>899</v>
      </c>
      <c r="G1042" s="2" t="s">
        <v>1506</v>
      </c>
      <c r="H1042" s="2" t="s">
        <v>1458</v>
      </c>
      <c r="I1042" s="3" t="str">
        <f t="shared" si="0"/>
        <v>https://dto.kemkes.go.id/kfacode/93000859</v>
      </c>
      <c r="J1042" s="34" t="s">
        <v>3768</v>
      </c>
      <c r="K1042" t="str">
        <f t="shared" si="17"/>
        <v>insert into mkatalog_kfa93 (kode, uraian, kode_92, uraian_92, nama_dagang, satuan_kecil, sediaan, golongan, url, userid_updt, sysdate_updt) values ('93000859','Peginterferon Alfa-2A 135 ug / 0,5 mL Injeksi (PEGASYS, 0.5 mL, BOEHRINGER INGELHEIM INDONESIA)','92000611','Peginterferon Alfa-2A 135 ug / 0,5 mL Injeksi','PEGASYS','Prefilled Syringe','Larutan Injeksi','Obat Keras','https://dto.kemkes.go.id/kfacode/93000859',0,'2023-05-01');</v>
      </c>
    </row>
    <row r="1043" spans="1:11" ht="15.75" customHeight="1">
      <c r="A1043" s="2">
        <v>93000860</v>
      </c>
      <c r="B1043" s="2" t="s">
        <v>3205</v>
      </c>
      <c r="C1043" s="2">
        <v>92000611</v>
      </c>
      <c r="D1043" s="2" t="s">
        <v>1245</v>
      </c>
      <c r="E1043" s="2" t="s">
        <v>3204</v>
      </c>
      <c r="F1043" s="2" t="s">
        <v>899</v>
      </c>
      <c r="G1043" s="2" t="s">
        <v>1506</v>
      </c>
      <c r="H1043" s="2" t="s">
        <v>1458</v>
      </c>
      <c r="I1043" s="3" t="str">
        <f t="shared" si="0"/>
        <v>https://dto.kemkes.go.id/kfacode/93000860</v>
      </c>
      <c r="J1043" s="34" t="s">
        <v>3768</v>
      </c>
      <c r="K1043" t="str">
        <f t="shared" si="17"/>
        <v>insert into mkatalog_kfa93 (kode, uraian, kode_92, uraian_92, nama_dagang, satuan_kecil, sediaan, golongan, url, userid_updt, sysdate_updt) values ('93000860','Peginterferon Alfa-2A 135 ug / 0,5 mL Injeksi (PEGASYS, 0.5 mL, MENARINI INDRIA LABORATORIES)','92000611','Peginterferon Alfa-2A 135 ug / 0,5 mL Injeksi','PEGASYS','Prefilled Syringe','Larutan Injeksi','Obat Keras','https://dto.kemkes.go.id/kfacode/93000860',0,'2023-05-01');</v>
      </c>
    </row>
    <row r="1044" spans="1:11" ht="15.75" customHeight="1">
      <c r="A1044" s="2">
        <v>93000697</v>
      </c>
      <c r="B1044" s="2" t="s">
        <v>3206</v>
      </c>
      <c r="C1044" s="2">
        <v>92000382</v>
      </c>
      <c r="D1044" s="2" t="s">
        <v>1246</v>
      </c>
      <c r="E1044" s="2" t="s">
        <v>3204</v>
      </c>
      <c r="F1044" s="2" t="s">
        <v>899</v>
      </c>
      <c r="G1044" s="2" t="s">
        <v>1506</v>
      </c>
      <c r="H1044" s="2" t="s">
        <v>1458</v>
      </c>
      <c r="I1044" s="3" t="str">
        <f t="shared" si="0"/>
        <v>https://dto.kemkes.go.id/kfacode/93000697</v>
      </c>
      <c r="J1044" s="34" t="s">
        <v>3768</v>
      </c>
      <c r="K1044" t="str">
        <f t="shared" si="17"/>
        <v>insert into mkatalog_kfa93 (kode, uraian, kode_92, uraian_92, nama_dagang, satuan_kecil, sediaan, golongan, url, userid_updt, sysdate_updt) values ('93000697','Peginterferon Alfa-2A 180 mcg / 0,5 ml Injeksi (PEGASYS, BOEHRINGER INGELHEIM INDONESIA)','92000382','Peginterferon Alfa-2A 180 mcg / 0,5 ml Injeksi','PEGASYS','Prefilled Syringe','Larutan Injeksi','Obat Keras','https://dto.kemkes.go.id/kfacode/93000697',0,'2023-05-01');</v>
      </c>
    </row>
    <row r="1045" spans="1:11" ht="15.75" customHeight="1">
      <c r="A1045" s="2">
        <v>93000942</v>
      </c>
      <c r="B1045" s="2" t="s">
        <v>3207</v>
      </c>
      <c r="C1045" s="2">
        <v>92000382</v>
      </c>
      <c r="D1045" s="2" t="s">
        <v>1246</v>
      </c>
      <c r="E1045" s="2" t="s">
        <v>3204</v>
      </c>
      <c r="F1045" s="2" t="s">
        <v>899</v>
      </c>
      <c r="G1045" s="2" t="s">
        <v>1506</v>
      </c>
      <c r="H1045" s="2" t="s">
        <v>1458</v>
      </c>
      <c r="I1045" s="3" t="str">
        <f t="shared" si="0"/>
        <v>https://dto.kemkes.go.id/kfacode/93000942</v>
      </c>
      <c r="J1045" s="34" t="s">
        <v>3768</v>
      </c>
      <c r="K1045" t="str">
        <f t="shared" si="17"/>
        <v>insert into mkatalog_kfa93 (kode, uraian, kode_92, uraian_92, nama_dagang, satuan_kecil, sediaan, golongan, url, userid_updt, sysdate_updt) values ('93000942','Peginterferon Alfa-2A 180 mcg / 0,5 ml Injeksi (PEGASYS, MENARINI INDRIA LABORATORIES)','92000382','Peginterferon Alfa-2A 180 mcg / 0,5 ml Injeksi','PEGASYS','Prefilled Syringe','Larutan Injeksi','Obat Keras','https://dto.kemkes.go.id/kfacode/93000942',0,'2023-05-01');</v>
      </c>
    </row>
    <row r="1046" spans="1:11" ht="15.75" customHeight="1">
      <c r="A1046" s="2">
        <v>93000226</v>
      </c>
      <c r="B1046" s="2" t="s">
        <v>3208</v>
      </c>
      <c r="C1046" s="2">
        <v>92000175</v>
      </c>
      <c r="D1046" s="2" t="s">
        <v>1247</v>
      </c>
      <c r="E1046" s="2" t="s">
        <v>3209</v>
      </c>
      <c r="F1046" s="2" t="s">
        <v>653</v>
      </c>
      <c r="G1046" s="2" t="s">
        <v>1719</v>
      </c>
      <c r="H1046" s="2" t="s">
        <v>1458</v>
      </c>
      <c r="I1046" s="3" t="str">
        <f t="shared" si="0"/>
        <v>https://dto.kemkes.go.id/kfacode/93000226</v>
      </c>
      <c r="J1046" s="34" t="s">
        <v>3768</v>
      </c>
      <c r="K1046" t="str">
        <f t="shared" si="17"/>
        <v>insert into mkatalog_kfa93 (kode, uraian, kode_92, uraian_92, nama_dagang, satuan_kecil, sediaan, golongan, url, userid_updt, sysdate_updt) values ('93000226','Pemetrexed 500 mg Serbuk Injeksi (CKD OTTO Pharmaceuticals)','92000175','Pemetrexed 500 mg Serbuk Injeksi','PEMETREXED DISODIUM HEMIPENTAHYDRATE','Vial','Serbuk Injeksi Liofilisasi','Obat Keras','https://dto.kemkes.go.id/kfacode/93000226',0,'2023-05-01');</v>
      </c>
    </row>
    <row r="1047" spans="1:11" ht="15.75" customHeight="1">
      <c r="A1047" s="2">
        <v>93000892</v>
      </c>
      <c r="B1047" s="2" t="s">
        <v>3210</v>
      </c>
      <c r="C1047" s="2">
        <v>92000175</v>
      </c>
      <c r="D1047" s="2" t="s">
        <v>1247</v>
      </c>
      <c r="E1047" s="2" t="s">
        <v>3211</v>
      </c>
      <c r="F1047" s="2" t="s">
        <v>653</v>
      </c>
      <c r="G1047" s="2" t="s">
        <v>1719</v>
      </c>
      <c r="H1047" s="2" t="s">
        <v>1458</v>
      </c>
      <c r="I1047" s="3" t="str">
        <f t="shared" si="0"/>
        <v>https://dto.kemkes.go.id/kfacode/93000892</v>
      </c>
      <c r="J1047" s="34" t="s">
        <v>3768</v>
      </c>
      <c r="K1047" t="str">
        <f t="shared" si="17"/>
        <v>insert into mkatalog_kfa93 (kode, uraian, kode_92, uraian_92, nama_dagang, satuan_kecil, sediaan, golongan, url, userid_updt, sysdate_updt) values ('93000892','Pemetrexed 500 mg Serbuk Injeksi (FONTREXED)','92000175','Pemetrexed 500 mg Serbuk Injeksi','FONTREXED','Vial','Serbuk Injeksi Liofilisasi','Obat Keras','https://dto.kemkes.go.id/kfacode/93000892',0,'2023-05-01');</v>
      </c>
    </row>
    <row r="1048" spans="1:11" ht="15.75" customHeight="1">
      <c r="A1048" s="2">
        <v>93000210</v>
      </c>
      <c r="B1048" s="2" t="s">
        <v>3212</v>
      </c>
      <c r="C1048" s="2">
        <v>92000175</v>
      </c>
      <c r="D1048" s="2" t="s">
        <v>1247</v>
      </c>
      <c r="E1048" s="2" t="s">
        <v>3213</v>
      </c>
      <c r="F1048" s="2" t="s">
        <v>653</v>
      </c>
      <c r="G1048" s="2" t="s">
        <v>1719</v>
      </c>
      <c r="H1048" s="2" t="s">
        <v>1458</v>
      </c>
      <c r="I1048" s="3" t="str">
        <f t="shared" si="0"/>
        <v>https://dto.kemkes.go.id/kfacode/93000210</v>
      </c>
      <c r="J1048" s="34" t="s">
        <v>3768</v>
      </c>
      <c r="K1048" t="str">
        <f t="shared" si="17"/>
        <v>insert into mkatalog_kfa93 (kode, uraian, kode_92, uraian_92, nama_dagang, satuan_kecil, sediaan, golongan, url, userid_updt, sysdate_updt) values ('93000210','Pemetrexed 500 mg Serbuk Injeksi (KABIPEM)','92000175','Pemetrexed 500 mg Serbuk Injeksi','KABIPEM','Vial','Serbuk Injeksi Liofilisasi','Obat Keras','https://dto.kemkes.go.id/kfacode/93000210',0,'2023-05-01');</v>
      </c>
    </row>
    <row r="1049" spans="1:11" ht="15.75" customHeight="1">
      <c r="A1049" s="2">
        <v>93000231</v>
      </c>
      <c r="B1049" s="2" t="s">
        <v>3214</v>
      </c>
      <c r="C1049" s="2">
        <v>92000175</v>
      </c>
      <c r="D1049" s="2" t="s">
        <v>1247</v>
      </c>
      <c r="E1049" s="2" t="s">
        <v>3215</v>
      </c>
      <c r="F1049" s="2" t="s">
        <v>653</v>
      </c>
      <c r="G1049" s="2" t="s">
        <v>1719</v>
      </c>
      <c r="H1049" s="2" t="s">
        <v>1458</v>
      </c>
      <c r="I1049" s="3" t="str">
        <f t="shared" si="0"/>
        <v>https://dto.kemkes.go.id/kfacode/93000231</v>
      </c>
      <c r="J1049" s="34" t="s">
        <v>3768</v>
      </c>
      <c r="K1049" t="str">
        <f t="shared" si="17"/>
        <v>insert into mkatalog_kfa93 (kode, uraian, kode_92, uraian_92, nama_dagang, satuan_kecil, sediaan, golongan, url, userid_updt, sysdate_updt) values ('93000231','Pemetrexed 500 mg Serbuk Injeksi (LUXEA)','92000175','Pemetrexed 500 mg Serbuk Injeksi','LUXEA','Vial','Serbuk Injeksi Liofilisasi','Obat Keras','https://dto.kemkes.go.id/kfacode/93000231',0,'2023-05-01');</v>
      </c>
    </row>
    <row r="1050" spans="1:11" ht="15.75" customHeight="1">
      <c r="A1050" s="2">
        <v>93000178</v>
      </c>
      <c r="B1050" s="2" t="s">
        <v>3216</v>
      </c>
      <c r="C1050" s="2">
        <v>92000175</v>
      </c>
      <c r="D1050" s="2" t="s">
        <v>1247</v>
      </c>
      <c r="E1050" s="2" t="s">
        <v>3217</v>
      </c>
      <c r="F1050" s="2" t="s">
        <v>653</v>
      </c>
      <c r="G1050" s="2" t="s">
        <v>1719</v>
      </c>
      <c r="H1050" s="2" t="s">
        <v>1458</v>
      </c>
      <c r="I1050" s="3" t="str">
        <f t="shared" si="0"/>
        <v>https://dto.kemkes.go.id/kfacode/93000178</v>
      </c>
      <c r="J1050" s="34" t="s">
        <v>3768</v>
      </c>
      <c r="K1050" t="str">
        <f t="shared" si="17"/>
        <v>insert into mkatalog_kfa93 (kode, uraian, kode_92, uraian_92, nama_dagang, satuan_kecil, sediaan, golongan, url, userid_updt, sysdate_updt) values ('93000178','Pemetrexed 500 mg Serbuk Injeksi (PEMEXEN)','92000175','Pemetrexed 500 mg Serbuk Injeksi','PEMEXEN 500','Vial','Serbuk Injeksi Liofilisasi','Obat Keras','https://dto.kemkes.go.id/kfacode/93000178',0,'2023-05-01');</v>
      </c>
    </row>
    <row r="1051" spans="1:11" ht="15.75" customHeight="1">
      <c r="A1051" s="2">
        <v>93000244</v>
      </c>
      <c r="B1051" s="2" t="s">
        <v>3218</v>
      </c>
      <c r="C1051" s="2">
        <v>92000175</v>
      </c>
      <c r="D1051" s="2" t="s">
        <v>1247</v>
      </c>
      <c r="E1051" s="2" t="s">
        <v>3219</v>
      </c>
      <c r="F1051" s="2" t="s">
        <v>653</v>
      </c>
      <c r="G1051" s="2" t="s">
        <v>1719</v>
      </c>
      <c r="H1051" s="2" t="s">
        <v>1458</v>
      </c>
      <c r="I1051" s="3" t="str">
        <f t="shared" si="0"/>
        <v>https://dto.kemkes.go.id/kfacode/93000244</v>
      </c>
      <c r="J1051" s="34" t="s">
        <v>3768</v>
      </c>
      <c r="K1051" t="str">
        <f t="shared" si="17"/>
        <v>insert into mkatalog_kfa93 (kode, uraian, kode_92, uraian_92, nama_dagang, satuan_kecil, sediaan, golongan, url, userid_updt, sysdate_updt) values ('93000244','Pemetrexed 500 mg Serbuk Injeksi (PEMTERO)','92000175','Pemetrexed 500 mg Serbuk Injeksi','PEMTERO 500','Vial','Serbuk Injeksi Liofilisasi','Obat Keras','https://dto.kemkes.go.id/kfacode/93000244',0,'2023-05-01');</v>
      </c>
    </row>
    <row r="1052" spans="1:11" ht="15.75" customHeight="1">
      <c r="A1052" s="2">
        <v>93000211</v>
      </c>
      <c r="B1052" s="2" t="s">
        <v>3220</v>
      </c>
      <c r="C1052" s="2">
        <v>92000175</v>
      </c>
      <c r="D1052" s="2" t="s">
        <v>1247</v>
      </c>
      <c r="E1052" s="2" t="s">
        <v>3221</v>
      </c>
      <c r="F1052" s="2" t="s">
        <v>653</v>
      </c>
      <c r="G1052" s="2" t="s">
        <v>1719</v>
      </c>
      <c r="H1052" s="2" t="s">
        <v>1458</v>
      </c>
      <c r="I1052" s="3" t="str">
        <f t="shared" si="0"/>
        <v>https://dto.kemkes.go.id/kfacode/93000211</v>
      </c>
      <c r="J1052" s="34" t="s">
        <v>3768</v>
      </c>
      <c r="K1052" t="str">
        <f t="shared" si="17"/>
        <v>insert into mkatalog_kfa93 (kode, uraian, kode_92, uraian_92, nama_dagang, satuan_kecil, sediaan, golongan, url, userid_updt, sysdate_updt) values ('93000211','Pemetrexed 500 mg Serbuk Injeksi (PRIMEXA)','92000175','Pemetrexed 500 mg Serbuk Injeksi','PRIMEXA 500','Vial','Serbuk Injeksi Liofilisasi','Obat Keras','https://dto.kemkes.go.id/kfacode/93000211',0,'2023-05-01');</v>
      </c>
    </row>
    <row r="1053" spans="1:11" ht="15.75" customHeight="1">
      <c r="A1053" s="2">
        <v>93000156</v>
      </c>
      <c r="B1053" s="2" t="s">
        <v>3222</v>
      </c>
      <c r="C1053" s="2">
        <v>92000159</v>
      </c>
      <c r="D1053" s="2" t="s">
        <v>1248</v>
      </c>
      <c r="E1053" s="2" t="s">
        <v>3223</v>
      </c>
      <c r="F1053" s="2" t="s">
        <v>653</v>
      </c>
      <c r="G1053" s="2" t="s">
        <v>1500</v>
      </c>
      <c r="H1053" s="2" t="s">
        <v>1458</v>
      </c>
      <c r="I1053" s="3" t="str">
        <f t="shared" si="0"/>
        <v>https://dto.kemkes.go.id/kfacode/93000156</v>
      </c>
      <c r="J1053" s="34" t="s">
        <v>3768</v>
      </c>
      <c r="K1053" t="str">
        <f t="shared" si="17"/>
        <v>insert into mkatalog_kfa93 (kode, uraian, kode_92, uraian_92, nama_dagang, satuan_kecil, sediaan, golongan, url, userid_updt, sysdate_updt) values ('93000156','Pentasodium Diethylene Triamine Pentaacetate / Tin(II)-Chloride Dihydrate Serbuk Injeksi (RENALSCAN KaeF)','92000159','Pentasodium Diethylene Triamine Pentaacetate / Tin(II)-Chloride Dihydrate Serbuk Injeksi','RENALSCAN KaeF','Vial','Serbuk Injeksi','Obat Keras','https://dto.kemkes.go.id/kfacode/93000156',0,'2023-05-01');</v>
      </c>
    </row>
    <row r="1054" spans="1:11" ht="15.75" customHeight="1">
      <c r="A1054" s="2">
        <v>93000677</v>
      </c>
      <c r="B1054" s="2" t="s">
        <v>3224</v>
      </c>
      <c r="C1054" s="2">
        <v>92000440</v>
      </c>
      <c r="D1054" s="2" t="s">
        <v>1249</v>
      </c>
      <c r="E1054" s="2" t="s">
        <v>3225</v>
      </c>
      <c r="F1054" s="2" t="s">
        <v>640</v>
      </c>
      <c r="G1054" s="2" t="s">
        <v>1457</v>
      </c>
      <c r="H1054" s="2" t="s">
        <v>1458</v>
      </c>
      <c r="I1054" s="3" t="str">
        <f t="shared" si="0"/>
        <v>https://dto.kemkes.go.id/kfacode/93000677</v>
      </c>
      <c r="J1054" s="34" t="s">
        <v>3768</v>
      </c>
      <c r="K1054" t="str">
        <f t="shared" si="17"/>
        <v>insert into mkatalog_kfa93 (kode, uraian, kode_92, uraian_92, nama_dagang, satuan_kecil, sediaan, golongan, url, userid_updt, sysdate_updt) values ('93000677','Perindopril Arginine 5 mg Tablet Salut Selaput (BIOPREXUM)','92000440','Perindopril Arginine 5 mg Tablet Salut Selaput','BIOPREXUM','Tablet','Tablet Salut Selaput','Obat Keras','https://dto.kemkes.go.id/kfacode/93000677',0,'2023-05-01');</v>
      </c>
    </row>
    <row r="1055" spans="1:11" ht="15.75" customHeight="1">
      <c r="A1055" s="2">
        <v>93000452</v>
      </c>
      <c r="B1055" s="2" t="s">
        <v>3226</v>
      </c>
      <c r="C1055" s="2">
        <v>92000326</v>
      </c>
      <c r="D1055" s="2" t="s">
        <v>1250</v>
      </c>
      <c r="E1055" s="2" t="s">
        <v>3227</v>
      </c>
      <c r="F1055" s="2" t="s">
        <v>655</v>
      </c>
      <c r="G1055" s="2" t="s">
        <v>1661</v>
      </c>
      <c r="H1055" s="2" t="s">
        <v>1458</v>
      </c>
      <c r="I1055" s="3" t="str">
        <f t="shared" si="0"/>
        <v>https://dto.kemkes.go.id/kfacode/93000452</v>
      </c>
      <c r="J1055" s="34" t="s">
        <v>3768</v>
      </c>
      <c r="K1055" t="str">
        <f t="shared" si="17"/>
        <v>insert into mkatalog_kfa93 (kode, uraian, kode_92, uraian_92, nama_dagang, satuan_kecil, sediaan, golongan, url, userid_updt, sysdate_updt) values ('93000452','Permethrin 5% Krim (COMBIPHAR)','92000326','Permethrin 5% Krim','PERMETHRIN','Tube','Krim','Obat Keras','https://dto.kemkes.go.id/kfacode/93000452',0,'2023-05-01');</v>
      </c>
    </row>
    <row r="1056" spans="1:11" ht="15.75" customHeight="1">
      <c r="A1056" s="2">
        <v>93001137</v>
      </c>
      <c r="B1056" s="2" t="s">
        <v>3228</v>
      </c>
      <c r="C1056" s="2">
        <v>92000326</v>
      </c>
      <c r="D1056" s="2" t="s">
        <v>1250</v>
      </c>
      <c r="E1056" s="2" t="s">
        <v>3229</v>
      </c>
      <c r="F1056" s="2" t="s">
        <v>655</v>
      </c>
      <c r="G1056" s="2" t="s">
        <v>1661</v>
      </c>
      <c r="H1056" s="2" t="s">
        <v>1458</v>
      </c>
      <c r="I1056" s="3" t="str">
        <f t="shared" si="0"/>
        <v>https://dto.kemkes.go.id/kfacode/93001137</v>
      </c>
      <c r="J1056" s="34" t="s">
        <v>3768</v>
      </c>
      <c r="K1056" t="str">
        <f t="shared" si="17"/>
        <v>insert into mkatalog_kfa93 (kode, uraian, kode_92, uraian_92, nama_dagang, satuan_kecil, sediaan, golongan, url, userid_updt, sysdate_updt) values ('93001137','Permethrin 5% Krim (ETERCON PHARMA, 15 g)','92000326','Permethrin 5% Krim','PERMETHRINE','Tube','Krim','Obat Keras','https://dto.kemkes.go.id/kfacode/93001137',0,'2023-05-01');</v>
      </c>
    </row>
    <row r="1057" spans="1:11" ht="15.75" customHeight="1">
      <c r="A1057" s="2">
        <v>93001218</v>
      </c>
      <c r="B1057" s="2" t="s">
        <v>3230</v>
      </c>
      <c r="C1057" s="2">
        <v>92000326</v>
      </c>
      <c r="D1057" s="2" t="s">
        <v>1250</v>
      </c>
      <c r="E1057" s="2" t="s">
        <v>3227</v>
      </c>
      <c r="F1057" s="2" t="s">
        <v>655</v>
      </c>
      <c r="G1057" s="2" t="s">
        <v>1661</v>
      </c>
      <c r="H1057" s="2" t="s">
        <v>1458</v>
      </c>
      <c r="I1057" s="3" t="str">
        <f t="shared" si="0"/>
        <v>https://dto.kemkes.go.id/kfacode/93001218</v>
      </c>
      <c r="J1057" s="34" t="s">
        <v>3768</v>
      </c>
      <c r="K1057" t="str">
        <f t="shared" si="17"/>
        <v>insert into mkatalog_kfa93 (kode, uraian, kode_92, uraian_92, nama_dagang, satuan_kecil, sediaan, golongan, url, userid_updt, sysdate_updt) values ('93001218','Permethrin 5% Krim (GALENIUM PHARMASIA LABORATORIES, 10 g)','92000326','Permethrin 5% Krim','PERMETHRIN','Tube','Krim','Obat Keras','https://dto.kemkes.go.id/kfacode/93001218',0,'2023-05-01');</v>
      </c>
    </row>
    <row r="1058" spans="1:11" ht="15.75" customHeight="1">
      <c r="A1058" s="2">
        <v>93000590</v>
      </c>
      <c r="B1058" s="2" t="s">
        <v>3231</v>
      </c>
      <c r="C1058" s="2">
        <v>92000408</v>
      </c>
      <c r="D1058" s="2" t="s">
        <v>1251</v>
      </c>
      <c r="E1058" s="2" t="s">
        <v>3232</v>
      </c>
      <c r="F1058" s="2" t="s">
        <v>645</v>
      </c>
      <c r="G1058" s="2" t="s">
        <v>1506</v>
      </c>
      <c r="H1058" s="2" t="s">
        <v>1973</v>
      </c>
      <c r="I1058" s="3" t="str">
        <f t="shared" si="0"/>
        <v>https://dto.kemkes.go.id/kfacode/93000590</v>
      </c>
      <c r="J1058" s="34" t="s">
        <v>3768</v>
      </c>
      <c r="K1058" t="str">
        <f t="shared" si="17"/>
        <v>insert into mkatalog_kfa93 (kode, uraian, kode_92, uraian_92, nama_dagang, satuan_kecil, sediaan, golongan, url, userid_updt, sysdate_updt) values ('93000590','Pethidine Hydrochloride 50 mg / mL Cairan Injeksi (KIMIA FARMA)','92000408','Pethidine Hydrochloride 50 mg / mL Cairan Injeksi','PETHIDINA','Ampul','Larutan Injeksi','Obat Narkotik','https://dto.kemkes.go.id/kfacode/93000590',0,'2023-05-01');</v>
      </c>
    </row>
    <row r="1059" spans="1:11" ht="15.75" customHeight="1">
      <c r="A1059" s="2">
        <v>93000588</v>
      </c>
      <c r="B1059" s="2" t="s">
        <v>3233</v>
      </c>
      <c r="C1059" s="2">
        <v>92000408</v>
      </c>
      <c r="D1059" s="2" t="s">
        <v>1251</v>
      </c>
      <c r="E1059" s="2" t="s">
        <v>3232</v>
      </c>
      <c r="F1059" s="2" t="s">
        <v>645</v>
      </c>
      <c r="G1059" s="2" t="s">
        <v>1506</v>
      </c>
      <c r="H1059" s="2" t="s">
        <v>1973</v>
      </c>
      <c r="I1059" s="3" t="str">
        <f t="shared" si="0"/>
        <v>https://dto.kemkes.go.id/kfacode/93000588</v>
      </c>
      <c r="J1059" s="34" t="s">
        <v>3768</v>
      </c>
      <c r="K1059" t="str">
        <f t="shared" si="17"/>
        <v>insert into mkatalog_kfa93 (kode, uraian, kode_92, uraian_92, nama_dagang, satuan_kecil, sediaan, golongan, url, userid_updt, sysdate_updt) values ('93000588','Pethidine Hydrochloride 50 mg / mL Cairan Injeksi (PETHIDINA)','92000408','Pethidine Hydrochloride 50 mg / mL Cairan Injeksi','PETHIDINA','Ampul','Larutan Injeksi','Obat Narkotik','https://dto.kemkes.go.id/kfacode/93000588',0,'2023-05-01');</v>
      </c>
    </row>
    <row r="1060" spans="1:11" ht="15.75" customHeight="1">
      <c r="A1060" s="2">
        <v>93000567</v>
      </c>
      <c r="B1060" s="2" t="s">
        <v>3234</v>
      </c>
      <c r="C1060" s="2">
        <v>92000374</v>
      </c>
      <c r="D1060" s="2" t="s">
        <v>1252</v>
      </c>
      <c r="E1060" s="2" t="s">
        <v>3235</v>
      </c>
      <c r="F1060" s="2" t="s">
        <v>640</v>
      </c>
      <c r="G1060" s="2" t="s">
        <v>640</v>
      </c>
      <c r="H1060" s="2" t="s">
        <v>1458</v>
      </c>
      <c r="I1060" s="3" t="str">
        <f t="shared" si="0"/>
        <v>https://dto.kemkes.go.id/kfacode/93000567</v>
      </c>
      <c r="J1060" s="34" t="s">
        <v>3768</v>
      </c>
      <c r="K1060" t="str">
        <f t="shared" si="17"/>
        <v>insert into mkatalog_kfa93 (kode, uraian, kode_92, uraian_92, nama_dagang, satuan_kecil, sediaan, golongan, url, userid_updt, sysdate_updt) values ('93000567','Phenobarbital 30 mg Tablet (KIMIA FARMA)','92000374','Phenobarbital 30 mg Tablet','PHENOBARBITAL','Tablet','Tablet','Obat Keras','https://dto.kemkes.go.id/kfacode/93000567',0,'2023-05-01');</v>
      </c>
    </row>
    <row r="1061" spans="1:11" ht="15.75" customHeight="1">
      <c r="A1061" s="2">
        <v>93001376</v>
      </c>
      <c r="B1061" s="2" t="s">
        <v>3236</v>
      </c>
      <c r="C1061" s="2">
        <v>92000765</v>
      </c>
      <c r="D1061" s="2" t="s">
        <v>1253</v>
      </c>
      <c r="E1061" s="2" t="s">
        <v>3235</v>
      </c>
      <c r="F1061" s="2" t="s">
        <v>645</v>
      </c>
      <c r="G1061" s="2" t="s">
        <v>1506</v>
      </c>
      <c r="H1061" s="2" t="s">
        <v>1458</v>
      </c>
      <c r="I1061" s="3" t="str">
        <f t="shared" si="0"/>
        <v>https://dto.kemkes.go.id/kfacode/93001376</v>
      </c>
      <c r="J1061" s="34" t="s">
        <v>3768</v>
      </c>
      <c r="K1061" t="str">
        <f t="shared" si="17"/>
        <v>insert into mkatalog_kfa93 (kode, uraian, kode_92, uraian_92, nama_dagang, satuan_kecil, sediaan, golongan, url, userid_updt, sysdate_updt) values ('93001376','Phenobarbital 50 mg / mL Injeksi (PHAPROS Tbk)','92000765','Phenobarbital 50 mg / mL Injeksi','PHENOBARBITAL','Ampul','Larutan Injeksi','Obat Keras','https://dto.kemkes.go.id/kfacode/93001376',0,'2023-05-01');</v>
      </c>
    </row>
    <row r="1062" spans="1:11" ht="15.75" customHeight="1">
      <c r="A1062" s="2">
        <v>93000933</v>
      </c>
      <c r="B1062" s="2" t="s">
        <v>3237</v>
      </c>
      <c r="C1062" s="2">
        <v>92000652</v>
      </c>
      <c r="D1062" s="2" t="s">
        <v>1254</v>
      </c>
      <c r="E1062" s="2" t="s">
        <v>3238</v>
      </c>
      <c r="F1062" s="2" t="s">
        <v>702</v>
      </c>
      <c r="G1062" s="2" t="s">
        <v>3070</v>
      </c>
      <c r="H1062" s="2" t="s">
        <v>1525</v>
      </c>
      <c r="I1062" s="3" t="str">
        <f t="shared" si="0"/>
        <v>https://dto.kemkes.go.id/kfacode/93000933</v>
      </c>
      <c r="J1062" s="34" t="s">
        <v>3768</v>
      </c>
      <c r="K1062" t="str">
        <f t="shared" si="17"/>
        <v>insert into mkatalog_kfa93 (kode, uraian, kode_92, uraian_92, nama_dagang, satuan_kecil, sediaan, golongan, url, userid_updt, sysdate_updt) values ('93000933','Phenol Glycerol 10% (LUCAS DJAJA)','92000652','Phenol Glycerol 10%','PHENOL GLYCEROL','Botol Plastik','Tetes Telinga','Obat Bebas','https://dto.kemkes.go.id/kfacode/93000933',0,'2023-05-01');</v>
      </c>
    </row>
    <row r="1063" spans="1:11" ht="15.75" customHeight="1">
      <c r="A1063" s="2">
        <v>93000975</v>
      </c>
      <c r="B1063" s="2" t="s">
        <v>3239</v>
      </c>
      <c r="C1063" s="2">
        <v>92000531</v>
      </c>
      <c r="D1063" s="2" t="s">
        <v>1255</v>
      </c>
      <c r="E1063" s="2" t="s">
        <v>3240</v>
      </c>
      <c r="F1063" s="2" t="s">
        <v>640</v>
      </c>
      <c r="G1063" s="2" t="s">
        <v>640</v>
      </c>
      <c r="H1063" s="2" t="s">
        <v>1458</v>
      </c>
      <c r="I1063" s="3" t="str">
        <f t="shared" si="0"/>
        <v>https://dto.kemkes.go.id/kfacode/93000975</v>
      </c>
      <c r="J1063" s="34" t="s">
        <v>3768</v>
      </c>
      <c r="K1063" t="str">
        <f t="shared" si="17"/>
        <v>insert into mkatalog_kfa93 (kode, uraian, kode_92, uraian_92, nama_dagang, satuan_kecil, sediaan, golongan, url, userid_updt, sysdate_updt) values ('93000975','Phenoxymethylpenicillin 250 mg Tablet (PHAPROS Tbk)','92000531','Phenoxymethylpenicillin 250 mg Tablet','PHENOXYMETHYL PENICILLIN','Tablet','Tablet','Obat Keras','https://dto.kemkes.go.id/kfacode/93000975',0,'2023-05-01');</v>
      </c>
    </row>
    <row r="1064" spans="1:11" ht="15.75" customHeight="1">
      <c r="A1064" s="2">
        <v>93000856</v>
      </c>
      <c r="B1064" s="2" t="s">
        <v>3241</v>
      </c>
      <c r="C1064" s="2">
        <v>92000608</v>
      </c>
      <c r="D1064" s="2" t="s">
        <v>1256</v>
      </c>
      <c r="E1064" s="2" t="s">
        <v>3242</v>
      </c>
      <c r="F1064" s="2" t="s">
        <v>702</v>
      </c>
      <c r="G1064" s="2" t="s">
        <v>2125</v>
      </c>
      <c r="H1064" s="2" t="s">
        <v>1458</v>
      </c>
      <c r="I1064" s="3" t="str">
        <f t="shared" si="0"/>
        <v>https://dto.kemkes.go.id/kfacode/93000856</v>
      </c>
      <c r="J1064" s="34" t="s">
        <v>3768</v>
      </c>
      <c r="K1064" t="str">
        <f t="shared" si="17"/>
        <v>insert into mkatalog_kfa93 (kode, uraian, kode_92, uraian_92, nama_dagang, satuan_kecil, sediaan, golongan, url, userid_updt, sysdate_updt) values ('93000856','Phenylephrine Hydrochloride 10 % Tetes Mata (CENDO EFRISEL, 5mL)','92000608','Phenylephrine Hydrochloride 10 % Tetes Mata','CENDO EFRISEL 10%','Botol Plastik','Tetes Mata','Obat Keras','https://dto.kemkes.go.id/kfacode/93000856',0,'2023-05-01');</v>
      </c>
    </row>
    <row r="1065" spans="1:11" ht="15.75" customHeight="1">
      <c r="A1065" s="2">
        <v>93000909</v>
      </c>
      <c r="B1065" s="2" t="s">
        <v>3243</v>
      </c>
      <c r="C1065" s="2">
        <v>92000538</v>
      </c>
      <c r="D1065" s="2" t="s">
        <v>1257</v>
      </c>
      <c r="E1065" s="2" t="s">
        <v>2311</v>
      </c>
      <c r="F1065" s="2" t="s">
        <v>649</v>
      </c>
      <c r="G1065" s="2" t="s">
        <v>649</v>
      </c>
      <c r="H1065" s="2" t="s">
        <v>1458</v>
      </c>
      <c r="I1065" s="3" t="str">
        <f t="shared" si="0"/>
        <v>https://dto.kemkes.go.id/kfacode/93000909</v>
      </c>
      <c r="J1065" s="34" t="s">
        <v>3768</v>
      </c>
      <c r="K1065" t="str">
        <f t="shared" si="17"/>
        <v>insert into mkatalog_kfa93 (kode, uraian, kode_92, uraian_92, nama_dagang, satuan_kecil, sediaan, golongan, url, userid_updt, sysdate_updt) values ('93000909','Phenytoin 30 mg Kapsul (DECATONA)','92000538','Phenytoin 30 mg Kapsul','DECATONA','Kapsul','Kapsul','Obat Keras','https://dto.kemkes.go.id/kfacode/93000909',0,'2023-05-01');</v>
      </c>
    </row>
    <row r="1066" spans="1:11" ht="15.75" customHeight="1">
      <c r="A1066" s="2">
        <v>93001460</v>
      </c>
      <c r="B1066" s="2" t="s">
        <v>3244</v>
      </c>
      <c r="C1066" s="2">
        <v>92000633</v>
      </c>
      <c r="D1066" s="2" t="s">
        <v>1258</v>
      </c>
      <c r="E1066" s="2" t="s">
        <v>2315</v>
      </c>
      <c r="F1066" s="2" t="s">
        <v>645</v>
      </c>
      <c r="G1066" s="2" t="s">
        <v>1506</v>
      </c>
      <c r="H1066" s="2" t="s">
        <v>1458</v>
      </c>
      <c r="I1066" s="3" t="str">
        <f t="shared" si="0"/>
        <v>https://dto.kemkes.go.id/kfacode/93001460</v>
      </c>
      <c r="J1066" s="34" t="s">
        <v>3768</v>
      </c>
      <c r="K1066" t="str">
        <f t="shared" si="17"/>
        <v>insert into mkatalog_kfa93 (kode, uraian, kode_92, uraian_92, nama_dagang, satuan_kecil, sediaan, golongan, url, userid_updt, sysdate_updt) values ('93001460','Phenytoin Sodium 50 mg / mL Injeksi (DEXA MEDICA)','92000633','Phenytoin Sodium 50 mg / mL Injeksi','PHENYTOIN SODIUM','Ampul','Larutan Injeksi','Obat Keras','https://dto.kemkes.go.id/kfacode/93001460',0,'2023-05-01');</v>
      </c>
    </row>
    <row r="1067" spans="1:11" ht="15.75" customHeight="1">
      <c r="A1067" s="2">
        <v>93001219</v>
      </c>
      <c r="B1067" s="2" t="s">
        <v>3245</v>
      </c>
      <c r="C1067" s="2">
        <v>92000633</v>
      </c>
      <c r="D1067" s="2" t="s">
        <v>1258</v>
      </c>
      <c r="E1067" s="2" t="s">
        <v>2315</v>
      </c>
      <c r="F1067" s="2" t="s">
        <v>645</v>
      </c>
      <c r="G1067" s="2" t="s">
        <v>1506</v>
      </c>
      <c r="H1067" s="2" t="s">
        <v>1458</v>
      </c>
      <c r="I1067" s="3" t="str">
        <f t="shared" si="0"/>
        <v>https://dto.kemkes.go.id/kfacode/93001219</v>
      </c>
      <c r="J1067" s="34" t="s">
        <v>3768</v>
      </c>
      <c r="K1067" t="str">
        <f t="shared" si="17"/>
        <v>insert into mkatalog_kfa93 (kode, uraian, kode_92, uraian_92, nama_dagang, satuan_kecil, sediaan, golongan, url, userid_updt, sysdate_updt) values ('93001219','Phenytoin Sodium 50 mg / mL Injeksi (PHAPROS Tbk)','92000633','Phenytoin Sodium 50 mg / mL Injeksi','PHENYTOIN SODIUM','Ampul','Larutan Injeksi','Obat Keras','https://dto.kemkes.go.id/kfacode/93001219',0,'2023-05-01');</v>
      </c>
    </row>
    <row r="1068" spans="1:11" ht="15.75" customHeight="1">
      <c r="A1068" s="2">
        <v>93001129</v>
      </c>
      <c r="B1068" s="2" t="s">
        <v>3246</v>
      </c>
      <c r="C1068" s="2">
        <v>92000659</v>
      </c>
      <c r="D1068" s="2" t="s">
        <v>1259</v>
      </c>
      <c r="E1068" s="2" t="s">
        <v>3247</v>
      </c>
      <c r="F1068" s="2" t="s">
        <v>645</v>
      </c>
      <c r="G1068" s="2" t="s">
        <v>1506</v>
      </c>
      <c r="H1068" s="2" t="s">
        <v>1458</v>
      </c>
      <c r="I1068" s="3" t="str">
        <f t="shared" si="0"/>
        <v>https://dto.kemkes.go.id/kfacode/93001129</v>
      </c>
      <c r="J1068" s="34" t="s">
        <v>3768</v>
      </c>
      <c r="K1068" t="str">
        <f t="shared" si="17"/>
        <v>insert into mkatalog_kfa93 (kode, uraian, kode_92, uraian_92, nama_dagang, satuan_kecil, sediaan, golongan, url, userid_updt, sysdate_updt) values ('93001129','Phytomenadione / Vitamin K1 10 mg / mL Injeksi (PHAPROS Tbk)','92000659','Phytomenadione / Vitamin K1 10 mg / mL Injeksi','PHYTOMENADIONE','Ampul','Larutan Injeksi','Obat Keras','https://dto.kemkes.go.id/kfacode/93001129',0,'2023-05-01');</v>
      </c>
    </row>
    <row r="1069" spans="1:11" ht="15.75" customHeight="1">
      <c r="A1069" s="2">
        <v>93001084</v>
      </c>
      <c r="B1069" s="2" t="s">
        <v>3248</v>
      </c>
      <c r="C1069" s="2">
        <v>92000465</v>
      </c>
      <c r="D1069" s="2" t="s">
        <v>1260</v>
      </c>
      <c r="E1069" s="2" t="s">
        <v>3247</v>
      </c>
      <c r="F1069" s="2" t="s">
        <v>640</v>
      </c>
      <c r="G1069" s="2" t="s">
        <v>2307</v>
      </c>
      <c r="H1069" s="2" t="s">
        <v>1458</v>
      </c>
      <c r="I1069" s="3" t="str">
        <f t="shared" si="0"/>
        <v>https://dto.kemkes.go.id/kfacode/93001084</v>
      </c>
      <c r="J1069" s="34" t="s">
        <v>3768</v>
      </c>
      <c r="K1069" t="str">
        <f t="shared" si="17"/>
        <v>insert into mkatalog_kfa93 (kode, uraian, kode_92, uraian_92, nama_dagang, satuan_kecil, sediaan, golongan, url, userid_updt, sysdate_updt) values ('93001084','Phytomenadione / Vitamin K1 10 mg Tablet Salut Gula (MARIN LIZA FARMASI)','92000465','Phytomenadione / Vitamin K1 10 mg Tablet Salut Gula','PHYTOMENADIONE','Tablet','Tablet Salut Gula','Obat Keras','https://dto.kemkes.go.id/kfacode/93001084',0,'2023-05-01');</v>
      </c>
    </row>
    <row r="1070" spans="1:11" ht="15.75" customHeight="1">
      <c r="A1070" s="2">
        <v>93001083</v>
      </c>
      <c r="B1070" s="2" t="s">
        <v>3249</v>
      </c>
      <c r="C1070" s="2">
        <v>92000465</v>
      </c>
      <c r="D1070" s="2" t="s">
        <v>1260</v>
      </c>
      <c r="E1070" s="2" t="s">
        <v>3247</v>
      </c>
      <c r="F1070" s="2" t="s">
        <v>640</v>
      </c>
      <c r="G1070" s="2" t="s">
        <v>2307</v>
      </c>
      <c r="H1070" s="2" t="s">
        <v>1458</v>
      </c>
      <c r="I1070" s="3" t="str">
        <f t="shared" si="0"/>
        <v>https://dto.kemkes.go.id/kfacode/93001083</v>
      </c>
      <c r="J1070" s="34" t="s">
        <v>3768</v>
      </c>
      <c r="K1070" t="str">
        <f t="shared" si="17"/>
        <v>insert into mkatalog_kfa93 (kode, uraian, kode_92, uraian_92, nama_dagang, satuan_kecil, sediaan, golongan, url, userid_updt, sysdate_updt) values ('93001083','Phytomenadione / Vitamin K1 10 mg Tablet Salut Gula (PHAPROS Tbk)','92000465','Phytomenadione / Vitamin K1 10 mg Tablet Salut Gula','PHYTOMENADIONE','Tablet','Tablet Salut Gula','Obat Keras','https://dto.kemkes.go.id/kfacode/93001083',0,'2023-05-01');</v>
      </c>
    </row>
    <row r="1071" spans="1:11" ht="15.75" customHeight="1">
      <c r="A1071" s="2">
        <v>93001232</v>
      </c>
      <c r="B1071" s="2" t="s">
        <v>3250</v>
      </c>
      <c r="C1071" s="2">
        <v>92000721</v>
      </c>
      <c r="D1071" s="2" t="s">
        <v>1264</v>
      </c>
      <c r="E1071" s="2" t="s">
        <v>3251</v>
      </c>
      <c r="F1071" s="2" t="s">
        <v>660</v>
      </c>
      <c r="G1071" s="2" t="s">
        <v>1619</v>
      </c>
      <c r="H1071" s="2" t="s">
        <v>1458</v>
      </c>
      <c r="I1071" s="3" t="str">
        <f t="shared" si="0"/>
        <v>https://dto.kemkes.go.id/kfacode/93001232</v>
      </c>
      <c r="J1071" s="34" t="s">
        <v>3768</v>
      </c>
      <c r="K1071" t="str">
        <f t="shared" si="17"/>
        <v>insert into mkatalog_kfa93 (kode, uraian, kode_92, uraian_92, nama_dagang, satuan_kecil, sediaan, golongan, url, userid_updt, sysdate_updt) values ('93001232','Potassium Aspartate 300 mg Kaplet Salut Selaput (TEMPO SCAN PACIFIC Tbk)','92000721','Potassium Aspartate 300 mg Kaplet Salut Selaput','POTASSIUM L-ASPARTATE','Kaplet','Kaplet Salut Selaput','Obat Keras','https://dto.kemkes.go.id/kfacode/93001232',0,'2023-05-01');</v>
      </c>
    </row>
    <row r="1072" spans="1:11" ht="15.75" customHeight="1">
      <c r="A1072" s="2">
        <v>93001549</v>
      </c>
      <c r="B1072" s="2" t="s">
        <v>3252</v>
      </c>
      <c r="C1072" s="2">
        <v>92000890</v>
      </c>
      <c r="D1072" s="2" t="s">
        <v>1265</v>
      </c>
      <c r="E1072" s="2" t="s">
        <v>3253</v>
      </c>
      <c r="F1072" s="2" t="s">
        <v>702</v>
      </c>
      <c r="G1072" s="2" t="s">
        <v>2125</v>
      </c>
      <c r="H1072" s="2" t="s">
        <v>1458</v>
      </c>
      <c r="I1072" s="3" t="str">
        <f t="shared" si="0"/>
        <v>https://dto.kemkes.go.id/kfacode/93001549</v>
      </c>
      <c r="J1072" s="34" t="s">
        <v>3768</v>
      </c>
      <c r="K1072" t="str">
        <f t="shared" si="17"/>
        <v>insert into mkatalog_kfa93 (kode, uraian, kode_92, uraian_92, nama_dagang, satuan_kecil, sediaan, golongan, url, userid_updt, sysdate_updt) values ('93001549','Potassium Chloride 0,8 mg / Sodium Chloride 4,4 mg Tetes Mata (CENDO LYTEERS, 15 mL)','92000890','Potassium Chloride 0,8 mg / Sodium Chloride 4,4 mg Tetes Mata','CENDO LYTEERS','Botol Plastik','Tetes Mata','Obat Keras','https://dto.kemkes.go.id/kfacode/93001549',0,'2023-05-01');</v>
      </c>
    </row>
    <row r="1073" spans="1:11" ht="15.75" customHeight="1">
      <c r="A1073" s="2">
        <v>93001195</v>
      </c>
      <c r="B1073" s="2" t="s">
        <v>3254</v>
      </c>
      <c r="C1073" s="2">
        <v>92000804</v>
      </c>
      <c r="D1073" s="2" t="s">
        <v>1266</v>
      </c>
      <c r="E1073" s="2" t="s">
        <v>3255</v>
      </c>
      <c r="F1073" s="2" t="s">
        <v>702</v>
      </c>
      <c r="G1073" s="2" t="s">
        <v>1530</v>
      </c>
      <c r="H1073" s="2" t="s">
        <v>1458</v>
      </c>
      <c r="I1073" s="3" t="str">
        <f t="shared" si="0"/>
        <v>https://dto.kemkes.go.id/kfacode/93001195</v>
      </c>
      <c r="J1073" s="34" t="s">
        <v>3768</v>
      </c>
      <c r="K1073" t="str">
        <f t="shared" si="17"/>
        <v>insert into mkatalog_kfa93 (kode, uraian, kode_92, uraian_92, nama_dagang, satuan_kecil, sediaan, golongan, url, userid_updt, sysdate_updt) values ('93001195','Potassium Chloride 1.5 g / Sodium Chloride 0.9 g / Dextrose Monohydrate 22 g Infus (WIDA KDN-2)','92000804','Potassium Chloride 1.5 g / Sodium Chloride 0.9 g / Dextrose Monohydrate 22 g Infus','WIDA KDN-2','Botol Plastik','Infus','Obat Keras','https://dto.kemkes.go.id/kfacode/93001195',0,'2023-05-01');</v>
      </c>
    </row>
    <row r="1074" spans="1:11" ht="15.75" customHeight="1">
      <c r="A1074" s="2">
        <v>93000471</v>
      </c>
      <c r="B1074" s="2" t="s">
        <v>3256</v>
      </c>
      <c r="C1074" s="2">
        <v>92000397</v>
      </c>
      <c r="D1074" s="2" t="s">
        <v>1267</v>
      </c>
      <c r="E1074" s="2" t="s">
        <v>3257</v>
      </c>
      <c r="F1074" s="2" t="s">
        <v>640</v>
      </c>
      <c r="G1074" s="2" t="s">
        <v>1608</v>
      </c>
      <c r="H1074" s="2" t="s">
        <v>1458</v>
      </c>
      <c r="I1074" s="3" t="str">
        <f t="shared" si="0"/>
        <v>https://dto.kemkes.go.id/kfacode/93000471</v>
      </c>
      <c r="J1074" s="34" t="s">
        <v>3768</v>
      </c>
      <c r="K1074" t="str">
        <f t="shared" si="17"/>
        <v>insert into mkatalog_kfa93 (kode, uraian, kode_92, uraian_92, nama_dagang, satuan_kecil, sediaan, golongan, url, userid_updt, sysdate_updt) values ('93000471','Potassium Chloride 600 mg Tablet Salut Selaput Pelepasan Lambat (KSR)','92000397','Potassium Chloride 600 mg Tablet Salut Selaput Pelepasan Lambat','KSR','Tablet','Tablet Pelepasan Lambat','Obat Keras','https://dto.kemkes.go.id/kfacode/93000471',0,'2023-05-01');</v>
      </c>
    </row>
    <row r="1075" spans="1:11" ht="15.75" customHeight="1">
      <c r="A1075" s="2">
        <v>93001104</v>
      </c>
      <c r="B1075" s="2" t="s">
        <v>3258</v>
      </c>
      <c r="C1075" s="2">
        <v>92000796</v>
      </c>
      <c r="D1075" s="2" t="s">
        <v>1268</v>
      </c>
      <c r="E1075" s="2" t="s">
        <v>3259</v>
      </c>
      <c r="F1075" s="2" t="s">
        <v>645</v>
      </c>
      <c r="G1075" s="2" t="s">
        <v>1506</v>
      </c>
      <c r="I1075" s="3" t="str">
        <f t="shared" si="0"/>
        <v>https://dto.kemkes.go.id/kfacode/93001104</v>
      </c>
      <c r="J1075" s="34" t="s">
        <v>3768</v>
      </c>
      <c r="K1075" t="str">
        <f t="shared" si="17"/>
        <v>insert into mkatalog_kfa93 (kode, uraian, kode_92, uraian_92, nama_dagang, satuan_kecil, sediaan, golongan, url, userid_updt, sysdate_updt) values ('93001104','Potassium Chloride 74,6% Injeksi (OTSU - KCL 7,46)','92000796','Potassium Chloride 74,6% Injeksi','OTSU - KCL 7,46','Ampul','Larutan Injeksi','','https://dto.kemkes.go.id/kfacode/93001104',0,'2023-05-01');</v>
      </c>
    </row>
    <row r="1076" spans="1:11" ht="15.75" customHeight="1">
      <c r="A1076" s="2">
        <v>93001191</v>
      </c>
      <c r="B1076" s="2" t="s">
        <v>3260</v>
      </c>
      <c r="C1076" s="2">
        <v>92000796</v>
      </c>
      <c r="D1076" s="2" t="s">
        <v>1268</v>
      </c>
      <c r="E1076" s="2" t="s">
        <v>3261</v>
      </c>
      <c r="F1076" s="2" t="s">
        <v>645</v>
      </c>
      <c r="G1076" s="2" t="s">
        <v>1506</v>
      </c>
      <c r="I1076" s="3" t="str">
        <f t="shared" si="0"/>
        <v>https://dto.kemkes.go.id/kfacode/93001191</v>
      </c>
      <c r="J1076" s="34" t="s">
        <v>3768</v>
      </c>
      <c r="K1076" t="str">
        <f t="shared" si="17"/>
        <v>insert into mkatalog_kfa93 (kode, uraian, kode_92, uraian_92, nama_dagang, satuan_kecil, sediaan, golongan, url, userid_updt, sysdate_updt) values ('93001191','Potassium Chloride 74,6% Injeksi (SATORIA ANEKA INDUSTRI)','92000796','Potassium Chloride 74,6% Injeksi','POTASSIUM CHLORIDE','Ampul','Larutan Injeksi','','https://dto.kemkes.go.id/kfacode/93001191',0,'2023-05-01');</v>
      </c>
    </row>
    <row r="1077" spans="1:11" ht="15.75" customHeight="1">
      <c r="A1077" s="2">
        <v>93001165</v>
      </c>
      <c r="B1077" s="2" t="s">
        <v>3262</v>
      </c>
      <c r="C1077" s="2">
        <v>92000513</v>
      </c>
      <c r="D1077" s="2" t="s">
        <v>1269</v>
      </c>
      <c r="E1077" s="2" t="s">
        <v>3263</v>
      </c>
      <c r="F1077" s="2" t="s">
        <v>640</v>
      </c>
      <c r="G1077" s="2" t="s">
        <v>640</v>
      </c>
      <c r="H1077" s="2" t="s">
        <v>1458</v>
      </c>
      <c r="I1077" s="3" t="str">
        <f t="shared" si="0"/>
        <v>https://dto.kemkes.go.id/kfacode/93001165</v>
      </c>
      <c r="J1077" s="34" t="s">
        <v>3768</v>
      </c>
      <c r="K1077" t="str">
        <f t="shared" si="17"/>
        <v>insert into mkatalog_kfa93 (kode, uraian, kode_92, uraian_92, nama_dagang, satuan_kecil, sediaan, golongan, url, userid_updt, sysdate_updt) values ('93001165','Pramipexole 0,125 mg Tablet (DEXA MEDICA)','92000513','Pramipexole 0,125 mg Tablet','PRAMIPEXOLE DIHYDROCHLORIDE MONOHYDRATE','Tablet','Tablet','Obat Keras','https://dto.kemkes.go.id/kfacode/93001165',0,'2023-05-01');</v>
      </c>
    </row>
    <row r="1078" spans="1:11" ht="15.75" customHeight="1">
      <c r="A1078" s="2">
        <v>93000539</v>
      </c>
      <c r="B1078" s="2" t="s">
        <v>3264</v>
      </c>
      <c r="C1078" s="2">
        <v>92000424</v>
      </c>
      <c r="D1078" s="2" t="s">
        <v>1270</v>
      </c>
      <c r="E1078" s="2" t="s">
        <v>3265</v>
      </c>
      <c r="F1078" s="2" t="s">
        <v>640</v>
      </c>
      <c r="G1078" s="2" t="s">
        <v>1608</v>
      </c>
      <c r="H1078" s="2" t="s">
        <v>1458</v>
      </c>
      <c r="I1078" s="3" t="str">
        <f t="shared" si="0"/>
        <v>https://dto.kemkes.go.id/kfacode/93000539</v>
      </c>
      <c r="J1078" s="34" t="s">
        <v>3768</v>
      </c>
      <c r="K1078" t="str">
        <f t="shared" si="17"/>
        <v>insert into mkatalog_kfa93 (kode, uraian, kode_92, uraian_92, nama_dagang, satuan_kecil, sediaan, golongan, url, userid_updt, sysdate_updt) values ('93000539','Pramipexole 0,375 mg Tablet Pelepasan Lambat (PRAMIFROL ER)','92000424','Pramipexole 0,375 mg Tablet Pelepasan Lambat','PRAMIFROL','Tablet','Tablet Pelepasan Lambat','Obat Keras','https://dto.kemkes.go.id/kfacode/93000539',0,'2023-05-01');</v>
      </c>
    </row>
    <row r="1079" spans="1:11" ht="15.75" customHeight="1">
      <c r="A1079" s="2">
        <v>93000540</v>
      </c>
      <c r="B1079" s="2" t="s">
        <v>3266</v>
      </c>
      <c r="C1079" s="2">
        <v>92000424</v>
      </c>
      <c r="D1079" s="2" t="s">
        <v>1270</v>
      </c>
      <c r="E1079" s="2" t="s">
        <v>3267</v>
      </c>
      <c r="F1079" s="2" t="s">
        <v>640</v>
      </c>
      <c r="G1079" s="2" t="s">
        <v>1608</v>
      </c>
      <c r="H1079" s="2" t="s">
        <v>1458</v>
      </c>
      <c r="I1079" s="3" t="str">
        <f t="shared" si="0"/>
        <v>https://dto.kemkes.go.id/kfacode/93000540</v>
      </c>
      <c r="J1079" s="34" t="s">
        <v>3768</v>
      </c>
      <c r="K1079" t="str">
        <f t="shared" si="17"/>
        <v>insert into mkatalog_kfa93 (kode, uraian, kode_92, uraian_92, nama_dagang, satuan_kecil, sediaan, golongan, url, userid_updt, sysdate_updt) values ('93000540','Pramipexole 0,375 mg Tablet Pelepasan Lambat (SIFROL ER)','92000424','Pramipexole 0,375 mg Tablet Pelepasan Lambat','SIFROL ER','Tablet','Tablet Pelepasan Lambat','Obat Keras','https://dto.kemkes.go.id/kfacode/93000540',0,'2023-05-01');</v>
      </c>
    </row>
    <row r="1080" spans="1:11" ht="15.75" customHeight="1">
      <c r="A1080" s="2">
        <v>93000536</v>
      </c>
      <c r="B1080" s="2" t="s">
        <v>3268</v>
      </c>
      <c r="C1080" s="2">
        <v>92000425</v>
      </c>
      <c r="D1080" s="2" t="s">
        <v>1271</v>
      </c>
      <c r="E1080" s="2" t="s">
        <v>3269</v>
      </c>
      <c r="F1080" s="2" t="s">
        <v>640</v>
      </c>
      <c r="G1080" s="2" t="s">
        <v>1608</v>
      </c>
      <c r="H1080" s="2" t="s">
        <v>1458</v>
      </c>
      <c r="I1080" s="3" t="str">
        <f t="shared" si="0"/>
        <v>https://dto.kemkes.go.id/kfacode/93000536</v>
      </c>
      <c r="J1080" s="34" t="s">
        <v>3768</v>
      </c>
      <c r="K1080" t="str">
        <f t="shared" si="17"/>
        <v>insert into mkatalog_kfa93 (kode, uraian, kode_92, uraian_92, nama_dagang, satuan_kecil, sediaan, golongan, url, userid_updt, sysdate_updt) values ('93000536','Pramipexole 0,75 mg Tablet Pelepasan Lambat (PRAMIFROL ER)','92000425','Pramipexole 0,75 mg Tablet Pelepasan Lambat','PRAMIFROL ER','Tablet','Tablet Pelepasan Lambat','Obat Keras','https://dto.kemkes.go.id/kfacode/93000536',0,'2023-05-01');</v>
      </c>
    </row>
    <row r="1081" spans="1:11" ht="15.75" customHeight="1">
      <c r="A1081" s="2">
        <v>93000537</v>
      </c>
      <c r="B1081" s="2" t="s">
        <v>3270</v>
      </c>
      <c r="C1081" s="2">
        <v>92000425</v>
      </c>
      <c r="D1081" s="2" t="s">
        <v>1271</v>
      </c>
      <c r="E1081" s="2" t="s">
        <v>3267</v>
      </c>
      <c r="F1081" s="2" t="s">
        <v>640</v>
      </c>
      <c r="G1081" s="2" t="s">
        <v>1608</v>
      </c>
      <c r="H1081" s="2" t="s">
        <v>1458</v>
      </c>
      <c r="I1081" s="3" t="str">
        <f t="shared" si="0"/>
        <v>https://dto.kemkes.go.id/kfacode/93000537</v>
      </c>
      <c r="J1081" s="34" t="s">
        <v>3768</v>
      </c>
      <c r="K1081" t="str">
        <f t="shared" si="17"/>
        <v>insert into mkatalog_kfa93 (kode, uraian, kode_92, uraian_92, nama_dagang, satuan_kecil, sediaan, golongan, url, userid_updt, sysdate_updt) values ('93000537','Pramipexole 0,75 mg Tablet Pelepasan Lambat (SIFROL ER)','92000425','Pramipexole 0,75 mg Tablet Pelepasan Lambat','SIFROL ER','Tablet','Tablet Pelepasan Lambat','Obat Keras','https://dto.kemkes.go.id/kfacode/93000537',0,'2023-05-01');</v>
      </c>
    </row>
    <row r="1082" spans="1:11" ht="15.75" customHeight="1">
      <c r="A1082" s="2">
        <v>93000916</v>
      </c>
      <c r="B1082" s="2" t="s">
        <v>3271</v>
      </c>
      <c r="C1082" s="2">
        <v>92000639</v>
      </c>
      <c r="D1082" s="2" t="s">
        <v>1272</v>
      </c>
      <c r="E1082" s="2" t="s">
        <v>3272</v>
      </c>
      <c r="F1082" s="2" t="s">
        <v>640</v>
      </c>
      <c r="G1082" s="2" t="s">
        <v>640</v>
      </c>
      <c r="H1082" s="2" t="s">
        <v>1458</v>
      </c>
      <c r="I1082" s="3" t="str">
        <f t="shared" si="0"/>
        <v>https://dto.kemkes.go.id/kfacode/93000916</v>
      </c>
      <c r="J1082" s="34" t="s">
        <v>3768</v>
      </c>
      <c r="K1082" t="str">
        <f t="shared" si="17"/>
        <v>insert into mkatalog_kfa93 (kode, uraian, kode_92, uraian_92, nama_dagang, satuan_kecil, sediaan, golongan, url, userid_updt, sysdate_updt) values ('93000916','Pravastatin Sodium 20 mg Tablet (NOVELL PHARMACEUTICAL LABORATORIES)','92000639','Pravastatin Sodium 20 mg Tablet','PRAVASTATIN SODIUM','Tablet','Tablet','Obat Keras','https://dto.kemkes.go.id/kfacode/93000916',0,'2023-05-01');</v>
      </c>
    </row>
    <row r="1083" spans="1:11" ht="15.75" customHeight="1">
      <c r="A1083" s="2">
        <v>93001306</v>
      </c>
      <c r="B1083" s="2" t="s">
        <v>3273</v>
      </c>
      <c r="C1083" s="2">
        <v>92000657</v>
      </c>
      <c r="D1083" s="2" t="s">
        <v>1273</v>
      </c>
      <c r="E1083" s="2" t="s">
        <v>3274</v>
      </c>
      <c r="F1083" s="2" t="s">
        <v>702</v>
      </c>
      <c r="G1083" s="2" t="s">
        <v>2125</v>
      </c>
      <c r="H1083" s="2" t="s">
        <v>1458</v>
      </c>
      <c r="I1083" s="3" t="str">
        <f t="shared" si="0"/>
        <v>https://dto.kemkes.go.id/kfacode/93001306</v>
      </c>
      <c r="J1083" s="34" t="s">
        <v>3768</v>
      </c>
      <c r="K1083" t="str">
        <f t="shared" si="17"/>
        <v>insert into mkatalog_kfa93 (kode, uraian, kode_92, uraian_92, nama_dagang, satuan_kecil, sediaan, golongan, url, userid_updt, sysdate_updt) values ('93001306','Prednisolone 10 mg / mL Tetes Mata (P-PRED, BOTOL)','92000657','Prednisolone 10 mg / mL Tetes Mata','P-PRED','Botol Plastik','Tetes Mata','Obat Keras','https://dto.kemkes.go.id/kfacode/93001306',0,'2023-05-01');</v>
      </c>
    </row>
    <row r="1084" spans="1:11" ht="15.75" customHeight="1">
      <c r="A1084" s="2">
        <v>93001065</v>
      </c>
      <c r="B1084" s="2" t="s">
        <v>3275</v>
      </c>
      <c r="C1084" s="2">
        <v>92000657</v>
      </c>
      <c r="D1084" s="2" t="s">
        <v>1273</v>
      </c>
      <c r="E1084" s="2" t="s">
        <v>3274</v>
      </c>
      <c r="F1084" s="2" t="s">
        <v>702</v>
      </c>
      <c r="G1084" s="2" t="s">
        <v>2125</v>
      </c>
      <c r="H1084" s="2" t="s">
        <v>1458</v>
      </c>
      <c r="I1084" s="3" t="str">
        <f t="shared" si="0"/>
        <v>https://dto.kemkes.go.id/kfacode/93001065</v>
      </c>
      <c r="J1084" s="34" t="s">
        <v>3768</v>
      </c>
      <c r="K1084" t="str">
        <f t="shared" si="17"/>
        <v>insert into mkatalog_kfa93 (kode, uraian, kode_92, uraian_92, nama_dagang, satuan_kecil, sediaan, golongan, url, userid_updt, sysdate_updt) values ('93001065','Prednisolone 10 mg / mL Tetes Mata (P-PRED, CATCH COVER)','92000657','Prednisolone 10 mg / mL Tetes Mata','P-PRED','Botol Plastik','Tetes Mata','Obat Keras','https://dto.kemkes.go.id/kfacode/93001065',0,'2023-05-01');</v>
      </c>
    </row>
    <row r="1085" spans="1:11" ht="15.75" customHeight="1">
      <c r="A1085" s="2">
        <v>93001348</v>
      </c>
      <c r="B1085" s="2" t="s">
        <v>3276</v>
      </c>
      <c r="C1085" s="2">
        <v>92000706</v>
      </c>
      <c r="D1085" s="2" t="s">
        <v>1274</v>
      </c>
      <c r="E1085" s="2" t="s">
        <v>3277</v>
      </c>
      <c r="F1085" s="2" t="s">
        <v>640</v>
      </c>
      <c r="G1085" s="2" t="s">
        <v>640</v>
      </c>
      <c r="H1085" s="2" t="s">
        <v>1458</v>
      </c>
      <c r="I1085" s="3" t="str">
        <f t="shared" si="0"/>
        <v>https://dto.kemkes.go.id/kfacode/93001348</v>
      </c>
      <c r="J1085" s="34" t="s">
        <v>3768</v>
      </c>
      <c r="K1085" t="str">
        <f t="shared" si="17"/>
        <v>insert into mkatalog_kfa93 (kode, uraian, kode_92, uraian_92, nama_dagang, satuan_kecil, sediaan, golongan, url, userid_updt, sysdate_updt) values ('93001348','Prednisone 5 mg Tablet (HOLI PHARMA)','92000706','Prednisone 5 mg Tablet','PREDNISONE','Tablet','Tablet','Obat Keras','https://dto.kemkes.go.id/kfacode/93001348',0,'2023-05-01');</v>
      </c>
    </row>
    <row r="1086" spans="1:11" ht="15.75" customHeight="1">
      <c r="A1086" s="2">
        <v>93001006</v>
      </c>
      <c r="B1086" s="2" t="s">
        <v>3278</v>
      </c>
      <c r="C1086" s="2">
        <v>92000706</v>
      </c>
      <c r="D1086" s="2" t="s">
        <v>1274</v>
      </c>
      <c r="E1086" s="2" t="s">
        <v>3277</v>
      </c>
      <c r="F1086" s="2" t="s">
        <v>640</v>
      </c>
      <c r="G1086" s="2" t="s">
        <v>640</v>
      </c>
      <c r="H1086" s="2" t="s">
        <v>1458</v>
      </c>
      <c r="I1086" s="3" t="str">
        <f t="shared" si="0"/>
        <v>https://dto.kemkes.go.id/kfacode/93001006</v>
      </c>
      <c r="J1086" s="34" t="s">
        <v>3768</v>
      </c>
      <c r="K1086" t="str">
        <f t="shared" si="17"/>
        <v>insert into mkatalog_kfa93 (kode, uraian, kode_92, uraian_92, nama_dagang, satuan_kecil, sediaan, golongan, url, userid_updt, sysdate_updt) values ('93001006','Prednisone 5 mg Tablet (IMFARMIND FARMASI INDUSTRI)','92000706','Prednisone 5 mg Tablet','PREDNISONE','Tablet','Tablet','Obat Keras','https://dto.kemkes.go.id/kfacode/93001006',0,'2023-05-01');</v>
      </c>
    </row>
    <row r="1087" spans="1:11" ht="15.75" customHeight="1">
      <c r="A1087" s="2">
        <v>93001566</v>
      </c>
      <c r="B1087" s="2" t="s">
        <v>3279</v>
      </c>
      <c r="C1087" s="2">
        <v>92000899</v>
      </c>
      <c r="D1087" s="2" t="s">
        <v>1275</v>
      </c>
      <c r="E1087" s="2" t="s">
        <v>3280</v>
      </c>
      <c r="F1087" s="2" t="s">
        <v>649</v>
      </c>
      <c r="G1087" s="2" t="s">
        <v>640</v>
      </c>
      <c r="H1087" s="2" t="s">
        <v>1458</v>
      </c>
      <c r="I1087" s="3" t="str">
        <f t="shared" si="0"/>
        <v>https://dto.kemkes.go.id/kfacode/93001566</v>
      </c>
      <c r="J1087" s="34" t="s">
        <v>3768</v>
      </c>
      <c r="K1087" t="str">
        <f t="shared" si="17"/>
        <v>insert into mkatalog_kfa93 (kode, uraian, kode_92, uraian_92, nama_dagang, satuan_kecil, sediaan, golongan, url, userid_updt, sysdate_updt) values ('93001566','Pregabalin 75 mg Kapsul (AMAROX PHARMA GLOBAL)','92000899','Pregabalin 75 mg Kapsul','PREGABALIN','Kapsul','Tablet','Obat Keras','https://dto.kemkes.go.id/kfacode/93001566',0,'2023-05-01');</v>
      </c>
    </row>
    <row r="1088" spans="1:11" ht="15.75" customHeight="1">
      <c r="A1088" s="2">
        <v>93001628</v>
      </c>
      <c r="B1088" s="2" t="s">
        <v>3281</v>
      </c>
      <c r="C1088" s="2">
        <v>92000899</v>
      </c>
      <c r="D1088" s="2" t="s">
        <v>1275</v>
      </c>
      <c r="E1088" s="2" t="s">
        <v>3280</v>
      </c>
      <c r="F1088" s="2" t="s">
        <v>649</v>
      </c>
      <c r="G1088" s="2" t="s">
        <v>640</v>
      </c>
      <c r="H1088" s="2" t="s">
        <v>1458</v>
      </c>
      <c r="I1088" s="3" t="str">
        <f t="shared" si="0"/>
        <v>https://dto.kemkes.go.id/kfacode/93001628</v>
      </c>
      <c r="J1088" s="34" t="s">
        <v>3768</v>
      </c>
      <c r="K1088" t="str">
        <f t="shared" si="17"/>
        <v>insert into mkatalog_kfa93 (kode, uraian, kode_92, uraian_92, nama_dagang, satuan_kecil, sediaan, golongan, url, userid_updt, sysdate_updt) values ('93001628','Pregabalin 75 mg Kapsul (KIMIA FARMA Tbk.)','92000899','Pregabalin 75 mg Kapsul','PREGABALIN','Kapsul','Tablet','Obat Keras','https://dto.kemkes.go.id/kfacode/93001628',0,'2023-05-01');</v>
      </c>
    </row>
    <row r="1089" spans="1:11" ht="15.75" customHeight="1">
      <c r="A1089" s="2">
        <v>93001570</v>
      </c>
      <c r="B1089" s="2" t="s">
        <v>3282</v>
      </c>
      <c r="C1089" s="2">
        <v>92000899</v>
      </c>
      <c r="D1089" s="2" t="s">
        <v>1275</v>
      </c>
      <c r="E1089" s="2" t="s">
        <v>3280</v>
      </c>
      <c r="F1089" s="2" t="s">
        <v>649</v>
      </c>
      <c r="G1089" s="2" t="s">
        <v>640</v>
      </c>
      <c r="H1089" s="2" t="s">
        <v>1458</v>
      </c>
      <c r="I1089" s="3" t="str">
        <f t="shared" si="0"/>
        <v>https://dto.kemkes.go.id/kfacode/93001570</v>
      </c>
      <c r="J1089" s="34" t="s">
        <v>3768</v>
      </c>
      <c r="K1089" t="str">
        <f t="shared" si="17"/>
        <v>insert into mkatalog_kfa93 (kode, uraian, kode_92, uraian_92, nama_dagang, satuan_kecil, sediaan, golongan, url, userid_updt, sysdate_updt) values ('93001570','Pregabalin 75 mg Kapsul (PHAPROS Tbk)','92000899','Pregabalin 75 mg Kapsul','PREGABALIN','Kapsul','Tablet','Obat Keras','https://dto.kemkes.go.id/kfacode/93001570',0,'2023-05-01');</v>
      </c>
    </row>
    <row r="1090" spans="1:11" ht="15.75" customHeight="1">
      <c r="A1090" s="2">
        <v>93001605</v>
      </c>
      <c r="B1090" s="2" t="s">
        <v>3283</v>
      </c>
      <c r="C1090" s="2">
        <v>92000624</v>
      </c>
      <c r="D1090" s="2" t="s">
        <v>1276</v>
      </c>
      <c r="E1090" s="2" t="s">
        <v>3284</v>
      </c>
      <c r="F1090" s="2" t="s">
        <v>640</v>
      </c>
      <c r="G1090" s="2" t="s">
        <v>640</v>
      </c>
      <c r="H1090" s="2" t="s">
        <v>1458</v>
      </c>
      <c r="I1090" s="3" t="str">
        <f t="shared" si="0"/>
        <v>https://dto.kemkes.go.id/kfacode/93001605</v>
      </c>
      <c r="J1090" s="34" t="s">
        <v>3768</v>
      </c>
      <c r="K1090" t="str">
        <f t="shared" si="17"/>
        <v>insert into mkatalog_kfa93 (kode, uraian, kode_92, uraian_92, nama_dagang, satuan_kecil, sediaan, golongan, url, userid_updt, sysdate_updt) values ('93001605','Primaquine Phosphate 15 mg Tablet (PHAPROS Tbk)','92000624','Primaquine Phosphate 15 mg Tablet','PRIMAQUINE PHOSPHATE','Tablet','Tablet','Obat Keras','https://dto.kemkes.go.id/kfacode/93001605',0,'2023-05-01');</v>
      </c>
    </row>
    <row r="1091" spans="1:11" ht="15.75" customHeight="1">
      <c r="A1091" s="2">
        <v>93000882</v>
      </c>
      <c r="B1091" s="2" t="s">
        <v>3285</v>
      </c>
      <c r="C1091" s="2">
        <v>92000559</v>
      </c>
      <c r="D1091" s="2" t="s">
        <v>1277</v>
      </c>
      <c r="E1091" s="2" t="s">
        <v>3286</v>
      </c>
      <c r="F1091" s="2" t="s">
        <v>653</v>
      </c>
      <c r="G1091" s="2" t="s">
        <v>1500</v>
      </c>
      <c r="H1091" s="2" t="s">
        <v>1458</v>
      </c>
      <c r="I1091" s="3" t="str">
        <f t="shared" si="0"/>
        <v>https://dto.kemkes.go.id/kfacode/93000882</v>
      </c>
      <c r="J1091" s="34" t="s">
        <v>3768</v>
      </c>
      <c r="K1091" t="str">
        <f t="shared" ref="K1091:K1154" si="18">CONCATENATE(J1091,"('",A1091,"','",B1091,"','",C1091,"','",D1091,"','",E1091,"','",F1091,"','",G1091,"','",H1091,"','",I1091,"',0,'2023-05-01');")</f>
        <v>insert into mkatalog_kfa93 (kode, uraian, kode_92, uraian_92, nama_dagang, satuan_kecil, sediaan, golongan, url, userid_updt, sysdate_updt) values ('93000882','Procaine Benzylpenicillin 3.000.000 IU Sebuk Injeksi (PHAPROS Tbk)','92000559','Procaine Benzylpenicillin 3.000.000 IU Sebuk Injeksi','PROCAINE BENZYLPENICILLIN','Vial','Serbuk Injeksi','Obat Keras','https://dto.kemkes.go.id/kfacode/93000882',0,'2023-05-01');</v>
      </c>
    </row>
    <row r="1092" spans="1:11" ht="15.75" customHeight="1">
      <c r="A1092" s="2">
        <v>93000874</v>
      </c>
      <c r="B1092" s="2" t="s">
        <v>3287</v>
      </c>
      <c r="C1092" s="2">
        <v>92000617</v>
      </c>
      <c r="D1092" s="2" t="s">
        <v>1278</v>
      </c>
      <c r="E1092" s="2" t="s">
        <v>3288</v>
      </c>
      <c r="F1092" s="2" t="s">
        <v>653</v>
      </c>
      <c r="G1092" s="2" t="s">
        <v>1489</v>
      </c>
      <c r="H1092" s="2" t="s">
        <v>1458</v>
      </c>
      <c r="I1092" s="3" t="str">
        <f t="shared" si="0"/>
        <v>https://dto.kemkes.go.id/kfacode/93000874</v>
      </c>
      <c r="J1092" s="34" t="s">
        <v>3768</v>
      </c>
      <c r="K1092" t="str">
        <f t="shared" si="18"/>
        <v>insert into mkatalog_kfa93 (kode, uraian, kode_92, uraian_92, nama_dagang, satuan_kecil, sediaan, golongan, url, userid_updt, sysdate_updt) values ('93000874','Procaterol Hydrochloride Hydrate 100 ug / mL Cairan Inhalasi (MEPTIN, 0.3 mL)','92000617','Procaterol Hydrochloride Hydrate 100 ug / mL Cairan Inhalasi','MEPTIN','Vial','Larutan Inhalasi','Obat Keras','https://dto.kemkes.go.id/kfacode/93000874',0,'2023-05-01');</v>
      </c>
    </row>
    <row r="1093" spans="1:11" ht="15.75" customHeight="1">
      <c r="A1093" s="2">
        <v>93000875</v>
      </c>
      <c r="B1093" s="2" t="s">
        <v>3289</v>
      </c>
      <c r="C1093" s="2">
        <v>92000617</v>
      </c>
      <c r="D1093" s="2" t="s">
        <v>1278</v>
      </c>
      <c r="E1093" s="2" t="s">
        <v>3288</v>
      </c>
      <c r="F1093" s="2" t="s">
        <v>653</v>
      </c>
      <c r="G1093" s="2" t="s">
        <v>1489</v>
      </c>
      <c r="H1093" s="2" t="s">
        <v>1458</v>
      </c>
      <c r="I1093" s="3" t="str">
        <f t="shared" si="0"/>
        <v>https://dto.kemkes.go.id/kfacode/93000875</v>
      </c>
      <c r="J1093" s="34" t="s">
        <v>3768</v>
      </c>
      <c r="K1093" t="str">
        <f t="shared" si="18"/>
        <v>insert into mkatalog_kfa93 (kode, uraian, kode_92, uraian_92, nama_dagang, satuan_kecil, sediaan, golongan, url, userid_updt, sysdate_updt) values ('93000875','Procaterol Hydrochloride Hydrate 100 ug / mL Cairan Inhalasi (MEPTIN, 0.5 mL)','92000617','Procaterol Hydrochloride Hydrate 100 ug / mL Cairan Inhalasi','MEPTIN','Vial','Larutan Inhalasi','Obat Keras','https://dto.kemkes.go.id/kfacode/93000875',0,'2023-05-01');</v>
      </c>
    </row>
    <row r="1094" spans="1:11" ht="15.75" customHeight="1">
      <c r="A1094" s="2">
        <v>93001417</v>
      </c>
      <c r="B1094" s="2" t="s">
        <v>3290</v>
      </c>
      <c r="C1094" s="2">
        <v>92000833</v>
      </c>
      <c r="D1094" s="2" t="s">
        <v>1279</v>
      </c>
      <c r="E1094" s="2" t="s">
        <v>3291</v>
      </c>
      <c r="F1094" s="2" t="s">
        <v>640</v>
      </c>
      <c r="G1094" s="2" t="s">
        <v>640</v>
      </c>
      <c r="H1094" s="2" t="s">
        <v>1458</v>
      </c>
      <c r="I1094" s="3" t="str">
        <f t="shared" si="0"/>
        <v>https://dto.kemkes.go.id/kfacode/93001417</v>
      </c>
      <c r="J1094" s="34" t="s">
        <v>3768</v>
      </c>
      <c r="K1094" t="str">
        <f t="shared" si="18"/>
        <v>insert into mkatalog_kfa93 (kode, uraian, kode_92, uraian_92, nama_dagang, satuan_kecil, sediaan, golongan, url, userid_updt, sysdate_updt) values ('93001417','Propanolol 40 mg Tablet (HOLI PHARMA)','92000833','Propanolol 40 mg Tablet','PROPRANOLOL','Tablet','Tablet','Obat Keras','https://dto.kemkes.go.id/kfacode/93001417',0,'2023-05-01');</v>
      </c>
    </row>
    <row r="1095" spans="1:11" ht="15.75" customHeight="1">
      <c r="A1095" s="2">
        <v>93001222</v>
      </c>
      <c r="B1095" s="2" t="s">
        <v>3292</v>
      </c>
      <c r="C1095" s="2">
        <v>92000636</v>
      </c>
      <c r="D1095" s="2" t="s">
        <v>1280</v>
      </c>
      <c r="E1095" s="2" t="s">
        <v>3293</v>
      </c>
      <c r="F1095" s="2" t="s">
        <v>653</v>
      </c>
      <c r="G1095" s="2" t="s">
        <v>1506</v>
      </c>
      <c r="H1095" s="2" t="s">
        <v>1458</v>
      </c>
      <c r="I1095" s="3" t="str">
        <f t="shared" si="0"/>
        <v>https://dto.kemkes.go.id/kfacode/93001222</v>
      </c>
      <c r="J1095" s="34" t="s">
        <v>3768</v>
      </c>
      <c r="K1095" t="str">
        <f t="shared" si="18"/>
        <v>insert into mkatalog_kfa93 (kode, uraian, kode_92, uraian_92, nama_dagang, satuan_kecil, sediaan, golongan, url, userid_updt, sysdate_updt) values ('93001222','Propofol 10 mg / mL Injeksi (ETERCON PHARMA)','92000636','Propofol 10 mg / mL Injeksi','PROPOFOL','Vial','Larutan Injeksi','Obat Keras','https://dto.kemkes.go.id/kfacode/93001222',0,'2023-05-01');</v>
      </c>
    </row>
    <row r="1096" spans="1:11" ht="15.75" customHeight="1">
      <c r="A1096" s="2">
        <v>93000780</v>
      </c>
      <c r="B1096" s="2" t="s">
        <v>3294</v>
      </c>
      <c r="C1096" s="2">
        <v>92000587</v>
      </c>
      <c r="D1096" s="2" t="s">
        <v>1281</v>
      </c>
      <c r="E1096" s="2" t="s">
        <v>3295</v>
      </c>
      <c r="F1096" s="2" t="s">
        <v>640</v>
      </c>
      <c r="G1096" s="2" t="s">
        <v>640</v>
      </c>
      <c r="H1096" s="2" t="s">
        <v>1458</v>
      </c>
      <c r="I1096" s="3" t="str">
        <f t="shared" si="0"/>
        <v>https://dto.kemkes.go.id/kfacode/93000780</v>
      </c>
      <c r="J1096" s="34" t="s">
        <v>3768</v>
      </c>
      <c r="K1096" t="str">
        <f t="shared" si="18"/>
        <v>insert into mkatalog_kfa93 (kode, uraian, kode_92, uraian_92, nama_dagang, satuan_kecil, sediaan, golongan, url, userid_updt, sysdate_updt) values ('93000780','Propranolol 10 mg Tablet (DEXA MEDICA - Indonesia - -)','92000587','Propranolol 10 mg Tablet','PROPRANOLOL HCl','Tablet','Tablet','Obat Keras','https://dto.kemkes.go.id/kfacode/93000780',0,'2023-05-01');</v>
      </c>
    </row>
    <row r="1097" spans="1:11" ht="15.75" customHeight="1">
      <c r="A1097" s="2">
        <v>93000784</v>
      </c>
      <c r="B1097" s="2" t="s">
        <v>3296</v>
      </c>
      <c r="C1097" s="2">
        <v>92000587</v>
      </c>
      <c r="D1097" s="2" t="s">
        <v>1281</v>
      </c>
      <c r="E1097" s="2" t="s">
        <v>3291</v>
      </c>
      <c r="F1097" s="2" t="s">
        <v>640</v>
      </c>
      <c r="G1097" s="2" t="s">
        <v>640</v>
      </c>
      <c r="H1097" s="2" t="s">
        <v>1458</v>
      </c>
      <c r="I1097" s="3" t="str">
        <f t="shared" si="0"/>
        <v>https://dto.kemkes.go.id/kfacode/93000784</v>
      </c>
      <c r="J1097" s="34" t="s">
        <v>3768</v>
      </c>
      <c r="K1097" t="str">
        <f t="shared" si="18"/>
        <v>insert into mkatalog_kfa93 (kode, uraian, kode_92, uraian_92, nama_dagang, satuan_kecil, sediaan, golongan, url, userid_updt, sysdate_updt) values ('93000784','Propranolol 10 mg Tablet (HOLI PHARMA - Indonesia - -)','92000587','Propranolol 10 mg Tablet','PROPRANOLOL','Tablet','Tablet','Obat Keras','https://dto.kemkes.go.id/kfacode/93000784',0,'2023-05-01');</v>
      </c>
    </row>
    <row r="1098" spans="1:11" ht="15.75" customHeight="1">
      <c r="A1098" s="2">
        <v>93000771</v>
      </c>
      <c r="B1098" s="2" t="s">
        <v>3297</v>
      </c>
      <c r="C1098" s="2">
        <v>92000585</v>
      </c>
      <c r="D1098" s="2" t="s">
        <v>1282</v>
      </c>
      <c r="E1098" s="2" t="s">
        <v>2378</v>
      </c>
      <c r="F1098" s="2" t="s">
        <v>640</v>
      </c>
      <c r="H1098" s="2" t="s">
        <v>1458</v>
      </c>
      <c r="I1098" s="3" t="str">
        <f t="shared" si="0"/>
        <v>https://dto.kemkes.go.id/kfacode/93000771</v>
      </c>
      <c r="J1098" s="34" t="s">
        <v>3768</v>
      </c>
      <c r="K1098" t="str">
        <f t="shared" si="18"/>
        <v>insert into mkatalog_kfa93 (kode, uraian, kode_92, uraian_92, nama_dagang, satuan_kecil, sediaan, golongan, url, userid_updt, sysdate_updt) values ('93000771','Propylthiouracil 100 mg Tablet (DEXA MEDICA - Indonesia - -)','92000585','Propylthiouracil 100 mg Tablet','PROPYLTHIOURACIL','Tablet','','Obat Keras','https://dto.kemkes.go.id/kfacode/93000771',0,'2023-05-01');</v>
      </c>
    </row>
    <row r="1099" spans="1:11" ht="15.75" customHeight="1">
      <c r="A1099" s="2">
        <v>93000772</v>
      </c>
      <c r="B1099" s="2" t="s">
        <v>3298</v>
      </c>
      <c r="C1099" s="2">
        <v>92000585</v>
      </c>
      <c r="D1099" s="2" t="s">
        <v>1282</v>
      </c>
      <c r="E1099" s="2" t="s">
        <v>2378</v>
      </c>
      <c r="F1099" s="2" t="s">
        <v>640</v>
      </c>
      <c r="H1099" s="2" t="s">
        <v>1458</v>
      </c>
      <c r="I1099" s="3" t="str">
        <f t="shared" si="0"/>
        <v>https://dto.kemkes.go.id/kfacode/93000772</v>
      </c>
      <c r="J1099" s="34" t="s">
        <v>3768</v>
      </c>
      <c r="K1099" t="str">
        <f t="shared" si="18"/>
        <v>insert into mkatalog_kfa93 (kode, uraian, kode_92, uraian_92, nama_dagang, satuan_kecil, sediaan, golongan, url, userid_updt, sysdate_updt) values ('93000772','Propylthiouracil 100 mg Tablet (NDOFARMA - Indonesia - -)','92000585','Propylthiouracil 100 mg Tablet','PROPYLTHIOURACIL','Tablet','','Obat Keras','https://dto.kemkes.go.id/kfacode/93000772',0,'2023-05-01');</v>
      </c>
    </row>
    <row r="1100" spans="1:11" ht="15.75" customHeight="1">
      <c r="A1100" s="2">
        <v>93000923</v>
      </c>
      <c r="B1100" s="2" t="s">
        <v>3299</v>
      </c>
      <c r="C1100" s="2">
        <v>92000645</v>
      </c>
      <c r="D1100" s="2" t="s">
        <v>1283</v>
      </c>
      <c r="E1100" s="2" t="s">
        <v>3300</v>
      </c>
      <c r="F1100" s="2" t="s">
        <v>658</v>
      </c>
      <c r="G1100" s="2" t="s">
        <v>1509</v>
      </c>
      <c r="H1100" s="2" t="s">
        <v>1672</v>
      </c>
      <c r="I1100" s="3" t="str">
        <f t="shared" si="0"/>
        <v>https://dto.kemkes.go.id/kfacode/93000923</v>
      </c>
      <c r="J1100" s="34" t="s">
        <v>3768</v>
      </c>
      <c r="K1100" t="str">
        <f t="shared" si="18"/>
        <v>insert into mkatalog_kfa93 (kode, uraian, kode_92, uraian_92, nama_dagang, satuan_kecil, sediaan, golongan, url, userid_updt, sysdate_updt) values ('93000923','Pyrantel Pamoate 125 mg / 5 mL Suspensi (HOLI PHARMA)','92000645','Pyrantel Pamoate 125 mg / 5 mL Suspensi','PYRANTEL PAMOATE','Botol','Suspensi','Obat Bebas Terbatas','https://dto.kemkes.go.id/kfacode/93000923',0,'2023-05-01');</v>
      </c>
    </row>
    <row r="1101" spans="1:11" ht="15.75" customHeight="1">
      <c r="A1101" s="2">
        <v>93001524</v>
      </c>
      <c r="B1101" s="2" t="s">
        <v>3301</v>
      </c>
      <c r="C1101" s="2">
        <v>92000871</v>
      </c>
      <c r="D1101" s="2" t="s">
        <v>1284</v>
      </c>
      <c r="E1101" s="2" t="s">
        <v>3300</v>
      </c>
      <c r="F1101" s="2" t="s">
        <v>640</v>
      </c>
      <c r="G1101" s="2" t="s">
        <v>640</v>
      </c>
      <c r="H1101" s="2" t="s">
        <v>1672</v>
      </c>
      <c r="I1101" s="3" t="str">
        <f t="shared" si="0"/>
        <v>https://dto.kemkes.go.id/kfacode/93001524</v>
      </c>
      <c r="J1101" s="34" t="s">
        <v>3768</v>
      </c>
      <c r="K1101" t="str">
        <f t="shared" si="18"/>
        <v>insert into mkatalog_kfa93 (kode, uraian, kode_92, uraian_92, nama_dagang, satuan_kecil, sediaan, golongan, url, userid_updt, sysdate_updt) values ('93001524','Pyrantel Pamoate 125 mg Tablet (HOLI PHARMA)','92000871','Pyrantel Pamoate 125 mg Tablet','PYRANTEL PAMOATE','Tablet','Tablet','Obat Bebas Terbatas','https://dto.kemkes.go.id/kfacode/93001524',0,'2023-05-01');</v>
      </c>
    </row>
    <row r="1102" spans="1:11" ht="15.75" customHeight="1">
      <c r="A1102" s="2">
        <v>93001080</v>
      </c>
      <c r="B1102" s="2" t="s">
        <v>3302</v>
      </c>
      <c r="C1102" s="2">
        <v>92000459</v>
      </c>
      <c r="D1102" s="2" t="s">
        <v>1285</v>
      </c>
      <c r="E1102" s="2" t="s">
        <v>3303</v>
      </c>
      <c r="F1102" s="2" t="s">
        <v>660</v>
      </c>
      <c r="G1102" s="2" t="s">
        <v>660</v>
      </c>
      <c r="H1102" s="2" t="s">
        <v>1458</v>
      </c>
      <c r="I1102" s="3" t="str">
        <f t="shared" si="0"/>
        <v>https://dto.kemkes.go.id/kfacode/93001080</v>
      </c>
      <c r="J1102" s="34" t="s">
        <v>3768</v>
      </c>
      <c r="K1102" t="str">
        <f t="shared" si="18"/>
        <v>insert into mkatalog_kfa93 (kode, uraian, kode_92, uraian_92, nama_dagang, satuan_kecil, sediaan, golongan, url, userid_updt, sysdate_updt) values ('93001080','Pyrazinamide 500 mg Kaplet (HOLI PHARMA)','92000459','Pyrazinamide 500 mg Kaplet','PYRAZINAMIDE','Kaplet','Kaplet','Obat Keras','https://dto.kemkes.go.id/kfacode/93001080',0,'2023-05-01');</v>
      </c>
    </row>
    <row r="1103" spans="1:11" ht="15.75" customHeight="1">
      <c r="A1103" s="2">
        <v>93001432</v>
      </c>
      <c r="B1103" s="2" t="s">
        <v>3304</v>
      </c>
      <c r="C1103" s="2">
        <v>92000839</v>
      </c>
      <c r="D1103" s="2" t="s">
        <v>1286</v>
      </c>
      <c r="E1103" s="2" t="s">
        <v>3305</v>
      </c>
      <c r="F1103" s="2" t="s">
        <v>660</v>
      </c>
      <c r="G1103" s="2" t="s">
        <v>1619</v>
      </c>
      <c r="H1103" s="2" t="s">
        <v>1458</v>
      </c>
      <c r="I1103" s="3" t="str">
        <f t="shared" si="0"/>
        <v>https://dto.kemkes.go.id/kfacode/93001432</v>
      </c>
      <c r="J1103" s="34" t="s">
        <v>3768</v>
      </c>
      <c r="K1103" t="str">
        <f t="shared" si="18"/>
        <v>insert into mkatalog_kfa93 (kode, uraian, kode_92, uraian_92, nama_dagang, satuan_kecil, sediaan, golongan, url, userid_updt, sysdate_updt) values ('93001432','Pyrazinamide 500 mg Kaplet Salut Selaput (SIRAMID)','92000839','Pyrazinamide 500 mg Kaplet Salut Selaput','SIRAMID','Kaplet','Kaplet Salut Selaput','Obat Keras','https://dto.kemkes.go.id/kfacode/93001432',0,'2023-05-01');</v>
      </c>
    </row>
    <row r="1104" spans="1:11" ht="15.75" customHeight="1">
      <c r="A1104" s="2">
        <v>93001077</v>
      </c>
      <c r="B1104" s="2" t="s">
        <v>3306</v>
      </c>
      <c r="C1104" s="2">
        <v>92000457</v>
      </c>
      <c r="D1104" s="2" t="s">
        <v>1287</v>
      </c>
      <c r="E1104" s="2" t="s">
        <v>3303</v>
      </c>
      <c r="F1104" s="2" t="s">
        <v>640</v>
      </c>
      <c r="G1104" s="2" t="s">
        <v>640</v>
      </c>
      <c r="H1104" s="2" t="s">
        <v>1458</v>
      </c>
      <c r="I1104" s="3" t="str">
        <f t="shared" si="0"/>
        <v>https://dto.kemkes.go.id/kfacode/93001077</v>
      </c>
      <c r="J1104" s="34" t="s">
        <v>3768</v>
      </c>
      <c r="K1104" t="str">
        <f t="shared" si="18"/>
        <v>insert into mkatalog_kfa93 (kode, uraian, kode_92, uraian_92, nama_dagang, satuan_kecil, sediaan, golongan, url, userid_updt, sysdate_updt) values ('93001077','Pyrazinamide 500 mg Tablet (DEXA MEDICA)','92000457','Pyrazinamide 500 mg Tablet','PYRAZINAMIDE','Tablet','Tablet','Obat Keras','https://dto.kemkes.go.id/kfacode/93001077',0,'2023-05-01');</v>
      </c>
    </row>
    <row r="1105" spans="1:11" ht="15.75" customHeight="1">
      <c r="A1105" s="2">
        <v>93001079</v>
      </c>
      <c r="B1105" s="2" t="s">
        <v>3307</v>
      </c>
      <c r="C1105" s="2">
        <v>92000457</v>
      </c>
      <c r="D1105" s="2" t="s">
        <v>1287</v>
      </c>
      <c r="E1105" s="2" t="s">
        <v>3303</v>
      </c>
      <c r="F1105" s="2" t="s">
        <v>640</v>
      </c>
      <c r="G1105" s="2" t="s">
        <v>640</v>
      </c>
      <c r="H1105" s="2" t="s">
        <v>1458</v>
      </c>
      <c r="I1105" s="3" t="str">
        <f t="shared" si="0"/>
        <v>https://dto.kemkes.go.id/kfacode/93001079</v>
      </c>
      <c r="J1105" s="34" t="s">
        <v>3768</v>
      </c>
      <c r="K1105" t="str">
        <f t="shared" si="18"/>
        <v>insert into mkatalog_kfa93 (kode, uraian, kode_92, uraian_92, nama_dagang, satuan_kecil, sediaan, golongan, url, userid_updt, sysdate_updt) values ('93001079','Pyrazinamide 500 mg Tablet (KIMIA FARMA)','92000457','Pyrazinamide 500 mg Tablet','PYRAZINAMIDE','Tablet','Tablet','Obat Keras','https://dto.kemkes.go.id/kfacode/93001079',0,'2023-05-01');</v>
      </c>
    </row>
    <row r="1106" spans="1:11" ht="15.75" customHeight="1">
      <c r="A1106" s="2">
        <v>93001078</v>
      </c>
      <c r="B1106" s="2" t="s">
        <v>3308</v>
      </c>
      <c r="C1106" s="2">
        <v>92000457</v>
      </c>
      <c r="D1106" s="2" t="s">
        <v>1287</v>
      </c>
      <c r="E1106" s="2" t="s">
        <v>3303</v>
      </c>
      <c r="F1106" s="2" t="s">
        <v>640</v>
      </c>
      <c r="G1106" s="2" t="s">
        <v>640</v>
      </c>
      <c r="H1106" s="2" t="s">
        <v>1458</v>
      </c>
      <c r="I1106" s="3" t="str">
        <f t="shared" si="0"/>
        <v>https://dto.kemkes.go.id/kfacode/93001078</v>
      </c>
      <c r="J1106" s="34" t="s">
        <v>3768</v>
      </c>
      <c r="K1106" t="str">
        <f t="shared" si="18"/>
        <v>insert into mkatalog_kfa93 (kode, uraian, kode_92, uraian_92, nama_dagang, satuan_kecil, sediaan, golongan, url, userid_updt, sysdate_updt) values ('93001078','Pyrazinamide 500 mg Tablet (SANBE FARMA)','92000457','Pyrazinamide 500 mg Tablet','PYRAZINAMIDE','Tablet','Tablet','Obat Keras','https://dto.kemkes.go.id/kfacode/93001078',0,'2023-05-01');</v>
      </c>
    </row>
    <row r="1107" spans="1:11" ht="15.75" customHeight="1">
      <c r="A1107" s="2">
        <v>93001020</v>
      </c>
      <c r="B1107" s="2" t="s">
        <v>3309</v>
      </c>
      <c r="C1107" s="2">
        <v>92000347</v>
      </c>
      <c r="D1107" s="2" t="s">
        <v>1288</v>
      </c>
      <c r="E1107" s="2" t="s">
        <v>3310</v>
      </c>
      <c r="F1107" s="2" t="s">
        <v>640</v>
      </c>
      <c r="G1107" s="2" t="s">
        <v>640</v>
      </c>
      <c r="H1107" s="2" t="s">
        <v>1458</v>
      </c>
      <c r="I1107" s="3" t="str">
        <f t="shared" si="0"/>
        <v>https://dto.kemkes.go.id/kfacode/93001020</v>
      </c>
      <c r="J1107" s="34" t="s">
        <v>3768</v>
      </c>
      <c r="K1107" t="str">
        <f t="shared" si="18"/>
        <v>insert into mkatalog_kfa93 (kode, uraian, kode_92, uraian_92, nama_dagang, satuan_kecil, sediaan, golongan, url, userid_updt, sysdate_updt) values ('93001020','Pyrimethamine 25 mg Tablet (PRIMET)','92000347','Pyrimethamine 25 mg Tablet','PRIMET','Tablet','Tablet','Obat Keras','https://dto.kemkes.go.id/kfacode/93001020',0,'2023-05-01');</v>
      </c>
    </row>
    <row r="1108" spans="1:11" ht="15.75" customHeight="1">
      <c r="A1108" s="2">
        <v>93001438</v>
      </c>
      <c r="B1108" s="2" t="s">
        <v>3311</v>
      </c>
      <c r="C1108" s="2">
        <v>92000850</v>
      </c>
      <c r="D1108" s="2" t="s">
        <v>1289</v>
      </c>
      <c r="E1108" s="2" t="s">
        <v>3312</v>
      </c>
      <c r="F1108" s="2" t="s">
        <v>640</v>
      </c>
      <c r="G1108" s="2" t="s">
        <v>1457</v>
      </c>
      <c r="H1108" s="2" t="s">
        <v>1458</v>
      </c>
      <c r="I1108" s="3" t="str">
        <f t="shared" si="0"/>
        <v>https://dto.kemkes.go.id/kfacode/93001438</v>
      </c>
      <c r="J1108" s="34" t="s">
        <v>3768</v>
      </c>
      <c r="K1108" t="str">
        <f t="shared" si="18"/>
        <v>insert into mkatalog_kfa93 (kode, uraian, kode_92, uraian_92, nama_dagang, satuan_kecil, sediaan, golongan, url, userid_updt, sysdate_updt) values ('93001438','Quetiapine Fumarate 100 mg Tablet Salut Selaput (AMAROX PHARMA GLOBAL)','92000850','Quetiapine Fumarate 100 mg Tablet Salut Selaput','QUETIAPINE FUMARATE','Tablet','Tablet Salut Selaput','Obat Keras','https://dto.kemkes.go.id/kfacode/93001438',0,'2023-05-01');</v>
      </c>
    </row>
    <row r="1109" spans="1:11" ht="15.75" customHeight="1">
      <c r="A1109" s="2">
        <v>93001440</v>
      </c>
      <c r="B1109" s="2" t="s">
        <v>3313</v>
      </c>
      <c r="C1109" s="2">
        <v>92000852</v>
      </c>
      <c r="D1109" s="2" t="s">
        <v>1290</v>
      </c>
      <c r="E1109" s="2" t="s">
        <v>3312</v>
      </c>
      <c r="F1109" s="2" t="s">
        <v>640</v>
      </c>
      <c r="G1109" s="2" t="s">
        <v>1608</v>
      </c>
      <c r="H1109" s="2" t="s">
        <v>1458</v>
      </c>
      <c r="I1109" s="3" t="str">
        <f t="shared" si="0"/>
        <v>https://dto.kemkes.go.id/kfacode/93001440</v>
      </c>
      <c r="J1109" s="34" t="s">
        <v>3768</v>
      </c>
      <c r="K1109" t="str">
        <f t="shared" si="18"/>
        <v>insert into mkatalog_kfa93 (kode, uraian, kode_92, uraian_92, nama_dagang, satuan_kecil, sediaan, golongan, url, userid_updt, sysdate_updt) values ('93001440','Quetiapine Fumarate 200 mg Tablet Pelepasan Lambat (AMAROX PHARMA GLOBAL)','92000852','Quetiapine Fumarate 200 mg Tablet Pelepasan Lambat','QUETIAPINE FUMARATE','Tablet','Tablet Pelepasan Lambat','Obat Keras','https://dto.kemkes.go.id/kfacode/93001440',0,'2023-05-01');</v>
      </c>
    </row>
    <row r="1110" spans="1:11" ht="15.75" customHeight="1">
      <c r="A1110" s="2">
        <v>93001437</v>
      </c>
      <c r="B1110" s="2" t="s">
        <v>3314</v>
      </c>
      <c r="C1110" s="2">
        <v>92000849</v>
      </c>
      <c r="D1110" s="2" t="s">
        <v>1291</v>
      </c>
      <c r="E1110" s="2" t="s">
        <v>3315</v>
      </c>
      <c r="F1110" s="2" t="s">
        <v>640</v>
      </c>
      <c r="G1110" s="2" t="s">
        <v>1608</v>
      </c>
      <c r="H1110" s="2" t="s">
        <v>1458</v>
      </c>
      <c r="I1110" s="3" t="str">
        <f t="shared" si="0"/>
        <v>https://dto.kemkes.go.id/kfacode/93001437</v>
      </c>
      <c r="J1110" s="34" t="s">
        <v>3768</v>
      </c>
      <c r="K1110" t="str">
        <f t="shared" si="18"/>
        <v>insert into mkatalog_kfa93 (kode, uraian, kode_92, uraian_92, nama_dagang, satuan_kecil, sediaan, golongan, url, userid_updt, sysdate_updt) values ('93001437','Quetiapine Fumarate 300 mg Tablet Pelepasan Lambat (SOROQUIN XR)','92000849','Quetiapine Fumarate 300 mg Tablet Pelepasan Lambat','SOROQUIN XR','Tablet','Tablet Pelepasan Lambat','Obat Keras','https://dto.kemkes.go.id/kfacode/93001437',0,'2023-05-01');</v>
      </c>
    </row>
    <row r="1111" spans="1:11" ht="15.75" customHeight="1">
      <c r="A1111" s="2">
        <v>93000384</v>
      </c>
      <c r="B1111" s="2" t="s">
        <v>3316</v>
      </c>
      <c r="C1111" s="2">
        <v>92000215</v>
      </c>
      <c r="D1111" s="2" t="s">
        <v>1292</v>
      </c>
      <c r="E1111" s="2" t="s">
        <v>3317</v>
      </c>
      <c r="F1111" s="2" t="s">
        <v>640</v>
      </c>
      <c r="G1111" s="2" t="s">
        <v>1608</v>
      </c>
      <c r="H1111" s="2" t="s">
        <v>1458</v>
      </c>
      <c r="I1111" s="3" t="str">
        <f t="shared" si="0"/>
        <v>https://dto.kemkes.go.id/kfacode/93000384</v>
      </c>
      <c r="J1111" s="34" t="s">
        <v>3768</v>
      </c>
      <c r="K1111" t="str">
        <f t="shared" si="18"/>
        <v>insert into mkatalog_kfa93 (kode, uraian, kode_92, uraian_92, nama_dagang, satuan_kecil, sediaan, golongan, url, userid_updt, sysdate_updt) values ('93000384','Quetiapine Fumarate 400 mg Tablet Pelepasan Lambat (SEROQUEL XR)','92000215','Quetiapine Fumarate 400 mg Tablet Pelepasan Lambat','SEROQUEL XR','Tablet','Tablet Pelepasan Lambat','Obat Keras','https://dto.kemkes.go.id/kfacode/93000384',0,'2023-05-01');</v>
      </c>
    </row>
    <row r="1112" spans="1:11" ht="15.75" customHeight="1">
      <c r="A1112" s="2">
        <v>93001202</v>
      </c>
      <c r="B1112" s="2" t="s">
        <v>3318</v>
      </c>
      <c r="C1112" s="2">
        <v>92000215</v>
      </c>
      <c r="D1112" s="2" t="s">
        <v>1292</v>
      </c>
      <c r="E1112" s="2" t="s">
        <v>3315</v>
      </c>
      <c r="F1112" s="2" t="s">
        <v>640</v>
      </c>
      <c r="G1112" s="2" t="s">
        <v>1608</v>
      </c>
      <c r="H1112" s="2" t="s">
        <v>1458</v>
      </c>
      <c r="I1112" s="3" t="str">
        <f t="shared" si="0"/>
        <v>https://dto.kemkes.go.id/kfacode/93001202</v>
      </c>
      <c r="J1112" s="34" t="s">
        <v>3768</v>
      </c>
      <c r="K1112" t="str">
        <f t="shared" si="18"/>
        <v>insert into mkatalog_kfa93 (kode, uraian, kode_92, uraian_92, nama_dagang, satuan_kecil, sediaan, golongan, url, userid_updt, sysdate_updt) values ('93001202','Quetiapine Fumarate 400 mg Tablet Pelepasan Lambat (SOROQUIN XR)','92000215','Quetiapine Fumarate 400 mg Tablet Pelepasan Lambat','SOROQUIN XR','Tablet','Tablet Pelepasan Lambat','Obat Keras','https://dto.kemkes.go.id/kfacode/93001202',0,'2023-05-01');</v>
      </c>
    </row>
    <row r="1113" spans="1:11" ht="15.75" customHeight="1">
      <c r="A1113" s="2">
        <v>93001545</v>
      </c>
      <c r="B1113" s="2" t="s">
        <v>3319</v>
      </c>
      <c r="C1113" s="2">
        <v>92000887</v>
      </c>
      <c r="D1113" s="2" t="s">
        <v>1293</v>
      </c>
      <c r="E1113" s="2" t="s">
        <v>3320</v>
      </c>
      <c r="F1113" s="2" t="s">
        <v>645</v>
      </c>
      <c r="G1113" s="2" t="s">
        <v>1506</v>
      </c>
      <c r="H1113" s="2" t="s">
        <v>1458</v>
      </c>
      <c r="I1113" s="3" t="str">
        <f t="shared" si="0"/>
        <v>https://dto.kemkes.go.id/kfacode/93001545</v>
      </c>
      <c r="J1113" s="34" t="s">
        <v>3768</v>
      </c>
      <c r="K1113" t="str">
        <f t="shared" si="18"/>
        <v>insert into mkatalog_kfa93 (kode, uraian, kode_92, uraian_92, nama_dagang, satuan_kecil, sediaan, golongan, url, userid_updt, sysdate_updt) values ('93001545','Quinine Hydrochloride 250 mg / mL Injeksi (KIMIA FARMA)','92000887','Quinine Hydrochloride 250 mg / mL Injeksi','QUININE DIHYDROCHLORIDE','Ampul','Larutan Injeksi','Obat Keras','https://dto.kemkes.go.id/kfacode/93001545',0,'2023-05-01');</v>
      </c>
    </row>
    <row r="1114" spans="1:11" ht="15.75" customHeight="1">
      <c r="A1114" s="2">
        <v>93000890</v>
      </c>
      <c r="B1114" s="2" t="s">
        <v>3321</v>
      </c>
      <c r="C1114" s="2">
        <v>92000626</v>
      </c>
      <c r="D1114" s="2" t="s">
        <v>1294</v>
      </c>
      <c r="E1114" s="2" t="s">
        <v>3322</v>
      </c>
      <c r="F1114" s="2" t="s">
        <v>640</v>
      </c>
      <c r="G1114" s="2" t="s">
        <v>1457</v>
      </c>
      <c r="H1114" s="2" t="s">
        <v>1458</v>
      </c>
      <c r="I1114" s="3" t="str">
        <f t="shared" si="0"/>
        <v>https://dto.kemkes.go.id/kfacode/93000890</v>
      </c>
      <c r="J1114" s="34" t="s">
        <v>3768</v>
      </c>
      <c r="K1114" t="str">
        <f t="shared" si="18"/>
        <v>insert into mkatalog_kfa93 (kode, uraian, kode_92, uraian_92, nama_dagang, satuan_kecil, sediaan, golongan, url, userid_updt, sysdate_updt) values ('93000890','Quinine Sulfate 200 mg Tablet Salut Selaput (KIMIA FARMA, Bandung)','92000626','Quinine Sulfate 200 mg Tablet Salut Selaput','QUININE SULFATE','Tablet','Tablet Salut Selaput','Obat Keras','https://dto.kemkes.go.id/kfacode/93000890',0,'2023-05-01');</v>
      </c>
    </row>
    <row r="1115" spans="1:11" ht="15.75" customHeight="1">
      <c r="A1115" s="2">
        <v>93000541</v>
      </c>
      <c r="B1115" s="2" t="s">
        <v>3323</v>
      </c>
      <c r="C1115" s="2">
        <v>92000452</v>
      </c>
      <c r="D1115" s="2" t="s">
        <v>1295</v>
      </c>
      <c r="E1115" s="2" t="s">
        <v>3324</v>
      </c>
      <c r="F1115" s="2" t="s">
        <v>640</v>
      </c>
      <c r="G1115" s="2" t="s">
        <v>640</v>
      </c>
      <c r="H1115" s="2" t="s">
        <v>1458</v>
      </c>
      <c r="I1115" s="3" t="str">
        <f t="shared" si="0"/>
        <v>https://dto.kemkes.go.id/kfacode/93000541</v>
      </c>
      <c r="J1115" s="34" t="s">
        <v>3768</v>
      </c>
      <c r="K1115" t="str">
        <f t="shared" si="18"/>
        <v>insert into mkatalog_kfa93 (kode, uraian, kode_92, uraian_92, nama_dagang, satuan_kecil, sediaan, golongan, url, userid_updt, sysdate_updt) values ('93000541','Ramipril 10 mg Tablet (NOVELL PHARMACEUTICAL LABORATORIES)','92000452','Ramipril 10 mg Tablet','RAMIPRIL','Tablet','Tablet','Obat Keras','https://dto.kemkes.go.id/kfacode/93000541',0,'2023-05-01');</v>
      </c>
    </row>
    <row r="1116" spans="1:11" ht="15.75" customHeight="1">
      <c r="A1116" s="2">
        <v>93000568</v>
      </c>
      <c r="B1116" s="2" t="s">
        <v>3325</v>
      </c>
      <c r="C1116" s="2">
        <v>92000368</v>
      </c>
      <c r="D1116" s="2" t="s">
        <v>1296</v>
      </c>
      <c r="E1116" s="2" t="s">
        <v>3324</v>
      </c>
      <c r="F1116" s="2" t="s">
        <v>640</v>
      </c>
      <c r="G1116" s="2" t="s">
        <v>640</v>
      </c>
      <c r="H1116" s="2" t="s">
        <v>1458</v>
      </c>
      <c r="I1116" s="3" t="str">
        <f t="shared" si="0"/>
        <v>https://dto.kemkes.go.id/kfacode/93000568</v>
      </c>
      <c r="J1116" s="34" t="s">
        <v>3768</v>
      </c>
      <c r="K1116" t="str">
        <f t="shared" si="18"/>
        <v>insert into mkatalog_kfa93 (kode, uraian, kode_92, uraian_92, nama_dagang, satuan_kecil, sediaan, golongan, url, userid_updt, sysdate_updt) values ('93000568','Ramipril 2,5 mg Tablet (DEXA MEDICA)','92000368','Ramipril 2,5 mg Tablet','RAMIPRIL','Tablet','Tablet','Obat Keras','https://dto.kemkes.go.id/kfacode/93000568',0,'2023-05-01');</v>
      </c>
    </row>
    <row r="1117" spans="1:11" ht="15.75" customHeight="1">
      <c r="A1117" s="2">
        <v>93000569</v>
      </c>
      <c r="B1117" s="2" t="s">
        <v>3326</v>
      </c>
      <c r="C1117" s="2">
        <v>92000368</v>
      </c>
      <c r="D1117" s="2" t="s">
        <v>1296</v>
      </c>
      <c r="E1117" s="2" t="s">
        <v>3327</v>
      </c>
      <c r="F1117" s="2" t="s">
        <v>640</v>
      </c>
      <c r="G1117" s="2" t="s">
        <v>640</v>
      </c>
      <c r="H1117" s="2" t="s">
        <v>1458</v>
      </c>
      <c r="I1117" s="3" t="str">
        <f t="shared" si="0"/>
        <v>https://dto.kemkes.go.id/kfacode/93000569</v>
      </c>
      <c r="J1117" s="34" t="s">
        <v>3768</v>
      </c>
      <c r="K1117" t="str">
        <f t="shared" si="18"/>
        <v>insert into mkatalog_kfa93 (kode, uraian, kode_92, uraian_92, nama_dagang, satuan_kecil, sediaan, golongan, url, userid_updt, sysdate_updt) values ('93000569','Ramipril 2,5 mg Tablet (HYPERIL)','92000368','Ramipril 2,5 mg Tablet','HYPERIL','Tablet','Tablet','Obat Keras','https://dto.kemkes.go.id/kfacode/93000569',0,'2023-05-01');</v>
      </c>
    </row>
    <row r="1118" spans="1:11" ht="15.75" customHeight="1">
      <c r="A1118" s="2">
        <v>93001421</v>
      </c>
      <c r="B1118" s="2" t="s">
        <v>3328</v>
      </c>
      <c r="C1118" s="2">
        <v>92000837</v>
      </c>
      <c r="D1118" s="2" t="s">
        <v>1297</v>
      </c>
      <c r="E1118" s="2" t="s">
        <v>3324</v>
      </c>
      <c r="F1118" s="2" t="s">
        <v>640</v>
      </c>
      <c r="G1118" s="2" t="s">
        <v>640</v>
      </c>
      <c r="H1118" s="2" t="s">
        <v>1458</v>
      </c>
      <c r="I1118" s="3" t="str">
        <f t="shared" si="0"/>
        <v>https://dto.kemkes.go.id/kfacode/93001421</v>
      </c>
      <c r="J1118" s="34" t="s">
        <v>3768</v>
      </c>
      <c r="K1118" t="str">
        <f t="shared" si="18"/>
        <v>insert into mkatalog_kfa93 (kode, uraian, kode_92, uraian_92, nama_dagang, satuan_kecil, sediaan, golongan, url, userid_updt, sysdate_updt) values ('93001421','Ramipril 5 mg Tablet (DEXA MEDICA)','92000837','Ramipril 5 mg Tablet','RAMIPRIL','Tablet','Tablet','Obat Keras','https://dto.kemkes.go.id/kfacode/93001421',0,'2023-05-01');</v>
      </c>
    </row>
    <row r="1119" spans="1:11" ht="15.75" customHeight="1">
      <c r="A1119" s="2">
        <v>93000587</v>
      </c>
      <c r="B1119" s="2" t="s">
        <v>3329</v>
      </c>
      <c r="C1119" s="2">
        <v>92000462</v>
      </c>
      <c r="D1119" s="2" t="s">
        <v>1298</v>
      </c>
      <c r="E1119" s="2" t="s">
        <v>3330</v>
      </c>
      <c r="F1119" s="2" t="s">
        <v>653</v>
      </c>
      <c r="G1119" s="2" t="s">
        <v>1506</v>
      </c>
      <c r="H1119" s="2" t="s">
        <v>1458</v>
      </c>
      <c r="I1119" s="3" t="str">
        <f t="shared" si="0"/>
        <v>https://dto.kemkes.go.id/kfacode/93000587</v>
      </c>
      <c r="J1119" s="34" t="s">
        <v>3768</v>
      </c>
      <c r="K1119" t="str">
        <f t="shared" si="18"/>
        <v>insert into mkatalog_kfa93 (kode, uraian, kode_92, uraian_92, nama_dagang, satuan_kecil, sediaan, golongan, url, userid_updt, sysdate_updt) values ('93000587','Ranibizumab 10 mg / mL Injeksi (PATIZRA)','92000462','Ranibizumab 10 mg / mL Injeksi','PATIZRA','Vial','Larutan Injeksi','Obat Keras','https://dto.kemkes.go.id/kfacode/93000587',0,'2023-05-01');</v>
      </c>
    </row>
    <row r="1120" spans="1:11" ht="15.75" customHeight="1">
      <c r="A1120" s="2">
        <v>93001227</v>
      </c>
      <c r="B1120" s="2" t="s">
        <v>3331</v>
      </c>
      <c r="C1120" s="2">
        <v>92000701</v>
      </c>
      <c r="D1120" s="2" t="s">
        <v>1299</v>
      </c>
      <c r="E1120" s="2" t="s">
        <v>3332</v>
      </c>
      <c r="F1120" s="2" t="s">
        <v>640</v>
      </c>
      <c r="G1120" s="2" t="s">
        <v>1457</v>
      </c>
      <c r="H1120" s="2" t="s">
        <v>1458</v>
      </c>
      <c r="I1120" s="3" t="str">
        <f t="shared" si="0"/>
        <v>https://dto.kemkes.go.id/kfacode/93001227</v>
      </c>
      <c r="J1120" s="34" t="s">
        <v>3768</v>
      </c>
      <c r="K1120" t="str">
        <f t="shared" si="18"/>
        <v>insert into mkatalog_kfa93 (kode, uraian, kode_92, uraian_92, nama_dagang, satuan_kecil, sediaan, golongan, url, userid_updt, sysdate_updt) values ('93001227','Ranitidine 150 mg Tablet Salut Selaput (DEXA MEDICA)','92000701','Ranitidine 150 mg Tablet Salut Selaput','RANITIDINE HCL','Tablet','Tablet Salut Selaput','Obat Keras','https://dto.kemkes.go.id/kfacode/93001227',0,'2023-05-01');</v>
      </c>
    </row>
    <row r="1121" spans="1:11" ht="15.75" customHeight="1">
      <c r="A1121" s="2">
        <v>93001228</v>
      </c>
      <c r="B1121" s="2" t="s">
        <v>3333</v>
      </c>
      <c r="C1121" s="2">
        <v>92000701</v>
      </c>
      <c r="D1121" s="2" t="s">
        <v>1299</v>
      </c>
      <c r="E1121" s="2" t="s">
        <v>3334</v>
      </c>
      <c r="F1121" s="2" t="s">
        <v>640</v>
      </c>
      <c r="G1121" s="2" t="s">
        <v>1457</v>
      </c>
      <c r="H1121" s="2" t="s">
        <v>1458</v>
      </c>
      <c r="I1121" s="3" t="str">
        <f t="shared" si="0"/>
        <v>https://dto.kemkes.go.id/kfacode/93001228</v>
      </c>
      <c r="J1121" s="34" t="s">
        <v>3768</v>
      </c>
      <c r="K1121" t="str">
        <f t="shared" si="18"/>
        <v>insert into mkatalog_kfa93 (kode, uraian, kode_92, uraian_92, nama_dagang, satuan_kecil, sediaan, golongan, url, userid_updt, sysdate_updt) values ('93001228','Ranitidine 150 mg Tablet Salut Selaput (HEXPHARM JAYA LABORATORIES)','92000701','Ranitidine 150 mg Tablet Salut Selaput','RANITIDINE HCl','Tablet','Tablet Salut Selaput','Obat Keras','https://dto.kemkes.go.id/kfacode/93001228',0,'2023-05-01');</v>
      </c>
    </row>
    <row r="1122" spans="1:11" ht="15.75" customHeight="1">
      <c r="A1122" s="2">
        <v>93000464</v>
      </c>
      <c r="B1122" s="2" t="s">
        <v>3335</v>
      </c>
      <c r="C1122" s="2">
        <v>92000390</v>
      </c>
      <c r="D1122" s="2" t="s">
        <v>1300</v>
      </c>
      <c r="E1122" s="2" t="s">
        <v>3332</v>
      </c>
      <c r="F1122" s="2" t="s">
        <v>645</v>
      </c>
      <c r="G1122" s="2" t="s">
        <v>1506</v>
      </c>
      <c r="H1122" s="2" t="s">
        <v>1458</v>
      </c>
      <c r="I1122" s="3" t="str">
        <f t="shared" si="0"/>
        <v>https://dto.kemkes.go.id/kfacode/93000464</v>
      </c>
      <c r="J1122" s="34" t="s">
        <v>3768</v>
      </c>
      <c r="K1122" t="str">
        <f t="shared" si="18"/>
        <v>insert into mkatalog_kfa93 (kode, uraian, kode_92, uraian_92, nama_dagang, satuan_kecil, sediaan, golongan, url, userid_updt, sysdate_updt) values ('93000464','Ranitidine Hydrochloride 27,9 mg/2 ml Injeksi (PHAPROS)','92000390','Ranitidine Hydrochloride 27,9 mg/2 ml Injeksi','RANITIDINE HCL','Ampul','Larutan Injeksi','Obat Keras','https://dto.kemkes.go.id/kfacode/93000464',0,'2023-05-01');</v>
      </c>
    </row>
    <row r="1123" spans="1:11" ht="15.75" customHeight="1">
      <c r="A1123" s="2">
        <v>93001625</v>
      </c>
      <c r="B1123" s="2" t="s">
        <v>3336</v>
      </c>
      <c r="C1123" s="2">
        <v>92000926</v>
      </c>
      <c r="D1123" s="2" t="s">
        <v>1301</v>
      </c>
      <c r="E1123" s="2" t="s">
        <v>3337</v>
      </c>
      <c r="F1123" s="2" t="s">
        <v>653</v>
      </c>
      <c r="G1123" s="2" t="s">
        <v>1500</v>
      </c>
      <c r="H1123" s="2" t="s">
        <v>1973</v>
      </c>
      <c r="I1123" s="3" t="str">
        <f t="shared" si="0"/>
        <v>https://dto.kemkes.go.id/kfacode/93001625</v>
      </c>
      <c r="J1123" s="34" t="s">
        <v>3768</v>
      </c>
      <c r="K1123" t="str">
        <f t="shared" si="18"/>
        <v>insert into mkatalog_kfa93 (kode, uraian, kode_92, uraian_92, nama_dagang, satuan_kecil, sediaan, golongan, url, userid_updt, sysdate_updt) values ('93001625','Remifentanil 1 mg Serbuk Injeksi (REMIKAF)','92000926','Remifentanil 1 mg Serbuk Injeksi','REMIKAF','Vial','Serbuk Injeksi','Obat Narkotik','https://dto.kemkes.go.id/kfacode/93001625',0,'2023-05-01');</v>
      </c>
    </row>
    <row r="1124" spans="1:11" ht="15.75" customHeight="1">
      <c r="A1124" s="2">
        <v>93001627</v>
      </c>
      <c r="B1124" s="2" t="s">
        <v>3338</v>
      </c>
      <c r="C1124" s="2">
        <v>92000928</v>
      </c>
      <c r="D1124" s="2" t="s">
        <v>1302</v>
      </c>
      <c r="E1124" s="2" t="s">
        <v>3337</v>
      </c>
      <c r="F1124" s="2" t="s">
        <v>653</v>
      </c>
      <c r="G1124" s="2" t="s">
        <v>1500</v>
      </c>
      <c r="H1124" s="2" t="s">
        <v>1973</v>
      </c>
      <c r="I1124" s="3" t="str">
        <f t="shared" si="0"/>
        <v>https://dto.kemkes.go.id/kfacode/93001627</v>
      </c>
      <c r="J1124" s="34" t="s">
        <v>3768</v>
      </c>
      <c r="K1124" t="str">
        <f t="shared" si="18"/>
        <v>insert into mkatalog_kfa93 (kode, uraian, kode_92, uraian_92, nama_dagang, satuan_kecil, sediaan, golongan, url, userid_updt, sysdate_updt) values ('93001627','Remifentanil 2 mg Serbuk Injeksi (REMIKAF)','92000928','Remifentanil 2 mg Serbuk Injeksi','REMIKAF','Vial','Serbuk Injeksi','Obat Narkotik','https://dto.kemkes.go.id/kfacode/93001627',0,'2023-05-01');</v>
      </c>
    </row>
    <row r="1125" spans="1:11" ht="15.75" customHeight="1">
      <c r="A1125" s="2">
        <v>93001626</v>
      </c>
      <c r="B1125" s="2" t="s">
        <v>3339</v>
      </c>
      <c r="C1125" s="2">
        <v>92000927</v>
      </c>
      <c r="D1125" s="2" t="s">
        <v>1303</v>
      </c>
      <c r="E1125" s="2" t="s">
        <v>3337</v>
      </c>
      <c r="F1125" s="2" t="s">
        <v>653</v>
      </c>
      <c r="G1125" s="2" t="s">
        <v>1500</v>
      </c>
      <c r="H1125" s="2" t="s">
        <v>1973</v>
      </c>
      <c r="I1125" s="3" t="str">
        <f t="shared" si="0"/>
        <v>https://dto.kemkes.go.id/kfacode/93001626</v>
      </c>
      <c r="J1125" s="34" t="s">
        <v>3768</v>
      </c>
      <c r="K1125" t="str">
        <f t="shared" si="18"/>
        <v>insert into mkatalog_kfa93 (kode, uraian, kode_92, uraian_92, nama_dagang, satuan_kecil, sediaan, golongan, url, userid_updt, sysdate_updt) values ('93001626','Remifentanil 5 mg Serbuk Injeksi (REMIKAF)','92000927','Remifentanil 5 mg Serbuk Injeksi','REMIKAF','Vial','Serbuk Injeksi','Obat Narkotik','https://dto.kemkes.go.id/kfacode/93001626',0,'2023-05-01');</v>
      </c>
    </row>
    <row r="1126" spans="1:11" ht="15.75" customHeight="1">
      <c r="A1126" s="2">
        <v>93000850</v>
      </c>
      <c r="B1126" s="2" t="s">
        <v>3340</v>
      </c>
      <c r="C1126" s="2">
        <v>92000277</v>
      </c>
      <c r="D1126" s="2" t="s">
        <v>1304</v>
      </c>
      <c r="E1126" s="2" t="s">
        <v>3341</v>
      </c>
      <c r="F1126" s="2" t="s">
        <v>671</v>
      </c>
      <c r="G1126" s="2" t="s">
        <v>1530</v>
      </c>
      <c r="H1126" s="2" t="s">
        <v>1458</v>
      </c>
      <c r="I1126" s="3" t="str">
        <f t="shared" si="0"/>
        <v>https://dto.kemkes.go.id/kfacode/93000850</v>
      </c>
      <c r="J1126" s="34" t="s">
        <v>3768</v>
      </c>
      <c r="K1126" t="str">
        <f t="shared" si="18"/>
        <v>insert into mkatalog_kfa93 (kode, uraian, kode_92, uraian_92, nama_dagang, satuan_kecil, sediaan, golongan, url, userid_updt, sysdate_updt) values ('93000850','Renosan Infus (RENOSAN, 500 mL)','92000277','Renosan Infus','RENOSAN','Kantong','Infus','Obat Keras','https://dto.kemkes.go.id/kfacode/93000850',0,'2023-05-01');</v>
      </c>
    </row>
    <row r="1127" spans="1:11" ht="15.75" customHeight="1">
      <c r="A1127" s="2">
        <v>93001118</v>
      </c>
      <c r="B1127" s="2" t="s">
        <v>3342</v>
      </c>
      <c r="C1127" s="2">
        <v>92000354</v>
      </c>
      <c r="D1127" s="2" t="s">
        <v>1305</v>
      </c>
      <c r="E1127" s="2" t="s">
        <v>3343</v>
      </c>
      <c r="F1127" s="2" t="s">
        <v>649</v>
      </c>
      <c r="G1127" s="2" t="s">
        <v>1744</v>
      </c>
      <c r="H1127" s="2" t="s">
        <v>1458</v>
      </c>
      <c r="I1127" s="3" t="str">
        <f t="shared" si="0"/>
        <v>https://dto.kemkes.go.id/kfacode/93001118</v>
      </c>
      <c r="J1127" s="34" t="s">
        <v>3768</v>
      </c>
      <c r="K1127" t="str">
        <f t="shared" si="18"/>
        <v>insert into mkatalog_kfa93 (kode, uraian, kode_92, uraian_92, nama_dagang, satuan_kecil, sediaan, golongan, url, userid_updt, sysdate_updt) values ('93001118','Retinol Palmitate 100.000 IU Kapsul Lunak (KIMIA FARMA)','92000354','Retinol Palmitate 100.000 IU Kapsul Lunak','VITAMIN A PALMITATE','Kapsul','Kapsul Lunak','Obat Keras','https://dto.kemkes.go.id/kfacode/93001118',0,'2023-05-01');</v>
      </c>
    </row>
    <row r="1128" spans="1:11" ht="15.75" customHeight="1">
      <c r="A1128" s="2">
        <v>93001319</v>
      </c>
      <c r="B1128" s="2" t="s">
        <v>3344</v>
      </c>
      <c r="C1128" s="2">
        <v>92000809</v>
      </c>
      <c r="D1128" s="2" t="s">
        <v>1306</v>
      </c>
      <c r="E1128" s="2" t="s">
        <v>3345</v>
      </c>
      <c r="F1128" s="2" t="s">
        <v>649</v>
      </c>
      <c r="G1128" s="2" t="s">
        <v>1744</v>
      </c>
      <c r="H1128" s="2" t="s">
        <v>1525</v>
      </c>
      <c r="I1128" s="3" t="str">
        <f t="shared" si="0"/>
        <v>https://dto.kemkes.go.id/kfacode/93001319</v>
      </c>
      <c r="J1128" s="34" t="s">
        <v>3768</v>
      </c>
      <c r="K1128" t="str">
        <f t="shared" si="18"/>
        <v>insert into mkatalog_kfa93 (kode, uraian, kode_92, uraian_92, nama_dagang, satuan_kecil, sediaan, golongan, url, userid_updt, sysdate_updt) values ('93001319','Retinol Palmitate 200.000 IU Kapsul Lunak (KIMIA FARMA, Mojokerto)','92000809','Retinol Palmitate 200.000 IU Kapsul Lunak','VITAMIN A','Kapsul','Kapsul Lunak','Obat Bebas','https://dto.kemkes.go.id/kfacode/93001319',0,'2023-05-01');</v>
      </c>
    </row>
    <row r="1129" spans="1:11" ht="15.75" customHeight="1">
      <c r="A1129" s="2">
        <v>93001381</v>
      </c>
      <c r="B1129" s="2" t="s">
        <v>3346</v>
      </c>
      <c r="C1129" s="2">
        <v>92000760</v>
      </c>
      <c r="D1129" s="2" t="s">
        <v>1307</v>
      </c>
      <c r="E1129" s="2" t="s">
        <v>3347</v>
      </c>
      <c r="F1129" s="2" t="s">
        <v>660</v>
      </c>
      <c r="G1129" s="2" t="s">
        <v>1619</v>
      </c>
      <c r="H1129" s="2" t="s">
        <v>1458</v>
      </c>
      <c r="I1129" s="3" t="str">
        <f t="shared" si="0"/>
        <v>https://dto.kemkes.go.id/kfacode/93001381</v>
      </c>
      <c r="J1129" s="34" t="s">
        <v>3768</v>
      </c>
      <c r="K1129" t="str">
        <f t="shared" si="18"/>
        <v>insert into mkatalog_kfa93 (kode, uraian, kode_92, uraian_92, nama_dagang, satuan_kecil, sediaan, golongan, url, userid_updt, sysdate_updt) values ('93001381','Rifampicin 450 mg Kaplet Salut Selaput (KIMIA FARMA)','92000760','Rifampicin 450 mg Kaplet Salut Selaput','RIFAMPICIN','Kaplet','Kaplet Salut Selaput','Obat Keras','https://dto.kemkes.go.id/kfacode/93001381',0,'2023-05-01');</v>
      </c>
    </row>
    <row r="1130" spans="1:11" ht="15.75" customHeight="1">
      <c r="A1130" s="2">
        <v>93001383</v>
      </c>
      <c r="B1130" s="2" t="s">
        <v>3348</v>
      </c>
      <c r="C1130" s="2">
        <v>92000761</v>
      </c>
      <c r="D1130" s="2" t="s">
        <v>1308</v>
      </c>
      <c r="E1130" s="2" t="s">
        <v>3347</v>
      </c>
      <c r="F1130" s="2" t="s">
        <v>660</v>
      </c>
      <c r="G1130" s="2" t="s">
        <v>1619</v>
      </c>
      <c r="H1130" s="2" t="s">
        <v>1458</v>
      </c>
      <c r="I1130" s="3" t="str">
        <f t="shared" si="0"/>
        <v>https://dto.kemkes.go.id/kfacode/93001383</v>
      </c>
      <c r="J1130" s="34" t="s">
        <v>3768</v>
      </c>
      <c r="K1130" t="str">
        <f t="shared" si="18"/>
        <v>insert into mkatalog_kfa93 (kode, uraian, kode_92, uraian_92, nama_dagang, satuan_kecil, sediaan, golongan, url, userid_updt, sysdate_updt) values ('93001383','Rifampicin 600 mg Kaplet Salut Selaput (KIMIA FARMA)','92000761','Rifampicin 600 mg Kaplet Salut Selaput','RIFAMPICIN','Kaplet','Kaplet Salut Selaput','Obat Keras','https://dto.kemkes.go.id/kfacode/93001383',0,'2023-05-01');</v>
      </c>
    </row>
    <row r="1131" spans="1:11" ht="15.75" customHeight="1">
      <c r="A1131" s="2">
        <v>93001162</v>
      </c>
      <c r="B1131" s="2" t="s">
        <v>3349</v>
      </c>
      <c r="C1131" s="2">
        <v>92000801</v>
      </c>
      <c r="D1131" s="2" t="s">
        <v>1309</v>
      </c>
      <c r="E1131" s="2" t="s">
        <v>3350</v>
      </c>
      <c r="F1131" s="2" t="s">
        <v>640</v>
      </c>
      <c r="G1131" s="2" t="s">
        <v>1457</v>
      </c>
      <c r="H1131" s="2" t="s">
        <v>1458</v>
      </c>
      <c r="I1131" s="3" t="str">
        <f t="shared" si="0"/>
        <v>https://dto.kemkes.go.id/kfacode/93001162</v>
      </c>
      <c r="J1131" s="34" t="s">
        <v>3768</v>
      </c>
      <c r="K1131" t="str">
        <f t="shared" si="18"/>
        <v>insert into mkatalog_kfa93 (kode, uraian, kode_92, uraian_92, nama_dagang, satuan_kecil, sediaan, golongan, url, userid_updt, sysdate_updt) values ('93001162','Rifapentine 150 mg Tablet Salut Selaput (PRIFTIN)','92000801','Rifapentine 150 mg Tablet Salut Selaput','PRIFTIN','Tablet','Tablet Salut Selaput','Obat Keras','https://dto.kemkes.go.id/kfacode/93001162',0,'2023-05-01');</v>
      </c>
    </row>
    <row r="1132" spans="1:11" ht="15.75" customHeight="1">
      <c r="A1132" s="2">
        <v>93000342</v>
      </c>
      <c r="B1132" s="2" t="s">
        <v>3351</v>
      </c>
      <c r="C1132" s="2">
        <v>92000264</v>
      </c>
      <c r="D1132" s="2" t="s">
        <v>1310</v>
      </c>
      <c r="E1132" s="2" t="s">
        <v>3352</v>
      </c>
      <c r="F1132" s="2" t="s">
        <v>640</v>
      </c>
      <c r="G1132" s="2" t="s">
        <v>1457</v>
      </c>
      <c r="H1132" s="2" t="s">
        <v>1458</v>
      </c>
      <c r="I1132" s="3" t="str">
        <f t="shared" si="0"/>
        <v>https://dto.kemkes.go.id/kfacode/93000342</v>
      </c>
      <c r="J1132" s="34" t="s">
        <v>3768</v>
      </c>
      <c r="K1132" t="str">
        <f t="shared" si="18"/>
        <v>insert into mkatalog_kfa93 (kode, uraian, kode_92, uraian_92, nama_dagang, satuan_kecil, sediaan, golongan, url, userid_updt, sysdate_updt) values ('93000342','Rilpivirin 25 mg Tablet Salut Selaput (EDURANT)','92000264','Rilpivirin 25 mg Tablet Salut Selaput','EDURANT','Tablet','Tablet Salut Selaput','Obat Keras','https://dto.kemkes.go.id/kfacode/93000342',0,'2023-05-01');</v>
      </c>
    </row>
    <row r="1133" spans="1:11" ht="15.75" customHeight="1">
      <c r="A1133" s="2">
        <v>93001187</v>
      </c>
      <c r="B1133" s="2" t="s">
        <v>3353</v>
      </c>
      <c r="C1133" s="2">
        <v>92000800</v>
      </c>
      <c r="D1133" s="2" t="s">
        <v>1311</v>
      </c>
      <c r="E1133" s="2" t="s">
        <v>3354</v>
      </c>
      <c r="F1133" s="2" t="s">
        <v>671</v>
      </c>
      <c r="G1133" s="2" t="s">
        <v>1530</v>
      </c>
      <c r="H1133" s="2" t="s">
        <v>1458</v>
      </c>
      <c r="I1133" s="3" t="str">
        <f t="shared" si="0"/>
        <v>https://dto.kemkes.go.id/kfacode/93001187</v>
      </c>
      <c r="J1133" s="34" t="s">
        <v>3768</v>
      </c>
      <c r="K1133" t="str">
        <f t="shared" si="18"/>
        <v>insert into mkatalog_kfa93 (kode, uraian, kode_92, uraian_92, nama_dagang, satuan_kecil, sediaan, golongan, url, userid_updt, sysdate_updt) values ('93001187','Ringer Acetate Infus (ACETAR-MJB)','92000800','Ringer Acetate Infus','CETASERING','Kantong','Infus','Obat Keras','https://dto.kemkes.go.id/kfacode/93001187',0,'2023-05-01');</v>
      </c>
    </row>
    <row r="1134" spans="1:11" ht="15.75" customHeight="1">
      <c r="A1134" s="2">
        <v>93001145</v>
      </c>
      <c r="B1134" s="2" t="s">
        <v>3355</v>
      </c>
      <c r="C1134" s="2">
        <v>92000800</v>
      </c>
      <c r="D1134" s="2" t="s">
        <v>1311</v>
      </c>
      <c r="E1134" s="2" t="s">
        <v>3356</v>
      </c>
      <c r="F1134" s="2" t="s">
        <v>671</v>
      </c>
      <c r="G1134" s="2" t="s">
        <v>1530</v>
      </c>
      <c r="H1134" s="2" t="s">
        <v>1458</v>
      </c>
      <c r="I1134" s="3" t="str">
        <f t="shared" si="0"/>
        <v>https://dto.kemkes.go.id/kfacode/93001145</v>
      </c>
      <c r="J1134" s="34" t="s">
        <v>3768</v>
      </c>
      <c r="K1134" t="str">
        <f t="shared" si="18"/>
        <v>insert into mkatalog_kfa93 (kode, uraian, kode_92, uraian_92, nama_dagang, satuan_kecil, sediaan, golongan, url, userid_updt, sysdate_updt) values ('93001145','Ringer Acetate Infus (INFUSAN RING - AS)','92000800','Ringer Acetate Infus','INFUSAN RING - AS','Kantong','Infus','Obat Keras','https://dto.kemkes.go.id/kfacode/93001145',0,'2023-05-01');</v>
      </c>
    </row>
    <row r="1135" spans="1:11" ht="15.75" customHeight="1">
      <c r="A1135" s="2">
        <v>93001192</v>
      </c>
      <c r="B1135" s="2" t="s">
        <v>3357</v>
      </c>
      <c r="C1135" s="2">
        <v>92000800</v>
      </c>
      <c r="D1135" s="2" t="s">
        <v>1311</v>
      </c>
      <c r="E1135" s="2" t="s">
        <v>3358</v>
      </c>
      <c r="F1135" s="2" t="s">
        <v>671</v>
      </c>
      <c r="G1135" s="2" t="s">
        <v>1530</v>
      </c>
      <c r="H1135" s="2" t="s">
        <v>1458</v>
      </c>
      <c r="I1135" s="3" t="str">
        <f t="shared" si="0"/>
        <v>https://dto.kemkes.go.id/kfacode/93001192</v>
      </c>
      <c r="J1135" s="34" t="s">
        <v>3768</v>
      </c>
      <c r="K1135" t="str">
        <f t="shared" si="18"/>
        <v>insert into mkatalog_kfa93 (kode, uraian, kode_92, uraian_92, nama_dagang, satuan_kecil, sediaan, golongan, url, userid_updt, sysdate_updt) values ('93001192','Ringer Acetate Infus (SATORIA ANEKA INDUSTRI)','92000800','Ringer Acetate Infus','RINGER ASETAT','Kantong','Infus','Obat Keras','https://dto.kemkes.go.id/kfacode/93001192',0,'2023-05-01');</v>
      </c>
    </row>
    <row r="1136" spans="1:11" ht="15.75" customHeight="1">
      <c r="A1136" s="2">
        <v>93001403</v>
      </c>
      <c r="B1136" s="2" t="s">
        <v>3359</v>
      </c>
      <c r="C1136" s="2">
        <v>92000275</v>
      </c>
      <c r="D1136" s="2" t="s">
        <v>1312</v>
      </c>
      <c r="E1136" s="2" t="s">
        <v>3360</v>
      </c>
      <c r="F1136" s="2" t="s">
        <v>702</v>
      </c>
      <c r="G1136" s="2" t="s">
        <v>1506</v>
      </c>
      <c r="H1136" s="2" t="s">
        <v>1458</v>
      </c>
      <c r="I1136" s="3" t="str">
        <f t="shared" si="0"/>
        <v>https://dto.kemkes.go.id/kfacode/93001403</v>
      </c>
      <c r="J1136" s="34" t="s">
        <v>3768</v>
      </c>
      <c r="K1136" t="str">
        <f t="shared" si="18"/>
        <v>insert into mkatalog_kfa93 (kode, uraian, kode_92, uraian_92, nama_dagang, satuan_kecil, sediaan, golongan, url, userid_updt, sysdate_updt) values ('93001403','Ringer Lactate Infus (INOCHI RINGER LACTATE)','92000275','Ringer Lactate Infus','INOCHI RINGER LACTATE','Botol Plastik','Larutan Injeksi','Obat Keras','https://dto.kemkes.go.id/kfacode/93001403',0,'2023-05-01');</v>
      </c>
    </row>
    <row r="1137" spans="1:11" ht="15.75" customHeight="1">
      <c r="A1137" s="2">
        <v>93001464</v>
      </c>
      <c r="B1137" s="2" t="s">
        <v>3361</v>
      </c>
      <c r="C1137" s="2">
        <v>92000275</v>
      </c>
      <c r="D1137" s="2" t="s">
        <v>1312</v>
      </c>
      <c r="E1137" s="2" t="s">
        <v>3362</v>
      </c>
      <c r="F1137" s="2" t="s">
        <v>702</v>
      </c>
      <c r="G1137" s="2" t="s">
        <v>1506</v>
      </c>
      <c r="H1137" s="2" t="s">
        <v>1458</v>
      </c>
      <c r="I1137" s="3" t="str">
        <f t="shared" si="0"/>
        <v>https://dto.kemkes.go.id/kfacode/93001464</v>
      </c>
      <c r="J1137" s="34" t="s">
        <v>3768</v>
      </c>
      <c r="K1137" t="str">
        <f t="shared" si="18"/>
        <v>insert into mkatalog_kfa93 (kode, uraian, kode_92, uraian_92, nama_dagang, satuan_kecil, sediaan, golongan, url, userid_updt, sysdate_updt) values ('93001464','Ringer Lactate Infus (KIMIA FARMA Tbk, 500 mL)','92000275','Ringer Lactate Infus','RINGER LACTATE','Botol Plastik','Larutan Injeksi','Obat Keras','https://dto.kemkes.go.id/kfacode/93001464',0,'2023-05-01');</v>
      </c>
    </row>
    <row r="1138" spans="1:11" ht="15.75" customHeight="1">
      <c r="A1138" s="2">
        <v>93000374</v>
      </c>
      <c r="B1138" s="2" t="s">
        <v>3363</v>
      </c>
      <c r="C1138" s="2">
        <v>92000275</v>
      </c>
      <c r="D1138" s="2" t="s">
        <v>1312</v>
      </c>
      <c r="E1138" s="2" t="s">
        <v>3362</v>
      </c>
      <c r="F1138" s="2" t="s">
        <v>702</v>
      </c>
      <c r="G1138" s="2" t="s">
        <v>1506</v>
      </c>
      <c r="H1138" s="2" t="s">
        <v>1458</v>
      </c>
      <c r="I1138" s="3" t="str">
        <f t="shared" si="0"/>
        <v>https://dto.kemkes.go.id/kfacode/93000374</v>
      </c>
      <c r="J1138" s="34" t="s">
        <v>3768</v>
      </c>
      <c r="K1138" t="str">
        <f t="shared" si="18"/>
        <v>insert into mkatalog_kfa93 (kode, uraian, kode_92, uraian_92, nama_dagang, satuan_kecil, sediaan, golongan, url, userid_updt, sysdate_updt) values ('93000374','Ringer Lactate Infus (NATURA LABORATORIA PRIMA, 500 mL)','92000275','Ringer Lactate Infus','RINGER LACTATE','Botol Plastik','Larutan Injeksi','Obat Keras','https://dto.kemkes.go.id/kfacode/93000374',0,'2023-05-01');</v>
      </c>
    </row>
    <row r="1139" spans="1:11" ht="15.75" customHeight="1">
      <c r="A1139" s="2">
        <v>93001311</v>
      </c>
      <c r="B1139" s="2" t="s">
        <v>3364</v>
      </c>
      <c r="C1139" s="2">
        <v>92000275</v>
      </c>
      <c r="D1139" s="2" t="s">
        <v>1312</v>
      </c>
      <c r="E1139" s="2" t="s">
        <v>3365</v>
      </c>
      <c r="F1139" s="2" t="s">
        <v>702</v>
      </c>
      <c r="G1139" s="2" t="s">
        <v>1506</v>
      </c>
      <c r="H1139" s="2" t="s">
        <v>1458</v>
      </c>
      <c r="I1139" s="3" t="str">
        <f t="shared" si="0"/>
        <v>https://dto.kemkes.go.id/kfacode/93001311</v>
      </c>
      <c r="J1139" s="34" t="s">
        <v>3768</v>
      </c>
      <c r="K1139" t="str">
        <f t="shared" si="18"/>
        <v>insert into mkatalog_kfa93 (kode, uraian, kode_92, uraian_92, nama_dagang, satuan_kecil, sediaan, golongan, url, userid_updt, sysdate_updt) values ('93001311','Ringer Lactate Infus (OTSU - RL, 500 mL)','92000275','Ringer Lactate Infus','OTSU - RL','Botol Plastik','Larutan Injeksi','Obat Keras','https://dto.kemkes.go.id/kfacode/93001311',0,'2023-05-01');</v>
      </c>
    </row>
    <row r="1140" spans="1:11" ht="15.75" customHeight="1">
      <c r="A1140" s="2">
        <v>93000830</v>
      </c>
      <c r="B1140" s="2" t="s">
        <v>3366</v>
      </c>
      <c r="C1140" s="2">
        <v>92000275</v>
      </c>
      <c r="D1140" s="2" t="s">
        <v>1312</v>
      </c>
      <c r="E1140" s="2" t="s">
        <v>3367</v>
      </c>
      <c r="F1140" s="2" t="s">
        <v>702</v>
      </c>
      <c r="G1140" s="2" t="s">
        <v>1506</v>
      </c>
      <c r="H1140" s="2" t="s">
        <v>1458</v>
      </c>
      <c r="I1140" s="3" t="str">
        <f t="shared" si="0"/>
        <v>https://dto.kemkes.go.id/kfacode/93000830</v>
      </c>
      <c r="J1140" s="34" t="s">
        <v>3768</v>
      </c>
      <c r="K1140" t="str">
        <f t="shared" si="18"/>
        <v>insert into mkatalog_kfa93 (kode, uraian, kode_92, uraian_92, nama_dagang, satuan_kecil, sediaan, golongan, url, userid_updt, sysdate_updt) values ('93000830','Ringer Lactate Infus (WIDA RL)','92000275','Ringer Lactate Infus','WIDA RL','Botol Plastik','Larutan Injeksi','Obat Keras','https://dto.kemkes.go.id/kfacode/93000830',0,'2023-05-01');</v>
      </c>
    </row>
    <row r="1141" spans="1:11" ht="15.75" customHeight="1">
      <c r="A1141" s="2">
        <v>93001028</v>
      </c>
      <c r="B1141" s="2" t="s">
        <v>3368</v>
      </c>
      <c r="C1141" s="2">
        <v>92000719</v>
      </c>
      <c r="D1141" s="2" t="s">
        <v>1313</v>
      </c>
      <c r="E1141" s="2" t="s">
        <v>3369</v>
      </c>
      <c r="F1141" s="2" t="s">
        <v>640</v>
      </c>
      <c r="G1141" s="2" t="s">
        <v>1457</v>
      </c>
      <c r="H1141" s="2" t="s">
        <v>1458</v>
      </c>
      <c r="I1141" s="3" t="str">
        <f t="shared" si="0"/>
        <v>https://dto.kemkes.go.id/kfacode/93001028</v>
      </c>
      <c r="J1141" s="34" t="s">
        <v>3768</v>
      </c>
      <c r="K1141" t="str">
        <f t="shared" si="18"/>
        <v>insert into mkatalog_kfa93 (kode, uraian, kode_92, uraian_92, nama_dagang, satuan_kecil, sediaan, golongan, url, userid_updt, sysdate_updt) values ('93001028','Risedronate Sodium Hemipentahydrate 35 mg Tablet Salut Selaput (RISTONAT)','92000719','Risedronate Sodium Hemipentahydrate 35 mg Tablet Salut Selaput','RISTONAT','Tablet','Tablet Salut Selaput','Obat Keras','https://dto.kemkes.go.id/kfacode/93001028',0,'2023-05-01');</v>
      </c>
    </row>
    <row r="1142" spans="1:11" ht="15.75" customHeight="1">
      <c r="A1142" s="2">
        <v>93000169</v>
      </c>
      <c r="B1142" s="2" t="s">
        <v>3370</v>
      </c>
      <c r="C1142" s="2">
        <v>92000169</v>
      </c>
      <c r="D1142" s="2" t="s">
        <v>1314</v>
      </c>
      <c r="E1142" s="2" t="s">
        <v>3371</v>
      </c>
      <c r="F1142" s="2" t="s">
        <v>658</v>
      </c>
      <c r="G1142" s="2" t="s">
        <v>1832</v>
      </c>
      <c r="H1142" s="2" t="s">
        <v>1517</v>
      </c>
      <c r="I1142" s="3" t="str">
        <f t="shared" si="0"/>
        <v>https://dto.kemkes.go.id/kfacode/93000169</v>
      </c>
      <c r="J1142" s="34" t="s">
        <v>3768</v>
      </c>
      <c r="K1142" t="str">
        <f t="shared" si="18"/>
        <v>insert into mkatalog_kfa93 (kode, uraian, kode_92, uraian_92, nama_dagang, satuan_kecil, sediaan, golongan, url, userid_updt, sysdate_updt) values ('93000169','Risperidone 1 mg / mL Sirup (BERNOFARM)','92000169','Risperidone 1 mg / mL Sirup','RISPERIDONE','Botol','Sirup','Obat Psikotropika','https://dto.kemkes.go.id/kfacode/93000169',0,'2023-05-01');</v>
      </c>
    </row>
    <row r="1143" spans="1:11" ht="15.75" customHeight="1">
      <c r="A1143" s="2">
        <v>93001230</v>
      </c>
      <c r="B1143" s="2" t="s">
        <v>3372</v>
      </c>
      <c r="C1143" s="2">
        <v>92000704</v>
      </c>
      <c r="D1143" s="2" t="s">
        <v>1315</v>
      </c>
      <c r="E1143" s="2" t="s">
        <v>3371</v>
      </c>
      <c r="F1143" s="2" t="s">
        <v>640</v>
      </c>
      <c r="G1143" s="2" t="s">
        <v>1457</v>
      </c>
      <c r="H1143" s="2" t="s">
        <v>1458</v>
      </c>
      <c r="I1143" s="3" t="str">
        <f t="shared" si="0"/>
        <v>https://dto.kemkes.go.id/kfacode/93001230</v>
      </c>
      <c r="J1143" s="34" t="s">
        <v>3768</v>
      </c>
      <c r="K1143" t="str">
        <f t="shared" si="18"/>
        <v>insert into mkatalog_kfa93 (kode, uraian, kode_92, uraian_92, nama_dagang, satuan_kecil, sediaan, golongan, url, userid_updt, sysdate_updt) values ('93001230','Risperidone 1 mg Tablet Salut Selaput (DEXA MEDICA)','92000704','Risperidone 1 mg Tablet Salut Selaput','RISPERIDONE','Tablet','Tablet Salut Selaput','Obat Keras','https://dto.kemkes.go.id/kfacode/93001230',0,'2023-05-01');</v>
      </c>
    </row>
    <row r="1144" spans="1:11" ht="15.75" customHeight="1">
      <c r="A1144" s="2">
        <v>93000675</v>
      </c>
      <c r="B1144" s="2" t="s">
        <v>3373</v>
      </c>
      <c r="C1144" s="2">
        <v>92000286</v>
      </c>
      <c r="D1144" s="2" t="s">
        <v>1316</v>
      </c>
      <c r="E1144" s="2" t="s">
        <v>3371</v>
      </c>
      <c r="F1144" s="2" t="s">
        <v>640</v>
      </c>
      <c r="G1144" s="2" t="s">
        <v>1457</v>
      </c>
      <c r="H1144" s="2" t="s">
        <v>1517</v>
      </c>
      <c r="I1144" s="3" t="str">
        <f t="shared" si="0"/>
        <v>https://dto.kemkes.go.id/kfacode/93000675</v>
      </c>
      <c r="J1144" s="34" t="s">
        <v>3768</v>
      </c>
      <c r="K1144" t="str">
        <f t="shared" si="18"/>
        <v>insert into mkatalog_kfa93 (kode, uraian, kode_92, uraian_92, nama_dagang, satuan_kecil, sediaan, golongan, url, userid_updt, sysdate_updt) values ('93000675','Risperidone 2 mg Tablet Salut Selaput (DEXA MEDICA)','92000286','Risperidone 2 mg Tablet Salut Selaput','RISPERIDONE','Tablet','Tablet Salut Selaput','Obat Psikotropika','https://dto.kemkes.go.id/kfacode/93000675',0,'2023-05-01');</v>
      </c>
    </row>
    <row r="1145" spans="1:11" ht="15.75" customHeight="1">
      <c r="A1145" s="2">
        <v>93000397</v>
      </c>
      <c r="B1145" s="2" t="s">
        <v>3374</v>
      </c>
      <c r="C1145" s="2">
        <v>92000286</v>
      </c>
      <c r="D1145" s="2" t="s">
        <v>1316</v>
      </c>
      <c r="E1145" s="2" t="s">
        <v>3375</v>
      </c>
      <c r="F1145" s="2" t="s">
        <v>640</v>
      </c>
      <c r="G1145" s="2" t="s">
        <v>1457</v>
      </c>
      <c r="H1145" s="2" t="s">
        <v>1517</v>
      </c>
      <c r="I1145" s="3" t="str">
        <f t="shared" si="0"/>
        <v>https://dto.kemkes.go.id/kfacode/93000397</v>
      </c>
      <c r="J1145" s="34" t="s">
        <v>3768</v>
      </c>
      <c r="K1145" t="str">
        <f t="shared" si="18"/>
        <v>insert into mkatalog_kfa93 (kode, uraian, kode_92, uraian_92, nama_dagang, satuan_kecil, sediaan, golongan, url, userid_updt, sysdate_updt) values ('93000397','Risperidone 2 mg Tablet Salut Selaput (MERSIFARMA TIRMAKU MERCUSANA)','92000286','Risperidone 2 mg Tablet Salut Selaput','RISPERIDONE 2','Tablet','Tablet Salut Selaput','Obat Psikotropika','https://dto.kemkes.go.id/kfacode/93000397',0,'2023-05-01');</v>
      </c>
    </row>
    <row r="1146" spans="1:11" ht="15.75" customHeight="1">
      <c r="A1146" s="2">
        <v>93001101</v>
      </c>
      <c r="B1146" s="2" t="s">
        <v>3376</v>
      </c>
      <c r="C1146" s="2">
        <v>92000509</v>
      </c>
      <c r="D1146" s="2" t="s">
        <v>1317</v>
      </c>
      <c r="E1146" s="2" t="s">
        <v>3371</v>
      </c>
      <c r="F1146" s="2" t="s">
        <v>640</v>
      </c>
      <c r="G1146" s="2" t="s">
        <v>640</v>
      </c>
      <c r="H1146" s="2" t="s">
        <v>1458</v>
      </c>
      <c r="I1146" s="3" t="str">
        <f t="shared" si="0"/>
        <v>https://dto.kemkes.go.id/kfacode/93001101</v>
      </c>
      <c r="J1146" s="34" t="s">
        <v>3768</v>
      </c>
      <c r="K1146" t="str">
        <f t="shared" si="18"/>
        <v>insert into mkatalog_kfa93 (kode, uraian, kode_92, uraian_92, nama_dagang, satuan_kecil, sediaan, golongan, url, userid_updt, sysdate_updt) values ('93001101','Risperidone 3 mg Tablet (DEXA MEDICA)','92000509','Risperidone 3 mg Tablet','RISPERIDONE','Tablet','Tablet','Obat Keras','https://dto.kemkes.go.id/kfacode/93001101',0,'2023-05-01');</v>
      </c>
    </row>
    <row r="1147" spans="1:11" ht="15.75" customHeight="1">
      <c r="A1147" s="2">
        <v>93000264</v>
      </c>
      <c r="B1147" s="2" t="s">
        <v>3377</v>
      </c>
      <c r="C1147" s="2">
        <v>92000186</v>
      </c>
      <c r="D1147" s="2" t="s">
        <v>1318</v>
      </c>
      <c r="E1147" s="2" t="s">
        <v>3378</v>
      </c>
      <c r="F1147" s="2" t="s">
        <v>653</v>
      </c>
      <c r="G1147" s="2" t="s">
        <v>1530</v>
      </c>
      <c r="H1147" s="2" t="s">
        <v>1458</v>
      </c>
      <c r="I1147" s="3" t="str">
        <f t="shared" si="0"/>
        <v>https://dto.kemkes.go.id/kfacode/93000264</v>
      </c>
      <c r="J1147" s="34" t="s">
        <v>3768</v>
      </c>
      <c r="K1147" t="str">
        <f t="shared" si="18"/>
        <v>insert into mkatalog_kfa93 (kode, uraian, kode_92, uraian_92, nama_dagang, satuan_kecil, sediaan, golongan, url, userid_updt, sysdate_updt) values ('93000264','Rituximab 10 mg/mL Infus (MABTHERA, 10 mL)','92000186','Rituximab 10 mg/mL Infus','MABTHERA','Vial','Infus','Obat Keras','https://dto.kemkes.go.id/kfacode/93000264',0,'2023-05-01');</v>
      </c>
    </row>
    <row r="1148" spans="1:11" ht="15.75" customHeight="1">
      <c r="A1148" s="2">
        <v>93000428</v>
      </c>
      <c r="B1148" s="2" t="s">
        <v>3379</v>
      </c>
      <c r="C1148" s="2">
        <v>92000186</v>
      </c>
      <c r="D1148" s="2" t="s">
        <v>1318</v>
      </c>
      <c r="E1148" s="2" t="s">
        <v>3378</v>
      </c>
      <c r="F1148" s="2" t="s">
        <v>653</v>
      </c>
      <c r="G1148" s="2" t="s">
        <v>1530</v>
      </c>
      <c r="H1148" s="2" t="s">
        <v>1458</v>
      </c>
      <c r="I1148" s="3" t="str">
        <f t="shared" si="0"/>
        <v>https://dto.kemkes.go.id/kfacode/93000428</v>
      </c>
      <c r="J1148" s="34" t="s">
        <v>3768</v>
      </c>
      <c r="K1148" t="str">
        <f t="shared" si="18"/>
        <v>insert into mkatalog_kfa93 (kode, uraian, kode_92, uraian_92, nama_dagang, satuan_kecil, sediaan, golongan, url, userid_updt, sysdate_updt) values ('93000428','Rituximab 10 mg/mL Infus (MABTHERA, 50 mL)','92000186','Rituximab 10 mg/mL Infus','MABTHERA','Vial','Infus','Obat Keras','https://dto.kemkes.go.id/kfacode/93000428',0,'2023-05-01');</v>
      </c>
    </row>
    <row r="1149" spans="1:11" ht="15.75" customHeight="1">
      <c r="A1149" s="2">
        <v>93001144</v>
      </c>
      <c r="B1149" s="2" t="s">
        <v>3380</v>
      </c>
      <c r="C1149" s="2">
        <v>92000186</v>
      </c>
      <c r="D1149" s="2" t="s">
        <v>1318</v>
      </c>
      <c r="E1149" s="2" t="s">
        <v>3381</v>
      </c>
      <c r="F1149" s="2" t="s">
        <v>653</v>
      </c>
      <c r="G1149" s="2" t="s">
        <v>1530</v>
      </c>
      <c r="H1149" s="2" t="s">
        <v>1458</v>
      </c>
      <c r="I1149" s="3" t="str">
        <f t="shared" si="0"/>
        <v>https://dto.kemkes.go.id/kfacode/93001144</v>
      </c>
      <c r="J1149" s="34" t="s">
        <v>3768</v>
      </c>
      <c r="K1149" t="str">
        <f t="shared" si="18"/>
        <v>insert into mkatalog_kfa93 (kode, uraian, kode_92, uraian_92, nama_dagang, satuan_kecil, sediaan, golongan, url, userid_updt, sysdate_updt) values ('93001144','Rituximab 10 mg/mL Infus (REDDITUX, 10 mL)','92000186','Rituximab 10 mg/mL Infus','REDDITUX','Vial','Infus','Obat Keras','https://dto.kemkes.go.id/kfacode/93001144',0,'2023-05-01');</v>
      </c>
    </row>
    <row r="1150" spans="1:11" ht="15.75" customHeight="1">
      <c r="A1150" s="2">
        <v>93001158</v>
      </c>
      <c r="B1150" s="2" t="s">
        <v>3382</v>
      </c>
      <c r="C1150" s="2">
        <v>92000186</v>
      </c>
      <c r="D1150" s="2" t="s">
        <v>1318</v>
      </c>
      <c r="E1150" s="2" t="s">
        <v>3381</v>
      </c>
      <c r="F1150" s="2" t="s">
        <v>653</v>
      </c>
      <c r="G1150" s="2" t="s">
        <v>1530</v>
      </c>
      <c r="H1150" s="2" t="s">
        <v>1458</v>
      </c>
      <c r="I1150" s="3" t="str">
        <f t="shared" si="0"/>
        <v>https://dto.kemkes.go.id/kfacode/93001158</v>
      </c>
      <c r="J1150" s="34" t="s">
        <v>3768</v>
      </c>
      <c r="K1150" t="str">
        <f t="shared" si="18"/>
        <v>insert into mkatalog_kfa93 (kode, uraian, kode_92, uraian_92, nama_dagang, satuan_kecil, sediaan, golongan, url, userid_updt, sysdate_updt) values ('93001158','Rituximab 10 mg/mL Infus (REDDITUX, 50 mL)','92000186','Rituximab 10 mg/mL Infus','REDDITUX','Vial','Infus','Obat Keras','https://dto.kemkes.go.id/kfacode/93001158',0,'2023-05-01');</v>
      </c>
    </row>
    <row r="1151" spans="1:11" ht="15.75" customHeight="1">
      <c r="A1151" s="2">
        <v>93000698</v>
      </c>
      <c r="B1151" s="2" t="s">
        <v>3383</v>
      </c>
      <c r="C1151" s="2">
        <v>92000186</v>
      </c>
      <c r="D1151" s="2" t="s">
        <v>1318</v>
      </c>
      <c r="E1151" s="2" t="s">
        <v>3384</v>
      </c>
      <c r="F1151" s="2" t="s">
        <v>653</v>
      </c>
      <c r="G1151" s="2" t="s">
        <v>1530</v>
      </c>
      <c r="H1151" s="2" t="s">
        <v>1458</v>
      </c>
      <c r="I1151" s="3" t="str">
        <f t="shared" si="0"/>
        <v>https://dto.kemkes.go.id/kfacode/93000698</v>
      </c>
      <c r="J1151" s="34" t="s">
        <v>3768</v>
      </c>
      <c r="K1151" t="str">
        <f t="shared" si="18"/>
        <v>insert into mkatalog_kfa93 (kode, uraian, kode_92, uraian_92, nama_dagang, satuan_kecil, sediaan, golongan, url, userid_updt, sysdate_updt) values ('93000698','Rituximab 10 mg/mL Infus (RITUXIKAL, 10 mL)','92000186','Rituximab 10 mg/mL Infus','RITUXIKAL','Vial','Infus','Obat Keras','https://dto.kemkes.go.id/kfacode/93000698',0,'2023-05-01');</v>
      </c>
    </row>
    <row r="1152" spans="1:11" ht="15.75" customHeight="1">
      <c r="A1152" s="2">
        <v>93000699</v>
      </c>
      <c r="B1152" s="2" t="s">
        <v>3385</v>
      </c>
      <c r="C1152" s="2">
        <v>92000186</v>
      </c>
      <c r="D1152" s="2" t="s">
        <v>1318</v>
      </c>
      <c r="E1152" s="2" t="s">
        <v>3384</v>
      </c>
      <c r="F1152" s="2" t="s">
        <v>653</v>
      </c>
      <c r="G1152" s="2" t="s">
        <v>1530</v>
      </c>
      <c r="H1152" s="2" t="s">
        <v>1458</v>
      </c>
      <c r="I1152" s="3" t="str">
        <f t="shared" si="0"/>
        <v>https://dto.kemkes.go.id/kfacode/93000699</v>
      </c>
      <c r="J1152" s="34" t="s">
        <v>3768</v>
      </c>
      <c r="K1152" t="str">
        <f t="shared" si="18"/>
        <v>insert into mkatalog_kfa93 (kode, uraian, kode_92, uraian_92, nama_dagang, satuan_kecil, sediaan, golongan, url, userid_updt, sysdate_updt) values ('93000699','Rituximab 10 mg/mL Infus (RITUXIKAL, 50 mL)','92000186','Rituximab 10 mg/mL Infus','RITUXIKAL','Vial','Infus','Obat Keras','https://dto.kemkes.go.id/kfacode/93000699',0,'2023-05-01');</v>
      </c>
    </row>
    <row r="1153" spans="1:11" ht="15.75" customHeight="1">
      <c r="A1153" s="2">
        <v>93001147</v>
      </c>
      <c r="B1153" s="2" t="s">
        <v>3386</v>
      </c>
      <c r="C1153" s="2">
        <v>92000186</v>
      </c>
      <c r="D1153" s="2" t="s">
        <v>1318</v>
      </c>
      <c r="E1153" s="2" t="s">
        <v>3387</v>
      </c>
      <c r="F1153" s="2" t="s">
        <v>653</v>
      </c>
      <c r="G1153" s="2" t="s">
        <v>1530</v>
      </c>
      <c r="H1153" s="2" t="s">
        <v>1458</v>
      </c>
      <c r="I1153" s="3" t="str">
        <f t="shared" si="0"/>
        <v>https://dto.kemkes.go.id/kfacode/93001147</v>
      </c>
      <c r="J1153" s="34" t="s">
        <v>3768</v>
      </c>
      <c r="K1153" t="str">
        <f t="shared" si="18"/>
        <v>insert into mkatalog_kfa93 (kode, uraian, kode_92, uraian_92, nama_dagang, satuan_kecil, sediaan, golongan, url, userid_updt, sysdate_updt) values ('93001147','Rituximab 10 mg/mL Infus (TRUXIMA, 10 mL)','92000186','Rituximab 10 mg/mL Infus','TRUXIMA','Vial','Infus','Obat Keras','https://dto.kemkes.go.id/kfacode/93001147',0,'2023-05-01');</v>
      </c>
    </row>
    <row r="1154" spans="1:11" ht="15.75" customHeight="1">
      <c r="A1154" s="2">
        <v>93001157</v>
      </c>
      <c r="B1154" s="2" t="s">
        <v>3388</v>
      </c>
      <c r="C1154" s="2">
        <v>92000186</v>
      </c>
      <c r="D1154" s="2" t="s">
        <v>1318</v>
      </c>
      <c r="E1154" s="2" t="s">
        <v>3387</v>
      </c>
      <c r="F1154" s="2" t="s">
        <v>653</v>
      </c>
      <c r="G1154" s="2" t="s">
        <v>1530</v>
      </c>
      <c r="H1154" s="2" t="s">
        <v>1458</v>
      </c>
      <c r="I1154" s="3" t="str">
        <f t="shared" si="0"/>
        <v>https://dto.kemkes.go.id/kfacode/93001157</v>
      </c>
      <c r="J1154" s="34" t="s">
        <v>3768</v>
      </c>
      <c r="K1154" t="str">
        <f t="shared" si="18"/>
        <v>insert into mkatalog_kfa93 (kode, uraian, kode_92, uraian_92, nama_dagang, satuan_kecil, sediaan, golongan, url, userid_updt, sysdate_updt) values ('93001157','Rituximab 10 mg/mL Infus (TRUXIMA, 50 mL)','92000186','Rituximab 10 mg/mL Infus','TRUXIMA','Vial','Infus','Obat Keras','https://dto.kemkes.go.id/kfacode/93001157',0,'2023-05-01');</v>
      </c>
    </row>
    <row r="1155" spans="1:11" ht="15.75" customHeight="1">
      <c r="A1155" s="2">
        <v>93001120</v>
      </c>
      <c r="B1155" s="2" t="s">
        <v>3389</v>
      </c>
      <c r="C1155" s="2">
        <v>92000379</v>
      </c>
      <c r="D1155" s="2" t="s">
        <v>1319</v>
      </c>
      <c r="E1155" s="2" t="s">
        <v>3390</v>
      </c>
      <c r="F1155" s="2" t="s">
        <v>640</v>
      </c>
      <c r="G1155" s="2" t="s">
        <v>1457</v>
      </c>
      <c r="H1155" s="2" t="s">
        <v>1458</v>
      </c>
      <c r="I1155" s="3" t="str">
        <f t="shared" si="0"/>
        <v>https://dto.kemkes.go.id/kfacode/93001120</v>
      </c>
      <c r="J1155" s="34" t="s">
        <v>3768</v>
      </c>
      <c r="K1155" t="str">
        <f t="shared" ref="K1155:K1218" si="19">CONCATENATE(J1155,"('",A1155,"','",B1155,"','",C1155,"','",D1155,"','",E1155,"','",F1155,"','",G1155,"','",H1155,"','",I1155,"',0,'2023-05-01');")</f>
        <v>insert into mkatalog_kfa93 (kode, uraian, kode_92, uraian_92, nama_dagang, satuan_kecil, sediaan, golongan, url, userid_updt, sysdate_updt) values ('93001120','Rivaroxaban 10 mg Tablet Salut Selaput (XARELTO)','92000379','Rivaroxaban 10 mg Tablet Salut Selaput','XARELTO','Tablet','Tablet Salut Selaput','Obat Keras','https://dto.kemkes.go.id/kfacode/93001120',0,'2023-05-01');</v>
      </c>
    </row>
    <row r="1156" spans="1:11" ht="15.75" customHeight="1">
      <c r="A1156" s="2">
        <v>93001121</v>
      </c>
      <c r="B1156" s="2" t="s">
        <v>3391</v>
      </c>
      <c r="C1156" s="2">
        <v>92000385</v>
      </c>
      <c r="D1156" s="2" t="s">
        <v>1320</v>
      </c>
      <c r="E1156" s="2" t="s">
        <v>3390</v>
      </c>
      <c r="F1156" s="2" t="s">
        <v>640</v>
      </c>
      <c r="G1156" s="2" t="s">
        <v>1457</v>
      </c>
      <c r="H1156" s="2" t="s">
        <v>1458</v>
      </c>
      <c r="I1156" s="3" t="str">
        <f t="shared" si="0"/>
        <v>https://dto.kemkes.go.id/kfacode/93001121</v>
      </c>
      <c r="J1156" s="34" t="s">
        <v>3768</v>
      </c>
      <c r="K1156" t="str">
        <f t="shared" si="19"/>
        <v>insert into mkatalog_kfa93 (kode, uraian, kode_92, uraian_92, nama_dagang, satuan_kecil, sediaan, golongan, url, userid_updt, sysdate_updt) values ('93001121','Rivaroxaban 15 mg Tablet Salut Selaput (XARELTO)','92000385','Rivaroxaban 15 mg Tablet Salut Selaput','XARELTO','Tablet','Tablet Salut Selaput','Obat Keras','https://dto.kemkes.go.id/kfacode/93001121',0,'2023-05-01');</v>
      </c>
    </row>
    <row r="1157" spans="1:11" ht="15.75" customHeight="1">
      <c r="A1157" s="2">
        <v>93001453</v>
      </c>
      <c r="B1157" s="2" t="s">
        <v>3392</v>
      </c>
      <c r="C1157" s="2">
        <v>92000845</v>
      </c>
      <c r="D1157" s="2" t="s">
        <v>1321</v>
      </c>
      <c r="E1157" s="2" t="s">
        <v>3393</v>
      </c>
      <c r="F1157" s="2" t="s">
        <v>640</v>
      </c>
      <c r="G1157" s="2" t="s">
        <v>1457</v>
      </c>
      <c r="H1157" s="2" t="s">
        <v>1458</v>
      </c>
      <c r="I1157" s="3" t="str">
        <f t="shared" si="0"/>
        <v>https://dto.kemkes.go.id/kfacode/93001453</v>
      </c>
      <c r="J1157" s="34" t="s">
        <v>3768</v>
      </c>
      <c r="K1157" t="str">
        <f t="shared" si="19"/>
        <v>insert into mkatalog_kfa93 (kode, uraian, kode_92, uraian_92, nama_dagang, satuan_kecil, sediaan, golongan, url, userid_updt, sysdate_updt) values ('93001453','Rivaroxaban 20 mg Tablet Salut Selaput (NOSTROK 20)','92000845','Rivaroxaban 20 mg Tablet Salut Selaput','NOSTROK 20','Tablet','Tablet Salut Selaput','Obat Keras','https://dto.kemkes.go.id/kfacode/93001453',0,'2023-05-01');</v>
      </c>
    </row>
    <row r="1158" spans="1:11" ht="15.75" customHeight="1">
      <c r="A1158" s="2">
        <v>93001452</v>
      </c>
      <c r="B1158" s="2" t="s">
        <v>3394</v>
      </c>
      <c r="C1158" s="2">
        <v>92000845</v>
      </c>
      <c r="D1158" s="2" t="s">
        <v>1321</v>
      </c>
      <c r="E1158" s="2" t="s">
        <v>3395</v>
      </c>
      <c r="F1158" s="2" t="s">
        <v>640</v>
      </c>
      <c r="G1158" s="2" t="s">
        <v>1457</v>
      </c>
      <c r="H1158" s="2" t="s">
        <v>1458</v>
      </c>
      <c r="I1158" s="3" t="str">
        <f t="shared" si="0"/>
        <v>https://dto.kemkes.go.id/kfacode/93001452</v>
      </c>
      <c r="J1158" s="34" t="s">
        <v>3768</v>
      </c>
      <c r="K1158" t="str">
        <f t="shared" si="19"/>
        <v>insert into mkatalog_kfa93 (kode, uraian, kode_92, uraian_92, nama_dagang, satuan_kecil, sediaan, golongan, url, userid_updt, sysdate_updt) values ('93001452','Rivaroxaban 20 mg Tablet Salut Selaput (PRATAPA NIRMALA)','92000845','Rivaroxaban 20 mg Tablet Salut Selaput','RIVAROXABAN','Tablet','Tablet Salut Selaput','Obat Keras','https://dto.kemkes.go.id/kfacode/93001452',0,'2023-05-01');</v>
      </c>
    </row>
    <row r="1159" spans="1:11" ht="15.75" customHeight="1">
      <c r="A1159" s="2">
        <v>93001484</v>
      </c>
      <c r="B1159" s="2" t="s">
        <v>3396</v>
      </c>
      <c r="C1159" s="2">
        <v>92000845</v>
      </c>
      <c r="D1159" s="2" t="s">
        <v>1321</v>
      </c>
      <c r="E1159" s="2" t="s">
        <v>3397</v>
      </c>
      <c r="F1159" s="2" t="s">
        <v>640</v>
      </c>
      <c r="G1159" s="2" t="s">
        <v>1457</v>
      </c>
      <c r="H1159" s="2" t="s">
        <v>1458</v>
      </c>
      <c r="I1159" s="3" t="str">
        <f t="shared" si="0"/>
        <v>https://dto.kemkes.go.id/kfacode/93001484</v>
      </c>
      <c r="J1159" s="34" t="s">
        <v>3768</v>
      </c>
      <c r="K1159" t="str">
        <f t="shared" si="19"/>
        <v>insert into mkatalog_kfa93 (kode, uraian, kode_92, uraian_92, nama_dagang, satuan_kecil, sediaan, golongan, url, userid_updt, sysdate_updt) values ('93001484','Rivaroxaban 20 mg Tablet Salut Selaput (RIVAROX)','92000845','Rivaroxaban 20 mg Tablet Salut Selaput','RIVAROX','Tablet','Tablet Salut Selaput','Obat Keras','https://dto.kemkes.go.id/kfacode/93001484',0,'2023-05-01');</v>
      </c>
    </row>
    <row r="1160" spans="1:11" ht="15.75" customHeight="1">
      <c r="A1160" s="2">
        <v>93001451</v>
      </c>
      <c r="B1160" s="2" t="s">
        <v>3398</v>
      </c>
      <c r="C1160" s="2">
        <v>92000845</v>
      </c>
      <c r="D1160" s="2" t="s">
        <v>1321</v>
      </c>
      <c r="E1160" s="2" t="s">
        <v>3390</v>
      </c>
      <c r="F1160" s="2" t="s">
        <v>640</v>
      </c>
      <c r="G1160" s="2" t="s">
        <v>1457</v>
      </c>
      <c r="H1160" s="2" t="s">
        <v>1458</v>
      </c>
      <c r="I1160" s="3" t="str">
        <f t="shared" si="0"/>
        <v>https://dto.kemkes.go.id/kfacode/93001451</v>
      </c>
      <c r="J1160" s="34" t="s">
        <v>3768</v>
      </c>
      <c r="K1160" t="str">
        <f t="shared" si="19"/>
        <v>insert into mkatalog_kfa93 (kode, uraian, kode_92, uraian_92, nama_dagang, satuan_kecil, sediaan, golongan, url, userid_updt, sysdate_updt) values ('93001451','Rivaroxaban 20 mg Tablet Salut Selaput (XARELTO)','92000845','Rivaroxaban 20 mg Tablet Salut Selaput','XARELTO','Tablet','Tablet Salut Selaput','Obat Keras','https://dto.kemkes.go.id/kfacode/93001451',0,'2023-05-01');</v>
      </c>
    </row>
    <row r="1161" spans="1:11" ht="15.75" customHeight="1">
      <c r="A1161" s="2">
        <v>93000781</v>
      </c>
      <c r="B1161" s="2" t="s">
        <v>3399</v>
      </c>
      <c r="C1161" s="2">
        <v>92000548</v>
      </c>
      <c r="D1161" s="2" t="s">
        <v>1322</v>
      </c>
      <c r="E1161" s="2" t="s">
        <v>3400</v>
      </c>
      <c r="F1161" s="2" t="s">
        <v>640</v>
      </c>
      <c r="G1161" s="2" t="s">
        <v>1608</v>
      </c>
      <c r="H1161" s="2" t="s">
        <v>1458</v>
      </c>
      <c r="I1161" s="3" t="str">
        <f t="shared" si="0"/>
        <v>https://dto.kemkes.go.id/kfacode/93000781</v>
      </c>
      <c r="J1161" s="34" t="s">
        <v>3768</v>
      </c>
      <c r="K1161" t="str">
        <f t="shared" si="19"/>
        <v>insert into mkatalog_kfa93 (kode, uraian, kode_92, uraian_92, nama_dagang, satuan_kecil, sediaan, golongan, url, userid_updt, sysdate_updt) values ('93000781','Ropinirole 2 mg Tablet Pelepasan Lambat (REQUIP PD 24 HOUR)','92000548','Ropinirole 2 mg Tablet Pelepasan Lambat','REQUIP PD 24 HOUR','Tablet','Tablet Pelepasan Lambat','Obat Keras','https://dto.kemkes.go.id/kfacode/93000781',0,'2023-05-01');</v>
      </c>
    </row>
    <row r="1162" spans="1:11" ht="15.75" customHeight="1">
      <c r="A1162" s="2">
        <v>93000782</v>
      </c>
      <c r="B1162" s="2" t="s">
        <v>3401</v>
      </c>
      <c r="C1162" s="2">
        <v>92000547</v>
      </c>
      <c r="D1162" s="2" t="s">
        <v>1323</v>
      </c>
      <c r="E1162" s="2" t="s">
        <v>3400</v>
      </c>
      <c r="F1162" s="2" t="s">
        <v>640</v>
      </c>
      <c r="G1162" s="2" t="s">
        <v>1608</v>
      </c>
      <c r="H1162" s="2" t="s">
        <v>1458</v>
      </c>
      <c r="I1162" s="3" t="str">
        <f t="shared" si="0"/>
        <v>https://dto.kemkes.go.id/kfacode/93000782</v>
      </c>
      <c r="J1162" s="34" t="s">
        <v>3768</v>
      </c>
      <c r="K1162" t="str">
        <f t="shared" si="19"/>
        <v>insert into mkatalog_kfa93 (kode, uraian, kode_92, uraian_92, nama_dagang, satuan_kecil, sediaan, golongan, url, userid_updt, sysdate_updt) values ('93000782','Ropinirole 8 mg Tablet Pelepasan Lambat (REQUIP PD 24 HOUR)','92000547','Ropinirole 8 mg Tablet Pelepasan Lambat','REQUIP PD 24 HOUR','Tablet','Tablet Pelepasan Lambat','Obat Keras','https://dto.kemkes.go.id/kfacode/93000782',0,'2023-05-01');</v>
      </c>
    </row>
    <row r="1163" spans="1:11" ht="15.75" customHeight="1">
      <c r="A1163" s="2">
        <v>93001449</v>
      </c>
      <c r="B1163" s="2" t="s">
        <v>3402</v>
      </c>
      <c r="C1163" s="2">
        <v>92000842</v>
      </c>
      <c r="D1163" s="2" t="s">
        <v>1324</v>
      </c>
      <c r="E1163" s="2" t="s">
        <v>3400</v>
      </c>
      <c r="F1163" s="2" t="s">
        <v>640</v>
      </c>
      <c r="G1163" s="2" t="s">
        <v>1608</v>
      </c>
      <c r="H1163" s="2" t="s">
        <v>1458</v>
      </c>
      <c r="I1163" s="3" t="str">
        <f t="shared" si="0"/>
        <v>https://dto.kemkes.go.id/kfacode/93001449</v>
      </c>
      <c r="J1163" s="34" t="s">
        <v>3768</v>
      </c>
      <c r="K1163" t="str">
        <f t="shared" si="19"/>
        <v>insert into mkatalog_kfa93 (kode, uraian, kode_92, uraian_92, nama_dagang, satuan_kecil, sediaan, golongan, url, userid_updt, sysdate_updt) values ('93001449','Ropinirole Hydrochloride 4 mg Tablet Pelepasan Lambat (REQUIP PD 24 HOUR)','92000842','Ropinirole Hydrochloride 4 mg Tablet Pelepasan Lambat','REQUIP PD 24 HOUR','Tablet','Tablet Pelepasan Lambat','Obat Keras','https://dto.kemkes.go.id/kfacode/93001449',0,'2023-05-01');</v>
      </c>
    </row>
    <row r="1164" spans="1:11" ht="15.75" customHeight="1">
      <c r="A1164" s="2">
        <v>93000416</v>
      </c>
      <c r="B1164" s="2" t="s">
        <v>3403</v>
      </c>
      <c r="C1164" s="2">
        <v>92000300</v>
      </c>
      <c r="D1164" s="2" t="s">
        <v>1325</v>
      </c>
      <c r="E1164" s="2" t="s">
        <v>3404</v>
      </c>
      <c r="F1164" s="2" t="s">
        <v>645</v>
      </c>
      <c r="G1164" s="2" t="s">
        <v>1506</v>
      </c>
      <c r="H1164" s="2" t="s">
        <v>1458</v>
      </c>
      <c r="I1164" s="3" t="str">
        <f t="shared" si="0"/>
        <v>https://dto.kemkes.go.id/kfacode/93000416</v>
      </c>
      <c r="J1164" s="34" t="s">
        <v>3768</v>
      </c>
      <c r="K1164" t="str">
        <f t="shared" si="19"/>
        <v>insert into mkatalog_kfa93 (kode, uraian, kode_92, uraian_92, nama_dagang, satuan_kecil, sediaan, golongan, url, userid_updt, sysdate_updt) values ('93000416','Ropivacaine Hydrochloride 7,5 mg / mL Injeksi (NAROPIN)','92000300','Ropivacaine Hydrochloride 7,5 mg / mL Injeksi','NAROPIN','Ampul','Larutan Injeksi','Obat Keras','https://dto.kemkes.go.id/kfacode/93000416',0,'2023-05-01');</v>
      </c>
    </row>
    <row r="1165" spans="1:11" ht="15.75" customHeight="1">
      <c r="A1165" s="2">
        <v>93000419</v>
      </c>
      <c r="B1165" s="2" t="s">
        <v>3405</v>
      </c>
      <c r="C1165" s="2">
        <v>92000304</v>
      </c>
      <c r="D1165" s="2" t="s">
        <v>1326</v>
      </c>
      <c r="E1165" s="2" t="s">
        <v>3406</v>
      </c>
      <c r="F1165" s="2" t="s">
        <v>640</v>
      </c>
      <c r="G1165" s="2" t="s">
        <v>1457</v>
      </c>
      <c r="H1165" s="2" t="s">
        <v>1458</v>
      </c>
      <c r="I1165" s="3" t="str">
        <f t="shared" si="0"/>
        <v>https://dto.kemkes.go.id/kfacode/93000419</v>
      </c>
      <c r="J1165" s="34" t="s">
        <v>3768</v>
      </c>
      <c r="K1165" t="str">
        <f t="shared" si="19"/>
        <v>insert into mkatalog_kfa93 (kode, uraian, kode_92, uraian_92, nama_dagang, satuan_kecil, sediaan, golongan, url, userid_updt, sysdate_updt) values ('93000419','Rosuvastatin Calcium 10 mg Tablet Salut Selaput (AMAROX PHARMA GLOBAL)','92000304','Rosuvastatin Calcium 10 mg Tablet Salut Selaput','ROSUVASTATIN CALCIUM','Tablet','Tablet Salut Selaput','Obat Keras','https://dto.kemkes.go.id/kfacode/93000419',0,'2023-05-01');</v>
      </c>
    </row>
    <row r="1166" spans="1:11" ht="15.75" customHeight="1">
      <c r="A1166" s="2">
        <v>93000456</v>
      </c>
      <c r="B1166" s="2" t="s">
        <v>3407</v>
      </c>
      <c r="C1166" s="2">
        <v>92000304</v>
      </c>
      <c r="D1166" s="2" t="s">
        <v>1326</v>
      </c>
      <c r="E1166" s="2" t="s">
        <v>3406</v>
      </c>
      <c r="F1166" s="2" t="s">
        <v>640</v>
      </c>
      <c r="G1166" s="2" t="s">
        <v>1457</v>
      </c>
      <c r="H1166" s="2" t="s">
        <v>1458</v>
      </c>
      <c r="I1166" s="3" t="str">
        <f t="shared" si="0"/>
        <v>https://dto.kemkes.go.id/kfacode/93000456</v>
      </c>
      <c r="J1166" s="34" t="s">
        <v>3768</v>
      </c>
      <c r="K1166" t="str">
        <f t="shared" si="19"/>
        <v>insert into mkatalog_kfa93 (kode, uraian, kode_92, uraian_92, nama_dagang, satuan_kecil, sediaan, golongan, url, userid_updt, sysdate_updt) values ('93000456','Rosuvastatin Calcium 10 mg Tablet Salut Selaput (NOVELL PHARMACEUTICAL LABORATORIES)','92000304','Rosuvastatin Calcium 10 mg Tablet Salut Selaput','ROSUVASTATIN CALCIUM','Tablet','Tablet Salut Selaput','Obat Keras','https://dto.kemkes.go.id/kfacode/93000456',0,'2023-05-01');</v>
      </c>
    </row>
    <row r="1167" spans="1:11" ht="15.75" customHeight="1">
      <c r="A1167" s="2">
        <v>93001613</v>
      </c>
      <c r="B1167" s="2" t="s">
        <v>3408</v>
      </c>
      <c r="C1167" s="2">
        <v>92000921</v>
      </c>
      <c r="D1167" s="2" t="s">
        <v>1327</v>
      </c>
      <c r="E1167" s="2" t="s">
        <v>3409</v>
      </c>
      <c r="F1167" s="2" t="s">
        <v>640</v>
      </c>
      <c r="G1167" s="2" t="s">
        <v>1457</v>
      </c>
      <c r="H1167" s="2" t="s">
        <v>1458</v>
      </c>
      <c r="I1167" s="3" t="str">
        <f t="shared" si="0"/>
        <v>https://dto.kemkes.go.id/kfacode/93001613</v>
      </c>
      <c r="J1167" s="34" t="s">
        <v>3768</v>
      </c>
      <c r="K1167" t="str">
        <f t="shared" si="19"/>
        <v>insert into mkatalog_kfa93 (kode, uraian, kode_92, uraian_92, nama_dagang, satuan_kecil, sediaan, golongan, url, userid_updt, sysdate_updt) values ('93001613','Sacubitril 24,3 mg / Valsartan 25,7 mg Tablet Salut Selaput (UPERIO)','92000921','Sacubitril 24,3 mg / Valsartan 25,7 mg Tablet Salut Selaput','UPERIO','Tablet','Tablet Salut Selaput','Obat Keras','https://dto.kemkes.go.id/kfacode/93001613',0,'2023-05-01');</v>
      </c>
    </row>
    <row r="1168" spans="1:11" ht="15.75" customHeight="1">
      <c r="A1168" s="2">
        <v>93001614</v>
      </c>
      <c r="B1168" s="2" t="s">
        <v>3410</v>
      </c>
      <c r="C1168" s="2">
        <v>92000922</v>
      </c>
      <c r="D1168" s="2" t="s">
        <v>1328</v>
      </c>
      <c r="E1168" s="2" t="s">
        <v>3409</v>
      </c>
      <c r="F1168" s="2" t="s">
        <v>640</v>
      </c>
      <c r="G1168" s="2" t="s">
        <v>1457</v>
      </c>
      <c r="H1168" s="2" t="s">
        <v>1458</v>
      </c>
      <c r="I1168" s="3" t="str">
        <f t="shared" si="0"/>
        <v>https://dto.kemkes.go.id/kfacode/93001614</v>
      </c>
      <c r="J1168" s="34" t="s">
        <v>3768</v>
      </c>
      <c r="K1168" t="str">
        <f t="shared" si="19"/>
        <v>insert into mkatalog_kfa93 (kode, uraian, kode_92, uraian_92, nama_dagang, satuan_kecil, sediaan, golongan, url, userid_updt, sysdate_updt) values ('93001614','Sacubitril 48,6 mg / Valsartan 51,4 mg Tablet Salut Selaput (UPERIO)','92000922','Sacubitril 48,6 mg / Valsartan 51,4 mg Tablet Salut Selaput','UPERIO','Tablet','Tablet Salut Selaput','Obat Keras','https://dto.kemkes.go.id/kfacode/93001614',0,'2023-05-01');</v>
      </c>
    </row>
    <row r="1169" spans="1:11" ht="15.75" customHeight="1">
      <c r="A1169" s="2">
        <v>93001615</v>
      </c>
      <c r="B1169" s="2" t="s">
        <v>3411</v>
      </c>
      <c r="C1169" s="2">
        <v>92000923</v>
      </c>
      <c r="D1169" s="2" t="s">
        <v>1329</v>
      </c>
      <c r="E1169" s="2" t="s">
        <v>3409</v>
      </c>
      <c r="F1169" s="2" t="s">
        <v>668</v>
      </c>
      <c r="G1169" s="2" t="s">
        <v>1457</v>
      </c>
      <c r="H1169" s="2" t="s">
        <v>1458</v>
      </c>
      <c r="I1169" s="3" t="str">
        <f t="shared" si="0"/>
        <v>https://dto.kemkes.go.id/kfacode/93001615</v>
      </c>
      <c r="J1169" s="34" t="s">
        <v>3768</v>
      </c>
      <c r="K1169" t="str">
        <f t="shared" si="19"/>
        <v>insert into mkatalog_kfa93 (kode, uraian, kode_92, uraian_92, nama_dagang, satuan_kecil, sediaan, golongan, url, userid_updt, sysdate_updt) values ('93001615','Sacubitril 97,2 mg / Valsartan 102,8 mg Tablet Salut Selaput (UPERIO)','92000923','Sacubitril 97,2 mg / Valsartan 102,8 mg Tablet Salut Selaput','UPERIO','Units','Tablet Salut Selaput','Obat Keras','https://dto.kemkes.go.id/kfacode/93001615',0,'2023-05-01');</v>
      </c>
    </row>
    <row r="1170" spans="1:11" ht="15.75" customHeight="1">
      <c r="A1170" s="2">
        <v>93000453</v>
      </c>
      <c r="B1170" s="2" t="s">
        <v>3412</v>
      </c>
      <c r="C1170" s="2">
        <v>92000327</v>
      </c>
      <c r="D1170" s="2" t="s">
        <v>1330</v>
      </c>
      <c r="E1170" s="2" t="s">
        <v>3413</v>
      </c>
      <c r="F1170" s="2" t="s">
        <v>932</v>
      </c>
      <c r="G1170" s="2" t="s">
        <v>1489</v>
      </c>
      <c r="H1170" s="2" t="s">
        <v>1458</v>
      </c>
      <c r="I1170" s="3" t="str">
        <f t="shared" si="0"/>
        <v>https://dto.kemkes.go.id/kfacode/93000453</v>
      </c>
      <c r="J1170" s="34" t="s">
        <v>3768</v>
      </c>
      <c r="K1170" t="str">
        <f t="shared" si="19"/>
        <v>insert into mkatalog_kfa93 (kode, uraian, kode_92, uraian_92, nama_dagang, satuan_kecil, sediaan, golongan, url, userid_updt, sysdate_updt) values ('93000453','Salbutamol 100 mcg Cairan Inhalasi (SUPRASMA)','92000327','Salbutamol 100 mcg Cairan Inhalasi','SUPRASMA','Canister','Larutan Inhalasi','Obat Keras','https://dto.kemkes.go.id/kfacode/93000453',0,'2023-05-01');</v>
      </c>
    </row>
    <row r="1171" spans="1:11" ht="15.75" customHeight="1">
      <c r="A1171" s="2">
        <v>93001541</v>
      </c>
      <c r="B1171" s="2" t="s">
        <v>3414</v>
      </c>
      <c r="C1171" s="2">
        <v>92000885</v>
      </c>
      <c r="D1171" s="2" t="s">
        <v>1331</v>
      </c>
      <c r="E1171" s="2" t="s">
        <v>3415</v>
      </c>
      <c r="F1171" s="2" t="s">
        <v>658</v>
      </c>
      <c r="G1171" s="2" t="s">
        <v>1832</v>
      </c>
      <c r="H1171" s="2" t="s">
        <v>1458</v>
      </c>
      <c r="I1171" s="3" t="str">
        <f t="shared" si="0"/>
        <v>https://dto.kemkes.go.id/kfacode/93001541</v>
      </c>
      <c r="J1171" s="34" t="s">
        <v>3768</v>
      </c>
      <c r="K1171" t="str">
        <f t="shared" si="19"/>
        <v>insert into mkatalog_kfa93 (kode, uraian, kode_92, uraian_92, nama_dagang, satuan_kecil, sediaan, golongan, url, userid_updt, sysdate_updt) values ('93001541','Salbutamol 2 mg / 5 mL Sirup (IMFARMIND FARMASI INDUSTRI)','92000885','Salbutamol 2 mg / 5 mL Sirup','SALBUTAMOL SULFATE','Botol','Sirup','Obat Keras','https://dto.kemkes.go.id/kfacode/93001541',0,'2023-05-01');</v>
      </c>
    </row>
    <row r="1172" spans="1:11" ht="15.75" customHeight="1">
      <c r="A1172" s="2">
        <v>93001538</v>
      </c>
      <c r="B1172" s="2" t="s">
        <v>3416</v>
      </c>
      <c r="C1172" s="2">
        <v>92000860</v>
      </c>
      <c r="D1172" s="2" t="s">
        <v>1332</v>
      </c>
      <c r="E1172" s="2" t="s">
        <v>3415</v>
      </c>
      <c r="F1172" s="2" t="s">
        <v>640</v>
      </c>
      <c r="G1172" s="2" t="s">
        <v>640</v>
      </c>
      <c r="H1172" s="2" t="s">
        <v>1458</v>
      </c>
      <c r="I1172" s="3" t="str">
        <f t="shared" si="0"/>
        <v>https://dto.kemkes.go.id/kfacode/93001538</v>
      </c>
      <c r="J1172" s="34" t="s">
        <v>3768</v>
      </c>
      <c r="K1172" t="str">
        <f t="shared" si="19"/>
        <v>insert into mkatalog_kfa93 (kode, uraian, kode_92, uraian_92, nama_dagang, satuan_kecil, sediaan, golongan, url, userid_updt, sysdate_updt) values ('93001538','Salbutamol 2 mg Tablet (IMFARMIND FARMASI INDUSTRI)','92000860','Salbutamol 2 mg Tablet','SALBUTAMOL SULFATE','Tablet','Tablet','Obat Keras','https://dto.kemkes.go.id/kfacode/93001538',0,'2023-05-01');</v>
      </c>
    </row>
    <row r="1173" spans="1:11" ht="15.75" customHeight="1">
      <c r="A1173" s="2">
        <v>93001483</v>
      </c>
      <c r="B1173" s="2" t="s">
        <v>3417</v>
      </c>
      <c r="C1173" s="2">
        <v>92000860</v>
      </c>
      <c r="D1173" s="2" t="s">
        <v>1332</v>
      </c>
      <c r="E1173" s="2" t="s">
        <v>3415</v>
      </c>
      <c r="F1173" s="2" t="s">
        <v>640</v>
      </c>
      <c r="G1173" s="2" t="s">
        <v>640</v>
      </c>
      <c r="H1173" s="2" t="s">
        <v>1458</v>
      </c>
      <c r="I1173" s="3" t="str">
        <f t="shared" si="0"/>
        <v>https://dto.kemkes.go.id/kfacode/93001483</v>
      </c>
      <c r="J1173" s="34" t="s">
        <v>3768</v>
      </c>
      <c r="K1173" t="str">
        <f t="shared" si="19"/>
        <v>insert into mkatalog_kfa93 (kode, uraian, kode_92, uraian_92, nama_dagang, satuan_kecil, sediaan, golongan, url, userid_updt, sysdate_updt) values ('93001483','Salbutamol 2 mg Tablet (KIMIA FARMA)','92000860','Salbutamol 2 mg Tablet','SALBUTAMOL SULFATE','Tablet','Tablet','Obat Keras','https://dto.kemkes.go.id/kfacode/93001483',0,'2023-05-01');</v>
      </c>
    </row>
    <row r="1174" spans="1:11" ht="15.75" customHeight="1">
      <c r="A1174" s="2">
        <v>93000612</v>
      </c>
      <c r="B1174" s="2" t="s">
        <v>3418</v>
      </c>
      <c r="C1174" s="2">
        <v>92000749</v>
      </c>
      <c r="D1174" s="2" t="s">
        <v>1333</v>
      </c>
      <c r="E1174" s="2" t="s">
        <v>3419</v>
      </c>
      <c r="F1174" s="2" t="s">
        <v>645</v>
      </c>
      <c r="G1174" s="2" t="s">
        <v>1489</v>
      </c>
      <c r="H1174" s="2" t="s">
        <v>1458</v>
      </c>
      <c r="I1174" s="3" t="str">
        <f t="shared" si="0"/>
        <v>https://dto.kemkes.go.id/kfacode/93000612</v>
      </c>
      <c r="J1174" s="34" t="s">
        <v>3768</v>
      </c>
      <c r="K1174" t="str">
        <f t="shared" si="19"/>
        <v>insert into mkatalog_kfa93 (kode, uraian, kode_92, uraian_92, nama_dagang, satuan_kecil, sediaan, golongan, url, userid_updt, sysdate_updt) values ('93000612','Salbutamol 2,5 mg / Ipratropium 0,5 mg / 2,5 mL Inhalasi (MEPROFARM - Indonesia - -)','92000749','Salbutamol 2,5 mg / Ipratropium 0,5 mg / 2,5 mL Inhalasi','MEPROVENT','Ampul','Larutan Inhalasi','Obat Keras','https://dto.kemkes.go.id/kfacode/93000612',0,'2023-05-01');</v>
      </c>
    </row>
    <row r="1175" spans="1:11" ht="15.75" customHeight="1">
      <c r="A1175" s="2">
        <v>93001539</v>
      </c>
      <c r="B1175" s="2" t="s">
        <v>3420</v>
      </c>
      <c r="C1175" s="2">
        <v>92000884</v>
      </c>
      <c r="D1175" s="2" t="s">
        <v>1334</v>
      </c>
      <c r="E1175" s="2" t="s">
        <v>3415</v>
      </c>
      <c r="F1175" s="2" t="s">
        <v>640</v>
      </c>
      <c r="G1175" s="2" t="s">
        <v>640</v>
      </c>
      <c r="H1175" s="2" t="s">
        <v>1458</v>
      </c>
      <c r="I1175" s="3" t="str">
        <f t="shared" si="0"/>
        <v>https://dto.kemkes.go.id/kfacode/93001539</v>
      </c>
      <c r="J1175" s="34" t="s">
        <v>3768</v>
      </c>
      <c r="K1175" t="str">
        <f t="shared" si="19"/>
        <v>insert into mkatalog_kfa93 (kode, uraian, kode_92, uraian_92, nama_dagang, satuan_kecil, sediaan, golongan, url, userid_updt, sysdate_updt) values ('93001539','Salbutamol 4 mg Tablet (IMFARMIND FARMASI INDUSTRI)','92000884','Salbutamol 4 mg Tablet','SALBUTAMOL SULFATE','Tablet','Tablet','Obat Keras','https://dto.kemkes.go.id/kfacode/93001539',0,'2023-05-01');</v>
      </c>
    </row>
    <row r="1176" spans="1:11" ht="15.75" customHeight="1">
      <c r="A1176" s="2">
        <v>93000711</v>
      </c>
      <c r="B1176" s="2" t="s">
        <v>3421</v>
      </c>
      <c r="C1176" s="2">
        <v>92000145</v>
      </c>
      <c r="D1176" s="2" t="s">
        <v>1335</v>
      </c>
      <c r="E1176" s="2" t="s">
        <v>3422</v>
      </c>
      <c r="F1176" s="2" t="s">
        <v>655</v>
      </c>
      <c r="G1176" s="2" t="s">
        <v>1628</v>
      </c>
      <c r="H1176" s="2" t="s">
        <v>1525</v>
      </c>
      <c r="I1176" s="3" t="str">
        <f t="shared" si="0"/>
        <v>https://dto.kemkes.go.id/kfacode/93000711</v>
      </c>
      <c r="J1176" s="34" t="s">
        <v>3768</v>
      </c>
      <c r="K1176" t="str">
        <f t="shared" si="19"/>
        <v>insert into mkatalog_kfa93 (kode, uraian, kode_92, uraian_92, nama_dagang, satuan_kecil, sediaan, golongan, url, userid_updt, sysdate_updt) values ('93000711','Salicylic Acid 2% / Sulfur Precipitated 4% Salep (AFIFARMA, 15 g)','92000145','Salicylic Acid 2% / Sulfur Precipitated 4% Salep','SALEP 2-4','Tube','Salep','Obat Bebas','https://dto.kemkes.go.id/kfacode/93000711',0,'2023-05-01');</v>
      </c>
    </row>
    <row r="1177" spans="1:11" ht="15.75" customHeight="1">
      <c r="A1177" s="2">
        <v>93000710</v>
      </c>
      <c r="B1177" s="2" t="s">
        <v>3423</v>
      </c>
      <c r="C1177" s="2">
        <v>92000145</v>
      </c>
      <c r="D1177" s="2" t="s">
        <v>1335</v>
      </c>
      <c r="E1177" s="2" t="s">
        <v>3422</v>
      </c>
      <c r="F1177" s="2" t="s">
        <v>655</v>
      </c>
      <c r="G1177" s="2" t="s">
        <v>1628</v>
      </c>
      <c r="H1177" s="2" t="s">
        <v>1525</v>
      </c>
      <c r="I1177" s="3" t="str">
        <f t="shared" si="0"/>
        <v>https://dto.kemkes.go.id/kfacode/93000710</v>
      </c>
      <c r="J1177" s="34" t="s">
        <v>3768</v>
      </c>
      <c r="K1177" t="str">
        <f t="shared" si="19"/>
        <v>insert into mkatalog_kfa93 (kode, uraian, kode_92, uraian_92, nama_dagang, satuan_kecil, sediaan, golongan, url, userid_updt, sysdate_updt) values ('93000710','Salicylic Acid 2% / Sulfur Precipitated 4% Salep (AFIFARMA, 30 g)','92000145','Salicylic Acid 2% / Sulfur Precipitated 4% Salep','SALEP 2-4','Tube','Salep','Obat Bebas','https://dto.kemkes.go.id/kfacode/93000710',0,'2023-05-01');</v>
      </c>
    </row>
    <row r="1178" spans="1:11" ht="15.75" customHeight="1">
      <c r="A1178" s="2">
        <v>93000712</v>
      </c>
      <c r="B1178" s="2" t="s">
        <v>3424</v>
      </c>
      <c r="C1178" s="2">
        <v>92000145</v>
      </c>
      <c r="D1178" s="2" t="s">
        <v>1335</v>
      </c>
      <c r="E1178" s="2" t="s">
        <v>3422</v>
      </c>
      <c r="F1178" s="2" t="s">
        <v>655</v>
      </c>
      <c r="G1178" s="2" t="s">
        <v>1628</v>
      </c>
      <c r="H1178" s="2" t="s">
        <v>1525</v>
      </c>
      <c r="I1178" s="3" t="str">
        <f t="shared" si="0"/>
        <v>https://dto.kemkes.go.id/kfacode/93000712</v>
      </c>
      <c r="J1178" s="34" t="s">
        <v>3768</v>
      </c>
      <c r="K1178" t="str">
        <f t="shared" si="19"/>
        <v>insert into mkatalog_kfa93 (kode, uraian, kode_92, uraian_92, nama_dagang, satuan_kecil, sediaan, golongan, url, userid_updt, sysdate_updt) values ('93000712','Salicylic Acid 2% / Sulfur Precipitated 4% Salep (HOLI PHARMA, 30 g)','92000145','Salicylic Acid 2% / Sulfur Precipitated 4% Salep','SALEP 2-4','Tube','Salep','Obat Bebas','https://dto.kemkes.go.id/kfacode/93000712',0,'2023-05-01');</v>
      </c>
    </row>
    <row r="1179" spans="1:11" ht="15.75" customHeight="1">
      <c r="A1179" s="2">
        <v>93000713</v>
      </c>
      <c r="B1179" s="2" t="s">
        <v>3425</v>
      </c>
      <c r="C1179" s="2">
        <v>92000145</v>
      </c>
      <c r="D1179" s="2" t="s">
        <v>1335</v>
      </c>
      <c r="E1179" s="2" t="s">
        <v>3422</v>
      </c>
      <c r="F1179" s="2" t="s">
        <v>655</v>
      </c>
      <c r="G1179" s="2" t="s">
        <v>1628</v>
      </c>
      <c r="H1179" s="2" t="s">
        <v>1525</v>
      </c>
      <c r="I1179" s="3" t="str">
        <f t="shared" si="0"/>
        <v>https://dto.kemkes.go.id/kfacode/93000713</v>
      </c>
      <c r="J1179" s="34" t="s">
        <v>3768</v>
      </c>
      <c r="K1179" t="str">
        <f t="shared" si="19"/>
        <v>insert into mkatalog_kfa93 (kode, uraian, kode_92, uraian_92, nama_dagang, satuan_kecil, sediaan, golongan, url, userid_updt, sysdate_updt) values ('93000713','Salicylic Acid 2% / Sulfur Precipitated 4% Salep (TEMPO SCAN PACIFIC Tbk, 30 g)','92000145','Salicylic Acid 2% / Sulfur Precipitated 4% Salep','SALEP 2-4','Tube','Salep','Obat Bebas','https://dto.kemkes.go.id/kfacode/93000713',0,'2023-05-01');</v>
      </c>
    </row>
    <row r="1180" spans="1:11" ht="15.75" customHeight="1">
      <c r="A1180" s="2">
        <v>93000519</v>
      </c>
      <c r="B1180" s="2" t="s">
        <v>3426</v>
      </c>
      <c r="C1180" s="2">
        <v>92000416</v>
      </c>
      <c r="D1180" s="2" t="s">
        <v>1336</v>
      </c>
      <c r="E1180" s="2" t="s">
        <v>3427</v>
      </c>
      <c r="F1180" s="2" t="s">
        <v>1337</v>
      </c>
      <c r="G1180" s="2" t="s">
        <v>1738</v>
      </c>
      <c r="H1180" s="2" t="s">
        <v>1458</v>
      </c>
      <c r="I1180" s="3" t="str">
        <f t="shared" si="0"/>
        <v>https://dto.kemkes.go.id/kfacode/93000519</v>
      </c>
      <c r="J1180" s="34" t="s">
        <v>3768</v>
      </c>
      <c r="K1180" t="str">
        <f t="shared" si="19"/>
        <v>insert into mkatalog_kfa93 (kode, uraian, kode_92, uraian_92, nama_dagang, satuan_kecil, sediaan, golongan, url, userid_updt, sysdate_updt) values ('93000519','Salmeterol Xinafoate 50 mcg / Fluticasone Propionat 100 mcg Inhalasi (SERETIDE DISKUS 100)','92000416','Salmeterol Xinafoate 50 mcg / Fluticasone Propionat 100 mcg Inhalasi','SERETIDE DISKUS 100','Blister','Serbuk Inhaler','Obat Keras','https://dto.kemkes.go.id/kfacode/93000519',0,'2023-05-01');</v>
      </c>
    </row>
    <row r="1181" spans="1:11" ht="15.75" customHeight="1">
      <c r="A1181" s="2">
        <v>93000708</v>
      </c>
      <c r="B1181" s="2" t="s">
        <v>3428</v>
      </c>
      <c r="C1181" s="2">
        <v>92000479</v>
      </c>
      <c r="D1181" s="2" t="s">
        <v>1338</v>
      </c>
      <c r="E1181" s="2" t="s">
        <v>3429</v>
      </c>
      <c r="F1181" s="2" t="s">
        <v>1337</v>
      </c>
      <c r="G1181" s="2" t="s">
        <v>1738</v>
      </c>
      <c r="H1181" s="2" t="s">
        <v>1458</v>
      </c>
      <c r="I1181" s="3" t="str">
        <f t="shared" si="0"/>
        <v>https://dto.kemkes.go.id/kfacode/93000708</v>
      </c>
      <c r="J1181" s="34" t="s">
        <v>3768</v>
      </c>
      <c r="K1181" t="str">
        <f t="shared" si="19"/>
        <v>insert into mkatalog_kfa93 (kode, uraian, kode_92, uraian_92, nama_dagang, satuan_kecil, sediaan, golongan, url, userid_updt, sysdate_updt) values ('93000708','Salmeterol Xinafoate 50 mcg / Fluticasone Propionat 250 mcg Inhalasi (SERETIDE DISKUS 250)','92000479','Salmeterol Xinafoate 50 mcg / Fluticasone Propionat 250 mcg Inhalasi','SERETIDE DISKUS 250','Blister','Serbuk Inhaler','Obat Keras','https://dto.kemkes.go.id/kfacode/93000708',0,'2023-05-01');</v>
      </c>
    </row>
    <row r="1182" spans="1:11" ht="15.75" customHeight="1">
      <c r="A1182" s="2">
        <v>93000411</v>
      </c>
      <c r="B1182" s="2" t="s">
        <v>3430</v>
      </c>
      <c r="C1182" s="2">
        <v>92000294</v>
      </c>
      <c r="D1182" s="2" t="s">
        <v>1339</v>
      </c>
      <c r="E1182" s="2" t="s">
        <v>3431</v>
      </c>
      <c r="F1182" s="2" t="s">
        <v>1337</v>
      </c>
      <c r="G1182" s="2" t="s">
        <v>1738</v>
      </c>
      <c r="H1182" s="2" t="s">
        <v>1458</v>
      </c>
      <c r="I1182" s="3" t="str">
        <f t="shared" si="0"/>
        <v>https://dto.kemkes.go.id/kfacode/93000411</v>
      </c>
      <c r="J1182" s="34" t="s">
        <v>3768</v>
      </c>
      <c r="K1182" t="str">
        <f t="shared" si="19"/>
        <v>insert into mkatalog_kfa93 (kode, uraian, kode_92, uraian_92, nama_dagang, satuan_kecil, sediaan, golongan, url, userid_updt, sysdate_updt) values ('93000411','Salmeterol Xinafoate 50 mcg / Fluticasone Propionat 500 mcg Serbuk Inhaler (SERETIDE DISKUS 500)','92000294','Salmeterol Xinafoate 50 mcg / Fluticasone Propionat 500 mcg Serbuk Inhaler','SERETIDE DISKUS 500','Blister','Serbuk Inhaler','Obat Keras','https://dto.kemkes.go.id/kfacode/93000411',0,'2023-05-01');</v>
      </c>
    </row>
    <row r="1183" spans="1:11" ht="15.75" customHeight="1">
      <c r="A1183" s="2">
        <v>93000831</v>
      </c>
      <c r="B1183" s="2" t="s">
        <v>3432</v>
      </c>
      <c r="C1183" s="2">
        <v>92000427</v>
      </c>
      <c r="D1183" s="2" t="s">
        <v>1340</v>
      </c>
      <c r="E1183" s="2" t="s">
        <v>3433</v>
      </c>
      <c r="F1183" s="2" t="s">
        <v>653</v>
      </c>
      <c r="G1183" s="2" t="s">
        <v>1500</v>
      </c>
      <c r="H1183" s="2" t="s">
        <v>1458</v>
      </c>
      <c r="I1183" s="3" t="str">
        <f t="shared" si="0"/>
        <v>https://dto.kemkes.go.id/kfacode/93000831</v>
      </c>
      <c r="J1183" s="34" t="s">
        <v>3768</v>
      </c>
      <c r="K1183" t="str">
        <f t="shared" si="19"/>
        <v>insert into mkatalog_kfa93 (kode, uraian, kode_92, uraian_92, nama_dagang, satuan_kecil, sediaan, golongan, url, userid_updt, sysdate_updt) values ('93000831','Secukinumab 150 mg Serbuk Injeksi (FRAIZERON)','92000427','Secukinumab 150 mg Serbuk Injeksi','FRAIZERON','Vial','Serbuk Injeksi','Obat Keras','https://dto.kemkes.go.id/kfacode/93000831',0,'2023-05-01');</v>
      </c>
    </row>
    <row r="1184" spans="1:11" ht="15.75" customHeight="1">
      <c r="A1184" s="2">
        <v>93000764</v>
      </c>
      <c r="B1184" s="2" t="s">
        <v>3434</v>
      </c>
      <c r="C1184" s="2">
        <v>92000582</v>
      </c>
      <c r="D1184" s="2" t="s">
        <v>1341</v>
      </c>
      <c r="E1184" s="2" t="s">
        <v>3435</v>
      </c>
      <c r="F1184" s="2" t="s">
        <v>640</v>
      </c>
      <c r="G1184" s="2" t="s">
        <v>640</v>
      </c>
      <c r="H1184" s="2" t="s">
        <v>1458</v>
      </c>
      <c r="I1184" s="3" t="str">
        <f t="shared" si="0"/>
        <v>https://dto.kemkes.go.id/kfacode/93000764</v>
      </c>
      <c r="J1184" s="34" t="s">
        <v>3768</v>
      </c>
      <c r="K1184" t="str">
        <f t="shared" si="19"/>
        <v>insert into mkatalog_kfa93 (kode, uraian, kode_92, uraian_92, nama_dagang, satuan_kecil, sediaan, golongan, url, userid_updt, sysdate_updt) values ('93000764','Sefiksime 200 mg Tablet (DEXA MEDICA - Indonesia - -)','92000582','Sefiksime 200 mg Tablet','CEFIXIME','Tablet','Tablet','Obat Keras','https://dto.kemkes.go.id/kfacode/93000764',0,'2023-05-01');</v>
      </c>
    </row>
    <row r="1185" spans="1:11" ht="15.75" customHeight="1">
      <c r="A1185" s="2">
        <v>93001333</v>
      </c>
      <c r="B1185" s="2" t="s">
        <v>3436</v>
      </c>
      <c r="C1185" s="2">
        <v>92000306</v>
      </c>
      <c r="D1185" s="2" t="s">
        <v>1342</v>
      </c>
      <c r="E1185" s="2" t="s">
        <v>3437</v>
      </c>
      <c r="F1185" s="2" t="s">
        <v>640</v>
      </c>
      <c r="G1185" s="2" t="s">
        <v>1457</v>
      </c>
      <c r="H1185" s="2" t="s">
        <v>1458</v>
      </c>
      <c r="I1185" s="3" t="str">
        <f t="shared" si="0"/>
        <v>https://dto.kemkes.go.id/kfacode/93001333</v>
      </c>
      <c r="J1185" s="34" t="s">
        <v>3768</v>
      </c>
      <c r="K1185" t="str">
        <f t="shared" si="19"/>
        <v>insert into mkatalog_kfa93 (kode, uraian, kode_92, uraian_92, nama_dagang, satuan_kecil, sediaan, golongan, url, userid_updt, sysdate_updt) values ('93001333','Sertraline Hydrochloride 50 mg Tablet Salut Selaput (MEPROFARM)','92000306','Sertraline Hydrochloride 50 mg Tablet Salut Selaput','SERTRALINE HYDROCHLORIDE','Tablet','Tablet Salut Selaput','Obat Keras','https://dto.kemkes.go.id/kfacode/93001333',0,'2023-05-01');</v>
      </c>
    </row>
    <row r="1186" spans="1:11" ht="15.75" customHeight="1">
      <c r="A1186" s="2">
        <v>93000420</v>
      </c>
      <c r="B1186" s="2" t="s">
        <v>3438</v>
      </c>
      <c r="C1186" s="2">
        <v>92000306</v>
      </c>
      <c r="D1186" s="2" t="s">
        <v>1342</v>
      </c>
      <c r="E1186" s="2" t="s">
        <v>3439</v>
      </c>
      <c r="F1186" s="2" t="s">
        <v>640</v>
      </c>
      <c r="G1186" s="2" t="s">
        <v>1457</v>
      </c>
      <c r="H1186" s="2" t="s">
        <v>1458</v>
      </c>
      <c r="I1186" s="3" t="str">
        <f t="shared" si="0"/>
        <v>https://dto.kemkes.go.id/kfacode/93000420</v>
      </c>
      <c r="J1186" s="34" t="s">
        <v>3768</v>
      </c>
      <c r="K1186" t="str">
        <f t="shared" si="19"/>
        <v>insert into mkatalog_kfa93 (kode, uraian, kode_92, uraian_92, nama_dagang, satuan_kecil, sediaan, golongan, url, userid_updt, sysdate_updt) values ('93000420','Sertraline Hydrochloride 50 mg Tablet Salut Selaput (PRATAPA NIRMALA)','92000306','Sertraline Hydrochloride 50 mg Tablet Salut Selaput','SERTRALINE HCL','Tablet','Tablet Salut Selaput','Obat Keras','https://dto.kemkes.go.id/kfacode/93000420',0,'2023-05-01');</v>
      </c>
    </row>
    <row r="1187" spans="1:11" ht="15.75" customHeight="1">
      <c r="A1187" s="2">
        <v>93001602</v>
      </c>
      <c r="B1187" s="2" t="s">
        <v>3440</v>
      </c>
      <c r="C1187" s="2">
        <v>92000686</v>
      </c>
      <c r="D1187" s="2" t="s">
        <v>1343</v>
      </c>
      <c r="E1187" s="2" t="s">
        <v>3441</v>
      </c>
      <c r="F1187" s="2" t="s">
        <v>640</v>
      </c>
      <c r="G1187" s="2" t="s">
        <v>1457</v>
      </c>
      <c r="H1187" s="2" t="s">
        <v>1458</v>
      </c>
      <c r="I1187" s="3" t="str">
        <f t="shared" si="0"/>
        <v>https://dto.kemkes.go.id/kfacode/93001602</v>
      </c>
      <c r="J1187" s="34" t="s">
        <v>3768</v>
      </c>
      <c r="K1187" t="str">
        <f t="shared" si="19"/>
        <v>insert into mkatalog_kfa93 (kode, uraian, kode_92, uraian_92, nama_dagang, satuan_kecil, sediaan, golongan, url, userid_updt, sysdate_updt) values ('93001602','Sevelamer Carbonate 800 mg Tablet Salut Selaput (RENAFOS)','92000686','Sevelamer Carbonate 800 mg Tablet Salut Selaput','RENAFOS','Tablet','Tablet Salut Selaput','Obat Keras','https://dto.kemkes.go.id/kfacode/93001602',0,'2023-05-01');</v>
      </c>
    </row>
    <row r="1188" spans="1:11" ht="15.75" customHeight="1">
      <c r="A1188" s="2">
        <v>93001002</v>
      </c>
      <c r="B1188" s="2" t="s">
        <v>3442</v>
      </c>
      <c r="C1188" s="2">
        <v>92000686</v>
      </c>
      <c r="D1188" s="2" t="s">
        <v>1343</v>
      </c>
      <c r="E1188" s="2" t="s">
        <v>3443</v>
      </c>
      <c r="F1188" s="2" t="s">
        <v>640</v>
      </c>
      <c r="G1188" s="2" t="s">
        <v>1457</v>
      </c>
      <c r="H1188" s="2" t="s">
        <v>1458</v>
      </c>
      <c r="I1188" s="3" t="str">
        <f t="shared" si="0"/>
        <v>https://dto.kemkes.go.id/kfacode/93001002</v>
      </c>
      <c r="J1188" s="34" t="s">
        <v>3768</v>
      </c>
      <c r="K1188" t="str">
        <f t="shared" si="19"/>
        <v>insert into mkatalog_kfa93 (kode, uraian, kode_92, uraian_92, nama_dagang, satuan_kecil, sediaan, golongan, url, userid_updt, sysdate_updt) values ('93001002','Sevelamer Carbonate 800 mg Tablet Salut Selaput (RENVELA)','92000686','Sevelamer Carbonate 800 mg Tablet Salut Selaput','RENVELA','Tablet','Tablet Salut Selaput','Obat Keras','https://dto.kemkes.go.id/kfacode/93001002',0,'2023-05-01');</v>
      </c>
    </row>
    <row r="1189" spans="1:11" ht="15.75" customHeight="1">
      <c r="A1189" s="2">
        <v>93000575</v>
      </c>
      <c r="B1189" s="2" t="s">
        <v>3444</v>
      </c>
      <c r="C1189" s="2">
        <v>92000386</v>
      </c>
      <c r="D1189" s="2" t="s">
        <v>1344</v>
      </c>
      <c r="E1189" s="2" t="s">
        <v>3445</v>
      </c>
      <c r="F1189" s="2" t="s">
        <v>658</v>
      </c>
      <c r="G1189" s="2" t="s">
        <v>1489</v>
      </c>
      <c r="H1189" s="2" t="s">
        <v>1458</v>
      </c>
      <c r="I1189" s="3" t="str">
        <f t="shared" si="0"/>
        <v>https://dto.kemkes.go.id/kfacode/93000575</v>
      </c>
      <c r="J1189" s="34" t="s">
        <v>3768</v>
      </c>
      <c r="K1189" t="str">
        <f t="shared" si="19"/>
        <v>insert into mkatalog_kfa93 (kode, uraian, kode_92, uraian_92, nama_dagang, satuan_kecil, sediaan, golongan, url, userid_updt, sysdate_updt) values ('93000575','Sevoflurane 250 mL Inhalasi (MERSIFARMA TIRMAKU MERCUSANA)','92000386','Sevoflurane 250 mL Inhalasi','SEVOFLURANE','Botol','Larutan Inhalasi','Obat Keras','https://dto.kemkes.go.id/kfacode/93000575',0,'2023-05-01');</v>
      </c>
    </row>
    <row r="1190" spans="1:11" ht="15.75" customHeight="1">
      <c r="A1190" s="2">
        <v>93000576</v>
      </c>
      <c r="B1190" s="2" t="s">
        <v>3446</v>
      </c>
      <c r="C1190" s="2">
        <v>92000386</v>
      </c>
      <c r="D1190" s="2" t="s">
        <v>1344</v>
      </c>
      <c r="E1190" s="2" t="s">
        <v>3447</v>
      </c>
      <c r="F1190" s="2" t="s">
        <v>658</v>
      </c>
      <c r="G1190" s="2" t="s">
        <v>1489</v>
      </c>
      <c r="H1190" s="2" t="s">
        <v>1458</v>
      </c>
      <c r="I1190" s="3" t="str">
        <f t="shared" si="0"/>
        <v>https://dto.kemkes.go.id/kfacode/93000576</v>
      </c>
      <c r="J1190" s="34" t="s">
        <v>3768</v>
      </c>
      <c r="K1190" t="str">
        <f t="shared" si="19"/>
        <v>insert into mkatalog_kfa93 (kode, uraian, kode_92, uraian_92, nama_dagang, satuan_kecil, sediaan, golongan, url, userid_updt, sysdate_updt) values ('93000576','Sevoflurane 250 mL Inhalasi (NOREVELL)','92000386','Sevoflurane 250 mL Inhalasi','NOREVELL','Botol','Larutan Inhalasi','Obat Keras','https://dto.kemkes.go.id/kfacode/93000576',0,'2023-05-01');</v>
      </c>
    </row>
    <row r="1191" spans="1:11" ht="15.75" customHeight="1">
      <c r="A1191" s="2">
        <v>93000573</v>
      </c>
      <c r="B1191" s="2" t="s">
        <v>3448</v>
      </c>
      <c r="C1191" s="2">
        <v>92000386</v>
      </c>
      <c r="D1191" s="2" t="s">
        <v>1344</v>
      </c>
      <c r="E1191" s="2" t="s">
        <v>3445</v>
      </c>
      <c r="F1191" s="2" t="s">
        <v>658</v>
      </c>
      <c r="G1191" s="2" t="s">
        <v>1489</v>
      </c>
      <c r="H1191" s="2" t="s">
        <v>1458</v>
      </c>
      <c r="I1191" s="3" t="str">
        <f t="shared" si="0"/>
        <v>https://dto.kemkes.go.id/kfacode/93000573</v>
      </c>
      <c r="J1191" s="34" t="s">
        <v>3768</v>
      </c>
      <c r="K1191" t="str">
        <f t="shared" si="19"/>
        <v>insert into mkatalog_kfa93 (kode, uraian, kode_92, uraian_92, nama_dagang, satuan_kecil, sediaan, golongan, url, userid_updt, sysdate_updt) values ('93000573','Sevoflurane 250 mL Inhalasi (NOVELL PHARMACEUTICAL LABORATORIES)','92000386','Sevoflurane 250 mL Inhalasi','SEVOFLURANE','Botol','Larutan Inhalasi','Obat Keras','https://dto.kemkes.go.id/kfacode/93000573',0,'2023-05-01');</v>
      </c>
    </row>
    <row r="1192" spans="1:11" ht="15.75" customHeight="1">
      <c r="A1192" s="2">
        <v>93000574</v>
      </c>
      <c r="B1192" s="2" t="s">
        <v>3449</v>
      </c>
      <c r="C1192" s="2">
        <v>92000386</v>
      </c>
      <c r="D1192" s="2" t="s">
        <v>1344</v>
      </c>
      <c r="E1192" s="2" t="s">
        <v>3445</v>
      </c>
      <c r="F1192" s="2" t="s">
        <v>658</v>
      </c>
      <c r="G1192" s="2" t="s">
        <v>1489</v>
      </c>
      <c r="H1192" s="2" t="s">
        <v>1458</v>
      </c>
      <c r="I1192" s="3" t="str">
        <f t="shared" si="0"/>
        <v>https://dto.kemkes.go.id/kfacode/93000574</v>
      </c>
      <c r="J1192" s="34" t="s">
        <v>3768</v>
      </c>
      <c r="K1192" t="str">
        <f t="shared" si="19"/>
        <v>insert into mkatalog_kfa93 (kode, uraian, kode_92, uraian_92, nama_dagang, satuan_kecil, sediaan, golongan, url, userid_updt, sysdate_updt) values ('93000574','Sevoflurane 250 mL Inhalasi (PRATAPA NIRMALA)','92000386','Sevoflurane 250 mL Inhalasi','SEVOFLURANE','Botol','Larutan Inhalasi','Obat Keras','https://dto.kemkes.go.id/kfacode/93000574',0,'2023-05-01');</v>
      </c>
    </row>
    <row r="1193" spans="1:11" ht="15.75" customHeight="1">
      <c r="A1193" s="2">
        <v>93000579</v>
      </c>
      <c r="B1193" s="2" t="s">
        <v>3450</v>
      </c>
      <c r="C1193" s="2">
        <v>92000386</v>
      </c>
      <c r="D1193" s="2" t="s">
        <v>1344</v>
      </c>
      <c r="E1193" s="2" t="s">
        <v>3451</v>
      </c>
      <c r="F1193" s="2" t="s">
        <v>658</v>
      </c>
      <c r="G1193" s="2" t="s">
        <v>1489</v>
      </c>
      <c r="H1193" s="2" t="s">
        <v>1458</v>
      </c>
      <c r="I1193" s="3" t="str">
        <f t="shared" si="0"/>
        <v>https://dto.kemkes.go.id/kfacode/93000579</v>
      </c>
      <c r="J1193" s="34" t="s">
        <v>3768</v>
      </c>
      <c r="K1193" t="str">
        <f t="shared" si="19"/>
        <v>insert into mkatalog_kfa93 (kode, uraian, kode_92, uraian_92, nama_dagang, satuan_kecil, sediaan, golongan, url, userid_updt, sysdate_updt) values ('93000579','Sevoflurane 250 mL Inhalasi (SEGANEST)','92000386','Sevoflurane 250 mL Inhalasi','SEGANEST','Botol','Larutan Inhalasi','Obat Keras','https://dto.kemkes.go.id/kfacode/93000579',0,'2023-05-01');</v>
      </c>
    </row>
    <row r="1194" spans="1:11" ht="15.75" customHeight="1">
      <c r="A1194" s="2">
        <v>93000577</v>
      </c>
      <c r="B1194" s="2" t="s">
        <v>3452</v>
      </c>
      <c r="C1194" s="2">
        <v>92000386</v>
      </c>
      <c r="D1194" s="2" t="s">
        <v>1344</v>
      </c>
      <c r="E1194" s="2" t="s">
        <v>3453</v>
      </c>
      <c r="F1194" s="2" t="s">
        <v>658</v>
      </c>
      <c r="G1194" s="2" t="s">
        <v>1489</v>
      </c>
      <c r="H1194" s="2" t="s">
        <v>1458</v>
      </c>
      <c r="I1194" s="3" t="str">
        <f t="shared" si="0"/>
        <v>https://dto.kemkes.go.id/kfacode/93000577</v>
      </c>
      <c r="J1194" s="34" t="s">
        <v>3768</v>
      </c>
      <c r="K1194" t="str">
        <f t="shared" si="19"/>
        <v>insert into mkatalog_kfa93 (kode, uraian, kode_92, uraian_92, nama_dagang, satuan_kecil, sediaan, golongan, url, userid_updt, sysdate_updt) values ('93000577','Sevoflurane 250 mL Inhalasi (SOFAR)','92000386','Sevoflurane 250 mL Inhalasi','SOFAR','Botol','Larutan Inhalasi','Obat Keras','https://dto.kemkes.go.id/kfacode/93000577',0,'2023-05-01');</v>
      </c>
    </row>
    <row r="1195" spans="1:11" ht="15.75" customHeight="1">
      <c r="A1195" s="2">
        <v>93000578</v>
      </c>
      <c r="B1195" s="2" t="s">
        <v>3454</v>
      </c>
      <c r="C1195" s="2">
        <v>92000386</v>
      </c>
      <c r="D1195" s="2" t="s">
        <v>1344</v>
      </c>
      <c r="E1195" s="2" t="s">
        <v>3455</v>
      </c>
      <c r="F1195" s="2" t="s">
        <v>658</v>
      </c>
      <c r="G1195" s="2" t="s">
        <v>1489</v>
      </c>
      <c r="H1195" s="2" t="s">
        <v>1458</v>
      </c>
      <c r="I1195" s="3" t="str">
        <f t="shared" si="0"/>
        <v>https://dto.kemkes.go.id/kfacode/93000578</v>
      </c>
      <c r="J1195" s="34" t="s">
        <v>3768</v>
      </c>
      <c r="K1195" t="str">
        <f t="shared" si="19"/>
        <v>insert into mkatalog_kfa93 (kode, uraian, kode_92, uraian_92, nama_dagang, satuan_kecil, sediaan, golongan, url, userid_updt, sysdate_updt) values ('93000578','Sevoflurane 250 mL Inhalasi (SOJOURN)','92000386','Sevoflurane 250 mL Inhalasi','SOJOURN','Botol','Larutan Inhalasi','Obat Keras','https://dto.kemkes.go.id/kfacode/93000578',0,'2023-05-01');</v>
      </c>
    </row>
    <row r="1196" spans="1:11" ht="15.75" customHeight="1">
      <c r="A1196" s="2">
        <v>93000572</v>
      </c>
      <c r="B1196" s="2" t="s">
        <v>3456</v>
      </c>
      <c r="C1196" s="2">
        <v>92000386</v>
      </c>
      <c r="D1196" s="2" t="s">
        <v>1344</v>
      </c>
      <c r="E1196" s="2" t="s">
        <v>3445</v>
      </c>
      <c r="F1196" s="2" t="s">
        <v>658</v>
      </c>
      <c r="G1196" s="2" t="s">
        <v>1489</v>
      </c>
      <c r="H1196" s="2" t="s">
        <v>1458</v>
      </c>
      <c r="I1196" s="3" t="str">
        <f t="shared" si="0"/>
        <v>https://dto.kemkes.go.id/kfacode/93000572</v>
      </c>
      <c r="J1196" s="34" t="s">
        <v>3768</v>
      </c>
      <c r="K1196" t="str">
        <f t="shared" si="19"/>
        <v>insert into mkatalog_kfa93 (kode, uraian, kode_92, uraian_92, nama_dagang, satuan_kecil, sediaan, golongan, url, userid_updt, sysdate_updt) values ('93000572','Sevoflurane 250 mL Inhalasi (YARINDO FARMATAMA)','92000386','Sevoflurane 250 mL Inhalasi','SEVOFLURANE','Botol','Larutan Inhalasi','Obat Keras','https://dto.kemkes.go.id/kfacode/93000572',0,'2023-05-01');</v>
      </c>
    </row>
    <row r="1197" spans="1:11" ht="15.75" customHeight="1">
      <c r="A1197" s="2">
        <v>93001053</v>
      </c>
      <c r="B1197" s="2" t="s">
        <v>3457</v>
      </c>
      <c r="C1197" s="2">
        <v>92000737</v>
      </c>
      <c r="D1197" s="2" t="s">
        <v>1345</v>
      </c>
      <c r="E1197" s="2" t="s">
        <v>3458</v>
      </c>
      <c r="F1197" s="2" t="s">
        <v>702</v>
      </c>
      <c r="G1197" s="2" t="s">
        <v>2125</v>
      </c>
      <c r="H1197" s="2" t="s">
        <v>1458</v>
      </c>
      <c r="I1197" s="3" t="str">
        <f t="shared" si="0"/>
        <v>https://dto.kemkes.go.id/kfacode/93001053</v>
      </c>
      <c r="J1197" s="34" t="s">
        <v>3768</v>
      </c>
      <c r="K1197" t="str">
        <f t="shared" si="19"/>
        <v>insert into mkatalog_kfa93 (kode, uraian, kode_92, uraian_92, nama_dagang, satuan_kecil, sediaan, golongan, url, userid_updt, sysdate_updt) values ('93001053','Siklopentolat / Cyclopentolate Hydrochloride 1% Tetes Mata (CYCLON 1 %, 15 mL)','92000737','Siklopentolat / Cyclopentolate Hydrochloride 1% Tetes Mata','CYCLON 1%','Botol Plastik','Tetes Mata','Obat Keras','https://dto.kemkes.go.id/kfacode/93001053',0,'2023-05-01');</v>
      </c>
    </row>
    <row r="1198" spans="1:11" ht="15.75" customHeight="1">
      <c r="A1198" s="2">
        <v>93001052</v>
      </c>
      <c r="B1198" s="2" t="s">
        <v>3459</v>
      </c>
      <c r="C1198" s="2">
        <v>92000737</v>
      </c>
      <c r="D1198" s="2" t="s">
        <v>1345</v>
      </c>
      <c r="E1198" s="2" t="s">
        <v>3458</v>
      </c>
      <c r="F1198" s="2" t="s">
        <v>702</v>
      </c>
      <c r="G1198" s="2" t="s">
        <v>2125</v>
      </c>
      <c r="H1198" s="2" t="s">
        <v>1458</v>
      </c>
      <c r="I1198" s="3" t="str">
        <f t="shared" si="0"/>
        <v>https://dto.kemkes.go.id/kfacode/93001052</v>
      </c>
      <c r="J1198" s="34" t="s">
        <v>3768</v>
      </c>
      <c r="K1198" t="str">
        <f t="shared" si="19"/>
        <v>insert into mkatalog_kfa93 (kode, uraian, kode_92, uraian_92, nama_dagang, satuan_kecil, sediaan, golongan, url, userid_updt, sysdate_updt) values ('93001052','Siklopentolat / Cyclopentolate Hydrochloride 1% Tetes Mata (CYCLON 1 %, 5 mL)','92000737','Siklopentolat / Cyclopentolate Hydrochloride 1% Tetes Mata','CYCLON 1%','Botol Plastik','Tetes Mata','Obat Keras','https://dto.kemkes.go.id/kfacode/93001052',0,'2023-05-01');</v>
      </c>
    </row>
    <row r="1199" spans="1:11" ht="15.75" customHeight="1">
      <c r="A1199" s="2">
        <v>93001595</v>
      </c>
      <c r="B1199" s="2" t="s">
        <v>3460</v>
      </c>
      <c r="C1199" s="2">
        <v>92000911</v>
      </c>
      <c r="D1199" s="2" t="s">
        <v>1346</v>
      </c>
      <c r="E1199" s="2" t="s">
        <v>3461</v>
      </c>
      <c r="F1199" s="2" t="s">
        <v>658</v>
      </c>
      <c r="G1199" s="2" t="s">
        <v>1553</v>
      </c>
      <c r="H1199" s="2" t="s">
        <v>1458</v>
      </c>
      <c r="I1199" s="3" t="str">
        <f t="shared" si="0"/>
        <v>https://dto.kemkes.go.id/kfacode/93001595</v>
      </c>
      <c r="J1199" s="34" t="s">
        <v>3768</v>
      </c>
      <c r="K1199" t="str">
        <f t="shared" si="19"/>
        <v>insert into mkatalog_kfa93 (kode, uraian, kode_92, uraian_92, nama_dagang, satuan_kecil, sediaan, golongan, url, userid_updt, sysdate_updt) values ('93001595','Sildenafil Citrate 10 mg / mL Sirup Kering (REVATIO)','92000911','Sildenafil Citrate 10 mg / mL Sirup Kering','REVATIO','Botol','Sirup Kering','Obat Keras','https://dto.kemkes.go.id/kfacode/93001595',0,'2023-05-01');</v>
      </c>
    </row>
    <row r="1200" spans="1:11" ht="15.75" customHeight="1">
      <c r="A1200" s="2">
        <v>93001043</v>
      </c>
      <c r="B1200" s="2" t="s">
        <v>3462</v>
      </c>
      <c r="C1200" s="2">
        <v>92000727</v>
      </c>
      <c r="D1200" s="2" t="s">
        <v>1347</v>
      </c>
      <c r="E1200" s="2" t="s">
        <v>3461</v>
      </c>
      <c r="F1200" s="2" t="s">
        <v>640</v>
      </c>
      <c r="G1200" s="2" t="s">
        <v>1457</v>
      </c>
      <c r="H1200" s="2" t="s">
        <v>1458</v>
      </c>
      <c r="I1200" s="3" t="str">
        <f t="shared" si="0"/>
        <v>https://dto.kemkes.go.id/kfacode/93001043</v>
      </c>
      <c r="J1200" s="34" t="s">
        <v>3768</v>
      </c>
      <c r="K1200" t="str">
        <f t="shared" si="19"/>
        <v>insert into mkatalog_kfa93 (kode, uraian, kode_92, uraian_92, nama_dagang, satuan_kecil, sediaan, golongan, url, userid_updt, sysdate_updt) values ('93001043','Sildenafil Citrate 20 mg Tablet Salut Selaput (REVATIO)','92000727','Sildenafil Citrate 20 mg Tablet Salut Selaput','REVATIO','Tablet','Tablet Salut Selaput','Obat Keras','https://dto.kemkes.go.id/kfacode/93001043',0,'2023-05-01');</v>
      </c>
    </row>
    <row r="1201" spans="1:11" ht="15.75" customHeight="1">
      <c r="A1201" s="2">
        <v>93000943</v>
      </c>
      <c r="B1201" s="2" t="s">
        <v>3463</v>
      </c>
      <c r="C1201" s="2">
        <v>92000460</v>
      </c>
      <c r="D1201" s="2" t="s">
        <v>1348</v>
      </c>
      <c r="E1201" s="2" t="s">
        <v>3464</v>
      </c>
      <c r="F1201" s="2" t="s">
        <v>640</v>
      </c>
      <c r="G1201" s="2" t="s">
        <v>1457</v>
      </c>
      <c r="H1201" s="2" t="s">
        <v>1458</v>
      </c>
      <c r="I1201" s="3" t="str">
        <f t="shared" si="0"/>
        <v>https://dto.kemkes.go.id/kfacode/93000943</v>
      </c>
      <c r="J1201" s="34" t="s">
        <v>3768</v>
      </c>
      <c r="K1201" t="str">
        <f t="shared" si="19"/>
        <v>insert into mkatalog_kfa93 (kode, uraian, kode_92, uraian_92, nama_dagang, satuan_kecil, sediaan, golongan, url, userid_updt, sysdate_updt) values ('93000943','Silodosin 4 mg Tablet Salut Selaput (URIEF)','92000460','Silodosin 4 mg Tablet Salut Selaput','URIEF','Tablet','Tablet Salut Selaput','Obat Keras','https://dto.kemkes.go.id/kfacode/93000943',0,'2023-05-01');</v>
      </c>
    </row>
    <row r="1202" spans="1:11" ht="15.75" customHeight="1">
      <c r="A1202" s="2">
        <v>93001431</v>
      </c>
      <c r="B1202" s="2" t="s">
        <v>3465</v>
      </c>
      <c r="C1202" s="2">
        <v>92000391</v>
      </c>
      <c r="D1202" s="2" t="s">
        <v>1349</v>
      </c>
      <c r="E1202" s="2" t="s">
        <v>3466</v>
      </c>
      <c r="F1202" s="2" t="s">
        <v>649</v>
      </c>
      <c r="G1202" s="2" t="s">
        <v>2114</v>
      </c>
      <c r="H1202" s="2" t="s">
        <v>1458</v>
      </c>
      <c r="I1202" s="3" t="str">
        <f t="shared" si="0"/>
        <v>https://dto.kemkes.go.id/kfacode/93001431</v>
      </c>
      <c r="J1202" s="34" t="s">
        <v>3768</v>
      </c>
      <c r="K1202" t="str">
        <f t="shared" si="19"/>
        <v>insert into mkatalog_kfa93 (kode, uraian, kode_92, uraian_92, nama_dagang, satuan_kecil, sediaan, golongan, url, userid_updt, sysdate_updt) values ('93001431','Silostazol / Cilostazol 100 mg Kapsul Pelepasan Lambat (CITAZ)','92000391','Silostazol / Cilostazol 100 mg Kapsul Pelepasan Lambat','CITAZ 100','Kapsul','Kapsul Pelepasan Lambat','Obat Keras','https://dto.kemkes.go.id/kfacode/93001431',0,'2023-05-01');</v>
      </c>
    </row>
    <row r="1203" spans="1:11" ht="15.75" customHeight="1">
      <c r="A1203" s="2">
        <v>93000466</v>
      </c>
      <c r="B1203" s="2" t="s">
        <v>3467</v>
      </c>
      <c r="C1203" s="2">
        <v>92000391</v>
      </c>
      <c r="D1203" s="2" t="s">
        <v>1349</v>
      </c>
      <c r="E1203" s="2" t="s">
        <v>3468</v>
      </c>
      <c r="F1203" s="2" t="s">
        <v>649</v>
      </c>
      <c r="G1203" s="2" t="s">
        <v>2114</v>
      </c>
      <c r="H1203" s="2" t="s">
        <v>1458</v>
      </c>
      <c r="I1203" s="3" t="str">
        <f t="shared" si="0"/>
        <v>https://dto.kemkes.go.id/kfacode/93000466</v>
      </c>
      <c r="J1203" s="34" t="s">
        <v>3768</v>
      </c>
      <c r="K1203" t="str">
        <f t="shared" si="19"/>
        <v>insert into mkatalog_kfa93 (kode, uraian, kode_92, uraian_92, nama_dagang, satuan_kecil, sediaan, golongan, url, userid_updt, sysdate_updt) values ('93000466','Silostazol / Cilostazol 100 mg Kapsul Pelepasan Lambat (PLETAAL SR)','92000391','Silostazol / Cilostazol 100 mg Kapsul Pelepasan Lambat','PLETAAL SR','Kapsul','Kapsul Pelepasan Lambat','Obat Keras','https://dto.kemkes.go.id/kfacode/93000466',0,'2023-05-01');</v>
      </c>
    </row>
    <row r="1204" spans="1:11" ht="15.75" customHeight="1">
      <c r="A1204" s="2">
        <v>93001063</v>
      </c>
      <c r="B1204" s="2" t="s">
        <v>3469</v>
      </c>
      <c r="C1204" s="2">
        <v>92000757</v>
      </c>
      <c r="D1204" s="2" t="s">
        <v>1350</v>
      </c>
      <c r="E1204" s="2" t="s">
        <v>3470</v>
      </c>
      <c r="F1204" s="2" t="s">
        <v>640</v>
      </c>
      <c r="G1204" s="2" t="s">
        <v>640</v>
      </c>
      <c r="H1204" s="2" t="s">
        <v>1458</v>
      </c>
      <c r="I1204" s="3" t="str">
        <f t="shared" si="0"/>
        <v>https://dto.kemkes.go.id/kfacode/93001063</v>
      </c>
      <c r="J1204" s="34" t="s">
        <v>3768</v>
      </c>
      <c r="K1204" t="str">
        <f t="shared" si="19"/>
        <v>insert into mkatalog_kfa93 (kode, uraian, kode_92, uraian_92, nama_dagang, satuan_kecil, sediaan, golongan, url, userid_updt, sysdate_updt) values ('93001063','Silostazol / Cilostazol 100 mg Tablet (BERNOFARM)','92000757','Silostazol / Cilostazol 100 mg Tablet','CILOSTAZOL','Tablet','Tablet','Obat Keras','https://dto.kemkes.go.id/kfacode/93001063',0,'2023-05-01');</v>
      </c>
    </row>
    <row r="1205" spans="1:11" ht="15.75" customHeight="1">
      <c r="A1205" s="2">
        <v>93000176</v>
      </c>
      <c r="B1205" s="2" t="s">
        <v>3471</v>
      </c>
      <c r="C1205" s="2">
        <v>92000173</v>
      </c>
      <c r="D1205" s="2" t="s">
        <v>1351</v>
      </c>
      <c r="E1205" s="2" t="s">
        <v>3472</v>
      </c>
      <c r="F1205" s="2" t="s">
        <v>655</v>
      </c>
      <c r="G1205" s="2" t="s">
        <v>1661</v>
      </c>
      <c r="H1205" s="2" t="s">
        <v>1458</v>
      </c>
      <c r="I1205" s="3" t="str">
        <f t="shared" si="0"/>
        <v>https://dto.kemkes.go.id/kfacode/93000176</v>
      </c>
      <c r="J1205" s="34" t="s">
        <v>3768</v>
      </c>
      <c r="K1205" t="str">
        <f t="shared" si="19"/>
        <v>insert into mkatalog_kfa93 (kode, uraian, kode_92, uraian_92, nama_dagang, satuan_kecil, sediaan, golongan, url, userid_updt, sysdate_updt) values ('93000176','Silver Sulfadiazine 1% Krim (DARYA-VARIA LABORATORIA TBK)','92000173','Silver Sulfadiazine 1% Krim','SULFADIAZINE SILVER','Tube','Krim','Obat Keras','https://dto.kemkes.go.id/kfacode/93000176',0,'2023-05-01');</v>
      </c>
    </row>
    <row r="1206" spans="1:11" ht="15.75" customHeight="1">
      <c r="A1206" s="2">
        <v>93000458</v>
      </c>
      <c r="B1206" s="2" t="s">
        <v>3473</v>
      </c>
      <c r="C1206" s="2">
        <v>92000366</v>
      </c>
      <c r="D1206" s="2" t="s">
        <v>1352</v>
      </c>
      <c r="E1206" s="2" t="s">
        <v>3474</v>
      </c>
      <c r="F1206" s="2" t="s">
        <v>640</v>
      </c>
      <c r="G1206" s="2" t="s">
        <v>1457</v>
      </c>
      <c r="H1206" s="2" t="s">
        <v>1458</v>
      </c>
      <c r="I1206" s="3" t="str">
        <f t="shared" si="0"/>
        <v>https://dto.kemkes.go.id/kfacode/93000458</v>
      </c>
      <c r="J1206" s="34" t="s">
        <v>3768</v>
      </c>
      <c r="K1206" t="str">
        <f t="shared" si="19"/>
        <v>insert into mkatalog_kfa93 (kode, uraian, kode_92, uraian_92, nama_dagang, satuan_kecil, sediaan, golongan, url, userid_updt, sysdate_updt) values ('93000458','Simvastatin 10 mg Tablet Salut Selaput (HEXPHARM JAYA LABORATORIES)','92000366','Simvastatin 10 mg Tablet Salut Selaput','SIMVASTATIN','Tablet','Tablet Salut Selaput','Obat Keras','https://dto.kemkes.go.id/kfacode/93000458',0,'2023-05-01');</v>
      </c>
    </row>
    <row r="1207" spans="1:11" ht="15.75" customHeight="1">
      <c r="A1207" s="2">
        <v>93000469</v>
      </c>
      <c r="B1207" s="2" t="s">
        <v>3475</v>
      </c>
      <c r="C1207" s="2">
        <v>92000393</v>
      </c>
      <c r="D1207" s="2" t="s">
        <v>1353</v>
      </c>
      <c r="E1207" s="2" t="s">
        <v>3474</v>
      </c>
      <c r="F1207" s="2" t="s">
        <v>640</v>
      </c>
      <c r="G1207" s="2" t="s">
        <v>640</v>
      </c>
      <c r="H1207" s="2" t="s">
        <v>1458</v>
      </c>
      <c r="I1207" s="3" t="str">
        <f t="shared" si="0"/>
        <v>https://dto.kemkes.go.id/kfacode/93000469</v>
      </c>
      <c r="J1207" s="34" t="s">
        <v>3768</v>
      </c>
      <c r="K1207" t="str">
        <f t="shared" si="19"/>
        <v>insert into mkatalog_kfa93 (kode, uraian, kode_92, uraian_92, nama_dagang, satuan_kecil, sediaan, golongan, url, userid_updt, sysdate_updt) values ('93000469','Simvastatin 20 mg Tablet (KIMIA FARMA Tbk)','92000393','Simvastatin 20 mg Tablet','SIMVASTATIN','Tablet','Tablet','Obat Keras','https://dto.kemkes.go.id/kfacode/93000469',0,'2023-05-01');</v>
      </c>
    </row>
    <row r="1208" spans="1:11" ht="15.75" customHeight="1">
      <c r="A1208" s="2">
        <v>93001634</v>
      </c>
      <c r="B1208" s="2" t="s">
        <v>3476</v>
      </c>
      <c r="C1208" s="2">
        <v>92000933</v>
      </c>
      <c r="D1208" s="2" t="s">
        <v>1354</v>
      </c>
      <c r="E1208" s="2" t="s">
        <v>3477</v>
      </c>
      <c r="F1208" s="2" t="s">
        <v>640</v>
      </c>
      <c r="G1208" s="2" t="s">
        <v>1457</v>
      </c>
      <c r="H1208" s="2" t="s">
        <v>1458</v>
      </c>
      <c r="I1208" s="3" t="str">
        <f t="shared" si="0"/>
        <v>https://dto.kemkes.go.id/kfacode/93001634</v>
      </c>
      <c r="J1208" s="34" t="s">
        <v>3768</v>
      </c>
      <c r="K1208" t="str">
        <f t="shared" si="19"/>
        <v>insert into mkatalog_kfa93 (kode, uraian, kode_92, uraian_92, nama_dagang, satuan_kecil, sediaan, golongan, url, userid_updt, sysdate_updt) values ('93001634','Sitagliptin Phosphate 100 mg Tablet Salut Selaput (JANUVIA)','92000933','Sitagliptin Phosphate 100 mg Tablet Salut Selaput','JANUVIA','Tablet','Tablet Salut Selaput','Obat Keras','https://dto.kemkes.go.id/kfacode/93001634',0,'2023-05-01');</v>
      </c>
    </row>
    <row r="1209" spans="1:11" ht="15.75" customHeight="1">
      <c r="A1209" s="2">
        <v>93001309</v>
      </c>
      <c r="B1209" s="2" t="s">
        <v>3478</v>
      </c>
      <c r="C1209" s="2">
        <v>92000823</v>
      </c>
      <c r="D1209" s="2" t="s">
        <v>1355</v>
      </c>
      <c r="E1209" s="2" t="s">
        <v>3479</v>
      </c>
      <c r="F1209" s="2" t="s">
        <v>673</v>
      </c>
      <c r="G1209" s="2" t="s">
        <v>1530</v>
      </c>
      <c r="H1209" s="2" t="s">
        <v>1458</v>
      </c>
      <c r="I1209" s="3" t="str">
        <f t="shared" si="0"/>
        <v>https://dto.kemkes.go.id/kfacode/93001309</v>
      </c>
      <c r="J1209" s="34" t="s">
        <v>3768</v>
      </c>
      <c r="K1209" t="str">
        <f t="shared" si="19"/>
        <v>insert into mkatalog_kfa93 (kode, uraian, kode_92, uraian_92, nama_dagang, satuan_kecil, sediaan, golongan, url, userid_updt, sysdate_updt) values ('93001309','SmofKabiven Peripheral 1206 mL Infus (SMOFKABIVEN PERIPHERAL, 1206 mL)','92000823','SmofKabiven Peripheral 1206 mL Infus','SMOFKABIVEN PERIPHERAL','Flexy Bag','Infus','Obat Keras','https://dto.kemkes.go.id/kfacode/93001309',0,'2023-05-01');</v>
      </c>
    </row>
    <row r="1210" spans="1:11" ht="15.75" customHeight="1">
      <c r="A1210" s="2">
        <v>93001310</v>
      </c>
      <c r="B1210" s="2" t="s">
        <v>3480</v>
      </c>
      <c r="C1210" s="2">
        <v>92000824</v>
      </c>
      <c r="D1210" s="2" t="s">
        <v>1356</v>
      </c>
      <c r="E1210" s="2" t="s">
        <v>3479</v>
      </c>
      <c r="F1210" s="2" t="s">
        <v>673</v>
      </c>
      <c r="G1210" s="2" t="s">
        <v>1530</v>
      </c>
      <c r="H1210" s="2" t="s">
        <v>1458</v>
      </c>
      <c r="I1210" s="3" t="str">
        <f t="shared" si="0"/>
        <v>https://dto.kemkes.go.id/kfacode/93001310</v>
      </c>
      <c r="J1210" s="34" t="s">
        <v>3768</v>
      </c>
      <c r="K1210" t="str">
        <f t="shared" si="19"/>
        <v>insert into mkatalog_kfa93 (kode, uraian, kode_92, uraian_92, nama_dagang, satuan_kecil, sediaan, golongan, url, userid_updt, sysdate_updt) values ('93001310','SmofKabiven Peripheral 1448 mL Infus (SMOFKABIVEN PERIPHERAL, 1448 mL)','92000824','SmofKabiven Peripheral 1448 mL Infus','SMOFKABIVEN PERIPHERAL','Flexy Bag','Infus','Obat Keras','https://dto.kemkes.go.id/kfacode/93001310',0,'2023-05-01');</v>
      </c>
    </row>
    <row r="1211" spans="1:11" ht="15.75" customHeight="1">
      <c r="A1211" s="2">
        <v>93000691</v>
      </c>
      <c r="B1211" s="2" t="s">
        <v>3481</v>
      </c>
      <c r="C1211" s="2">
        <v>92000497</v>
      </c>
      <c r="D1211" s="2" t="s">
        <v>1357</v>
      </c>
      <c r="E1211" s="2" t="s">
        <v>3482</v>
      </c>
      <c r="F1211" s="2" t="s">
        <v>702</v>
      </c>
      <c r="G1211" s="2" t="s">
        <v>1506</v>
      </c>
      <c r="H1211" s="2" t="s">
        <v>1458</v>
      </c>
      <c r="I1211" s="3" t="str">
        <f t="shared" si="0"/>
        <v>https://dto.kemkes.go.id/kfacode/93000691</v>
      </c>
      <c r="J1211" s="34" t="s">
        <v>3768</v>
      </c>
      <c r="K1211" t="str">
        <f t="shared" si="19"/>
        <v>insert into mkatalog_kfa93 (kode, uraian, kode_92, uraian_92, nama_dagang, satuan_kecil, sediaan, golongan, url, userid_updt, sysdate_updt) values ('93000691','Sodium Acetate 1,90 G / Calcium Chloride 0,10 G /Potassium Chloride 0,15 G / Sodium Chloride 3,00 G Infus (ASERING)','92000497','Sodium Acetate 1,90 G / Calcium Chloride 0,10 G /Potassium Chloride 0,15 G / Sodium Chloride 3,00 G Infus','ASERING','Botol Plastik','Larutan Injeksi','Obat Keras','https://dto.kemkes.go.id/kfacode/93000691',0,'2023-05-01');</v>
      </c>
    </row>
    <row r="1212" spans="1:11" ht="15.75" customHeight="1">
      <c r="A1212" s="2">
        <v>93000693</v>
      </c>
      <c r="B1212" s="2" t="s">
        <v>3483</v>
      </c>
      <c r="C1212" s="2">
        <v>92000497</v>
      </c>
      <c r="D1212" s="2" t="s">
        <v>1357</v>
      </c>
      <c r="E1212" s="2" t="s">
        <v>3354</v>
      </c>
      <c r="F1212" s="2" t="s">
        <v>702</v>
      </c>
      <c r="G1212" s="2" t="s">
        <v>1506</v>
      </c>
      <c r="H1212" s="2" t="s">
        <v>1458</v>
      </c>
      <c r="I1212" s="3" t="str">
        <f t="shared" si="0"/>
        <v>https://dto.kemkes.go.id/kfacode/93000693</v>
      </c>
      <c r="J1212" s="34" t="s">
        <v>3768</v>
      </c>
      <c r="K1212" t="str">
        <f t="shared" si="19"/>
        <v>insert into mkatalog_kfa93 (kode, uraian, kode_92, uraian_92, nama_dagang, satuan_kecil, sediaan, golongan, url, userid_updt, sysdate_updt) values ('93000693','Sodium Acetate 1,90 G / Calcium Chloride 0,10 G /Potassium Chloride 0,15 G / Sodium Chloride 3,00 G Infus (CETASERING)','92000497','Sodium Acetate 1,90 G / Calcium Chloride 0,10 G /Potassium Chloride 0,15 G / Sodium Chloride 3,00 G Infus','CETASERING','Botol Plastik','Larutan Injeksi','Obat Keras','https://dto.kemkes.go.id/kfacode/93000693',0,'2023-05-01');</v>
      </c>
    </row>
    <row r="1213" spans="1:11" ht="15.75" customHeight="1">
      <c r="A1213" s="2">
        <v>93000686</v>
      </c>
      <c r="B1213" s="2" t="s">
        <v>3484</v>
      </c>
      <c r="C1213" s="2">
        <v>92000488</v>
      </c>
      <c r="D1213" s="2" t="s">
        <v>1358</v>
      </c>
      <c r="E1213" s="2" t="s">
        <v>3485</v>
      </c>
      <c r="F1213" s="2" t="s">
        <v>653</v>
      </c>
      <c r="G1213" s="2" t="s">
        <v>1506</v>
      </c>
      <c r="H1213" s="2" t="s">
        <v>1458</v>
      </c>
      <c r="I1213" s="3" t="str">
        <f t="shared" si="0"/>
        <v>https://dto.kemkes.go.id/kfacode/93000686</v>
      </c>
      <c r="J1213" s="34" t="s">
        <v>3768</v>
      </c>
      <c r="K1213" t="str">
        <f t="shared" si="19"/>
        <v>insert into mkatalog_kfa93 (kode, uraian, kode_92, uraian_92, nama_dagang, satuan_kecil, sediaan, golongan, url, userid_updt, sysdate_updt) values ('93000686','Sodium Bicarbonate 8,4% Cairan Injeksi (MEYLON 84-BP)','92000488','Sodium Bicarbonate 8,4% Cairan Injeksi','MEYLON 84-BP','Vial','Larutan Injeksi','Obat Keras','https://dto.kemkes.go.id/kfacode/93000686',0,'2023-05-01');</v>
      </c>
    </row>
    <row r="1214" spans="1:11" ht="15.75" customHeight="1">
      <c r="A1214" s="2">
        <v>93000689</v>
      </c>
      <c r="B1214" s="2" t="s">
        <v>3486</v>
      </c>
      <c r="C1214" s="2">
        <v>92000488</v>
      </c>
      <c r="D1214" s="2" t="s">
        <v>1358</v>
      </c>
      <c r="E1214" s="2" t="s">
        <v>3487</v>
      </c>
      <c r="F1214" s="2" t="s">
        <v>653</v>
      </c>
      <c r="G1214" s="2" t="s">
        <v>1506</v>
      </c>
      <c r="H1214" s="2" t="s">
        <v>1458</v>
      </c>
      <c r="I1214" s="3" t="str">
        <f t="shared" si="0"/>
        <v>https://dto.kemkes.go.id/kfacode/93000689</v>
      </c>
      <c r="J1214" s="34" t="s">
        <v>3768</v>
      </c>
      <c r="K1214" t="str">
        <f t="shared" si="19"/>
        <v>insert into mkatalog_kfa93 (kode, uraian, kode_92, uraian_92, nama_dagang, satuan_kecil, sediaan, golongan, url, userid_updt, sysdate_updt) values ('93000689','Sodium Bicarbonate 8,4% Cairan Injeksi (NOVONATE 8.4%)','92000488','Sodium Bicarbonate 8,4% Cairan Injeksi','NOVONATE 8.4%','Vial','Larutan Injeksi','Obat Keras','https://dto.kemkes.go.id/kfacode/93000689',0,'2023-05-01');</v>
      </c>
    </row>
    <row r="1215" spans="1:11" ht="15.75" customHeight="1">
      <c r="A1215" s="2">
        <v>93000594</v>
      </c>
      <c r="B1215" s="2" t="s">
        <v>3488</v>
      </c>
      <c r="C1215" s="2">
        <v>92000174</v>
      </c>
      <c r="D1215" s="2" t="s">
        <v>1359</v>
      </c>
      <c r="E1215" s="2" t="s">
        <v>3489</v>
      </c>
      <c r="F1215" s="2" t="s">
        <v>702</v>
      </c>
      <c r="G1215" s="2" t="s">
        <v>1530</v>
      </c>
      <c r="H1215" s="2" t="s">
        <v>1458</v>
      </c>
      <c r="I1215" s="3" t="str">
        <f t="shared" si="0"/>
        <v>https://dto.kemkes.go.id/kfacode/93000594</v>
      </c>
      <c r="J1215" s="34" t="s">
        <v>3768</v>
      </c>
      <c r="K1215" t="str">
        <f t="shared" si="19"/>
        <v>insert into mkatalog_kfa93 (kode, uraian, kode_92, uraian_92, nama_dagang, satuan_kecil, sediaan, golongan, url, userid_updt, sysdate_updt) values ('93000594','Sodium Chloride 0,9 % Infus (B.BRAUN PHARMACEUTICAL INDONESIA, 100 mL)','92000174','Sodium Chloride 0,9 % Infus','SODIUM CHLORIDE','Botol Plastik','Infus','Obat Keras','https://dto.kemkes.go.id/kfacode/93000594',0,'2023-05-01');</v>
      </c>
    </row>
    <row r="1216" spans="1:11" ht="15.75" customHeight="1">
      <c r="A1216" s="2">
        <v>93000592</v>
      </c>
      <c r="B1216" s="2" t="s">
        <v>3490</v>
      </c>
      <c r="C1216" s="2">
        <v>92000174</v>
      </c>
      <c r="D1216" s="2" t="s">
        <v>1359</v>
      </c>
      <c r="E1216" s="2" t="s">
        <v>3489</v>
      </c>
      <c r="F1216" s="2" t="s">
        <v>702</v>
      </c>
      <c r="G1216" s="2" t="s">
        <v>1530</v>
      </c>
      <c r="H1216" s="2" t="s">
        <v>1458</v>
      </c>
      <c r="I1216" s="3" t="str">
        <f t="shared" si="0"/>
        <v>https://dto.kemkes.go.id/kfacode/93000592</v>
      </c>
      <c r="J1216" s="34" t="s">
        <v>3768</v>
      </c>
      <c r="K1216" t="str">
        <f t="shared" si="19"/>
        <v>insert into mkatalog_kfa93 (kode, uraian, kode_92, uraian_92, nama_dagang, satuan_kecil, sediaan, golongan, url, userid_updt, sysdate_updt) values ('93000592','Sodium Chloride 0,9 % Infus (B.BRAUN PHARMACEUTICAL INDONESIA, 500 mL)','92000174','Sodium Chloride 0,9 % Infus','SODIUM CHLORIDE','Botol Plastik','Infus','Obat Keras','https://dto.kemkes.go.id/kfacode/93000592',0,'2023-05-01');</v>
      </c>
    </row>
    <row r="1217" spans="1:11" ht="15.75" customHeight="1">
      <c r="A1217" s="2">
        <v>93001326</v>
      </c>
      <c r="B1217" s="2" t="s">
        <v>3491</v>
      </c>
      <c r="C1217" s="2">
        <v>92000174</v>
      </c>
      <c r="D1217" s="2" t="s">
        <v>1359</v>
      </c>
      <c r="E1217" s="2" t="s">
        <v>3492</v>
      </c>
      <c r="F1217" s="2" t="s">
        <v>702</v>
      </c>
      <c r="G1217" s="2" t="s">
        <v>1530</v>
      </c>
      <c r="H1217" s="2" t="s">
        <v>1458</v>
      </c>
      <c r="I1217" s="3" t="str">
        <f t="shared" si="0"/>
        <v>https://dto.kemkes.go.id/kfacode/93001326</v>
      </c>
      <c r="J1217" s="34" t="s">
        <v>3768</v>
      </c>
      <c r="K1217" t="str">
        <f t="shared" si="19"/>
        <v>insert into mkatalog_kfa93 (kode, uraian, kode_92, uraian_92, nama_dagang, satuan_kecil, sediaan, golongan, url, userid_updt, sysdate_updt) values ('93001326','Sodium Chloride 0,9 % Infus (EMJEBE PHARMA)','92000174','Sodium Chloride 0,9 % Infus','SODIUM CHLORIDE 0,9%','Botol Plastik','Infus','Obat Keras','https://dto.kemkes.go.id/kfacode/93001326',0,'2023-05-01');</v>
      </c>
    </row>
    <row r="1218" spans="1:11" ht="15.75" customHeight="1">
      <c r="A1218" s="2">
        <v>93000375</v>
      </c>
      <c r="B1218" s="2" t="s">
        <v>3493</v>
      </c>
      <c r="C1218" s="2">
        <v>92000174</v>
      </c>
      <c r="D1218" s="2" t="s">
        <v>1359</v>
      </c>
      <c r="E1218" s="2" t="s">
        <v>3494</v>
      </c>
      <c r="F1218" s="2" t="s">
        <v>702</v>
      </c>
      <c r="G1218" s="2" t="s">
        <v>1530</v>
      </c>
      <c r="H1218" s="2" t="s">
        <v>1458</v>
      </c>
      <c r="I1218" s="3" t="str">
        <f t="shared" si="0"/>
        <v>https://dto.kemkes.go.id/kfacode/93000375</v>
      </c>
      <c r="J1218" s="34" t="s">
        <v>3768</v>
      </c>
      <c r="K1218" t="str">
        <f t="shared" si="19"/>
        <v>insert into mkatalog_kfa93 (kode, uraian, kode_92, uraian_92, nama_dagang, satuan_kecil, sediaan, golongan, url, userid_updt, sysdate_updt) values ('93000375','Sodium Chloride 0,9 % Infus (INFUSAN - NS, 500 mL)','92000174','Sodium Chloride 0,9 % Infus','INFUSAN - NS','Botol Plastik','Infus','Obat Keras','https://dto.kemkes.go.id/kfacode/93000375',0,'2023-05-01');</v>
      </c>
    </row>
    <row r="1219" spans="1:11" ht="15.75" customHeight="1">
      <c r="A1219" s="2">
        <v>93000907</v>
      </c>
      <c r="B1219" s="2" t="s">
        <v>3495</v>
      </c>
      <c r="C1219" s="2">
        <v>92000174</v>
      </c>
      <c r="D1219" s="2" t="s">
        <v>1359</v>
      </c>
      <c r="E1219" s="2" t="s">
        <v>3489</v>
      </c>
      <c r="F1219" s="2" t="s">
        <v>702</v>
      </c>
      <c r="G1219" s="2" t="s">
        <v>1530</v>
      </c>
      <c r="H1219" s="2" t="s">
        <v>1458</v>
      </c>
      <c r="I1219" s="3" t="str">
        <f t="shared" si="0"/>
        <v>https://dto.kemkes.go.id/kfacode/93000907</v>
      </c>
      <c r="J1219" s="34" t="s">
        <v>3768</v>
      </c>
      <c r="K1219" t="str">
        <f t="shared" ref="K1219:K1282" si="20">CONCATENATE(J1219,"('",A1219,"','",B1219,"','",C1219,"','",D1219,"','",E1219,"','",F1219,"','",G1219,"','",H1219,"','",I1219,"',0,'2023-05-01');")</f>
        <v>insert into mkatalog_kfa93 (kode, uraian, kode_92, uraian_92, nama_dagang, satuan_kecil, sediaan, golongan, url, userid_updt, sysdate_updt) values ('93000907','Sodium Chloride 0,9 % Infus (KIMIA FARMA Tbk., 500 mL)','92000174','Sodium Chloride 0,9 % Infus','SODIUM CHLORIDE','Botol Plastik','Infus','Obat Keras','https://dto.kemkes.go.id/kfacode/93000907',0,'2023-05-01');</v>
      </c>
    </row>
    <row r="1220" spans="1:11" ht="15.75" customHeight="1">
      <c r="A1220" s="2">
        <v>93000996</v>
      </c>
      <c r="B1220" s="2" t="s">
        <v>3496</v>
      </c>
      <c r="C1220" s="2">
        <v>92000174</v>
      </c>
      <c r="D1220" s="2" t="s">
        <v>1359</v>
      </c>
      <c r="E1220" s="2" t="s">
        <v>3489</v>
      </c>
      <c r="F1220" s="2" t="s">
        <v>702</v>
      </c>
      <c r="G1220" s="2" t="s">
        <v>1530</v>
      </c>
      <c r="H1220" s="2" t="s">
        <v>1458</v>
      </c>
      <c r="I1220" s="3" t="str">
        <f t="shared" si="0"/>
        <v>https://dto.kemkes.go.id/kfacode/93000996</v>
      </c>
      <c r="J1220" s="34" t="s">
        <v>3768</v>
      </c>
      <c r="K1220" t="str">
        <f t="shared" si="20"/>
        <v>insert into mkatalog_kfa93 (kode, uraian, kode_92, uraian_92, nama_dagang, satuan_kecil, sediaan, golongan, url, userid_updt, sysdate_updt) values ('93000996','Sodium Chloride 0,9 % Infus (MERSIFARMA TIRMAKU MERCUSANA, 100 mL)','92000174','Sodium Chloride 0,9 % Infus','SODIUM CHLORIDE','Botol Plastik','Infus','Obat Keras','https://dto.kemkes.go.id/kfacode/93000996',0,'2023-05-01');</v>
      </c>
    </row>
    <row r="1221" spans="1:11" ht="15.75" customHeight="1">
      <c r="A1221" s="2">
        <v>93001007</v>
      </c>
      <c r="B1221" s="2" t="s">
        <v>3497</v>
      </c>
      <c r="C1221" s="2">
        <v>92000174</v>
      </c>
      <c r="D1221" s="2" t="s">
        <v>1359</v>
      </c>
      <c r="E1221" s="2" t="s">
        <v>3489</v>
      </c>
      <c r="F1221" s="2" t="s">
        <v>702</v>
      </c>
      <c r="G1221" s="2" t="s">
        <v>1530</v>
      </c>
      <c r="H1221" s="2" t="s">
        <v>1458</v>
      </c>
      <c r="I1221" s="3" t="str">
        <f t="shared" si="0"/>
        <v>https://dto.kemkes.go.id/kfacode/93001007</v>
      </c>
      <c r="J1221" s="34" t="s">
        <v>3768</v>
      </c>
      <c r="K1221" t="str">
        <f t="shared" si="20"/>
        <v>insert into mkatalog_kfa93 (kode, uraian, kode_92, uraian_92, nama_dagang, satuan_kecil, sediaan, golongan, url, userid_updt, sysdate_updt) values ('93001007','Sodium Chloride 0,9 % Infus (MERSIFARMA TIRMAKU MERCUSANA, 500 mL)','92000174','Sodium Chloride 0,9 % Infus','SODIUM CHLORIDE','Botol Plastik','Infus','Obat Keras','https://dto.kemkes.go.id/kfacode/93001007',0,'2023-05-01');</v>
      </c>
    </row>
    <row r="1222" spans="1:11" ht="15.75" customHeight="1">
      <c r="A1222" s="2">
        <v>93000177</v>
      </c>
      <c r="B1222" s="2" t="s">
        <v>3498</v>
      </c>
      <c r="C1222" s="2">
        <v>92000174</v>
      </c>
      <c r="D1222" s="2" t="s">
        <v>1359</v>
      </c>
      <c r="E1222" s="2" t="s">
        <v>3489</v>
      </c>
      <c r="F1222" s="2" t="s">
        <v>702</v>
      </c>
      <c r="G1222" s="2" t="s">
        <v>1530</v>
      </c>
      <c r="H1222" s="2" t="s">
        <v>1458</v>
      </c>
      <c r="I1222" s="3" t="str">
        <f t="shared" si="0"/>
        <v>https://dto.kemkes.go.id/kfacode/93000177</v>
      </c>
      <c r="J1222" s="34" t="s">
        <v>3768</v>
      </c>
      <c r="K1222" t="str">
        <f t="shared" si="20"/>
        <v>insert into mkatalog_kfa93 (kode, uraian, kode_92, uraian_92, nama_dagang, satuan_kecil, sediaan, golongan, url, userid_updt, sysdate_updt) values ('93000177','Sodium Chloride 0,9 % Infus (NATURA LABORATORIA PRIMA)','92000174','Sodium Chloride 0,9 % Infus','SODIUM CHLORIDE','Botol Plastik','Infus','Obat Keras','https://dto.kemkes.go.id/kfacode/93000177',0,'2023-05-01');</v>
      </c>
    </row>
    <row r="1223" spans="1:11" ht="15.75" customHeight="1">
      <c r="A1223" s="2">
        <v>93001423</v>
      </c>
      <c r="B1223" s="2" t="s">
        <v>3499</v>
      </c>
      <c r="C1223" s="2">
        <v>92000174</v>
      </c>
      <c r="D1223" s="2" t="s">
        <v>1359</v>
      </c>
      <c r="E1223" s="2" t="s">
        <v>3500</v>
      </c>
      <c r="F1223" s="2" t="s">
        <v>702</v>
      </c>
      <c r="G1223" s="2" t="s">
        <v>1530</v>
      </c>
      <c r="H1223" s="2" t="s">
        <v>1458</v>
      </c>
      <c r="I1223" s="3" t="str">
        <f t="shared" si="0"/>
        <v>https://dto.kemkes.go.id/kfacode/93001423</v>
      </c>
      <c r="J1223" s="34" t="s">
        <v>3768</v>
      </c>
      <c r="K1223" t="str">
        <f t="shared" si="20"/>
        <v>insert into mkatalog_kfa93 (kode, uraian, kode_92, uraian_92, nama_dagang, satuan_kecil, sediaan, golongan, url, userid_updt, sysdate_updt) values ('93001423','Sodium Chloride 0,9 % Infus (OTSU - NS, 10 mL)','92000174','Sodium Chloride 0,9 % Infus','OTSU - NS','Botol Plastik','Infus','Obat Keras','https://dto.kemkes.go.id/kfacode/93001423',0,'2023-05-01');</v>
      </c>
    </row>
    <row r="1224" spans="1:11" ht="15.75" customHeight="1">
      <c r="A1224" s="2">
        <v>93001273</v>
      </c>
      <c r="B1224" s="2" t="s">
        <v>3501</v>
      </c>
      <c r="C1224" s="2">
        <v>92000174</v>
      </c>
      <c r="D1224" s="2" t="s">
        <v>1359</v>
      </c>
      <c r="E1224" s="2" t="s">
        <v>3500</v>
      </c>
      <c r="F1224" s="2" t="s">
        <v>702</v>
      </c>
      <c r="G1224" s="2" t="s">
        <v>1530</v>
      </c>
      <c r="H1224" s="2" t="s">
        <v>1458</v>
      </c>
      <c r="I1224" s="3" t="str">
        <f t="shared" si="0"/>
        <v>https://dto.kemkes.go.id/kfacode/93001273</v>
      </c>
      <c r="J1224" s="34" t="s">
        <v>3768</v>
      </c>
      <c r="K1224" t="str">
        <f t="shared" si="20"/>
        <v>insert into mkatalog_kfa93 (kode, uraian, kode_92, uraian_92, nama_dagang, satuan_kecil, sediaan, golongan, url, userid_updt, sysdate_updt) values ('93001273','Sodium Chloride 0,9 % Infus (OTSU - NS, 100 mL)','92000174','Sodium Chloride 0,9 % Infus','OTSU - NS','Botol Plastik','Infus','Obat Keras','https://dto.kemkes.go.id/kfacode/93001273',0,'2023-05-01');</v>
      </c>
    </row>
    <row r="1225" spans="1:11" ht="15.75" customHeight="1">
      <c r="A1225" s="2">
        <v>93001274</v>
      </c>
      <c r="B1225" s="2" t="s">
        <v>3502</v>
      </c>
      <c r="C1225" s="2">
        <v>92000174</v>
      </c>
      <c r="D1225" s="2" t="s">
        <v>1359</v>
      </c>
      <c r="E1225" s="2" t="s">
        <v>3500</v>
      </c>
      <c r="F1225" s="2" t="s">
        <v>702</v>
      </c>
      <c r="G1225" s="2" t="s">
        <v>1530</v>
      </c>
      <c r="H1225" s="2" t="s">
        <v>1458</v>
      </c>
      <c r="I1225" s="3" t="str">
        <f t="shared" si="0"/>
        <v>https://dto.kemkes.go.id/kfacode/93001274</v>
      </c>
      <c r="J1225" s="34" t="s">
        <v>3768</v>
      </c>
      <c r="K1225" t="str">
        <f t="shared" si="20"/>
        <v>insert into mkatalog_kfa93 (kode, uraian, kode_92, uraian_92, nama_dagang, satuan_kecil, sediaan, golongan, url, userid_updt, sysdate_updt) values ('93001274','Sodium Chloride 0,9 % Infus (OTSU - NS, 500 mL)','92000174','Sodium Chloride 0,9 % Infus','OTSU - NS','Botol Plastik','Infus','Obat Keras','https://dto.kemkes.go.id/kfacode/93001274',0,'2023-05-01');</v>
      </c>
    </row>
    <row r="1226" spans="1:11" ht="15.75" customHeight="1">
      <c r="A1226" s="2">
        <v>93001407</v>
      </c>
      <c r="B1226" s="2" t="s">
        <v>3503</v>
      </c>
      <c r="C1226" s="2">
        <v>92000174</v>
      </c>
      <c r="D1226" s="2" t="s">
        <v>1359</v>
      </c>
      <c r="E1226" s="2" t="s">
        <v>3489</v>
      </c>
      <c r="F1226" s="2" t="s">
        <v>702</v>
      </c>
      <c r="G1226" s="2" t="s">
        <v>1530</v>
      </c>
      <c r="H1226" s="2" t="s">
        <v>1458</v>
      </c>
      <c r="I1226" s="3" t="str">
        <f t="shared" si="0"/>
        <v>https://dto.kemkes.go.id/kfacode/93001407</v>
      </c>
      <c r="J1226" s="34" t="s">
        <v>3768</v>
      </c>
      <c r="K1226" t="str">
        <f t="shared" si="20"/>
        <v>insert into mkatalog_kfa93 (kode, uraian, kode_92, uraian_92, nama_dagang, satuan_kecil, sediaan, golongan, url, userid_updt, sysdate_updt) values ('93001407','Sodium Chloride 0,9 % Infus (SATORIA ANEKA INDUSTRI, 100 mL)','92000174','Sodium Chloride 0,9 % Infus','SODIUM CHLORIDE','Botol Plastik','Infus','Obat Keras','https://dto.kemkes.go.id/kfacode/93001407',0,'2023-05-01');</v>
      </c>
    </row>
    <row r="1227" spans="1:11" ht="15.75" customHeight="1">
      <c r="A1227" s="2">
        <v>93001406</v>
      </c>
      <c r="B1227" s="2" t="s">
        <v>3504</v>
      </c>
      <c r="C1227" s="2">
        <v>92000174</v>
      </c>
      <c r="D1227" s="2" t="s">
        <v>1359</v>
      </c>
      <c r="E1227" s="2" t="s">
        <v>3489</v>
      </c>
      <c r="F1227" s="2" t="s">
        <v>702</v>
      </c>
      <c r="G1227" s="2" t="s">
        <v>1530</v>
      </c>
      <c r="H1227" s="2" t="s">
        <v>1458</v>
      </c>
      <c r="I1227" s="3" t="str">
        <f t="shared" si="0"/>
        <v>https://dto.kemkes.go.id/kfacode/93001406</v>
      </c>
      <c r="J1227" s="34" t="s">
        <v>3768</v>
      </c>
      <c r="K1227" t="str">
        <f t="shared" si="20"/>
        <v>insert into mkatalog_kfa93 (kode, uraian, kode_92, uraian_92, nama_dagang, satuan_kecil, sediaan, golongan, url, userid_updt, sysdate_updt) values ('93001406','Sodium Chloride 0,9 % Infus (SATORIA ANEKA INDUSTRI, 500 mL)','92000174','Sodium Chloride 0,9 % Infus','SODIUM CHLORIDE','Botol Plastik','Infus','Obat Keras','https://dto.kemkes.go.id/kfacode/93001406',0,'2023-05-01');</v>
      </c>
    </row>
    <row r="1228" spans="1:11" ht="15.75" customHeight="1">
      <c r="A1228" s="2">
        <v>93001134</v>
      </c>
      <c r="B1228" s="2" t="s">
        <v>3505</v>
      </c>
      <c r="C1228" s="2">
        <v>92000174</v>
      </c>
      <c r="D1228" s="2" t="s">
        <v>1359</v>
      </c>
      <c r="E1228" s="2" t="s">
        <v>3506</v>
      </c>
      <c r="F1228" s="2" t="s">
        <v>702</v>
      </c>
      <c r="G1228" s="2" t="s">
        <v>1530</v>
      </c>
      <c r="H1228" s="2" t="s">
        <v>1458</v>
      </c>
      <c r="I1228" s="3" t="str">
        <f t="shared" si="0"/>
        <v>https://dto.kemkes.go.id/kfacode/93001134</v>
      </c>
      <c r="J1228" s="34" t="s">
        <v>3768</v>
      </c>
      <c r="K1228" t="str">
        <f t="shared" si="20"/>
        <v>insert into mkatalog_kfa93 (kode, uraian, kode_92, uraian_92, nama_dagang, satuan_kecil, sediaan, golongan, url, userid_updt, sysdate_updt) values ('93001134','Sodium Chloride 0,9 % Infus (WIDATRA BHAKTI, 500 mL)','92000174','Sodium Chloride 0,9 % Infus','NATRIUM KLORIDA','Botol Plastik','Infus','Obat Keras','https://dto.kemkes.go.id/kfacode/93001134',0,'2023-05-01');</v>
      </c>
    </row>
    <row r="1229" spans="1:11" ht="15.75" customHeight="1">
      <c r="A1229" s="2">
        <v>93001169</v>
      </c>
      <c r="B1229" s="2" t="s">
        <v>3507</v>
      </c>
      <c r="C1229" s="2">
        <v>92000174</v>
      </c>
      <c r="D1229" s="2" t="s">
        <v>1359</v>
      </c>
      <c r="E1229" s="2" t="s">
        <v>3506</v>
      </c>
      <c r="F1229" s="2" t="s">
        <v>702</v>
      </c>
      <c r="G1229" s="2" t="s">
        <v>1530</v>
      </c>
      <c r="H1229" s="2" t="s">
        <v>1458</v>
      </c>
      <c r="I1229" s="3" t="str">
        <f t="shared" si="0"/>
        <v>https://dto.kemkes.go.id/kfacode/93001169</v>
      </c>
      <c r="J1229" s="34" t="s">
        <v>3768</v>
      </c>
      <c r="K1229" t="str">
        <f t="shared" si="20"/>
        <v>insert into mkatalog_kfa93 (kode, uraian, kode_92, uraian_92, nama_dagang, satuan_kecil, sediaan, golongan, url, userid_updt, sysdate_updt) values ('93001169','Sodium Chloride 0,9 % Infus (WIDATRA BHAKTI)','92000174','Sodium Chloride 0,9 % Infus','NATRIUM KLORIDA','Botol Plastik','Infus','Obat Keras','https://dto.kemkes.go.id/kfacode/93001169',0,'2023-05-01');</v>
      </c>
    </row>
    <row r="1230" spans="1:11" ht="15.75" customHeight="1">
      <c r="A1230" s="2">
        <v>93000666</v>
      </c>
      <c r="B1230" s="2" t="s">
        <v>3508</v>
      </c>
      <c r="C1230" s="2">
        <v>92000493</v>
      </c>
      <c r="D1230" s="2" t="s">
        <v>1360</v>
      </c>
      <c r="E1230" s="2" t="s">
        <v>3509</v>
      </c>
      <c r="F1230" s="2" t="s">
        <v>671</v>
      </c>
      <c r="G1230" s="2" t="s">
        <v>1530</v>
      </c>
      <c r="H1230" s="2" t="s">
        <v>1458</v>
      </c>
      <c r="I1230" s="3" t="str">
        <f t="shared" si="0"/>
        <v>https://dto.kemkes.go.id/kfacode/93000666</v>
      </c>
      <c r="J1230" s="34" t="s">
        <v>3768</v>
      </c>
      <c r="K1230" t="str">
        <f t="shared" si="20"/>
        <v>insert into mkatalog_kfa93 (kode, uraian, kode_92, uraian_92, nama_dagang, satuan_kecil, sediaan, golongan, url, userid_updt, sysdate_updt) values ('93000666','Sodium Chloride 3 g / Potassium Chloride 0.15 g / Calcium Chloride Dihydrate 0.1 g / Sodium Lactate 1.55 g Infus (INFUSAN - RL, DOUBLE PORT DENGAN OVERWRAP, 500 mL)','92000493','Sodium Chloride 3 g / Potassium Chloride 0.15 g / Calcium Chloride Dihydrate 0.1 g / Sodium Lactate 1.55 g Infus','INFUSAN - RL','Kantong','Infus','Obat Keras','https://dto.kemkes.go.id/kfacode/93000666',0,'2023-05-01');</v>
      </c>
    </row>
    <row r="1231" spans="1:11" ht="15.75" customHeight="1">
      <c r="A1231" s="2">
        <v>93000668</v>
      </c>
      <c r="B1231" s="2" t="s">
        <v>3510</v>
      </c>
      <c r="C1231" s="2">
        <v>92000493</v>
      </c>
      <c r="D1231" s="2" t="s">
        <v>1360</v>
      </c>
      <c r="E1231" s="2" t="s">
        <v>3509</v>
      </c>
      <c r="F1231" s="2" t="s">
        <v>671</v>
      </c>
      <c r="G1231" s="2" t="s">
        <v>1530</v>
      </c>
      <c r="H1231" s="2" t="s">
        <v>1458</v>
      </c>
      <c r="I1231" s="3" t="str">
        <f t="shared" si="0"/>
        <v>https://dto.kemkes.go.id/kfacode/93000668</v>
      </c>
      <c r="J1231" s="34" t="s">
        <v>3768</v>
      </c>
      <c r="K1231" t="str">
        <f t="shared" si="20"/>
        <v>insert into mkatalog_kfa93 (kode, uraian, kode_92, uraian_92, nama_dagang, satuan_kecil, sediaan, golongan, url, userid_updt, sysdate_updt) values ('93000668','Sodium Chloride 3 g / Potassium Chloride 0.15 g / Calcium Chloride Dihydrate 0.1 g / Sodium Lactate 1.55 g Infus (INFUSAN - RL, SINGLE PORT TANPA OVERWRAP, 500 mL)','92000493','Sodium Chloride 3 g / Potassium Chloride 0.15 g / Calcium Chloride Dihydrate 0.1 g / Sodium Lactate 1.55 g Infus','INFUSAN - RL','Kantong','Infus','Obat Keras','https://dto.kemkes.go.id/kfacode/93000668',0,'2023-05-01');</v>
      </c>
    </row>
    <row r="1232" spans="1:11" ht="15.75" customHeight="1">
      <c r="A1232" s="2">
        <v>93000672</v>
      </c>
      <c r="B1232" s="2" t="s">
        <v>3511</v>
      </c>
      <c r="C1232" s="2">
        <v>92000498</v>
      </c>
      <c r="D1232" s="2" t="s">
        <v>1361</v>
      </c>
      <c r="E1232" s="2" t="s">
        <v>3512</v>
      </c>
      <c r="F1232" s="2" t="s">
        <v>702</v>
      </c>
      <c r="G1232" s="2" t="s">
        <v>1530</v>
      </c>
      <c r="H1232" s="2" t="s">
        <v>1458</v>
      </c>
      <c r="I1232" s="3" t="str">
        <f t="shared" si="0"/>
        <v>https://dto.kemkes.go.id/kfacode/93000672</v>
      </c>
      <c r="J1232" s="34" t="s">
        <v>3768</v>
      </c>
      <c r="K1232" t="str">
        <f t="shared" si="20"/>
        <v>insert into mkatalog_kfa93 (kode, uraian, kode_92, uraian_92, nama_dagang, satuan_kecil, sediaan, golongan, url, userid_updt, sysdate_updt) values ('93000672','Sodium Chloride 3 g / Sodium Lactate 1.56 g / Potassium Chloride 0.20 g / Calcium Chloride Dihydrate 0.135 g Infus (ECOSOL RL, 500 mL)','92000498','Sodium Chloride 3 g / Sodium Lactate 1.56 g / Potassium Chloride 0.20 g / Calcium Chloride Dihydrate 0.135 g Infus','ECOSOL RL','Botol Plastik','Infus','Obat Keras','https://dto.kemkes.go.id/kfacode/93000672',0,'2023-05-01');</v>
      </c>
    </row>
    <row r="1233" spans="1:11" ht="15.75" customHeight="1">
      <c r="A1233" s="2">
        <v>93001135</v>
      </c>
      <c r="B1233" s="2" t="s">
        <v>3513</v>
      </c>
      <c r="C1233" s="2">
        <v>92000799</v>
      </c>
      <c r="D1233" s="2" t="s">
        <v>1362</v>
      </c>
      <c r="E1233" s="2" t="s">
        <v>3514</v>
      </c>
      <c r="F1233" s="2" t="s">
        <v>645</v>
      </c>
      <c r="G1233" s="2" t="s">
        <v>1530</v>
      </c>
      <c r="H1233" s="2" t="s">
        <v>1458</v>
      </c>
      <c r="I1233" s="3" t="str">
        <f t="shared" si="0"/>
        <v>https://dto.kemkes.go.id/kfacode/93001135</v>
      </c>
      <c r="J1233" s="34" t="s">
        <v>3768</v>
      </c>
      <c r="K1233" t="str">
        <f t="shared" si="20"/>
        <v>insert into mkatalog_kfa93 (kode, uraian, kode_92, uraian_92, nama_dagang, satuan_kecil, sediaan, golongan, url, userid_updt, sysdate_updt) values ('93001135','Sodium Glycerophosphate 216 mg Infus (GLYCOPHOS)','92000799','Sodium Glycerophosphate 216 mg Infus','GLYCOPHOS','Ampul','Infus','Obat Keras','https://dto.kemkes.go.id/kfacode/93001135',0,'2023-05-01');</v>
      </c>
    </row>
    <row r="1234" spans="1:11" ht="15.75" customHeight="1">
      <c r="A1234" s="2">
        <v>93001082</v>
      </c>
      <c r="B1234" s="2" t="s">
        <v>3515</v>
      </c>
      <c r="C1234" s="2">
        <v>92000461</v>
      </c>
      <c r="D1234" s="2" t="s">
        <v>1363</v>
      </c>
      <c r="E1234" s="2" t="s">
        <v>3516</v>
      </c>
      <c r="F1234" s="2" t="s">
        <v>702</v>
      </c>
      <c r="G1234" s="2" t="s">
        <v>2125</v>
      </c>
      <c r="H1234" s="2" t="s">
        <v>1458</v>
      </c>
      <c r="I1234" s="3" t="str">
        <f t="shared" si="0"/>
        <v>https://dto.kemkes.go.id/kfacode/93001082</v>
      </c>
      <c r="J1234" s="34" t="s">
        <v>3768</v>
      </c>
      <c r="K1234" t="str">
        <f t="shared" si="20"/>
        <v>insert into mkatalog_kfa93 (kode, uraian, kode_92, uraian_92, nama_dagang, satuan_kecil, sediaan, golongan, url, userid_updt, sysdate_updt) values ('93001082','Sodium Hyaluronate 1 mg / mL Tetes Mata (CENDO HYALUB)','92000461','Sodium Hyaluronate 1 mg / mL Tetes Mata','CENDO HYALUB','Botol Plastik','Tetes Mata','Obat Keras','https://dto.kemkes.go.id/kfacode/93001082',0,'2023-05-01');</v>
      </c>
    </row>
    <row r="1235" spans="1:11" ht="15.75" customHeight="1">
      <c r="A1235" s="2">
        <v>93001081</v>
      </c>
      <c r="B1235" s="2" t="s">
        <v>3517</v>
      </c>
      <c r="C1235" s="2">
        <v>92000461</v>
      </c>
      <c r="D1235" s="2" t="s">
        <v>1363</v>
      </c>
      <c r="E1235" s="2" t="s">
        <v>3518</v>
      </c>
      <c r="F1235" s="2" t="s">
        <v>702</v>
      </c>
      <c r="G1235" s="2" t="s">
        <v>2125</v>
      </c>
      <c r="H1235" s="2" t="s">
        <v>1458</v>
      </c>
      <c r="I1235" s="3" t="str">
        <f t="shared" si="0"/>
        <v>https://dto.kemkes.go.id/kfacode/93001081</v>
      </c>
      <c r="J1235" s="34" t="s">
        <v>3768</v>
      </c>
      <c r="K1235" t="str">
        <f t="shared" si="20"/>
        <v>insert into mkatalog_kfa93 (kode, uraian, kode_92, uraian_92, nama_dagang, satuan_kecil, sediaan, golongan, url, userid_updt, sysdate_updt) values ('93001081','Sodium Hyaluronate 1 mg / mL Tetes Mata (FERRON PAR PHARMACEUTICALS)','92000461','Sodium Hyaluronate 1 mg / mL Tetes Mata','SODIUM HYALURONATE','Botol Plastik','Tetes Mata','Obat Keras','https://dto.kemkes.go.id/kfacode/93001081',0,'2023-05-01');</v>
      </c>
    </row>
    <row r="1236" spans="1:11" ht="15.75" customHeight="1">
      <c r="A1236" s="2">
        <v>93001265</v>
      </c>
      <c r="B1236" s="2" t="s">
        <v>3519</v>
      </c>
      <c r="C1236" s="2">
        <v>92000461</v>
      </c>
      <c r="D1236" s="2" t="s">
        <v>1363</v>
      </c>
      <c r="E1236" s="2" t="s">
        <v>3520</v>
      </c>
      <c r="F1236" s="2" t="s">
        <v>702</v>
      </c>
      <c r="G1236" s="2" t="s">
        <v>2125</v>
      </c>
      <c r="H1236" s="2" t="s">
        <v>1458</v>
      </c>
      <c r="I1236" s="3" t="str">
        <f t="shared" si="0"/>
        <v>https://dto.kemkes.go.id/kfacode/93001265</v>
      </c>
      <c r="J1236" s="34" t="s">
        <v>3768</v>
      </c>
      <c r="K1236" t="str">
        <f t="shared" si="20"/>
        <v>insert into mkatalog_kfa93 (kode, uraian, kode_92, uraian_92, nama_dagang, satuan_kecil, sediaan, golongan, url, userid_updt, sysdate_updt) values ('93001265','Sodium Hyaluronate 1 mg / mL Tetes Mata (HYALOPH, 5 mL)','92000461','Sodium Hyaluronate 1 mg / mL Tetes Mata','HYALOPH','Botol Plastik','Tetes Mata','Obat Keras','https://dto.kemkes.go.id/kfacode/93001265',0,'2023-05-01');</v>
      </c>
    </row>
    <row r="1237" spans="1:11" ht="15.75" customHeight="1">
      <c r="A1237" s="2">
        <v>93001604</v>
      </c>
      <c r="B1237" s="2" t="s">
        <v>3521</v>
      </c>
      <c r="C1237" s="2">
        <v>92000915</v>
      </c>
      <c r="D1237" s="2" t="s">
        <v>1364</v>
      </c>
      <c r="E1237" s="2" t="s">
        <v>3522</v>
      </c>
      <c r="F1237" s="2" t="s">
        <v>653</v>
      </c>
      <c r="G1237" s="2" t="s">
        <v>1506</v>
      </c>
      <c r="H1237" s="2" t="s">
        <v>1458</v>
      </c>
      <c r="I1237" s="3" t="str">
        <f t="shared" si="0"/>
        <v>https://dto.kemkes.go.id/kfacode/93001604</v>
      </c>
      <c r="J1237" s="34" t="s">
        <v>3768</v>
      </c>
      <c r="K1237" t="str">
        <f t="shared" si="20"/>
        <v>insert into mkatalog_kfa93 (kode, uraian, kode_92, uraian_92, nama_dagang, satuan_kecil, sediaan, golongan, url, userid_updt, sysdate_updt) values ('93001604','Sodium Hyaluronate 10 mg / mL Injeksi (UMARONE)','92000915','Sodium Hyaluronate 10 mg / mL Injeksi','UMARONE','Vial','Larutan Injeksi','Obat Keras','https://dto.kemkes.go.id/kfacode/93001604',0,'2023-05-01');</v>
      </c>
    </row>
    <row r="1238" spans="1:11" ht="15.75" customHeight="1">
      <c r="A1238" s="2">
        <v>93000353</v>
      </c>
      <c r="B1238" s="2" t="s">
        <v>3523</v>
      </c>
      <c r="C1238" s="2">
        <v>92000272</v>
      </c>
      <c r="D1238" s="2" t="s">
        <v>1365</v>
      </c>
      <c r="E1238" s="2" t="s">
        <v>3524</v>
      </c>
      <c r="F1238" s="2" t="s">
        <v>658</v>
      </c>
      <c r="G1238" s="2" t="s">
        <v>1832</v>
      </c>
      <c r="H1238" s="2" t="s">
        <v>1458</v>
      </c>
      <c r="I1238" s="3" t="str">
        <f t="shared" si="0"/>
        <v>https://dto.kemkes.go.id/kfacode/93000353</v>
      </c>
      <c r="J1238" s="34" t="s">
        <v>3768</v>
      </c>
      <c r="K1238" t="str">
        <f t="shared" si="20"/>
        <v>insert into mkatalog_kfa93 (kode, uraian, kode_92, uraian_92, nama_dagang, satuan_kecil, sediaan, golongan, url, userid_updt, sysdate_updt) values ('93000353','Sodium Valproate 250 mg / 5 mL Sirup (DEXA MEDICA)','92000272','Sodium Valproate 250 mg / 5 mL Sirup','VALPROIC ACID','Botol','Sirup','Obat Keras','https://dto.kemkes.go.id/kfacode/93000353',0,'2023-05-01');</v>
      </c>
    </row>
    <row r="1239" spans="1:11" ht="15.75" customHeight="1">
      <c r="A1239" s="2">
        <v>93000182</v>
      </c>
      <c r="B1239" s="2" t="s">
        <v>3525</v>
      </c>
      <c r="C1239" s="2">
        <v>92000180</v>
      </c>
      <c r="D1239" s="2" t="s">
        <v>1366</v>
      </c>
      <c r="E1239" s="2" t="s">
        <v>3526</v>
      </c>
      <c r="F1239" s="2" t="s">
        <v>640</v>
      </c>
      <c r="G1239" s="2" t="s">
        <v>1457</v>
      </c>
      <c r="H1239" s="2" t="s">
        <v>1458</v>
      </c>
      <c r="I1239" s="3" t="str">
        <f t="shared" si="0"/>
        <v>https://dto.kemkes.go.id/kfacode/93000182</v>
      </c>
      <c r="J1239" s="34" t="s">
        <v>3768</v>
      </c>
      <c r="K1239" t="str">
        <f t="shared" si="20"/>
        <v>insert into mkatalog_kfa93 (kode, uraian, kode_92, uraian_92, nama_dagang, satuan_kecil, sediaan, golongan, url, userid_updt, sysdate_updt) values ('93000182','Sofosbuvir 400mg Tablet Salut Selaput (MYHEP)','92000180','Sofosbuvir 400mg Tablet Salut Selaput','MYHEP','Tablet','Tablet Salut Selaput','Obat Keras','https://dto.kemkes.go.id/kfacode/93000182',0,'2023-05-01');</v>
      </c>
    </row>
    <row r="1240" spans="1:11" ht="15.75" customHeight="1">
      <c r="A1240" s="2">
        <v>93000836</v>
      </c>
      <c r="B1240" s="2" t="s">
        <v>3527</v>
      </c>
      <c r="C1240" s="2">
        <v>92000444</v>
      </c>
      <c r="D1240" s="2" t="s">
        <v>1367</v>
      </c>
      <c r="E1240" s="2" t="s">
        <v>3528</v>
      </c>
      <c r="F1240" s="2" t="s">
        <v>640</v>
      </c>
      <c r="G1240" s="2" t="s">
        <v>640</v>
      </c>
      <c r="H1240" s="2" t="s">
        <v>1458</v>
      </c>
      <c r="I1240" s="3" t="str">
        <f t="shared" si="0"/>
        <v>https://dto.kemkes.go.id/kfacode/93000836</v>
      </c>
      <c r="J1240" s="34" t="s">
        <v>3768</v>
      </c>
      <c r="K1240" t="str">
        <f t="shared" si="20"/>
        <v>insert into mkatalog_kfa93 (kode, uraian, kode_92, uraian_92, nama_dagang, satuan_kecil, sediaan, golongan, url, userid_updt, sysdate_updt) values ('93000836','Solifenacin Succinate 5 mg Tablet (VESICARE)','92000444','Solifenacin Succinate 5 mg Tablet','VESICARE','Tablet','Tablet','Obat Keras','https://dto.kemkes.go.id/kfacode/93000836',0,'2023-05-01');</v>
      </c>
    </row>
    <row r="1241" spans="1:11" ht="15.75" customHeight="1">
      <c r="A1241" s="2">
        <v>93001607</v>
      </c>
      <c r="B1241" s="2" t="s">
        <v>3529</v>
      </c>
      <c r="C1241" s="2">
        <v>92000916</v>
      </c>
      <c r="D1241" s="2" t="s">
        <v>1368</v>
      </c>
      <c r="E1241" s="2" t="s">
        <v>3530</v>
      </c>
      <c r="F1241" s="2" t="s">
        <v>653</v>
      </c>
      <c r="G1241" s="2" t="s">
        <v>3531</v>
      </c>
      <c r="H1241" s="2" t="s">
        <v>1458</v>
      </c>
      <c r="I1241" s="3" t="str">
        <f t="shared" si="0"/>
        <v>https://dto.kemkes.go.id/kfacode/93001607</v>
      </c>
      <c r="J1241" s="34" t="s">
        <v>3768</v>
      </c>
      <c r="K1241" t="str">
        <f t="shared" si="20"/>
        <v>insert into mkatalog_kfa93 (kode, uraian, kode_92, uraian_92, nama_dagang, satuan_kecil, sediaan, golongan, url, userid_updt, sysdate_updt) values ('93001607','Soluvit N Serbuk Infus (SOLUVIT N)','92000916','Soluvit N Serbuk Infus','SOLUVIT N','Vial','Serbuk Infus','Obat Keras','https://dto.kemkes.go.id/kfacode/93001607',0,'2023-05-01');</v>
      </c>
    </row>
    <row r="1242" spans="1:11" ht="15.75" customHeight="1">
      <c r="A1242" s="2">
        <v>93001482</v>
      </c>
      <c r="B1242" s="2" t="s">
        <v>3532</v>
      </c>
      <c r="C1242" s="2">
        <v>92000859</v>
      </c>
      <c r="D1242" s="2" t="s">
        <v>1369</v>
      </c>
      <c r="E1242" s="2" t="s">
        <v>3533</v>
      </c>
      <c r="F1242" s="2" t="s">
        <v>645</v>
      </c>
      <c r="G1242" s="2" t="s">
        <v>1500</v>
      </c>
      <c r="H1242" s="2" t="s">
        <v>1458</v>
      </c>
      <c r="I1242" s="3" t="str">
        <f t="shared" si="0"/>
        <v>https://dto.kemkes.go.id/kfacode/93001482</v>
      </c>
      <c r="J1242" s="34" t="s">
        <v>3768</v>
      </c>
      <c r="K1242" t="str">
        <f t="shared" si="20"/>
        <v>insert into mkatalog_kfa93 (kode, uraian, kode_92, uraian_92, nama_dagang, satuan_kecil, sediaan, golongan, url, userid_updt, sysdate_updt) values ('93001482','Somatostatin Acetate 3000 mcg / mL Serbuk Injeksi (SOMATOSTATIN LYOMARK)','92000859','Somatostatin Acetate 3000 mcg / mL Serbuk Injeksi','SOMATOSTATIN LYOMARK','Ampul','Serbuk Injeksi','Obat Keras','https://dto.kemkes.go.id/kfacode/93001482',0,'2023-05-01');</v>
      </c>
    </row>
    <row r="1243" spans="1:11" ht="15.75" customHeight="1">
      <c r="A1243" s="2">
        <v>93001057</v>
      </c>
      <c r="B1243" s="2" t="s">
        <v>3534</v>
      </c>
      <c r="C1243" s="2">
        <v>92000110</v>
      </c>
      <c r="D1243" s="2" t="s">
        <v>1370</v>
      </c>
      <c r="E1243" s="2" t="s">
        <v>3535</v>
      </c>
      <c r="F1243" s="2" t="s">
        <v>658</v>
      </c>
      <c r="G1243" s="2" t="s">
        <v>1530</v>
      </c>
      <c r="H1243" s="2" t="s">
        <v>1458</v>
      </c>
      <c r="I1243" s="3" t="str">
        <f t="shared" si="0"/>
        <v>https://dto.kemkes.go.id/kfacode/93001057</v>
      </c>
      <c r="J1243" s="34" t="s">
        <v>3768</v>
      </c>
      <c r="K1243" t="str">
        <f t="shared" si="20"/>
        <v>insert into mkatalog_kfa93 (kode, uraian, kode_92, uraian_92, nama_dagang, satuan_kecil, sediaan, golongan, url, userid_updt, sysdate_updt) values ('93001057','Soybean Oil 100 mg / Medium Chain Triglycerides MCT 100 mg Infus (100 mL, LIPOFUNDIN MCT/LCT 20%)','92000110','Soybean Oil 100 mg / Medium Chain Triglycerides MCT 100 mg Infus','LIPOFUNDIN MCT/LCT 20%','Botol','Infus','Obat Keras','https://dto.kemkes.go.id/kfacode/93001057',0,'2023-05-01');</v>
      </c>
    </row>
    <row r="1244" spans="1:11" ht="15.75" customHeight="1">
      <c r="A1244" s="2">
        <v>93000709</v>
      </c>
      <c r="B1244" s="2" t="s">
        <v>3536</v>
      </c>
      <c r="C1244" s="2">
        <v>92000110</v>
      </c>
      <c r="D1244" s="2" t="s">
        <v>1370</v>
      </c>
      <c r="E1244" s="2" t="s">
        <v>3537</v>
      </c>
      <c r="F1244" s="2" t="s">
        <v>658</v>
      </c>
      <c r="G1244" s="2" t="s">
        <v>1530</v>
      </c>
      <c r="H1244" s="2" t="s">
        <v>1458</v>
      </c>
      <c r="I1244" s="3" t="str">
        <f t="shared" si="0"/>
        <v>https://dto.kemkes.go.id/kfacode/93000709</v>
      </c>
      <c r="J1244" s="34" t="s">
        <v>3768</v>
      </c>
      <c r="K1244" t="str">
        <f t="shared" si="20"/>
        <v>insert into mkatalog_kfa93 (kode, uraian, kode_92, uraian_92, nama_dagang, satuan_kecil, sediaan, golongan, url, userid_updt, sysdate_updt) values ('93000709','Soybean Oil 100 mg / Medium Chain Triglycerides MCT 100 mg Infus (100 mL, LIPOMED)','92000110','Soybean Oil 100 mg / Medium Chain Triglycerides MCT 100 mg Infus','LIPOMED 20% MCT/LCT','Botol','Infus','Obat Keras','https://dto.kemkes.go.id/kfacode/93000709',0,'2023-05-01');</v>
      </c>
    </row>
    <row r="1245" spans="1:11" ht="15.75" customHeight="1">
      <c r="A1245" s="2">
        <v>93000707</v>
      </c>
      <c r="B1245" s="2" t="s">
        <v>3538</v>
      </c>
      <c r="C1245" s="2">
        <v>92000110</v>
      </c>
      <c r="D1245" s="2" t="s">
        <v>1370</v>
      </c>
      <c r="E1245" s="2" t="s">
        <v>3537</v>
      </c>
      <c r="F1245" s="2" t="s">
        <v>658</v>
      </c>
      <c r="G1245" s="2" t="s">
        <v>1530</v>
      </c>
      <c r="H1245" s="2" t="s">
        <v>1458</v>
      </c>
      <c r="I1245" s="3" t="str">
        <f t="shared" si="0"/>
        <v>https://dto.kemkes.go.id/kfacode/93000707</v>
      </c>
      <c r="J1245" s="34" t="s">
        <v>3768</v>
      </c>
      <c r="K1245" t="str">
        <f t="shared" si="20"/>
        <v>insert into mkatalog_kfa93 (kode, uraian, kode_92, uraian_92, nama_dagang, satuan_kecil, sediaan, golongan, url, userid_updt, sysdate_updt) values ('93000707','Soybean Oil 100 mg / Medium Chain Triglycerides MCT 100 mg Infus (250 mL, LIPOMED)','92000110','Soybean Oil 100 mg / Medium Chain Triglycerides MCT 100 mg Infus','LIPOMED 20% MCT/LCT','Botol','Infus','Obat Keras','https://dto.kemkes.go.id/kfacode/93000707',0,'2023-05-01');</v>
      </c>
    </row>
    <row r="1246" spans="1:11" ht="15.75" customHeight="1">
      <c r="A1246" s="2">
        <v>93001594</v>
      </c>
      <c r="B1246" s="2" t="s">
        <v>3539</v>
      </c>
      <c r="C1246" s="2">
        <v>92000864</v>
      </c>
      <c r="D1246" s="2" t="s">
        <v>1371</v>
      </c>
      <c r="E1246" s="2" t="s">
        <v>3540</v>
      </c>
      <c r="F1246" s="2" t="s">
        <v>671</v>
      </c>
      <c r="G1246" s="2" t="s">
        <v>1530</v>
      </c>
      <c r="H1246" s="2" t="s">
        <v>1458</v>
      </c>
      <c r="I1246" s="3" t="str">
        <f t="shared" si="0"/>
        <v>https://dto.kemkes.go.id/kfacode/93001594</v>
      </c>
      <c r="J1246" s="34" t="s">
        <v>3768</v>
      </c>
      <c r="K1246" t="str">
        <f t="shared" si="20"/>
        <v>insert into mkatalog_kfa93 (kode, uraian, kode_92, uraian_92, nama_dagang, satuan_kecil, sediaan, golongan, url, userid_updt, sysdate_updt) values ('93001594','Soybean Oil 50 g / 250 mL Infus (OTSULIP)','92000864','Soybean Oil 50 g / 250 mL Infus','OTSULIP 20%','Kantong','Infus','Obat Keras','https://dto.kemkes.go.id/kfacode/93001594',0,'2023-05-01');</v>
      </c>
    </row>
    <row r="1247" spans="1:11" ht="15.75" customHeight="1">
      <c r="A1247" s="2">
        <v>93001592</v>
      </c>
      <c r="B1247" s="2" t="s">
        <v>3541</v>
      </c>
      <c r="C1247" s="2">
        <v>92000862</v>
      </c>
      <c r="D1247" s="2" t="s">
        <v>1372</v>
      </c>
      <c r="E1247" s="2" t="s">
        <v>3542</v>
      </c>
      <c r="F1247" s="2" t="s">
        <v>658</v>
      </c>
      <c r="G1247" s="2" t="s">
        <v>1530</v>
      </c>
      <c r="H1247" s="2" t="s">
        <v>1458</v>
      </c>
      <c r="I1247" s="3" t="str">
        <f t="shared" si="0"/>
        <v>https://dto.kemkes.go.id/kfacode/93001592</v>
      </c>
      <c r="J1247" s="34" t="s">
        <v>3768</v>
      </c>
      <c r="K1247" t="str">
        <f t="shared" si="20"/>
        <v>insert into mkatalog_kfa93 (kode, uraian, kode_92, uraian_92, nama_dagang, satuan_kecil, sediaan, golongan, url, userid_updt, sysdate_updt) values ('93001592','Soybean Oil 60 mg / Medium Chain Triglycerides 60 mg / Olive Oil 50 mg / Purified Fish Oil 30 mg  Infus (SMOFLIPID, 100 mL)','92000862','Soybean Oil 60 mg / Medium Chain Triglycerides 60 mg / Olive Oil 50 mg / Purified Fish Oil 30 mg  Infus','SMOFLIPID 20 %','Botol','Infus','Obat Keras','https://dto.kemkes.go.id/kfacode/93001592',0,'2023-05-01');</v>
      </c>
    </row>
    <row r="1248" spans="1:11" ht="15.75" customHeight="1">
      <c r="A1248" s="2">
        <v>93001591</v>
      </c>
      <c r="B1248" s="2" t="s">
        <v>3543</v>
      </c>
      <c r="C1248" s="2">
        <v>92000862</v>
      </c>
      <c r="D1248" s="2" t="s">
        <v>1372</v>
      </c>
      <c r="E1248" s="2" t="s">
        <v>3542</v>
      </c>
      <c r="F1248" s="2" t="s">
        <v>658</v>
      </c>
      <c r="G1248" s="2" t="s">
        <v>1530</v>
      </c>
      <c r="H1248" s="2" t="s">
        <v>1458</v>
      </c>
      <c r="I1248" s="3" t="str">
        <f t="shared" si="0"/>
        <v>https://dto.kemkes.go.id/kfacode/93001591</v>
      </c>
      <c r="J1248" s="34" t="s">
        <v>3768</v>
      </c>
      <c r="K1248" t="str">
        <f t="shared" si="20"/>
        <v>insert into mkatalog_kfa93 (kode, uraian, kode_92, uraian_92, nama_dagang, satuan_kecil, sediaan, golongan, url, userid_updt, sysdate_updt) values ('93001591','Soybean Oil 60 mg / Medium Chain Triglycerides 60 mg / Olive Oil 50 mg / Purified Fish Oil 30 mg  Infus (SMOFLIPID, 50 mL)','92000862','Soybean Oil 60 mg / Medium Chain Triglycerides 60 mg / Olive Oil 50 mg / Purified Fish Oil 30 mg  Infus','SMOFLIPID 20 %','Botol','Infus','Obat Keras','https://dto.kemkes.go.id/kfacode/93001591',0,'2023-05-01');</v>
      </c>
    </row>
    <row r="1249" spans="1:11" ht="15.75" customHeight="1">
      <c r="A1249" s="2">
        <v>93000354</v>
      </c>
      <c r="B1249" s="2" t="s">
        <v>3544</v>
      </c>
      <c r="C1249" s="2">
        <v>92000273</v>
      </c>
      <c r="D1249" s="2" t="s">
        <v>1373</v>
      </c>
      <c r="E1249" s="2" t="s">
        <v>3545</v>
      </c>
      <c r="F1249" s="2" t="s">
        <v>640</v>
      </c>
      <c r="G1249" s="2" t="s">
        <v>640</v>
      </c>
      <c r="H1249" s="2" t="s">
        <v>1458</v>
      </c>
      <c r="I1249" s="3" t="str">
        <f t="shared" si="0"/>
        <v>https://dto.kemkes.go.id/kfacode/93000354</v>
      </c>
      <c r="J1249" s="34" t="s">
        <v>3768</v>
      </c>
      <c r="K1249" t="str">
        <f t="shared" si="20"/>
        <v>insert into mkatalog_kfa93 (kode, uraian, kode_92, uraian_92, nama_dagang, satuan_kecil, sediaan, golongan, url, userid_updt, sysdate_updt) values ('93000354','Spironolactone 100 mg Tablet (DEXA MEDICA)','92000273','Spironolactone 100 mg Tablet','SPIRONOLACTONE','Tablet','Tablet','Obat Keras','https://dto.kemkes.go.id/kfacode/93000354',0,'2023-05-01');</v>
      </c>
    </row>
    <row r="1250" spans="1:11" ht="15.75" customHeight="1">
      <c r="A1250" s="2">
        <v>93000355</v>
      </c>
      <c r="B1250" s="2" t="s">
        <v>3546</v>
      </c>
      <c r="C1250" s="2">
        <v>92000274</v>
      </c>
      <c r="D1250" s="2" t="s">
        <v>1374</v>
      </c>
      <c r="E1250" s="2" t="s">
        <v>3545</v>
      </c>
      <c r="F1250" s="2" t="s">
        <v>640</v>
      </c>
      <c r="G1250" s="2" t="s">
        <v>640</v>
      </c>
      <c r="H1250" s="2" t="s">
        <v>1458</v>
      </c>
      <c r="I1250" s="3" t="str">
        <f t="shared" si="0"/>
        <v>https://dto.kemkes.go.id/kfacode/93000355</v>
      </c>
      <c r="J1250" s="34" t="s">
        <v>3768</v>
      </c>
      <c r="K1250" t="str">
        <f t="shared" si="20"/>
        <v>insert into mkatalog_kfa93 (kode, uraian, kode_92, uraian_92, nama_dagang, satuan_kecil, sediaan, golongan, url, userid_updt, sysdate_updt) values ('93000355','Spironolactone 25 mg Tablet (DEXA MEDICA)','92000274','Spironolactone 25 mg Tablet','SPIRONOLACTONE','Tablet','Tablet','Obat Keras','https://dto.kemkes.go.id/kfacode/93000355',0,'2023-05-01');</v>
      </c>
    </row>
    <row r="1251" spans="1:11" ht="15.75" customHeight="1">
      <c r="A1251" s="2">
        <v>93000400</v>
      </c>
      <c r="B1251" s="2" t="s">
        <v>3547</v>
      </c>
      <c r="C1251" s="2">
        <v>92000288</v>
      </c>
      <c r="D1251" s="2" t="s">
        <v>1375</v>
      </c>
      <c r="E1251" s="2" t="s">
        <v>3548</v>
      </c>
      <c r="F1251" s="2" t="s">
        <v>653</v>
      </c>
      <c r="G1251" s="2" t="s">
        <v>1500</v>
      </c>
      <c r="H1251" s="2" t="s">
        <v>1458</v>
      </c>
      <c r="I1251" s="3" t="str">
        <f t="shared" si="0"/>
        <v>https://dto.kemkes.go.id/kfacode/93000400</v>
      </c>
      <c r="J1251" s="34" t="s">
        <v>3768</v>
      </c>
      <c r="K1251" t="str">
        <f t="shared" si="20"/>
        <v>insert into mkatalog_kfa93 (kode, uraian, kode_92, uraian_92, nama_dagang, satuan_kecil, sediaan, golongan, url, userid_updt, sysdate_updt) values ('93000400','Streptomycin Sulfate 1000 mg Serbuk Injeksi (KIMIA FARMA)','92000288','Streptomycin Sulfate 1000 mg Serbuk Injeksi','STREPTOMYCIN SULFATE','Vial','Serbuk Injeksi','Obat Keras','https://dto.kemkes.go.id/kfacode/93000400',0,'2023-05-01');</v>
      </c>
    </row>
    <row r="1252" spans="1:11" ht="15.75" customHeight="1">
      <c r="A1252" s="2">
        <v>93001439</v>
      </c>
      <c r="B1252" s="2" t="s">
        <v>3549</v>
      </c>
      <c r="C1252" s="2">
        <v>92000288</v>
      </c>
      <c r="D1252" s="2" t="s">
        <v>1375</v>
      </c>
      <c r="E1252" s="2" t="s">
        <v>3550</v>
      </c>
      <c r="F1252" s="2" t="s">
        <v>653</v>
      </c>
      <c r="G1252" s="2" t="s">
        <v>1500</v>
      </c>
      <c r="H1252" s="2" t="s">
        <v>1458</v>
      </c>
      <c r="I1252" s="3" t="str">
        <f t="shared" si="0"/>
        <v>https://dto.kemkes.go.id/kfacode/93001439</v>
      </c>
      <c r="J1252" s="34" t="s">
        <v>3768</v>
      </c>
      <c r="K1252" t="str">
        <f t="shared" si="20"/>
        <v>insert into mkatalog_kfa93 (kode, uraian, kode_92, uraian_92, nama_dagang, satuan_kecil, sediaan, golongan, url, userid_updt, sysdate_updt) values ('93001439','Streptomycin Sulfate 1000 mg Serbuk Injeksi (PHAPROS Tbk)','92000288','Streptomycin Sulfate 1000 mg Serbuk Injeksi','STREPTOMYCIN SULPHATE','Vial','Serbuk Injeksi','Obat Keras','https://dto.kemkes.go.id/kfacode/93001439',0,'2023-05-01');</v>
      </c>
    </row>
    <row r="1253" spans="1:11" ht="15.75" customHeight="1">
      <c r="A1253" s="2">
        <v>93001105</v>
      </c>
      <c r="B1253" s="2" t="s">
        <v>3551</v>
      </c>
      <c r="C1253" s="2">
        <v>92000104</v>
      </c>
      <c r="D1253" s="2" t="s">
        <v>1376</v>
      </c>
      <c r="E1253" s="2" t="s">
        <v>3552</v>
      </c>
      <c r="F1253" s="2" t="s">
        <v>658</v>
      </c>
      <c r="G1253" s="2" t="s">
        <v>1509</v>
      </c>
      <c r="H1253" s="2" t="s">
        <v>1458</v>
      </c>
      <c r="I1253" s="3" t="str">
        <f t="shared" si="0"/>
        <v>https://dto.kemkes.go.id/kfacode/93001105</v>
      </c>
      <c r="J1253" s="34" t="s">
        <v>3768</v>
      </c>
      <c r="K1253" t="str">
        <f t="shared" si="20"/>
        <v>insert into mkatalog_kfa93 (kode, uraian, kode_92, uraian_92, nama_dagang, satuan_kecil, sediaan, golongan, url, userid_updt, sysdate_updt) values ('93001105','Sucralfate 500 mg / 5 mL Suspensi (100 mL, COMBIPHAR)','92000104','Sucralfate 500 mg / 5 mL Suspensi','SUCRALFATE','Botol','Suspensi','Obat Keras','https://dto.kemkes.go.id/kfacode/93001105',0,'2023-05-01');</v>
      </c>
    </row>
    <row r="1254" spans="1:11" ht="15.75" customHeight="1">
      <c r="A1254" s="2">
        <v>93001415</v>
      </c>
      <c r="B1254" s="2" t="s">
        <v>3553</v>
      </c>
      <c r="C1254" s="2">
        <v>92000104</v>
      </c>
      <c r="D1254" s="2" t="s">
        <v>1376</v>
      </c>
      <c r="E1254" s="2" t="s">
        <v>3552</v>
      </c>
      <c r="F1254" s="2" t="s">
        <v>658</v>
      </c>
      <c r="G1254" s="2" t="s">
        <v>1509</v>
      </c>
      <c r="H1254" s="2" t="s">
        <v>1458</v>
      </c>
      <c r="I1254" s="3" t="str">
        <f t="shared" si="0"/>
        <v>https://dto.kemkes.go.id/kfacode/93001415</v>
      </c>
      <c r="J1254" s="34" t="s">
        <v>3768</v>
      </c>
      <c r="K1254" t="str">
        <f t="shared" si="20"/>
        <v>insert into mkatalog_kfa93 (kode, uraian, kode_92, uraian_92, nama_dagang, satuan_kecil, sediaan, golongan, url, userid_updt, sysdate_updt) values ('93001415','Sucralfate 500 mg / 5 mL Suspensi (100 mL, DEXA MEDICA)','92000104','Sucralfate 500 mg / 5 mL Suspensi','SUCRALFATE','Botol','Suspensi','Obat Keras','https://dto.kemkes.go.id/kfacode/93001415',0,'2023-05-01');</v>
      </c>
    </row>
    <row r="1255" spans="1:11" ht="15.75" customHeight="1">
      <c r="A1255" s="2">
        <v>93000486</v>
      </c>
      <c r="B1255" s="2" t="s">
        <v>3554</v>
      </c>
      <c r="C1255" s="2">
        <v>92000104</v>
      </c>
      <c r="D1255" s="2" t="s">
        <v>1376</v>
      </c>
      <c r="E1255" s="2" t="s">
        <v>3555</v>
      </c>
      <c r="F1255" s="2" t="s">
        <v>658</v>
      </c>
      <c r="G1255" s="2" t="s">
        <v>1509</v>
      </c>
      <c r="H1255" s="2" t="s">
        <v>1458</v>
      </c>
      <c r="I1255" s="3" t="str">
        <f t="shared" si="0"/>
        <v>https://dto.kemkes.go.id/kfacode/93000486</v>
      </c>
      <c r="J1255" s="34" t="s">
        <v>3768</v>
      </c>
      <c r="K1255" t="str">
        <f t="shared" si="20"/>
        <v>insert into mkatalog_kfa93 (kode, uraian, kode_92, uraian_92, nama_dagang, satuan_kecil, sediaan, golongan, url, userid_updt, sysdate_updt) values ('93000486','Sucralfate 500 mg / 5 mL Suspensi (100 mL, NECIBLOK)','92000104','Sucralfate 500 mg / 5 mL Suspensi','NECIBLOK','Botol','Suspensi','Obat Keras','https://dto.kemkes.go.id/kfacode/93000486',0,'2023-05-01');</v>
      </c>
    </row>
    <row r="1256" spans="1:11" ht="15.75" customHeight="1">
      <c r="A1256" s="2">
        <v>93000473</v>
      </c>
      <c r="B1256" s="2" t="s">
        <v>3556</v>
      </c>
      <c r="C1256" s="2">
        <v>92000104</v>
      </c>
      <c r="D1256" s="2" t="s">
        <v>1376</v>
      </c>
      <c r="E1256" s="2" t="s">
        <v>3557</v>
      </c>
      <c r="F1256" s="2" t="s">
        <v>658</v>
      </c>
      <c r="G1256" s="2" t="s">
        <v>1509</v>
      </c>
      <c r="H1256" s="2" t="s">
        <v>1458</v>
      </c>
      <c r="I1256" s="3" t="str">
        <f t="shared" si="0"/>
        <v>https://dto.kemkes.go.id/kfacode/93000473</v>
      </c>
      <c r="J1256" s="34" t="s">
        <v>3768</v>
      </c>
      <c r="K1256" t="str">
        <f t="shared" si="20"/>
        <v>insert into mkatalog_kfa93 (kode, uraian, kode_92, uraian_92, nama_dagang, satuan_kecil, sediaan, golongan, url, userid_updt, sysdate_updt) values ('93000473','Sucralfate 500 mg / 5 mL Suspensi (100 mL, NUCRAL)','92000104','Sucralfate 500 mg / 5 mL Suspensi','NUCRAL','Botol','Suspensi','Obat Keras','https://dto.kemkes.go.id/kfacode/93000473',0,'2023-05-01');</v>
      </c>
    </row>
    <row r="1257" spans="1:11" ht="15.75" customHeight="1">
      <c r="A1257" s="2">
        <v>93001184</v>
      </c>
      <c r="B1257" s="2" t="s">
        <v>3558</v>
      </c>
      <c r="C1257" s="2">
        <v>92000104</v>
      </c>
      <c r="D1257" s="2" t="s">
        <v>1376</v>
      </c>
      <c r="E1257" s="2" t="s">
        <v>3552</v>
      </c>
      <c r="F1257" s="2" t="s">
        <v>658</v>
      </c>
      <c r="G1257" s="2" t="s">
        <v>1509</v>
      </c>
      <c r="H1257" s="2" t="s">
        <v>1458</v>
      </c>
      <c r="I1257" s="3" t="str">
        <f t="shared" si="0"/>
        <v>https://dto.kemkes.go.id/kfacode/93001184</v>
      </c>
      <c r="J1257" s="34" t="s">
        <v>3768</v>
      </c>
      <c r="K1257" t="str">
        <f t="shared" si="20"/>
        <v>insert into mkatalog_kfa93 (kode, uraian, kode_92, uraian_92, nama_dagang, satuan_kecil, sediaan, golongan, url, userid_updt, sysdate_updt) values ('93001184','Sucralfate 500 mg / 5 mL Suspensi (100 mL, PROMEDRAHARDJO FARMASI INDUSTRI)','92000104','Sucralfate 500 mg / 5 mL Suspensi','SUCRALFATE','Botol','Suspensi','Obat Keras','https://dto.kemkes.go.id/kfacode/93001184',0,'2023-05-01');</v>
      </c>
    </row>
    <row r="1258" spans="1:11" ht="15.75" customHeight="1">
      <c r="A1258" s="2">
        <v>93000495</v>
      </c>
      <c r="B1258" s="2" t="s">
        <v>3559</v>
      </c>
      <c r="C1258" s="2">
        <v>92000104</v>
      </c>
      <c r="D1258" s="2" t="s">
        <v>1376</v>
      </c>
      <c r="E1258" s="2" t="s">
        <v>3560</v>
      </c>
      <c r="F1258" s="2" t="s">
        <v>658</v>
      </c>
      <c r="G1258" s="2" t="s">
        <v>1509</v>
      </c>
      <c r="H1258" s="2" t="s">
        <v>1458</v>
      </c>
      <c r="I1258" s="3" t="str">
        <f t="shared" si="0"/>
        <v>https://dto.kemkes.go.id/kfacode/93000495</v>
      </c>
      <c r="J1258" s="34" t="s">
        <v>3768</v>
      </c>
      <c r="K1258" t="str">
        <f t="shared" si="20"/>
        <v>insert into mkatalog_kfa93 (kode, uraian, kode_92, uraian_92, nama_dagang, satuan_kecil, sediaan, golongan, url, userid_updt, sysdate_updt) values ('93000495','Sucralfate 500 mg / 5 mL Suspensi (100 mL, ULSAFATE)','92000104','Sucralfate 500 mg / 5 mL Suspensi','ULSAFATE','Botol','Suspensi','Obat Keras','https://dto.kemkes.go.id/kfacode/93000495',0,'2023-05-01');</v>
      </c>
    </row>
    <row r="1259" spans="1:11" ht="15.75" customHeight="1">
      <c r="A1259" s="2">
        <v>93000467</v>
      </c>
      <c r="B1259" s="2" t="s">
        <v>3561</v>
      </c>
      <c r="C1259" s="2">
        <v>92000104</v>
      </c>
      <c r="D1259" s="2" t="s">
        <v>1376</v>
      </c>
      <c r="E1259" s="2" t="s">
        <v>3562</v>
      </c>
      <c r="F1259" s="2" t="s">
        <v>658</v>
      </c>
      <c r="G1259" s="2" t="s">
        <v>1509</v>
      </c>
      <c r="H1259" s="2" t="s">
        <v>1458</v>
      </c>
      <c r="I1259" s="3" t="str">
        <f t="shared" si="0"/>
        <v>https://dto.kemkes.go.id/kfacode/93000467</v>
      </c>
      <c r="J1259" s="34" t="s">
        <v>3768</v>
      </c>
      <c r="K1259" t="str">
        <f t="shared" si="20"/>
        <v>insert into mkatalog_kfa93 (kode, uraian, kode_92, uraian_92, nama_dagang, satuan_kecil, sediaan, golongan, url, userid_updt, sysdate_updt) values ('93000467','Sucralfate 500 mg / 5 mL Suspensi (100 mL, ULSICRAL)','92000104','Sucralfate 500 mg / 5 mL Suspensi','ULSICRAL','Botol','Suspensi','Obat Keras','https://dto.kemkes.go.id/kfacode/93000467',0,'2023-05-01');</v>
      </c>
    </row>
    <row r="1260" spans="1:11" ht="15.75" customHeight="1">
      <c r="A1260" s="2">
        <v>93000482</v>
      </c>
      <c r="B1260" s="2" t="s">
        <v>3563</v>
      </c>
      <c r="C1260" s="2">
        <v>92000104</v>
      </c>
      <c r="D1260" s="2" t="s">
        <v>1376</v>
      </c>
      <c r="E1260" s="2" t="s">
        <v>3564</v>
      </c>
      <c r="F1260" s="2" t="s">
        <v>658</v>
      </c>
      <c r="G1260" s="2" t="s">
        <v>1509</v>
      </c>
      <c r="H1260" s="2" t="s">
        <v>1458</v>
      </c>
      <c r="I1260" s="3" t="str">
        <f t="shared" si="0"/>
        <v>https://dto.kemkes.go.id/kfacode/93000482</v>
      </c>
      <c r="J1260" s="34" t="s">
        <v>3768</v>
      </c>
      <c r="K1260" t="str">
        <f t="shared" si="20"/>
        <v>insert into mkatalog_kfa93 (kode, uraian, kode_92, uraian_92, nama_dagang, satuan_kecil, sediaan, golongan, url, userid_updt, sysdate_updt) values ('93000482','Sucralfate 500 mg / 5 mL Suspensi (120 mL, MUSIN)','92000104','Sucralfate 500 mg / 5 mL Suspensi','MUSIN','Botol','Suspensi','Obat Keras','https://dto.kemkes.go.id/kfacode/93000482',0,'2023-05-01');</v>
      </c>
    </row>
    <row r="1261" spans="1:11" ht="15.75" customHeight="1">
      <c r="A1261" s="2">
        <v>93000509</v>
      </c>
      <c r="B1261" s="2" t="s">
        <v>3565</v>
      </c>
      <c r="C1261" s="2">
        <v>92000104</v>
      </c>
      <c r="D1261" s="2" t="s">
        <v>1376</v>
      </c>
      <c r="E1261" s="2" t="s">
        <v>3552</v>
      </c>
      <c r="F1261" s="2" t="s">
        <v>658</v>
      </c>
      <c r="G1261" s="2" t="s">
        <v>1509</v>
      </c>
      <c r="H1261" s="2" t="s">
        <v>1458</v>
      </c>
      <c r="I1261" s="3" t="str">
        <f t="shared" si="0"/>
        <v>https://dto.kemkes.go.id/kfacode/93000509</v>
      </c>
      <c r="J1261" s="34" t="s">
        <v>3768</v>
      </c>
      <c r="K1261" t="str">
        <f t="shared" si="20"/>
        <v>insert into mkatalog_kfa93 (kode, uraian, kode_92, uraian_92, nama_dagang, satuan_kecil, sediaan, golongan, url, userid_updt, sysdate_updt) values ('93000509','Sucralfate 500 mg / 5 mL Suspensi (200 mL, COMBIPHAR)','92000104','Sucralfate 500 mg / 5 mL Suspensi','SUCRALFATE','Botol','Suspensi','Obat Keras','https://dto.kemkes.go.id/kfacode/93000509',0,'2023-05-01');</v>
      </c>
    </row>
    <row r="1262" spans="1:11" ht="15.75" customHeight="1">
      <c r="A1262" s="2">
        <v>93000477</v>
      </c>
      <c r="B1262" s="2" t="s">
        <v>3566</v>
      </c>
      <c r="C1262" s="2">
        <v>92000104</v>
      </c>
      <c r="D1262" s="2" t="s">
        <v>1376</v>
      </c>
      <c r="E1262" s="2" t="s">
        <v>3557</v>
      </c>
      <c r="F1262" s="2" t="s">
        <v>658</v>
      </c>
      <c r="G1262" s="2" t="s">
        <v>1509</v>
      </c>
      <c r="H1262" s="2" t="s">
        <v>1458</v>
      </c>
      <c r="I1262" s="3" t="str">
        <f t="shared" si="0"/>
        <v>https://dto.kemkes.go.id/kfacode/93000477</v>
      </c>
      <c r="J1262" s="34" t="s">
        <v>3768</v>
      </c>
      <c r="K1262" t="str">
        <f t="shared" si="20"/>
        <v>insert into mkatalog_kfa93 (kode, uraian, kode_92, uraian_92, nama_dagang, satuan_kecil, sediaan, golongan, url, userid_updt, sysdate_updt) values ('93000477','Sucralfate 500 mg / 5 mL Suspensi (200 mL, NUCRAL)','92000104','Sucralfate 500 mg / 5 mL Suspensi','NUCRAL','Botol','Suspensi','Obat Keras','https://dto.kemkes.go.id/kfacode/93000477',0,'2023-05-01');</v>
      </c>
    </row>
    <row r="1263" spans="1:11" ht="15.75" customHeight="1">
      <c r="A1263" s="2">
        <v>93000491</v>
      </c>
      <c r="B1263" s="2" t="s">
        <v>3567</v>
      </c>
      <c r="C1263" s="2">
        <v>92000104</v>
      </c>
      <c r="D1263" s="2" t="s">
        <v>1376</v>
      </c>
      <c r="E1263" s="2" t="s">
        <v>3560</v>
      </c>
      <c r="F1263" s="2" t="s">
        <v>658</v>
      </c>
      <c r="G1263" s="2" t="s">
        <v>1509</v>
      </c>
      <c r="H1263" s="2" t="s">
        <v>1458</v>
      </c>
      <c r="I1263" s="3" t="str">
        <f t="shared" si="0"/>
        <v>https://dto.kemkes.go.id/kfacode/93000491</v>
      </c>
      <c r="J1263" s="34" t="s">
        <v>3768</v>
      </c>
      <c r="K1263" t="str">
        <f t="shared" si="20"/>
        <v>insert into mkatalog_kfa93 (kode, uraian, kode_92, uraian_92, nama_dagang, satuan_kecil, sediaan, golongan, url, userid_updt, sysdate_updt) values ('93000491','Sucralfate 500 mg / 5 mL Suspensi (200 mL, ULSAFATE)','92000104','Sucralfate 500 mg / 5 mL Suspensi','ULSAFATE','Botol','Suspensi','Obat Keras','https://dto.kemkes.go.id/kfacode/93000491',0,'2023-05-01');</v>
      </c>
    </row>
    <row r="1264" spans="1:11" ht="15.75" customHeight="1">
      <c r="A1264" s="2">
        <v>93000463</v>
      </c>
      <c r="B1264" s="2" t="s">
        <v>3568</v>
      </c>
      <c r="C1264" s="2">
        <v>92000104</v>
      </c>
      <c r="D1264" s="2" t="s">
        <v>1376</v>
      </c>
      <c r="E1264" s="2" t="s">
        <v>3562</v>
      </c>
      <c r="F1264" s="2" t="s">
        <v>658</v>
      </c>
      <c r="G1264" s="2" t="s">
        <v>1509</v>
      </c>
      <c r="H1264" s="2" t="s">
        <v>1458</v>
      </c>
      <c r="I1264" s="3" t="str">
        <f t="shared" si="0"/>
        <v>https://dto.kemkes.go.id/kfacode/93000463</v>
      </c>
      <c r="J1264" s="34" t="s">
        <v>3768</v>
      </c>
      <c r="K1264" t="str">
        <f t="shared" si="20"/>
        <v>insert into mkatalog_kfa93 (kode, uraian, kode_92, uraian_92, nama_dagang, satuan_kecil, sediaan, golongan, url, userid_updt, sysdate_updt) values ('93000463','Sucralfate 500 mg / 5 mL Suspensi (200 mL, ULSICRAL)','92000104','Sucralfate 500 mg / 5 mL Suspensi','ULSICRAL','Botol','Suspensi','Obat Keras','https://dto.kemkes.go.id/kfacode/93000463',0,'2023-05-01');</v>
      </c>
    </row>
    <row r="1265" spans="1:11" ht="15.75" customHeight="1">
      <c r="A1265" s="2">
        <v>93000389</v>
      </c>
      <c r="B1265" s="2" t="s">
        <v>3569</v>
      </c>
      <c r="C1265" s="2">
        <v>92000225</v>
      </c>
      <c r="D1265" s="2" t="s">
        <v>1378</v>
      </c>
      <c r="E1265" s="2" t="s">
        <v>3552</v>
      </c>
      <c r="F1265" s="2" t="s">
        <v>640</v>
      </c>
      <c r="G1265" s="2" t="s">
        <v>640</v>
      </c>
      <c r="H1265" s="2" t="s">
        <v>1458</v>
      </c>
      <c r="I1265" s="3" t="str">
        <f t="shared" si="0"/>
        <v>https://dto.kemkes.go.id/kfacode/93000389</v>
      </c>
      <c r="J1265" s="34" t="s">
        <v>3768</v>
      </c>
      <c r="K1265" t="str">
        <f t="shared" si="20"/>
        <v>insert into mkatalog_kfa93 (kode, uraian, kode_92, uraian_92, nama_dagang, satuan_kecil, sediaan, golongan, url, userid_updt, sysdate_updt) values ('93000389','Sucralfate 500 mg Tablet (DEXA MEDICA)','92000225','Sucralfate 500 mg Tablet','SUCRALFATE','Tablet','Tablet','Obat Keras','https://dto.kemkes.go.id/kfacode/93000389',0,'2023-05-01');</v>
      </c>
    </row>
    <row r="1266" spans="1:11" ht="15.75" customHeight="1">
      <c r="A1266" s="2">
        <v>93000778</v>
      </c>
      <c r="B1266" s="2" t="s">
        <v>3570</v>
      </c>
      <c r="C1266" s="2">
        <v>92000580</v>
      </c>
      <c r="D1266" s="2" t="s">
        <v>1379</v>
      </c>
      <c r="E1266" s="2" t="s">
        <v>3571</v>
      </c>
      <c r="F1266" s="2" t="s">
        <v>645</v>
      </c>
      <c r="G1266" s="2" t="s">
        <v>1506</v>
      </c>
      <c r="H1266" s="2" t="s">
        <v>1973</v>
      </c>
      <c r="I1266" s="3" t="str">
        <f t="shared" si="0"/>
        <v>https://dto.kemkes.go.id/kfacode/93000778</v>
      </c>
      <c r="J1266" s="34" t="s">
        <v>3768</v>
      </c>
      <c r="K1266" t="str">
        <f t="shared" si="20"/>
        <v>insert into mkatalog_kfa93 (kode, uraian, kode_92, uraian_92, nama_dagang, satuan_kecil, sediaan, golongan, url, userid_updt, sysdate_updt) values ('93000778','Sufentanil 5 mcg/mL Larutan Injeksi (SUFENTA)','92000580','Sufentanil 5 mcg/mL Larutan Injeksi','SUFENTA','Ampul','Larutan Injeksi','Obat Narkotik','https://dto.kemkes.go.id/kfacode/93000778',0,'2023-05-01');</v>
      </c>
    </row>
    <row r="1267" spans="1:11" ht="15.75" customHeight="1">
      <c r="A1267" s="2">
        <v>93000984</v>
      </c>
      <c r="B1267" s="2" t="s">
        <v>3572</v>
      </c>
      <c r="C1267" s="2">
        <v>92000676</v>
      </c>
      <c r="D1267" s="2" t="s">
        <v>1380</v>
      </c>
      <c r="E1267" s="2" t="s">
        <v>3573</v>
      </c>
      <c r="F1267" s="2" t="s">
        <v>653</v>
      </c>
      <c r="G1267" s="2" t="s">
        <v>1506</v>
      </c>
      <c r="H1267" s="2" t="s">
        <v>1458</v>
      </c>
      <c r="I1267" s="3" t="str">
        <f t="shared" si="0"/>
        <v>https://dto.kemkes.go.id/kfacode/93000984</v>
      </c>
      <c r="J1267" s="34" t="s">
        <v>3768</v>
      </c>
      <c r="K1267" t="str">
        <f t="shared" si="20"/>
        <v>insert into mkatalog_kfa93 (kode, uraian, kode_92, uraian_92, nama_dagang, satuan_kecil, sediaan, golongan, url, userid_updt, sysdate_updt) values ('93000984','Sugammadex 100 mg / mL Injeksi (BRIDION)','92000676','Sugammadex 100 mg / mL Injeksi','BRIDION','Vial','Larutan Injeksi','Obat Keras','https://dto.kemkes.go.id/kfacode/93000984',0,'2023-05-01');</v>
      </c>
    </row>
    <row r="1268" spans="1:11" ht="15.75" customHeight="1">
      <c r="A1268" s="2">
        <v>93000958</v>
      </c>
      <c r="B1268" s="2" t="s">
        <v>3574</v>
      </c>
      <c r="C1268" s="2">
        <v>92000661</v>
      </c>
      <c r="D1268" s="2" t="s">
        <v>1381</v>
      </c>
      <c r="E1268" s="2" t="s">
        <v>3575</v>
      </c>
      <c r="F1268" s="2" t="s">
        <v>649</v>
      </c>
      <c r="G1268" s="2" t="s">
        <v>649</v>
      </c>
      <c r="H1268" s="2" t="s">
        <v>1458</v>
      </c>
      <c r="I1268" s="3" t="str">
        <f t="shared" si="0"/>
        <v>https://dto.kemkes.go.id/kfacode/93000958</v>
      </c>
      <c r="J1268" s="34" t="s">
        <v>3768</v>
      </c>
      <c r="K1268" t="str">
        <f t="shared" si="20"/>
        <v>insert into mkatalog_kfa93 (kode, uraian, kode_92, uraian_92, nama_dagang, satuan_kecil, sediaan, golongan, url, userid_updt, sysdate_updt) values ('93000958','Tacrolimus 0,5 mg Kapsul (PROGRAF XL)','92000661','Tacrolimus 0,5 mg Kapsul','PROGRAF XL','Kapsul','Kapsul','Obat Keras','https://dto.kemkes.go.id/kfacode/93000958',0,'2023-05-01');</v>
      </c>
    </row>
    <row r="1269" spans="1:11" ht="15.75" customHeight="1">
      <c r="A1269" s="2">
        <v>93000956</v>
      </c>
      <c r="B1269" s="2" t="s">
        <v>3576</v>
      </c>
      <c r="C1269" s="2">
        <v>92000661</v>
      </c>
      <c r="D1269" s="2" t="s">
        <v>1381</v>
      </c>
      <c r="E1269" s="2" t="s">
        <v>3577</v>
      </c>
      <c r="F1269" s="2" t="s">
        <v>649</v>
      </c>
      <c r="G1269" s="2" t="s">
        <v>649</v>
      </c>
      <c r="H1269" s="2" t="s">
        <v>1458</v>
      </c>
      <c r="I1269" s="3" t="str">
        <f t="shared" si="0"/>
        <v>https://dto.kemkes.go.id/kfacode/93000956</v>
      </c>
      <c r="J1269" s="34" t="s">
        <v>3768</v>
      </c>
      <c r="K1269" t="str">
        <f t="shared" si="20"/>
        <v>insert into mkatalog_kfa93 (kode, uraian, kode_92, uraian_92, nama_dagang, satuan_kecil, sediaan, golongan, url, userid_updt, sysdate_updt) values ('93000956','Tacrolimus 0,5 mg Kapsul (PROGRAF)','92000661','Tacrolimus 0,5 mg Kapsul','PROGRAF','Kapsul','Kapsul','Obat Keras','https://dto.kemkes.go.id/kfacode/93000956',0,'2023-05-01');</v>
      </c>
    </row>
    <row r="1270" spans="1:11" ht="15.75" customHeight="1">
      <c r="A1270" s="2">
        <v>93001479</v>
      </c>
      <c r="B1270" s="2" t="s">
        <v>3578</v>
      </c>
      <c r="C1270" s="2">
        <v>92000329</v>
      </c>
      <c r="D1270" s="2" t="s">
        <v>1382</v>
      </c>
      <c r="E1270" s="2" t="s">
        <v>3575</v>
      </c>
      <c r="F1270" s="2" t="s">
        <v>649</v>
      </c>
      <c r="G1270" s="2" t="s">
        <v>2114</v>
      </c>
      <c r="H1270" s="2" t="s">
        <v>1458</v>
      </c>
      <c r="I1270" s="3" t="str">
        <f t="shared" si="0"/>
        <v>https://dto.kemkes.go.id/kfacode/93001479</v>
      </c>
      <c r="J1270" s="34" t="s">
        <v>3768</v>
      </c>
      <c r="K1270" t="str">
        <f t="shared" si="20"/>
        <v>insert into mkatalog_kfa93 (kode, uraian, kode_92, uraian_92, nama_dagang, satuan_kecil, sediaan, golongan, url, userid_updt, sysdate_updt) values ('93001479','Tacrolimus 0,5 mg Kapsul Pelepasan Lambat (PROGRAF XL)','92000329','Tacrolimus 0,5 mg Kapsul Pelepasan Lambat','PROGRAF XL','Kapsul','Kapsul Pelepasan Lambat','Obat Keras','https://dto.kemkes.go.id/kfacode/93001479',0,'2023-05-01');</v>
      </c>
    </row>
    <row r="1271" spans="1:11" ht="15.75" customHeight="1">
      <c r="A1271" s="2">
        <v>93001478</v>
      </c>
      <c r="B1271" s="2" t="s">
        <v>3579</v>
      </c>
      <c r="C1271" s="2">
        <v>92000330</v>
      </c>
      <c r="D1271" s="2" t="s">
        <v>1383</v>
      </c>
      <c r="E1271" s="2" t="s">
        <v>3577</v>
      </c>
      <c r="F1271" s="2" t="s">
        <v>649</v>
      </c>
      <c r="G1271" s="2" t="s">
        <v>2114</v>
      </c>
      <c r="H1271" s="2" t="s">
        <v>1458</v>
      </c>
      <c r="I1271" s="3" t="str">
        <f t="shared" si="0"/>
        <v>https://dto.kemkes.go.id/kfacode/93001478</v>
      </c>
      <c r="J1271" s="34" t="s">
        <v>3768</v>
      </c>
      <c r="K1271" t="str">
        <f t="shared" si="20"/>
        <v>insert into mkatalog_kfa93 (kode, uraian, kode_92, uraian_92, nama_dagang, satuan_kecil, sediaan, golongan, url, userid_updt, sysdate_updt) values ('93001478','Tacrolimus 1 mg Kapsul Pelepasan Lambat (PROGRAF)','92000330','Tacrolimus 1 mg Kapsul Pelepasan Lambat','PROGRAF','Kapsul','Kapsul Pelepasan Lambat','Obat Keras','https://dto.kemkes.go.id/kfacode/93001478',0,'2023-05-01');</v>
      </c>
    </row>
    <row r="1272" spans="1:11" ht="15.75" customHeight="1">
      <c r="A1272" s="2">
        <v>93001435</v>
      </c>
      <c r="B1272" s="2" t="s">
        <v>3580</v>
      </c>
      <c r="C1272" s="2">
        <v>92000691</v>
      </c>
      <c r="D1272" s="2" t="s">
        <v>1384</v>
      </c>
      <c r="E1272" s="2" t="s">
        <v>3581</v>
      </c>
      <c r="F1272" s="2" t="s">
        <v>640</v>
      </c>
      <c r="G1272" s="2" t="s">
        <v>1457</v>
      </c>
      <c r="H1272" s="2" t="s">
        <v>1458</v>
      </c>
      <c r="I1272" s="3" t="str">
        <f t="shared" si="0"/>
        <v>https://dto.kemkes.go.id/kfacode/93001435</v>
      </c>
      <c r="J1272" s="34" t="s">
        <v>3768</v>
      </c>
      <c r="K1272" t="str">
        <f t="shared" si="20"/>
        <v>insert into mkatalog_kfa93 (kode, uraian, kode_92, uraian_92, nama_dagang, satuan_kecil, sediaan, golongan, url, userid_updt, sysdate_updt) values ('93001435','Tamoxifen Citrate 10 mg Tablet Salut Selaput (TAMOFEN)','92000691','Tamoxifen Citrate 10 mg Tablet Salut Selaput','TAMOFEN','Tablet','Tablet Salut Selaput','Obat Keras','https://dto.kemkes.go.id/kfacode/93001435',0,'2023-05-01');</v>
      </c>
    </row>
    <row r="1273" spans="1:11" ht="15.75" customHeight="1">
      <c r="A1273" s="2">
        <v>93000450</v>
      </c>
      <c r="B1273" s="2" t="s">
        <v>3582</v>
      </c>
      <c r="C1273" s="2">
        <v>92000325</v>
      </c>
      <c r="D1273" s="2" t="s">
        <v>1385</v>
      </c>
      <c r="E1273" s="2" t="s">
        <v>3583</v>
      </c>
      <c r="F1273" s="2" t="s">
        <v>640</v>
      </c>
      <c r="G1273" s="2" t="s">
        <v>1648</v>
      </c>
      <c r="H1273" s="2" t="s">
        <v>1458</v>
      </c>
      <c r="I1273" s="3" t="str">
        <f t="shared" si="0"/>
        <v>https://dto.kemkes.go.id/kfacode/93000450</v>
      </c>
      <c r="J1273" s="34" t="s">
        <v>3768</v>
      </c>
      <c r="K1273" t="str">
        <f t="shared" si="20"/>
        <v>insert into mkatalog_kfa93 (kode, uraian, kode_92, uraian_92, nama_dagang, satuan_kecil, sediaan, golongan, url, userid_updt, sysdate_updt) values ('93000450','Tamsulosin Hydrochloride 0,2 mg Tablet Dispersible (HARNAL D)','92000325','Tamsulosin Hydrochloride 0,2 mg Tablet Dispersible','HARNAL D','Tablet','Tablet Dispersibel','Obat Keras','https://dto.kemkes.go.id/kfacode/93000450',0,'2023-05-01');</v>
      </c>
    </row>
    <row r="1274" spans="1:11" ht="15.75" customHeight="1">
      <c r="A1274" s="2">
        <v>93001336</v>
      </c>
      <c r="B1274" s="2" t="s">
        <v>3584</v>
      </c>
      <c r="C1274" s="2">
        <v>92000793</v>
      </c>
      <c r="D1274" s="2" t="s">
        <v>1386</v>
      </c>
      <c r="E1274" s="2" t="s">
        <v>3585</v>
      </c>
      <c r="F1274" s="2" t="s">
        <v>640</v>
      </c>
      <c r="G1274" s="2" t="s">
        <v>1608</v>
      </c>
      <c r="H1274" s="2" t="s">
        <v>1458</v>
      </c>
      <c r="I1274" s="3" t="str">
        <f t="shared" si="0"/>
        <v>https://dto.kemkes.go.id/kfacode/93001336</v>
      </c>
      <c r="J1274" s="34" t="s">
        <v>3768</v>
      </c>
      <c r="K1274" t="str">
        <f t="shared" si="20"/>
        <v>insert into mkatalog_kfa93 (kode, uraian, kode_92, uraian_92, nama_dagang, satuan_kecil, sediaan, golongan, url, userid_updt, sysdate_updt) values ('93001336','Tamsulosin Hydrochloride 0,4 mg Tablet Pelepasan Lambat (NOVELL PHARMACEUTICAL LAB.)','92000793','Tamsulosin Hydrochloride 0,4 mg Tablet Pelepasan Lambat','TAMSULOSIN HYDROCHLORIDE','Tablet','Tablet Pelepasan Lambat','Obat Keras','https://dto.kemkes.go.id/kfacode/93001336',0,'2023-05-01');</v>
      </c>
    </row>
    <row r="1275" spans="1:11" ht="15.75" customHeight="1">
      <c r="A1275" s="2">
        <v>93001107</v>
      </c>
      <c r="B1275" s="2" t="s">
        <v>3586</v>
      </c>
      <c r="C1275" s="2">
        <v>92000116</v>
      </c>
      <c r="D1275" s="2" t="s">
        <v>1387</v>
      </c>
      <c r="E1275" s="2" t="s">
        <v>3587</v>
      </c>
      <c r="F1275" s="2" t="s">
        <v>640</v>
      </c>
      <c r="G1275" s="2" t="s">
        <v>640</v>
      </c>
      <c r="H1275" s="2" t="s">
        <v>1458</v>
      </c>
      <c r="I1275" s="3" t="str">
        <f t="shared" si="0"/>
        <v>https://dto.kemkes.go.id/kfacode/93001107</v>
      </c>
      <c r="J1275" s="34" t="s">
        <v>3768</v>
      </c>
      <c r="K1275" t="str">
        <f t="shared" si="20"/>
        <v>insert into mkatalog_kfa93 (kode, uraian, kode_92, uraian_92, nama_dagang, satuan_kecil, sediaan, golongan, url, userid_updt, sysdate_updt) values ('93001107','Telmisartan 40 mg Tablet (DEXA MEDICA)','92000116','Telmisartan 40 mg Tablet','TELMISARTAN','Tablet','Tablet','Obat Keras','https://dto.kemkes.go.id/kfacode/93001107',0,'2023-05-01');</v>
      </c>
    </row>
    <row r="1276" spans="1:11" ht="15.75" customHeight="1">
      <c r="A1276" s="2">
        <v>93001108</v>
      </c>
      <c r="B1276" s="2" t="s">
        <v>3588</v>
      </c>
      <c r="C1276" s="2">
        <v>92000117</v>
      </c>
      <c r="D1276" s="2" t="s">
        <v>1388</v>
      </c>
      <c r="E1276" s="2" t="s">
        <v>3587</v>
      </c>
      <c r="F1276" s="2" t="s">
        <v>640</v>
      </c>
      <c r="G1276" s="2" t="s">
        <v>640</v>
      </c>
      <c r="H1276" s="2" t="s">
        <v>1458</v>
      </c>
      <c r="I1276" s="3" t="str">
        <f t="shared" si="0"/>
        <v>https://dto.kemkes.go.id/kfacode/93001108</v>
      </c>
      <c r="J1276" s="34" t="s">
        <v>3768</v>
      </c>
      <c r="K1276" t="str">
        <f t="shared" si="20"/>
        <v>insert into mkatalog_kfa93 (kode, uraian, kode_92, uraian_92, nama_dagang, satuan_kecil, sediaan, golongan, url, userid_updt, sysdate_updt) values ('93001108','Telmisartan 80 mg Tablet (DEXA MEDICA)','92000117','Telmisartan 80 mg Tablet','TELMISARTAN','Tablet','Tablet','Obat Keras','https://dto.kemkes.go.id/kfacode/93001108',0,'2023-05-01');</v>
      </c>
    </row>
    <row r="1277" spans="1:11" ht="15.75" customHeight="1">
      <c r="A1277" s="2">
        <v>93000969</v>
      </c>
      <c r="B1277" s="2" t="s">
        <v>3589</v>
      </c>
      <c r="C1277" s="2">
        <v>92000532</v>
      </c>
      <c r="D1277" s="2" t="s">
        <v>1389</v>
      </c>
      <c r="E1277" s="2" t="s">
        <v>3590</v>
      </c>
      <c r="F1277" s="2" t="s">
        <v>649</v>
      </c>
      <c r="G1277" s="2" t="s">
        <v>649</v>
      </c>
      <c r="H1277" s="2" t="s">
        <v>1458</v>
      </c>
      <c r="I1277" s="3" t="str">
        <f t="shared" si="0"/>
        <v>https://dto.kemkes.go.id/kfacode/93000969</v>
      </c>
      <c r="J1277" s="34" t="s">
        <v>3768</v>
      </c>
      <c r="K1277" t="str">
        <f t="shared" si="20"/>
        <v>insert into mkatalog_kfa93 (kode, uraian, kode_92, uraian_92, nama_dagang, satuan_kecil, sediaan, golongan, url, userid_updt, sysdate_updt) values ('93000969','Temozolomide 100 mg Kapsul (TEMOTERO 100)','92000532','Temozolomide 100 mg Kapsul','TEMOTERO 100','Kapsul','Kapsul','Obat Keras','https://dto.kemkes.go.id/kfacode/93000969',0,'2023-05-01');</v>
      </c>
    </row>
    <row r="1278" spans="1:11" ht="15.75" customHeight="1">
      <c r="A1278" s="2">
        <v>93000964</v>
      </c>
      <c r="B1278" s="2" t="s">
        <v>3591</v>
      </c>
      <c r="C1278" s="2">
        <v>92000665</v>
      </c>
      <c r="D1278" s="2" t="s">
        <v>1390</v>
      </c>
      <c r="E1278" s="2" t="s">
        <v>3592</v>
      </c>
      <c r="F1278" s="2" t="s">
        <v>649</v>
      </c>
      <c r="G1278" s="2" t="s">
        <v>649</v>
      </c>
      <c r="H1278" s="2" t="s">
        <v>1458</v>
      </c>
      <c r="I1278" s="3" t="str">
        <f t="shared" si="0"/>
        <v>https://dto.kemkes.go.id/kfacode/93000964</v>
      </c>
      <c r="J1278" s="34" t="s">
        <v>3768</v>
      </c>
      <c r="K1278" t="str">
        <f t="shared" si="20"/>
        <v>insert into mkatalog_kfa93 (kode, uraian, kode_92, uraian_92, nama_dagang, satuan_kecil, sediaan, golongan, url, userid_updt, sysdate_updt) values ('93000964','Temozolomide 20 mg Kapsul (TEROZA)','92000665','Temozolomide 20 mg Kapsul','TEROZA','Kapsul','Kapsul','Obat Keras','https://dto.kemkes.go.id/kfacode/93000964',0,'2023-05-01');</v>
      </c>
    </row>
    <row r="1279" spans="1:11" ht="15.75" customHeight="1">
      <c r="A1279" s="2">
        <v>93001599</v>
      </c>
      <c r="B1279" s="2" t="s">
        <v>3593</v>
      </c>
      <c r="C1279" s="2">
        <v>92000161</v>
      </c>
      <c r="D1279" s="2" t="s">
        <v>47</v>
      </c>
      <c r="E1279" s="2" t="s">
        <v>3594</v>
      </c>
      <c r="F1279" s="2" t="s">
        <v>640</v>
      </c>
      <c r="G1279" s="2" t="s">
        <v>1457</v>
      </c>
      <c r="H1279" s="2" t="s">
        <v>1458</v>
      </c>
      <c r="I1279" s="3" t="str">
        <f t="shared" si="0"/>
        <v>https://dto.kemkes.go.id/kfacode/93001599</v>
      </c>
      <c r="J1279" s="34" t="s">
        <v>3768</v>
      </c>
      <c r="K1279" t="str">
        <f t="shared" si="20"/>
        <v>insert into mkatalog_kfa93 (kode, uraian, kode_92, uraian_92, nama_dagang, satuan_kecil, sediaan, golongan, url, userid_updt, sysdate_updt) values ('93001599','Tenofovir Disoproxil 300 mg / Emtricitabine 200 mg Tablet Salut Selaput (EMTRIVIR)','92000161','Tenofovir Disoproxil 300 mg / Emtricitabine 200 mg Tablet Salut Selaput','EMTRIVIR','Tablet','Tablet Salut Selaput','Obat Keras','https://dto.kemkes.go.id/kfacode/93001599',0,'2023-05-01');</v>
      </c>
    </row>
    <row r="1280" spans="1:11" ht="15.75" customHeight="1">
      <c r="A1280" s="2">
        <v>93001600</v>
      </c>
      <c r="B1280" s="2" t="s">
        <v>3595</v>
      </c>
      <c r="C1280" s="2">
        <v>92000161</v>
      </c>
      <c r="D1280" s="2" t="s">
        <v>47</v>
      </c>
      <c r="E1280" s="2" t="s">
        <v>3596</v>
      </c>
      <c r="F1280" s="2" t="s">
        <v>640</v>
      </c>
      <c r="G1280" s="2" t="s">
        <v>1457</v>
      </c>
      <c r="H1280" s="2" t="s">
        <v>1458</v>
      </c>
      <c r="I1280" s="3" t="str">
        <f t="shared" si="0"/>
        <v>https://dto.kemkes.go.id/kfacode/93001600</v>
      </c>
      <c r="J1280" s="34" t="s">
        <v>3768</v>
      </c>
      <c r="K1280" t="str">
        <f t="shared" si="20"/>
        <v>insert into mkatalog_kfa93 (kode, uraian, kode_92, uraian_92, nama_dagang, satuan_kecil, sediaan, golongan, url, userid_updt, sysdate_updt) values ('93001600','Tenofovir Disoproxil 300 mg / Emtricitabine 200 mg Tablet Salut Selaput (FORSTAVIR-EM)','92000161','Tenofovir Disoproxil 300 mg / Emtricitabine 200 mg Tablet Salut Selaput','FORSTAVIR-EM','Tablet','Tablet Salut Selaput','Obat Keras','https://dto.kemkes.go.id/kfacode/93001600',0,'2023-05-01');</v>
      </c>
    </row>
    <row r="1281" spans="1:11" ht="15.75" customHeight="1">
      <c r="A1281" s="2">
        <v>93000158</v>
      </c>
      <c r="B1281" s="2" t="s">
        <v>3597</v>
      </c>
      <c r="C1281" s="2">
        <v>92000161</v>
      </c>
      <c r="D1281" s="2" t="s">
        <v>47</v>
      </c>
      <c r="E1281" s="2" t="s">
        <v>3598</v>
      </c>
      <c r="F1281" s="2" t="s">
        <v>640</v>
      </c>
      <c r="G1281" s="2" t="s">
        <v>1457</v>
      </c>
      <c r="H1281" s="2" t="s">
        <v>1458</v>
      </c>
      <c r="I1281" s="3" t="str">
        <f t="shared" si="0"/>
        <v>https://dto.kemkes.go.id/kfacode/93000158</v>
      </c>
      <c r="J1281" s="34" t="s">
        <v>3768</v>
      </c>
      <c r="K1281" t="str">
        <f t="shared" si="20"/>
        <v>insert into mkatalog_kfa93 (kode, uraian, kode_92, uraian_92, nama_dagang, satuan_kecil, sediaan, golongan, url, userid_updt, sysdate_updt) values ('93000158','Tenofovir Disoproxil 300 mg / Emtricitabine 200 mg Tablet Salut Selaput (RICOVIR-EM)','92000161','Tenofovir Disoproxil 300 mg / Emtricitabine 200 mg Tablet Salut Selaput','RICOVIR-EM','Tablet','Tablet Salut Selaput','Obat Keras','https://dto.kemkes.go.id/kfacode/93000158',0,'2023-05-01');</v>
      </c>
    </row>
    <row r="1282" spans="1:11" ht="15.75" customHeight="1">
      <c r="A1282" s="2">
        <v>93001245</v>
      </c>
      <c r="B1282" s="2" t="s">
        <v>3599</v>
      </c>
      <c r="C1282" s="2">
        <v>92000342</v>
      </c>
      <c r="D1282" s="2" t="s">
        <v>44</v>
      </c>
      <c r="E1282" s="2" t="s">
        <v>3600</v>
      </c>
      <c r="F1282" s="2" t="s">
        <v>640</v>
      </c>
      <c r="G1282" s="2" t="s">
        <v>1457</v>
      </c>
      <c r="H1282" s="2" t="s">
        <v>1458</v>
      </c>
      <c r="I1282" s="3" t="str">
        <f t="shared" si="0"/>
        <v>https://dto.kemkes.go.id/kfacode/93001245</v>
      </c>
      <c r="J1282" s="34" t="s">
        <v>3768</v>
      </c>
      <c r="K1282" t="str">
        <f t="shared" si="20"/>
        <v>insert into mkatalog_kfa93 (kode, uraian, kode_92, uraian_92, nama_dagang, satuan_kecil, sediaan, golongan, url, userid_updt, sysdate_updt) values ('93001245','Tenofovir Disoproxil 300 mg Tablet Salut Selaput (KIMIA FARMA)','92000342','Tenofovir Disoproxil 300 mg Tablet Salut Selaput','TENOFOVIR DISOPROXIL FUMARATE','Tablet','Tablet Salut Selaput','Obat Keras','https://dto.kemkes.go.id/kfacode/93001245',0,'2023-05-01');</v>
      </c>
    </row>
    <row r="1283" spans="1:11" ht="15.75" customHeight="1">
      <c r="A1283" s="2">
        <v>93001542</v>
      </c>
      <c r="B1283" s="2" t="s">
        <v>3601</v>
      </c>
      <c r="C1283" s="2">
        <v>92000865</v>
      </c>
      <c r="D1283" s="2" t="s">
        <v>1392</v>
      </c>
      <c r="E1283" s="2" t="s">
        <v>3602</v>
      </c>
      <c r="F1283" s="2" t="s">
        <v>640</v>
      </c>
      <c r="G1283" s="2" t="s">
        <v>1457</v>
      </c>
      <c r="H1283" s="2" t="s">
        <v>1458</v>
      </c>
      <c r="I1283" s="3" t="str">
        <f t="shared" si="0"/>
        <v>https://dto.kemkes.go.id/kfacode/93001542</v>
      </c>
      <c r="J1283" s="34" t="s">
        <v>3768</v>
      </c>
      <c r="K1283" t="str">
        <f t="shared" ref="K1283:K1346" si="21">CONCATENATE(J1283,"('",A1283,"','",B1283,"','",C1283,"','",D1283,"','",E1283,"','",F1283,"','",G1283,"','",H1283,"','",I1283,"',0,'2023-05-01');")</f>
        <v>insert into mkatalog_kfa93 (kode, uraian, kode_92, uraian_92, nama_dagang, satuan_kecil, sediaan, golongan, url, userid_updt, sysdate_updt) values ('93001542','Tenofovir Disproxil 300 mg / Lamivudin 300 mg / Dolutegravir 50 mg Tablet Salut Selaput (ACRIPTEGA)','92000865','Tenofovir Disproxil 300 mg / Lamivudin 300 mg / Dolutegravir 50 mg Tablet Salut Selaput','ACRIPTEGA','Tablet','Tablet Salut Selaput','Obat Keras','https://dto.kemkes.go.id/kfacode/93001542',0,'2023-05-01');</v>
      </c>
    </row>
    <row r="1284" spans="1:11" ht="15.75" customHeight="1">
      <c r="A1284" s="2">
        <v>93001544</v>
      </c>
      <c r="B1284" s="2" t="s">
        <v>3603</v>
      </c>
      <c r="C1284" s="2">
        <v>92000865</v>
      </c>
      <c r="D1284" s="2" t="s">
        <v>1392</v>
      </c>
      <c r="E1284" s="2" t="s">
        <v>3604</v>
      </c>
      <c r="F1284" s="2" t="s">
        <v>640</v>
      </c>
      <c r="G1284" s="2" t="s">
        <v>1457</v>
      </c>
      <c r="H1284" s="2" t="s">
        <v>1458</v>
      </c>
      <c r="I1284" s="3" t="str">
        <f t="shared" si="0"/>
        <v>https://dto.kemkes.go.id/kfacode/93001544</v>
      </c>
      <c r="J1284" s="34" t="s">
        <v>3768</v>
      </c>
      <c r="K1284" t="str">
        <f t="shared" si="21"/>
        <v>insert into mkatalog_kfa93 (kode, uraian, kode_92, uraian_92, nama_dagang, satuan_kecil, sediaan, golongan, url, userid_updt, sysdate_updt) values ('93001544','Tenofovir Disproxil 300 mg / Lamivudin 300 mg / Dolutegravir 50 mg Tablet Salut Selaput (TELADO)','92000865','Tenofovir Disproxil 300 mg / Lamivudin 300 mg / Dolutegravir 50 mg Tablet Salut Selaput','TELADO','Tablet','Tablet Salut Selaput','Obat Keras','https://dto.kemkes.go.id/kfacode/93001544',0,'2023-05-01');</v>
      </c>
    </row>
    <row r="1285" spans="1:11" ht="15.75" customHeight="1">
      <c r="A1285" s="2">
        <v>93000728</v>
      </c>
      <c r="B1285" s="2" t="s">
        <v>3605</v>
      </c>
      <c r="C1285" s="2">
        <v>92000522</v>
      </c>
      <c r="D1285" s="2" t="s">
        <v>1393</v>
      </c>
      <c r="E1285" s="2" t="s">
        <v>3606</v>
      </c>
      <c r="F1285" s="2" t="s">
        <v>640</v>
      </c>
      <c r="G1285" s="2" t="s">
        <v>640</v>
      </c>
      <c r="H1285" s="2" t="s">
        <v>1458</v>
      </c>
      <c r="I1285" s="3" t="str">
        <f t="shared" si="0"/>
        <v>https://dto.kemkes.go.id/kfacode/93000728</v>
      </c>
      <c r="J1285" s="34" t="s">
        <v>3768</v>
      </c>
      <c r="K1285" t="str">
        <f t="shared" si="21"/>
        <v>insert into mkatalog_kfa93 (kode, uraian, kode_92, uraian_92, nama_dagang, satuan_kecil, sediaan, golongan, url, userid_updt, sysdate_updt) values ('93000728','Terazosin 2 mg Tablet (HYTRIN)','92000522','Terazosin 2 mg Tablet','HYTRIN','Tablet','Tablet','Obat Keras','https://dto.kemkes.go.id/kfacode/93000728',0,'2023-05-01');</v>
      </c>
    </row>
    <row r="1286" spans="1:11" ht="15.75" customHeight="1">
      <c r="A1286" s="2">
        <v>93001114</v>
      </c>
      <c r="B1286" s="2" t="s">
        <v>3607</v>
      </c>
      <c r="C1286" s="2">
        <v>92000349</v>
      </c>
      <c r="D1286" s="2" t="s">
        <v>1394</v>
      </c>
      <c r="E1286" s="2" t="s">
        <v>3608</v>
      </c>
      <c r="F1286" s="2" t="s">
        <v>640</v>
      </c>
      <c r="G1286" s="2" t="s">
        <v>640</v>
      </c>
      <c r="H1286" s="2" t="s">
        <v>1458</v>
      </c>
      <c r="I1286" s="3" t="str">
        <f t="shared" si="0"/>
        <v>https://dto.kemkes.go.id/kfacode/93001114</v>
      </c>
      <c r="J1286" s="34" t="s">
        <v>3768</v>
      </c>
      <c r="K1286" t="str">
        <f t="shared" si="21"/>
        <v>insert into mkatalog_kfa93 (kode, uraian, kode_92, uraian_92, nama_dagang, satuan_kecil, sediaan, golongan, url, userid_updt, sysdate_updt) values ('93001114','Terazosin Hydrochloride 1 mg Tablet (DEXA MEDICA)','92000349','Terazosin Hydrochloride 1 mg Tablet','TERAZOSIN HCL','Tablet','Tablet','Obat Keras','https://dto.kemkes.go.id/kfacode/93001114',0,'2023-05-01');</v>
      </c>
    </row>
    <row r="1287" spans="1:11" ht="15.75" customHeight="1">
      <c r="A1287" s="2">
        <v>93000879</v>
      </c>
      <c r="B1287" s="2" t="s">
        <v>3609</v>
      </c>
      <c r="C1287" s="2">
        <v>92000619</v>
      </c>
      <c r="D1287" s="2" t="s">
        <v>1395</v>
      </c>
      <c r="E1287" s="2" t="s">
        <v>3610</v>
      </c>
      <c r="F1287" s="2" t="s">
        <v>658</v>
      </c>
      <c r="G1287" s="2" t="s">
        <v>1832</v>
      </c>
      <c r="H1287" s="2" t="s">
        <v>1458</v>
      </c>
      <c r="I1287" s="3" t="str">
        <f t="shared" si="0"/>
        <v>https://dto.kemkes.go.id/kfacode/93000879</v>
      </c>
      <c r="J1287" s="34" t="s">
        <v>3768</v>
      </c>
      <c r="K1287" t="str">
        <f t="shared" si="21"/>
        <v>insert into mkatalog_kfa93 (kode, uraian, kode_92, uraian_92, nama_dagang, satuan_kecil, sediaan, golongan, url, userid_updt, sysdate_updt) values ('93000879','Terbutaline Sulfate 1.5 mg / 5 mL Sirup (TABAS, 100 mL)','92000619','Terbutaline Sulfate 1.5 mg / 5 mL Sirup','TABAS','Botol','Sirup','Obat Keras','https://dto.kemkes.go.id/kfacode/93000879',0,'2023-05-01');</v>
      </c>
    </row>
    <row r="1288" spans="1:11" ht="15.75" customHeight="1">
      <c r="A1288" s="2">
        <v>93000303</v>
      </c>
      <c r="B1288" s="2" t="s">
        <v>3611</v>
      </c>
      <c r="C1288" s="2">
        <v>92000202</v>
      </c>
      <c r="D1288" s="2" t="s">
        <v>1396</v>
      </c>
      <c r="E1288" s="2" t="s">
        <v>3612</v>
      </c>
      <c r="F1288" s="2" t="s">
        <v>741</v>
      </c>
      <c r="G1288" s="2" t="s">
        <v>1489</v>
      </c>
      <c r="H1288" s="2" t="s">
        <v>1458</v>
      </c>
      <c r="I1288" s="3" t="str">
        <f t="shared" si="0"/>
        <v>https://dto.kemkes.go.id/kfacode/93000303</v>
      </c>
      <c r="J1288" s="34" t="s">
        <v>3768</v>
      </c>
      <c r="K1288" t="str">
        <f t="shared" si="21"/>
        <v>insert into mkatalog_kfa93 (kode, uraian, kode_92, uraian_92, nama_dagang, satuan_kecil, sediaan, golongan, url, userid_updt, sysdate_updt) values ('93000303','Terbutaline Sulfate 2,5 mg / mL Inhalasi (BRICASMA RESPULES)','92000202','Terbutaline Sulfate 2,5 mg / mL Inhalasi','BRICASMA RESPULES','Respules','Larutan Inhalasi','Obat Keras','https://dto.kemkes.go.id/kfacode/93000303',0,'2023-05-01');</v>
      </c>
    </row>
    <row r="1289" spans="1:11" ht="15.75" customHeight="1">
      <c r="A1289" s="2">
        <v>93001221</v>
      </c>
      <c r="B1289" s="2" t="s">
        <v>3613</v>
      </c>
      <c r="C1289" s="2">
        <v>92000635</v>
      </c>
      <c r="D1289" s="2" t="s">
        <v>1397</v>
      </c>
      <c r="E1289" s="2" t="s">
        <v>3614</v>
      </c>
      <c r="F1289" s="2" t="s">
        <v>660</v>
      </c>
      <c r="G1289" s="2" t="s">
        <v>660</v>
      </c>
      <c r="H1289" s="2" t="s">
        <v>1458</v>
      </c>
      <c r="I1289" s="3" t="str">
        <f t="shared" si="0"/>
        <v>https://dto.kemkes.go.id/kfacode/93001221</v>
      </c>
      <c r="J1289" s="34" t="s">
        <v>3768</v>
      </c>
      <c r="K1289" t="str">
        <f t="shared" si="21"/>
        <v>insert into mkatalog_kfa93 (kode, uraian, kode_92, uraian_92, nama_dagang, satuan_kecil, sediaan, golongan, url, userid_updt, sysdate_updt) values ('93001221','Terbutaline Sulfate 2,5 mg Tablet (MOLASMA)','92000635','Terbutaline Sulfate 2,5 mg Tablet','MOLASMA','Kaplet','Kaplet','Obat Keras','https://dto.kemkes.go.id/kfacode/93001221',0,'2023-05-01');</v>
      </c>
    </row>
    <row r="1290" spans="1:11" ht="15.75" customHeight="1">
      <c r="A1290" s="2">
        <v>93001026</v>
      </c>
      <c r="B1290" s="2" t="s">
        <v>3615</v>
      </c>
      <c r="C1290" s="2">
        <v>92000635</v>
      </c>
      <c r="D1290" s="2" t="s">
        <v>1397</v>
      </c>
      <c r="E1290" s="2" t="s">
        <v>3616</v>
      </c>
      <c r="F1290" s="2" t="s">
        <v>660</v>
      </c>
      <c r="G1290" s="2" t="s">
        <v>660</v>
      </c>
      <c r="H1290" s="2" t="s">
        <v>1458</v>
      </c>
      <c r="I1290" s="3" t="str">
        <f t="shared" si="0"/>
        <v>https://dto.kemkes.go.id/kfacode/93001026</v>
      </c>
      <c r="J1290" s="34" t="s">
        <v>3768</v>
      </c>
      <c r="K1290" t="str">
        <f t="shared" si="21"/>
        <v>insert into mkatalog_kfa93 (kode, uraian, kode_92, uraian_92, nama_dagang, satuan_kecil, sediaan, golongan, url, userid_updt, sysdate_updt) values ('93001026','Terbutaline Sulfate 2,5 mg Tablet (NEOSMA)','92000635','Terbutaline Sulfate 2,5 mg Tablet','NEOSMA','Kaplet','Kaplet','Obat Keras','https://dto.kemkes.go.id/kfacode/93001026',0,'2023-05-01');</v>
      </c>
    </row>
    <row r="1291" spans="1:11" ht="15.75" customHeight="1">
      <c r="A1291" s="2">
        <v>93001474</v>
      </c>
      <c r="B1291" s="2" t="s">
        <v>3617</v>
      </c>
      <c r="C1291" s="2">
        <v>92000332</v>
      </c>
      <c r="D1291" s="2" t="s">
        <v>1398</v>
      </c>
      <c r="E1291" s="2" t="s">
        <v>3618</v>
      </c>
      <c r="F1291" s="2" t="s">
        <v>645</v>
      </c>
      <c r="G1291" s="2" t="s">
        <v>1506</v>
      </c>
      <c r="H1291" s="2" t="s">
        <v>1458</v>
      </c>
      <c r="I1291" s="3" t="str">
        <f t="shared" si="0"/>
        <v>https://dto.kemkes.go.id/kfacode/93001474</v>
      </c>
      <c r="J1291" s="34" t="s">
        <v>3768</v>
      </c>
      <c r="K1291" t="str">
        <f t="shared" si="21"/>
        <v>insert into mkatalog_kfa93 (kode, uraian, kode_92, uraian_92, nama_dagang, satuan_kecil, sediaan, golongan, url, userid_updt, sysdate_updt) values ('93001474','Testosterone 250 mg / mL Injeksi (NEBIDO)','92000332','Testosterone 250 mg / mL Injeksi','NEBIDO','Ampul','Larutan Injeksi','Obat Keras','https://dto.kemkes.go.id/kfacode/93001474',0,'2023-05-01');</v>
      </c>
    </row>
    <row r="1292" spans="1:11" ht="15.75" customHeight="1">
      <c r="A1292" s="2">
        <v>93000847</v>
      </c>
      <c r="B1292" s="2" t="s">
        <v>3619</v>
      </c>
      <c r="C1292" s="2">
        <v>92000332</v>
      </c>
      <c r="D1292" s="2" t="s">
        <v>1398</v>
      </c>
      <c r="E1292" s="2" t="s">
        <v>3620</v>
      </c>
      <c r="F1292" s="2" t="s">
        <v>645</v>
      </c>
      <c r="G1292" s="2" t="s">
        <v>1506</v>
      </c>
      <c r="H1292" s="2" t="s">
        <v>1458</v>
      </c>
      <c r="I1292" s="3" t="str">
        <f t="shared" si="0"/>
        <v>https://dto.kemkes.go.id/kfacode/93000847</v>
      </c>
      <c r="J1292" s="34" t="s">
        <v>3768</v>
      </c>
      <c r="K1292" t="str">
        <f t="shared" si="21"/>
        <v>insert into mkatalog_kfa93 (kode, uraian, kode_92, uraian_92, nama_dagang, satuan_kecil, sediaan, golongan, url, userid_updt, sysdate_updt) values ('93000847','Testosterone 250 mg / mL Injeksi (SUSTANON 250)','92000332','Testosterone 250 mg / mL Injeksi','SUSTANON 250','Ampul','Larutan Injeksi','Obat Keras','https://dto.kemkes.go.id/kfacode/93000847',0,'2023-05-01');</v>
      </c>
    </row>
    <row r="1293" spans="1:11" ht="15.75" customHeight="1">
      <c r="A1293" s="2">
        <v>93001036</v>
      </c>
      <c r="B1293" s="2" t="s">
        <v>3621</v>
      </c>
      <c r="C1293" s="2">
        <v>92000335</v>
      </c>
      <c r="D1293" s="2" t="s">
        <v>1399</v>
      </c>
      <c r="E1293" s="2" t="s">
        <v>3622</v>
      </c>
      <c r="F1293" s="2" t="s">
        <v>640</v>
      </c>
      <c r="G1293" s="2" t="s">
        <v>640</v>
      </c>
      <c r="H1293" s="2" t="s">
        <v>1672</v>
      </c>
      <c r="I1293" s="3" t="str">
        <f t="shared" si="0"/>
        <v>https://dto.kemkes.go.id/kfacode/93001036</v>
      </c>
      <c r="J1293" s="34" t="s">
        <v>3768</v>
      </c>
      <c r="K1293" t="str">
        <f t="shared" si="21"/>
        <v>insert into mkatalog_kfa93 (kode, uraian, kode_92, uraian_92, nama_dagang, satuan_kecil, sediaan, golongan, url, userid_updt, sysdate_updt) values ('93001036','Theophylline 150 mg Tablet (BRONSOLVAN)','92000335','Theophylline 150 mg Tablet','BRONSOLVAN','Tablet','Tablet','Obat Bebas Terbatas','https://dto.kemkes.go.id/kfacode/93001036',0,'2023-05-01');</v>
      </c>
    </row>
    <row r="1294" spans="1:11" ht="15.75" customHeight="1">
      <c r="A1294" s="2">
        <v>93000570</v>
      </c>
      <c r="B1294" s="2" t="s">
        <v>3623</v>
      </c>
      <c r="C1294" s="2">
        <v>92000373</v>
      </c>
      <c r="D1294" s="2" t="s">
        <v>1400</v>
      </c>
      <c r="E1294" s="2" t="s">
        <v>3624</v>
      </c>
      <c r="F1294" s="2" t="s">
        <v>640</v>
      </c>
      <c r="G1294" s="2" t="s">
        <v>2899</v>
      </c>
      <c r="H1294" s="2" t="s">
        <v>1458</v>
      </c>
      <c r="I1294" s="3" t="str">
        <f t="shared" si="0"/>
        <v>https://dto.kemkes.go.id/kfacode/93000570</v>
      </c>
      <c r="J1294" s="34" t="s">
        <v>3768</v>
      </c>
      <c r="K1294" t="str">
        <f t="shared" si="21"/>
        <v>insert into mkatalog_kfa93 (kode, uraian, kode_92, uraian_92, nama_dagang, satuan_kecil, sediaan, golongan, url, userid_updt, sysdate_updt) values ('93000570','Theophylline 300 mg Kaplet Pelepasan Lambat (RETAPHYL SR)','92000373','Theophylline 300 mg Kaplet Pelepasan Lambat','RETAPHYL SR','Tablet','Kaplet Pelepasan Lambat','Obat Keras','https://dto.kemkes.go.id/kfacode/93000570',0,'2023-05-01');</v>
      </c>
    </row>
    <row r="1295" spans="1:11" ht="15.75" customHeight="1">
      <c r="A1295" s="2">
        <v>93001038</v>
      </c>
      <c r="B1295" s="2" t="s">
        <v>3625</v>
      </c>
      <c r="C1295" s="2">
        <v>92000724</v>
      </c>
      <c r="D1295" s="2" t="s">
        <v>1401</v>
      </c>
      <c r="E1295" s="2" t="s">
        <v>3626</v>
      </c>
      <c r="F1295" s="2" t="s">
        <v>653</v>
      </c>
      <c r="G1295" s="2" t="s">
        <v>1500</v>
      </c>
      <c r="H1295" s="2" t="s">
        <v>1458</v>
      </c>
      <c r="I1295" s="3" t="str">
        <f t="shared" si="0"/>
        <v>https://dto.kemkes.go.id/kfacode/93001038</v>
      </c>
      <c r="J1295" s="34" t="s">
        <v>3768</v>
      </c>
      <c r="K1295" t="str">
        <f t="shared" si="21"/>
        <v>insert into mkatalog_kfa93 (kode, uraian, kode_92, uraian_92, nama_dagang, satuan_kecil, sediaan, golongan, url, userid_updt, sysdate_updt) values ('93001038','Thiopental Sodium / Sodium Carbonate 1000 mg Injeksi (BERNOFARM)','92000724','Thiopental Sodium / Sodium Carbonate 1000 mg Injeksi','THIOPENTAL SODIUM','Vial','Serbuk Injeksi','Obat Keras','https://dto.kemkes.go.id/kfacode/93001038',0,'2023-05-01');</v>
      </c>
    </row>
    <row r="1296" spans="1:11" ht="15.75" customHeight="1">
      <c r="A1296" s="2">
        <v>93001040</v>
      </c>
      <c r="B1296" s="2" t="s">
        <v>3627</v>
      </c>
      <c r="C1296" s="2">
        <v>92000725</v>
      </c>
      <c r="D1296" s="2" t="s">
        <v>1402</v>
      </c>
      <c r="E1296" s="2" t="s">
        <v>3626</v>
      </c>
      <c r="F1296" s="2" t="s">
        <v>653</v>
      </c>
      <c r="G1296" s="2" t="s">
        <v>1506</v>
      </c>
      <c r="H1296" s="2" t="s">
        <v>1458</v>
      </c>
      <c r="I1296" s="3" t="str">
        <f t="shared" si="0"/>
        <v>https://dto.kemkes.go.id/kfacode/93001040</v>
      </c>
      <c r="J1296" s="34" t="s">
        <v>3768</v>
      </c>
      <c r="K1296" t="str">
        <f t="shared" si="21"/>
        <v>insert into mkatalog_kfa93 (kode, uraian, kode_92, uraian_92, nama_dagang, satuan_kecil, sediaan, golongan, url, userid_updt, sysdate_updt) values ('93001040','Thiopental Sodium / Sodium Carbonate 500 mg Injeksi (BERNOFARM)','92000725','Thiopental Sodium / Sodium Carbonate 500 mg Injeksi','THIOPENTAL SODIUM','Vial','Larutan Injeksi','Obat Keras','https://dto.kemkes.go.id/kfacode/93001040',0,'2023-05-01');</v>
      </c>
    </row>
    <row r="1297" spans="1:11" ht="15.75" customHeight="1">
      <c r="A1297" s="2">
        <v>93000168</v>
      </c>
      <c r="B1297" s="2" t="s">
        <v>3628</v>
      </c>
      <c r="C1297" s="2">
        <v>92000168</v>
      </c>
      <c r="D1297" s="2" t="s">
        <v>1403</v>
      </c>
      <c r="E1297" s="2" t="s">
        <v>3629</v>
      </c>
      <c r="F1297" s="2" t="s">
        <v>640</v>
      </c>
      <c r="G1297" s="2" t="s">
        <v>1457</v>
      </c>
      <c r="H1297" s="2" t="s">
        <v>1458</v>
      </c>
      <c r="I1297" s="3" t="str">
        <f t="shared" si="0"/>
        <v>https://dto.kemkes.go.id/kfacode/93000168</v>
      </c>
      <c r="J1297" s="34" t="s">
        <v>3768</v>
      </c>
      <c r="K1297" t="str">
        <f t="shared" si="21"/>
        <v>insert into mkatalog_kfa93 (kode, uraian, kode_92, uraian_92, nama_dagang, satuan_kecil, sediaan, golongan, url, userid_updt, sysdate_updt) values ('93000168','Tiamazole / Thiamazole 10 mg Tablet Salut Selaput (NOVELL PHARMACEUTICAL LABORATORIES)','92000168','Tiamazole / Thiamazole 10 mg Tablet Salut Selaput','THIAMAZOLE','Tablet','Tablet Salut Selaput','Obat Keras','https://dto.kemkes.go.id/kfacode/93000168',0,'2023-05-01');</v>
      </c>
    </row>
    <row r="1298" spans="1:11" ht="15.75" customHeight="1">
      <c r="A1298" s="2">
        <v>93000756</v>
      </c>
      <c r="B1298" s="2" t="s">
        <v>3630</v>
      </c>
      <c r="C1298" s="2">
        <v>92000574</v>
      </c>
      <c r="D1298" s="2" t="s">
        <v>1404</v>
      </c>
      <c r="E1298" s="2" t="s">
        <v>3629</v>
      </c>
      <c r="F1298" s="2" t="s">
        <v>640</v>
      </c>
      <c r="G1298" s="2" t="s">
        <v>1457</v>
      </c>
      <c r="H1298" s="2" t="s">
        <v>1458</v>
      </c>
      <c r="I1298" s="3" t="str">
        <f t="shared" si="0"/>
        <v>https://dto.kemkes.go.id/kfacode/93000756</v>
      </c>
      <c r="J1298" s="34" t="s">
        <v>3768</v>
      </c>
      <c r="K1298" t="str">
        <f t="shared" si="21"/>
        <v>insert into mkatalog_kfa93 (kode, uraian, kode_92, uraian_92, nama_dagang, satuan_kecil, sediaan, golongan, url, userid_updt, sysdate_updt) values ('93000756','Tiamazole / Thiamazole 5 mg Tablet Salut Selaput (NOVELL PHARMACEUTICAL LAB.)','92000574','Tiamazole / Thiamazole 5 mg Tablet Salut Selaput','THIAMAZOLE','Tablet','Tablet Salut Selaput','Obat Keras','https://dto.kemkes.go.id/kfacode/93000756',0,'2023-05-01');</v>
      </c>
    </row>
    <row r="1299" spans="1:11" ht="15.75" customHeight="1">
      <c r="A1299" s="2">
        <v>93000451</v>
      </c>
      <c r="B1299" s="2" t="s">
        <v>3631</v>
      </c>
      <c r="C1299" s="2">
        <v>92000322</v>
      </c>
      <c r="D1299" s="2" t="s">
        <v>1405</v>
      </c>
      <c r="E1299" s="2" t="s">
        <v>3632</v>
      </c>
      <c r="F1299" s="2" t="s">
        <v>640</v>
      </c>
      <c r="G1299" s="2" t="s">
        <v>1457</v>
      </c>
      <c r="H1299" s="2" t="s">
        <v>1458</v>
      </c>
      <c r="I1299" s="3" t="str">
        <f t="shared" si="0"/>
        <v>https://dto.kemkes.go.id/kfacode/93000451</v>
      </c>
      <c r="J1299" s="34" t="s">
        <v>3768</v>
      </c>
      <c r="K1299" t="str">
        <f t="shared" si="21"/>
        <v>insert into mkatalog_kfa93 (kode, uraian, kode_92, uraian_92, nama_dagang, satuan_kecil, sediaan, golongan, url, userid_updt, sysdate_updt) values ('93000451','Ticagrelor 90 mg Tablet Salut Selaput (BRILINTA)','92000322','Ticagrelor 90 mg Tablet Salut Selaput','BRILINTA','Tablet','Tablet Salut Selaput','Obat Keras','https://dto.kemkes.go.id/kfacode/93000451',0,'2023-05-01');</v>
      </c>
    </row>
    <row r="1300" spans="1:11" ht="15.75" customHeight="1">
      <c r="A1300" s="2">
        <v>93000886</v>
      </c>
      <c r="B1300" s="2" t="s">
        <v>3633</v>
      </c>
      <c r="C1300" s="2">
        <v>92000556</v>
      </c>
      <c r="D1300" s="2" t="s">
        <v>1406</v>
      </c>
      <c r="E1300" s="2" t="s">
        <v>3634</v>
      </c>
      <c r="F1300" s="2" t="s">
        <v>702</v>
      </c>
      <c r="G1300" s="2" t="s">
        <v>2125</v>
      </c>
      <c r="H1300" s="2" t="s">
        <v>1458</v>
      </c>
      <c r="I1300" s="3" t="str">
        <f t="shared" si="0"/>
        <v>https://dto.kemkes.go.id/kfacode/93000886</v>
      </c>
      <c r="J1300" s="34" t="s">
        <v>3768</v>
      </c>
      <c r="K1300" t="str">
        <f t="shared" si="21"/>
        <v>insert into mkatalog_kfa93 (kode, uraian, kode_92, uraian_92, nama_dagang, satuan_kecil, sediaan, golongan, url, userid_updt, sysdate_updt) values ('93000886','Timolol Maleate 2,5 mg/mL Tetes Mata (ISOTIC ADRETOR 0,25%)','92000556','Timolol Maleate 2,5 mg/mL Tetes Mata','ISOTIC ADRETOR 0,25%','Botol Plastik','Tetes Mata','Obat Keras','https://dto.kemkes.go.id/kfacode/93000886',0,'2023-05-01');</v>
      </c>
    </row>
    <row r="1301" spans="1:11" ht="15.75" customHeight="1">
      <c r="A1301" s="2">
        <v>93000418</v>
      </c>
      <c r="B1301" s="2" t="s">
        <v>3635</v>
      </c>
      <c r="C1301" s="2">
        <v>92000303</v>
      </c>
      <c r="D1301" s="2" t="s">
        <v>1407</v>
      </c>
      <c r="E1301" s="2" t="s">
        <v>3636</v>
      </c>
      <c r="F1301" s="2" t="s">
        <v>702</v>
      </c>
      <c r="G1301" s="2" t="s">
        <v>2125</v>
      </c>
      <c r="H1301" s="2" t="s">
        <v>1458</v>
      </c>
      <c r="I1301" s="3" t="str">
        <f t="shared" si="0"/>
        <v>https://dto.kemkes.go.id/kfacode/93000418</v>
      </c>
      <c r="J1301" s="34" t="s">
        <v>3768</v>
      </c>
      <c r="K1301" t="str">
        <f t="shared" si="21"/>
        <v>insert into mkatalog_kfa93 (kode, uraian, kode_92, uraian_92, nama_dagang, satuan_kecil, sediaan, golongan, url, userid_updt, sysdate_updt) values ('93000418','Timolol Maleate 5 mg / mL Tetes Mata (ISOTIC ADRETOR)','92000303','Timolol Maleate 5 mg / mL Tetes Mata','ISOTIC ADRETOR 0,5 %','Botol Plastik','Tetes Mata','Obat Keras','https://dto.kemkes.go.id/kfacode/93000418',0,'2023-05-01');</v>
      </c>
    </row>
    <row r="1302" spans="1:11" ht="15.75" customHeight="1">
      <c r="A1302" s="2">
        <v>93001003</v>
      </c>
      <c r="B1302" s="2" t="s">
        <v>3637</v>
      </c>
      <c r="C1302" s="2">
        <v>92000698</v>
      </c>
      <c r="D1302" s="2" t="s">
        <v>1408</v>
      </c>
      <c r="E1302" s="2" t="s">
        <v>3638</v>
      </c>
      <c r="F1302" s="2" t="s">
        <v>1046</v>
      </c>
      <c r="G1302" s="2" t="s">
        <v>1489</v>
      </c>
      <c r="H1302" s="2" t="s">
        <v>1458</v>
      </c>
      <c r="I1302" s="3" t="str">
        <f t="shared" si="0"/>
        <v>https://dto.kemkes.go.id/kfacode/93001003</v>
      </c>
      <c r="J1302" s="34" t="s">
        <v>3768</v>
      </c>
      <c r="K1302" t="str">
        <f t="shared" si="21"/>
        <v>insert into mkatalog_kfa93 (kode, uraian, kode_92, uraian_92, nama_dagang, satuan_kecil, sediaan, golongan, url, userid_updt, sysdate_updt) values ('93001003','Tiotropium 2,5 mcg Cairan Inhalasi (SPIRIVA RESPIMAT)','92000698','Tiotropium 2,5 mcg Cairan Inhalasi','SPIRIVA RESPIMAT','Cartridges','Larutan Inhalasi','Obat Keras','https://dto.kemkes.go.id/kfacode/93001003',0,'2023-05-01');</v>
      </c>
    </row>
    <row r="1303" spans="1:11" ht="15.75" customHeight="1">
      <c r="A1303" s="2">
        <v>93001234</v>
      </c>
      <c r="B1303" s="2" t="s">
        <v>3639</v>
      </c>
      <c r="C1303" s="2">
        <v>92000709</v>
      </c>
      <c r="D1303" s="2" t="s">
        <v>1409</v>
      </c>
      <c r="E1303" s="2" t="s">
        <v>3638</v>
      </c>
      <c r="F1303" s="2" t="s">
        <v>1046</v>
      </c>
      <c r="G1303" s="2" t="s">
        <v>1489</v>
      </c>
      <c r="H1303" s="2" t="s">
        <v>1458</v>
      </c>
      <c r="I1303" s="3" t="str">
        <f t="shared" si="0"/>
        <v>https://dto.kemkes.go.id/kfacode/93001234</v>
      </c>
      <c r="J1303" s="34" t="s">
        <v>3768</v>
      </c>
      <c r="K1303" t="str">
        <f t="shared" si="21"/>
        <v>insert into mkatalog_kfa93 (kode, uraian, kode_92, uraian_92, nama_dagang, satuan_kecil, sediaan, golongan, url, userid_updt, sysdate_updt) values ('93001234','Tiotropium Bromide 5 mcg Cairan Inhalasi (SPIRIVA RESPIMAT)','92000709','Tiotropium Bromide 5 mcg Cairan Inhalasi','SPIRIVA RESPIMAT','Cartridges','Larutan Inhalasi','Obat Keras','https://dto.kemkes.go.id/kfacode/93001234',0,'2023-05-01');</v>
      </c>
    </row>
    <row r="1304" spans="1:11" ht="15.75" customHeight="1">
      <c r="A1304" s="2">
        <v>93001436</v>
      </c>
      <c r="B1304" s="2" t="s">
        <v>3640</v>
      </c>
      <c r="C1304" s="2">
        <v>92000345</v>
      </c>
      <c r="D1304" s="2" t="s">
        <v>1410</v>
      </c>
      <c r="E1304" s="2" t="s">
        <v>3641</v>
      </c>
      <c r="F1304" s="2" t="s">
        <v>702</v>
      </c>
      <c r="G1304" s="2" t="s">
        <v>2125</v>
      </c>
      <c r="H1304" s="2" t="s">
        <v>1458</v>
      </c>
      <c r="I1304" s="3" t="str">
        <f t="shared" si="0"/>
        <v>https://dto.kemkes.go.id/kfacode/93001436</v>
      </c>
      <c r="J1304" s="34" t="s">
        <v>3768</v>
      </c>
      <c r="K1304" t="str">
        <f t="shared" si="21"/>
        <v>insert into mkatalog_kfa93 (kode, uraian, kode_92, uraian_92, nama_dagang, satuan_kecil, sediaan, golongan, url, userid_updt, sysdate_updt) values ('93001436','Tobramycin 0,3 % Tetes Mata (BRALIFEX)','92000345','Tobramycin 0,3 % Tetes Mata','BRALIFEX','Botol Plastik','Tetes Mata','Obat Keras','https://dto.kemkes.go.id/kfacode/93001436',0,'2023-05-01');</v>
      </c>
    </row>
    <row r="1305" spans="1:11" ht="15.75" customHeight="1">
      <c r="A1305" s="2">
        <v>93001411</v>
      </c>
      <c r="B1305" s="2" t="s">
        <v>3642</v>
      </c>
      <c r="C1305" s="2">
        <v>92000345</v>
      </c>
      <c r="D1305" s="2" t="s">
        <v>1410</v>
      </c>
      <c r="E1305" s="2" t="s">
        <v>3643</v>
      </c>
      <c r="F1305" s="2" t="s">
        <v>702</v>
      </c>
      <c r="G1305" s="2" t="s">
        <v>2125</v>
      </c>
      <c r="H1305" s="2" t="s">
        <v>1458</v>
      </c>
      <c r="I1305" s="3" t="str">
        <f t="shared" si="0"/>
        <v>https://dto.kemkes.go.id/kfacode/93001411</v>
      </c>
      <c r="J1305" s="34" t="s">
        <v>3768</v>
      </c>
      <c r="K1305" t="str">
        <f t="shared" si="21"/>
        <v>insert into mkatalog_kfa93 (kode, uraian, kode_92, uraian_92, nama_dagang, satuan_kecil, sediaan, golongan, url, userid_updt, sysdate_updt) values ('93001411','Tobramycin 0,3 % Tetes Mata (TOBRO, 0,6 mL)','92000345','Tobramycin 0,3 % Tetes Mata','TOBRO','Botol Plastik','Tetes Mata','Obat Keras','https://dto.kemkes.go.id/kfacode/93001411',0,'2023-05-01');</v>
      </c>
    </row>
    <row r="1306" spans="1:11" ht="15.75" customHeight="1">
      <c r="A1306" s="2">
        <v>93000349</v>
      </c>
      <c r="B1306" s="2" t="s">
        <v>3644</v>
      </c>
      <c r="C1306" s="2">
        <v>92000266</v>
      </c>
      <c r="D1306" s="2" t="s">
        <v>1411</v>
      </c>
      <c r="E1306" s="2" t="s">
        <v>3645</v>
      </c>
      <c r="F1306" s="2" t="s">
        <v>653</v>
      </c>
      <c r="G1306" s="2" t="s">
        <v>1530</v>
      </c>
      <c r="H1306" s="2" t="s">
        <v>1458</v>
      </c>
      <c r="I1306" s="3" t="str">
        <f t="shared" si="0"/>
        <v>https://dto.kemkes.go.id/kfacode/93000349</v>
      </c>
      <c r="J1306" s="34" t="s">
        <v>3768</v>
      </c>
      <c r="K1306" t="str">
        <f t="shared" si="21"/>
        <v>insert into mkatalog_kfa93 (kode, uraian, kode_92, uraian_92, nama_dagang, satuan_kecil, sediaan, golongan, url, userid_updt, sysdate_updt) values ('93000349','Tocilizumab 20 mg / mL Injeksi (400 mg/20 mL, MENARINI)','92000266','Tocilizumab 20 mg / mL Injeksi','ACTEMRA','Vial','Infus','Obat Keras','https://dto.kemkes.go.id/kfacode/93000349',0,'2023-05-01');</v>
      </c>
    </row>
    <row r="1307" spans="1:11" ht="15.75" customHeight="1">
      <c r="A1307" s="2">
        <v>93000347</v>
      </c>
      <c r="B1307" s="2" t="s">
        <v>3646</v>
      </c>
      <c r="C1307" s="2">
        <v>92000266</v>
      </c>
      <c r="D1307" s="2" t="s">
        <v>1411</v>
      </c>
      <c r="E1307" s="2" t="s">
        <v>3645</v>
      </c>
      <c r="F1307" s="2" t="s">
        <v>653</v>
      </c>
      <c r="G1307" s="2" t="s">
        <v>1530</v>
      </c>
      <c r="H1307" s="2" t="s">
        <v>1458</v>
      </c>
      <c r="I1307" s="3" t="str">
        <f t="shared" si="0"/>
        <v>https://dto.kemkes.go.id/kfacode/93000347</v>
      </c>
      <c r="J1307" s="34" t="s">
        <v>3768</v>
      </c>
      <c r="K1307" t="str">
        <f t="shared" si="21"/>
        <v>insert into mkatalog_kfa93 (kode, uraian, kode_92, uraian_92, nama_dagang, satuan_kecil, sediaan, golongan, url, userid_updt, sysdate_updt) values ('93000347','Tocilizumab 20 mg / mL Injeksi (80 mg/ 4 mL, ACTEMRA)','92000266','Tocilizumab 20 mg / mL Injeksi','ACTEMRA','Vial','Infus','Obat Keras','https://dto.kemkes.go.id/kfacode/93000347',0,'2023-05-01');</v>
      </c>
    </row>
    <row r="1308" spans="1:11" ht="15.75" customHeight="1">
      <c r="A1308" s="2">
        <v>93000348</v>
      </c>
      <c r="B1308" s="2" t="s">
        <v>3647</v>
      </c>
      <c r="C1308" s="2">
        <v>92000266</v>
      </c>
      <c r="D1308" s="2" t="s">
        <v>1411</v>
      </c>
      <c r="E1308" s="2" t="s">
        <v>3645</v>
      </c>
      <c r="F1308" s="2" t="s">
        <v>653</v>
      </c>
      <c r="G1308" s="2" t="s">
        <v>1530</v>
      </c>
      <c r="H1308" s="2" t="s">
        <v>1458</v>
      </c>
      <c r="I1308" s="3" t="str">
        <f t="shared" si="0"/>
        <v>https://dto.kemkes.go.id/kfacode/93000348</v>
      </c>
      <c r="J1308" s="34" t="s">
        <v>3768</v>
      </c>
      <c r="K1308" t="str">
        <f t="shared" si="21"/>
        <v>insert into mkatalog_kfa93 (kode, uraian, kode_92, uraian_92, nama_dagang, satuan_kecil, sediaan, golongan, url, userid_updt, sysdate_updt) values ('93000348','Tocilizumab 20 mg / mL Injeksi (80 mg/ 4 mL, MENARINI)','92000266','Tocilizumab 20 mg / mL Injeksi','ACTEMRA','Vial','Infus','Obat Keras','https://dto.kemkes.go.id/kfacode/93000348',0,'2023-05-01');</v>
      </c>
    </row>
    <row r="1309" spans="1:11" ht="15.75" customHeight="1">
      <c r="A1309" s="2">
        <v>93001519</v>
      </c>
      <c r="B1309" s="2" t="s">
        <v>3648</v>
      </c>
      <c r="C1309" s="2">
        <v>92000866</v>
      </c>
      <c r="D1309" s="2" t="s">
        <v>1412</v>
      </c>
      <c r="E1309" s="2" t="s">
        <v>3649</v>
      </c>
      <c r="F1309" s="2" t="s">
        <v>640</v>
      </c>
      <c r="G1309" s="2" t="s">
        <v>640</v>
      </c>
      <c r="H1309" s="2" t="s">
        <v>1458</v>
      </c>
      <c r="I1309" s="3" t="str">
        <f t="shared" si="0"/>
        <v>https://dto.kemkes.go.id/kfacode/93001519</v>
      </c>
      <c r="J1309" s="34" t="s">
        <v>3768</v>
      </c>
      <c r="K1309" t="str">
        <f t="shared" si="21"/>
        <v>insert into mkatalog_kfa93 (kode, uraian, kode_92, uraian_92, nama_dagang, satuan_kecil, sediaan, golongan, url, userid_updt, sysdate_updt) values ('93001519','Topiramate 100 mg Tablet (TOPAMAX)','92000866','Topiramate 100 mg Tablet','TOPAMAX','Tablet','Tablet','Obat Keras','https://dto.kemkes.go.id/kfacode/93001519',0,'2023-05-01');</v>
      </c>
    </row>
    <row r="1310" spans="1:11" ht="15.75" customHeight="1">
      <c r="A1310" s="2">
        <v>93001551</v>
      </c>
      <c r="B1310" s="2" t="s">
        <v>3650</v>
      </c>
      <c r="C1310" s="2">
        <v>92000840</v>
      </c>
      <c r="D1310" s="2" t="s">
        <v>1413</v>
      </c>
      <c r="E1310" s="2" t="s">
        <v>3651</v>
      </c>
      <c r="F1310" s="2" t="s">
        <v>640</v>
      </c>
      <c r="G1310" s="2" t="s">
        <v>1457</v>
      </c>
      <c r="H1310" s="2" t="s">
        <v>1458</v>
      </c>
      <c r="I1310" s="3" t="str">
        <f t="shared" si="0"/>
        <v>https://dto.kemkes.go.id/kfacode/93001551</v>
      </c>
      <c r="J1310" s="34" t="s">
        <v>3768</v>
      </c>
      <c r="K1310" t="str">
        <f t="shared" si="21"/>
        <v>insert into mkatalog_kfa93 (kode, uraian, kode_92, uraian_92, nama_dagang, satuan_kecil, sediaan, golongan, url, userid_updt, sysdate_updt) values ('93001551','Topiramate 25 mg Tablet Salut Selaput (MIGRATOP)','92000840','Topiramate 25 mg Tablet Salut Selaput','MIGRATOP','Tablet','Tablet Salut Selaput','Obat Keras','https://dto.kemkes.go.id/kfacode/93001551',0,'2023-05-01');</v>
      </c>
    </row>
    <row r="1311" spans="1:11" ht="15.75" customHeight="1">
      <c r="A1311" s="2">
        <v>93001450</v>
      </c>
      <c r="B1311" s="2" t="s">
        <v>3652</v>
      </c>
      <c r="C1311" s="2">
        <v>92000843</v>
      </c>
      <c r="D1311" s="2" t="s">
        <v>1414</v>
      </c>
      <c r="E1311" s="2" t="s">
        <v>3649</v>
      </c>
      <c r="F1311" s="2" t="s">
        <v>640</v>
      </c>
      <c r="G1311" s="2" t="s">
        <v>640</v>
      </c>
      <c r="H1311" s="2" t="s">
        <v>1458</v>
      </c>
      <c r="I1311" s="3" t="str">
        <f t="shared" si="0"/>
        <v>https://dto.kemkes.go.id/kfacode/93001450</v>
      </c>
      <c r="J1311" s="34" t="s">
        <v>3768</v>
      </c>
      <c r="K1311" t="str">
        <f t="shared" si="21"/>
        <v>insert into mkatalog_kfa93 (kode, uraian, kode_92, uraian_92, nama_dagang, satuan_kecil, sediaan, golongan, url, userid_updt, sysdate_updt) values ('93001450','Topiramate 50 mg Tablet (TOPAMAX)','92000843','Topiramate 50 mg Tablet','TOPAMAX','Tablet','Tablet','Obat Keras','https://dto.kemkes.go.id/kfacode/93001450',0,'2023-05-01');</v>
      </c>
    </row>
    <row r="1312" spans="1:11" ht="15.75" customHeight="1">
      <c r="A1312" s="2">
        <v>93001598</v>
      </c>
      <c r="B1312" s="2" t="s">
        <v>3653</v>
      </c>
      <c r="C1312" s="2">
        <v>92000898</v>
      </c>
      <c r="D1312" s="2" t="s">
        <v>1415</v>
      </c>
      <c r="E1312" s="2" t="s">
        <v>3654</v>
      </c>
      <c r="F1312" s="2" t="s">
        <v>645</v>
      </c>
      <c r="G1312" s="2" t="s">
        <v>1506</v>
      </c>
      <c r="H1312" s="2" t="s">
        <v>1973</v>
      </c>
      <c r="I1312" s="3" t="str">
        <f t="shared" si="0"/>
        <v>https://dto.kemkes.go.id/kfacode/93001598</v>
      </c>
      <c r="J1312" s="34" t="s">
        <v>3768</v>
      </c>
      <c r="K1312" t="str">
        <f t="shared" si="21"/>
        <v>insert into mkatalog_kfa93 (kode, uraian, kode_92, uraian_92, nama_dagang, satuan_kecil, sediaan, golongan, url, userid_updt, sysdate_updt) values ('93001598','Tramadol 50 mg / mL Injeksi (BERNOFARM)','92000898','Tramadol 50 mg / mL Injeksi','TRAMADOL HCL','Ampul','Larutan Injeksi','Obat Narkotik','https://dto.kemkes.go.id/kfacode/93001598',0,'2023-05-01');</v>
      </c>
    </row>
    <row r="1313" spans="1:11" ht="15.75" customHeight="1">
      <c r="A1313" s="2">
        <v>93001565</v>
      </c>
      <c r="B1313" s="2" t="s">
        <v>3655</v>
      </c>
      <c r="C1313" s="2">
        <v>92000898</v>
      </c>
      <c r="D1313" s="2" t="s">
        <v>1415</v>
      </c>
      <c r="E1313" s="2" t="s">
        <v>3654</v>
      </c>
      <c r="F1313" s="2" t="s">
        <v>645</v>
      </c>
      <c r="G1313" s="2" t="s">
        <v>1506</v>
      </c>
      <c r="H1313" s="2" t="s">
        <v>1973</v>
      </c>
      <c r="I1313" s="3" t="str">
        <f t="shared" si="0"/>
        <v>https://dto.kemkes.go.id/kfacode/93001565</v>
      </c>
      <c r="J1313" s="34" t="s">
        <v>3768</v>
      </c>
      <c r="K1313" t="str">
        <f t="shared" si="21"/>
        <v>insert into mkatalog_kfa93 (kode, uraian, kode_92, uraian_92, nama_dagang, satuan_kecil, sediaan, golongan, url, userid_updt, sysdate_updt) values ('93001565','Tramadol 50 mg / mL Injeksi (MERSIFARMA TIRMAKU MERCUSANA)','92000898','Tramadol 50 mg / mL Injeksi','TRAMADOL HCL','Ampul','Larutan Injeksi','Obat Narkotik','https://dto.kemkes.go.id/kfacode/93001565',0,'2023-05-01');</v>
      </c>
    </row>
    <row r="1314" spans="1:11" ht="15.75" customHeight="1">
      <c r="A1314" s="2">
        <v>93001183</v>
      </c>
      <c r="B1314" s="2" t="s">
        <v>3656</v>
      </c>
      <c r="C1314" s="2">
        <v>92000439</v>
      </c>
      <c r="D1314" s="2" t="s">
        <v>1416</v>
      </c>
      <c r="E1314" s="2" t="s">
        <v>3657</v>
      </c>
      <c r="F1314" s="2" t="s">
        <v>645</v>
      </c>
      <c r="G1314" s="2" t="s">
        <v>1506</v>
      </c>
      <c r="H1314" s="2" t="s">
        <v>1458</v>
      </c>
      <c r="I1314" s="3" t="str">
        <f t="shared" si="0"/>
        <v>https://dto.kemkes.go.id/kfacode/93001183</v>
      </c>
      <c r="J1314" s="34" t="s">
        <v>3768</v>
      </c>
      <c r="K1314" t="str">
        <f t="shared" si="21"/>
        <v>insert into mkatalog_kfa93 (kode, uraian, kode_92, uraian_92, nama_dagang, satuan_kecil, sediaan, golongan, url, userid_updt, sysdate_updt) values ('93001183','Tranexamic Acid 100 mg / mL Injeksi (DEXA MEDICA)','92000439','Tranexamic Acid 100 mg / mL Injeksi','TRANEXAMIC ACID','Ampul','Larutan Injeksi','Obat Keras','https://dto.kemkes.go.id/kfacode/93001183',0,'2023-05-01');</v>
      </c>
    </row>
    <row r="1315" spans="1:11" ht="15.75" customHeight="1">
      <c r="A1315" s="2">
        <v>93000664</v>
      </c>
      <c r="B1315" s="2" t="s">
        <v>3658</v>
      </c>
      <c r="C1315" s="2">
        <v>92000439</v>
      </c>
      <c r="D1315" s="2" t="s">
        <v>1416</v>
      </c>
      <c r="E1315" s="2" t="s">
        <v>3659</v>
      </c>
      <c r="F1315" s="2" t="s">
        <v>645</v>
      </c>
      <c r="G1315" s="2" t="s">
        <v>1506</v>
      </c>
      <c r="H1315" s="2" t="s">
        <v>1458</v>
      </c>
      <c r="I1315" s="3" t="str">
        <f t="shared" si="0"/>
        <v>https://dto.kemkes.go.id/kfacode/93000664</v>
      </c>
      <c r="J1315" s="34" t="s">
        <v>3768</v>
      </c>
      <c r="K1315" t="str">
        <f t="shared" si="21"/>
        <v>insert into mkatalog_kfa93 (kode, uraian, kode_92, uraian_92, nama_dagang, satuan_kecil, sediaan, golongan, url, userid_updt, sysdate_updt) values ('93000664','Tranexamic Acid 100 mg / mL Injeksi (HEXPHARM JAYA LABORATORIES)','92000439','Tranexamic Acid 100 mg / mL Injeksi','ASAM TRANEKSAMAT','Ampul','Larutan Injeksi','Obat Keras','https://dto.kemkes.go.id/kfacode/93000664',0,'2023-05-01');</v>
      </c>
    </row>
    <row r="1316" spans="1:11" ht="15.75" customHeight="1">
      <c r="A1316" s="2">
        <v>93001394</v>
      </c>
      <c r="B1316" s="2" t="s">
        <v>3660</v>
      </c>
      <c r="C1316" s="2">
        <v>92000744</v>
      </c>
      <c r="D1316" s="2" t="s">
        <v>1417</v>
      </c>
      <c r="E1316" s="2" t="s">
        <v>3657</v>
      </c>
      <c r="F1316" s="2" t="s">
        <v>645</v>
      </c>
      <c r="G1316" s="2" t="s">
        <v>1506</v>
      </c>
      <c r="H1316" s="2" t="s">
        <v>1458</v>
      </c>
      <c r="I1316" s="3" t="str">
        <f t="shared" si="0"/>
        <v>https://dto.kemkes.go.id/kfacode/93001394</v>
      </c>
      <c r="J1316" s="34" t="s">
        <v>3768</v>
      </c>
      <c r="K1316" t="str">
        <f t="shared" si="21"/>
        <v>insert into mkatalog_kfa93 (kode, uraian, kode_92, uraian_92, nama_dagang, satuan_kecil, sediaan, golongan, url, userid_updt, sysdate_updt) values ('93001394','Tranexamic Acid 50 mg / mL Injeksi (DEXA MEDICA)','92000744','Tranexamic Acid 50 mg / mL Injeksi','TRANEXAMIC ACID','Ampul','Larutan Injeksi','Obat Keras','https://dto.kemkes.go.id/kfacode/93001394',0,'2023-05-01');</v>
      </c>
    </row>
    <row r="1317" spans="1:11" ht="15.75" customHeight="1">
      <c r="A1317" s="2">
        <v>93000258</v>
      </c>
      <c r="B1317" s="2" t="s">
        <v>3661</v>
      </c>
      <c r="C1317" s="2">
        <v>92000235</v>
      </c>
      <c r="D1317" s="2" t="s">
        <v>1418</v>
      </c>
      <c r="E1317" s="2" t="s">
        <v>3657</v>
      </c>
      <c r="F1317" s="2" t="s">
        <v>640</v>
      </c>
      <c r="G1317" s="2" t="s">
        <v>1457</v>
      </c>
      <c r="H1317" s="2" t="s">
        <v>1458</v>
      </c>
      <c r="I1317" s="3" t="str">
        <f t="shared" si="0"/>
        <v>https://dto.kemkes.go.id/kfacode/93000258</v>
      </c>
      <c r="J1317" s="34" t="s">
        <v>3768</v>
      </c>
      <c r="K1317" t="str">
        <f t="shared" si="21"/>
        <v>insert into mkatalog_kfa93 (kode, uraian, kode_92, uraian_92, nama_dagang, satuan_kecil, sediaan, golongan, url, userid_updt, sysdate_updt) values ('93000258','Tranexamic Acid 500 mg Tablet Salut Selaput (BERNOFARM)','92000235','Tranexamic Acid 500 mg Tablet Salut Selaput','TRANEXAMIC ACID','Tablet','Tablet Salut Selaput','Obat Keras','https://dto.kemkes.go.id/kfacode/93000258',0,'2023-05-01');</v>
      </c>
    </row>
    <row r="1318" spans="1:11" ht="15.75" customHeight="1">
      <c r="A1318" s="2">
        <v>93000427</v>
      </c>
      <c r="B1318" s="2" t="s">
        <v>3662</v>
      </c>
      <c r="C1318" s="2">
        <v>92000313</v>
      </c>
      <c r="D1318" s="2" t="s">
        <v>1419</v>
      </c>
      <c r="E1318" s="2" t="s">
        <v>3663</v>
      </c>
      <c r="F1318" s="2" t="s">
        <v>653</v>
      </c>
      <c r="G1318" s="2" t="s">
        <v>1500</v>
      </c>
      <c r="H1318" s="2" t="s">
        <v>1458</v>
      </c>
      <c r="I1318" s="3" t="str">
        <f t="shared" si="0"/>
        <v>https://dto.kemkes.go.id/kfacode/93000427</v>
      </c>
      <c r="J1318" s="34" t="s">
        <v>3768</v>
      </c>
      <c r="K1318" t="str">
        <f t="shared" si="21"/>
        <v>insert into mkatalog_kfa93 (kode, uraian, kode_92, uraian_92, nama_dagang, satuan_kecil, sediaan, golongan, url, userid_updt, sysdate_updt) values ('93000427','Trastuzumab 440 mg Serbuk Injeksi (HERCEPTIN)','92000313','Trastuzumab 440 mg Serbuk Injeksi','HERCEPTIN','Vial','Serbuk Injeksi','Obat Keras','https://dto.kemkes.go.id/kfacode/93000427',0,'2023-05-01');</v>
      </c>
    </row>
    <row r="1319" spans="1:11" ht="15.75" customHeight="1">
      <c r="A1319" s="2">
        <v>93001246</v>
      </c>
      <c r="B1319" s="2" t="s">
        <v>3664</v>
      </c>
      <c r="C1319" s="2">
        <v>92000313</v>
      </c>
      <c r="D1319" s="2" t="s">
        <v>1419</v>
      </c>
      <c r="E1319" s="2" t="s">
        <v>3665</v>
      </c>
      <c r="F1319" s="2" t="s">
        <v>653</v>
      </c>
      <c r="G1319" s="2" t="s">
        <v>1500</v>
      </c>
      <c r="H1319" s="2" t="s">
        <v>1458</v>
      </c>
      <c r="I1319" s="3" t="str">
        <f t="shared" si="0"/>
        <v>https://dto.kemkes.go.id/kfacode/93001246</v>
      </c>
      <c r="J1319" s="34" t="s">
        <v>3768</v>
      </c>
      <c r="K1319" t="str">
        <f t="shared" si="21"/>
        <v>insert into mkatalog_kfa93 (kode, uraian, kode_92, uraian_92, nama_dagang, satuan_kecil, sediaan, golongan, url, userid_updt, sysdate_updt) values ('93001246','Trastuzumab 440 mg Serbuk Injeksi (HERTRAZ)','92000313','Trastuzumab 440 mg Serbuk Injeksi','HERTRAZ','Vial','Serbuk Injeksi','Obat Keras','https://dto.kemkes.go.id/kfacode/93001246',0,'2023-05-01');</v>
      </c>
    </row>
    <row r="1320" spans="1:11" ht="15.75" customHeight="1">
      <c r="A1320" s="2">
        <v>93000610</v>
      </c>
      <c r="B1320" s="2" t="s">
        <v>3666</v>
      </c>
      <c r="C1320" s="2">
        <v>92000313</v>
      </c>
      <c r="D1320" s="2" t="s">
        <v>1419</v>
      </c>
      <c r="E1320" s="2" t="s">
        <v>3667</v>
      </c>
      <c r="F1320" s="2" t="s">
        <v>653</v>
      </c>
      <c r="G1320" s="2" t="s">
        <v>1500</v>
      </c>
      <c r="H1320" s="2" t="s">
        <v>1458</v>
      </c>
      <c r="I1320" s="3" t="str">
        <f t="shared" si="0"/>
        <v>https://dto.kemkes.go.id/kfacode/93000610</v>
      </c>
      <c r="J1320" s="34" t="s">
        <v>3768</v>
      </c>
      <c r="K1320" t="str">
        <f t="shared" si="21"/>
        <v>insert into mkatalog_kfa93 (kode, uraian, kode_92, uraian_92, nama_dagang, satuan_kecil, sediaan, golongan, url, userid_updt, sysdate_updt) values ('93000610','Trastuzumab 440 mg Serbuk Injeksi (HERZEMAB)','92000313','Trastuzumab 440 mg Serbuk Injeksi','HERZEMAB','Vial','Serbuk Injeksi','Obat Keras','https://dto.kemkes.go.id/kfacode/93000610',0,'2023-05-01');</v>
      </c>
    </row>
    <row r="1321" spans="1:11" ht="15.75" customHeight="1">
      <c r="A1321" s="2">
        <v>93000897</v>
      </c>
      <c r="B1321" s="2" t="s">
        <v>3668</v>
      </c>
      <c r="C1321" s="2">
        <v>92000313</v>
      </c>
      <c r="D1321" s="2" t="s">
        <v>1419</v>
      </c>
      <c r="E1321" s="2" t="s">
        <v>3669</v>
      </c>
      <c r="F1321" s="2" t="s">
        <v>653</v>
      </c>
      <c r="G1321" s="2" t="s">
        <v>1500</v>
      </c>
      <c r="H1321" s="2" t="s">
        <v>1458</v>
      </c>
      <c r="I1321" s="3" t="str">
        <f t="shared" si="0"/>
        <v>https://dto.kemkes.go.id/kfacode/93000897</v>
      </c>
      <c r="J1321" s="34" t="s">
        <v>3768</v>
      </c>
      <c r="K1321" t="str">
        <f t="shared" si="21"/>
        <v>insert into mkatalog_kfa93 (kode, uraian, kode_92, uraian_92, nama_dagang, satuan_kecil, sediaan, golongan, url, userid_updt, sysdate_updt) values ('93000897','Trastuzumab 440 mg Serbuk Injeksi (VIVITRA)','92000313','Trastuzumab 440 mg Serbuk Injeksi','VIVITRA','Vial','Serbuk Injeksi','Obat Keras','https://dto.kemkes.go.id/kfacode/93000897',0,'2023-05-01');</v>
      </c>
    </row>
    <row r="1322" spans="1:11" ht="15.75" customHeight="1">
      <c r="A1322" s="2">
        <v>93000606</v>
      </c>
      <c r="B1322" s="2" t="s">
        <v>3670</v>
      </c>
      <c r="C1322" s="2">
        <v>92000420</v>
      </c>
      <c r="D1322" s="2" t="s">
        <v>1420</v>
      </c>
      <c r="E1322" s="2" t="s">
        <v>3671</v>
      </c>
      <c r="F1322" s="2" t="s">
        <v>653</v>
      </c>
      <c r="G1322" s="2" t="s">
        <v>1506</v>
      </c>
      <c r="H1322" s="2" t="s">
        <v>1458</v>
      </c>
      <c r="I1322" s="3" t="str">
        <f t="shared" si="0"/>
        <v>https://dto.kemkes.go.id/kfacode/93000606</v>
      </c>
      <c r="J1322" s="34" t="s">
        <v>3768</v>
      </c>
      <c r="K1322" t="str">
        <f t="shared" si="21"/>
        <v>insert into mkatalog_kfa93 (kode, uraian, kode_92, uraian_92, nama_dagang, satuan_kecil, sediaan, golongan, url, userid_updt, sysdate_updt) values ('93000606','Triamcinolone Acetonide 10 mg / mL Injeksi (FLAMICORT)','92000420','Triamcinolone Acetonide 10 mg / mL Injeksi','FLAMICORT','Vial','Larutan Injeksi','Obat Keras','https://dto.kemkes.go.id/kfacode/93000606',0,'2023-05-01');</v>
      </c>
    </row>
    <row r="1323" spans="1:11" ht="15.75" customHeight="1">
      <c r="A1323" s="2">
        <v>93000604</v>
      </c>
      <c r="B1323" s="2" t="s">
        <v>3672</v>
      </c>
      <c r="C1323" s="2">
        <v>92000420</v>
      </c>
      <c r="D1323" s="2" t="s">
        <v>1420</v>
      </c>
      <c r="E1323" s="2" t="s">
        <v>3673</v>
      </c>
      <c r="F1323" s="2" t="s">
        <v>653</v>
      </c>
      <c r="G1323" s="2" t="s">
        <v>1506</v>
      </c>
      <c r="H1323" s="2" t="s">
        <v>1458</v>
      </c>
      <c r="I1323" s="3" t="str">
        <f t="shared" si="0"/>
        <v>https://dto.kemkes.go.id/kfacode/93000604</v>
      </c>
      <c r="J1323" s="34" t="s">
        <v>3768</v>
      </c>
      <c r="K1323" t="str">
        <f t="shared" si="21"/>
        <v>insert into mkatalog_kfa93 (kode, uraian, kode_92, uraian_92, nama_dagang, satuan_kecil, sediaan, golongan, url, userid_updt, sysdate_updt) values ('93000604','Triamcinolone Acetonide 10 mg / mL Injeksi (NOVELL PHARMACEUTICAL LABORATORIES)','92000420','Triamcinolone Acetonide 10 mg / mL Injeksi','TRIAMCINOLONE ACETONIDE','Vial','Larutan Injeksi','Obat Keras','https://dto.kemkes.go.id/kfacode/93000604',0,'2023-05-01');</v>
      </c>
    </row>
    <row r="1324" spans="1:11" ht="15.75" customHeight="1">
      <c r="A1324" s="2">
        <v>93000608</v>
      </c>
      <c r="B1324" s="2" t="s">
        <v>3674</v>
      </c>
      <c r="C1324" s="2">
        <v>92000420</v>
      </c>
      <c r="D1324" s="2" t="s">
        <v>1420</v>
      </c>
      <c r="E1324" s="2" t="s">
        <v>3675</v>
      </c>
      <c r="F1324" s="2" t="s">
        <v>653</v>
      </c>
      <c r="G1324" s="2" t="s">
        <v>1506</v>
      </c>
      <c r="H1324" s="2" t="s">
        <v>1458</v>
      </c>
      <c r="I1324" s="3" t="str">
        <f t="shared" si="0"/>
        <v>https://dto.kemkes.go.id/kfacode/93000608</v>
      </c>
      <c r="J1324" s="34" t="s">
        <v>3768</v>
      </c>
      <c r="K1324" t="str">
        <f t="shared" si="21"/>
        <v>insert into mkatalog_kfa93 (kode, uraian, kode_92, uraian_92, nama_dagang, satuan_kecil, sediaan, golongan, url, userid_updt, sysdate_updt) values ('93000608','Triamcinolone Acetonide 10 mg / mL Injeksi (TRILAC)','92000420','Triamcinolone Acetonide 10 mg / mL Injeksi','TRILAC','Vial','Larutan Injeksi','Obat Keras','https://dto.kemkes.go.id/kfacode/93000608',0,'2023-05-01');</v>
      </c>
    </row>
    <row r="1325" spans="1:11" ht="15.75" customHeight="1">
      <c r="A1325" s="2">
        <v>93001076</v>
      </c>
      <c r="B1325" s="2" t="s">
        <v>3676</v>
      </c>
      <c r="C1325" s="2">
        <v>92000455</v>
      </c>
      <c r="D1325" s="2" t="s">
        <v>1421</v>
      </c>
      <c r="E1325" s="2" t="s">
        <v>3677</v>
      </c>
      <c r="F1325" s="2" t="s">
        <v>658</v>
      </c>
      <c r="G1325" s="2" t="s">
        <v>3678</v>
      </c>
      <c r="H1325" s="2" t="s">
        <v>1458</v>
      </c>
      <c r="I1325" s="3" t="str">
        <f t="shared" si="0"/>
        <v>https://dto.kemkes.go.id/kfacode/93001076</v>
      </c>
      <c r="J1325" s="34" t="s">
        <v>3768</v>
      </c>
      <c r="K1325" t="str">
        <f t="shared" si="21"/>
        <v>insert into mkatalog_kfa93 (kode, uraian, kode_92, uraian_92, nama_dagang, satuan_kecil, sediaan, golongan, url, userid_updt, sysdate_updt) values ('93001076','Triamcinolone Acetonide 55 mcg/puff Semprot Hidung (NASACORT AQ)','92000455','Triamcinolone Acetonide 55 mcg/puff Semprot Hidung','NASACORT AQ','Botol','Semprot Hidung','Obat Keras','https://dto.kemkes.go.id/kfacode/93001076',0,'2023-05-01');</v>
      </c>
    </row>
    <row r="1326" spans="1:11" ht="15.75" customHeight="1">
      <c r="A1326" s="2">
        <v>93001213</v>
      </c>
      <c r="B1326" s="2" t="s">
        <v>3679</v>
      </c>
      <c r="C1326" s="2">
        <v>92000629</v>
      </c>
      <c r="D1326" s="2" t="s">
        <v>1422</v>
      </c>
      <c r="E1326" s="2" t="s">
        <v>3680</v>
      </c>
      <c r="F1326" s="2" t="s">
        <v>640</v>
      </c>
      <c r="G1326" s="2" t="s">
        <v>1457</v>
      </c>
      <c r="H1326" s="2" t="s">
        <v>1458</v>
      </c>
      <c r="I1326" s="3" t="str">
        <f t="shared" si="0"/>
        <v>https://dto.kemkes.go.id/kfacode/93001213</v>
      </c>
      <c r="J1326" s="34" t="s">
        <v>3768</v>
      </c>
      <c r="K1326" t="str">
        <f t="shared" si="21"/>
        <v>insert into mkatalog_kfa93 (kode, uraian, kode_92, uraian_92, nama_dagang, satuan_kecil, sediaan, golongan, url, userid_updt, sysdate_updt) values ('93001213','Trifluoperazine 5 mg Tablet Salut Selaput (MERSIFARMA TIRMAKU MERCUSANA)','92000629','Trifluoperazine 5 mg Tablet Salut Selaput','TRIFLUOPERAZINE HYDROCHLORIDE','Tablet','Tablet Salut Selaput','Obat Keras','https://dto.kemkes.go.id/kfacode/93001213',0,'2023-05-01');</v>
      </c>
    </row>
    <row r="1327" spans="1:11" ht="15.75" customHeight="1">
      <c r="A1327" s="2">
        <v>93000516</v>
      </c>
      <c r="B1327" s="2" t="s">
        <v>3681</v>
      </c>
      <c r="C1327" s="2">
        <v>92000436</v>
      </c>
      <c r="D1327" s="2" t="s">
        <v>1423</v>
      </c>
      <c r="E1327" s="2" t="s">
        <v>3682</v>
      </c>
      <c r="F1327" s="2" t="s">
        <v>640</v>
      </c>
      <c r="G1327" s="2" t="s">
        <v>640</v>
      </c>
      <c r="H1327" s="2" t="s">
        <v>1458</v>
      </c>
      <c r="I1327" s="3" t="str">
        <f t="shared" si="0"/>
        <v>https://dto.kemkes.go.id/kfacode/93000516</v>
      </c>
      <c r="J1327" s="34" t="s">
        <v>3768</v>
      </c>
      <c r="K1327" t="str">
        <f t="shared" si="21"/>
        <v>insert into mkatalog_kfa93 (kode, uraian, kode_92, uraian_92, nama_dagang, satuan_kecil, sediaan, golongan, url, userid_updt, sysdate_updt) values ('93000516','Trihexyphenidyl Hydrochloride 2 mg Tablet (MERSIFARMA TIRMAKU MERCUSANA)','92000436','Trihexyphenidyl Hydrochloride 2 mg Tablet','TRIHEXYPHENIDYL HCL','Tablet','Tablet','Obat Keras','https://dto.kemkes.go.id/kfacode/93000516',0,'2023-05-01');</v>
      </c>
    </row>
    <row r="1328" spans="1:11" ht="15.75" customHeight="1">
      <c r="A1328" s="2">
        <v>93001472</v>
      </c>
      <c r="B1328" s="2" t="s">
        <v>3683</v>
      </c>
      <c r="C1328" s="2">
        <v>92000334</v>
      </c>
      <c r="D1328" s="2" t="s">
        <v>1424</v>
      </c>
      <c r="E1328" s="2" t="s">
        <v>3684</v>
      </c>
      <c r="F1328" s="2" t="s">
        <v>702</v>
      </c>
      <c r="G1328" s="2" t="s">
        <v>2125</v>
      </c>
      <c r="H1328" s="2" t="s">
        <v>1458</v>
      </c>
      <c r="I1328" s="3" t="str">
        <f t="shared" si="0"/>
        <v>https://dto.kemkes.go.id/kfacode/93001472</v>
      </c>
      <c r="J1328" s="34" t="s">
        <v>3768</v>
      </c>
      <c r="K1328" t="str">
        <f t="shared" si="21"/>
        <v>insert into mkatalog_kfa93 (kode, uraian, kode_92, uraian_92, nama_dagang, satuan_kecil, sediaan, golongan, url, userid_updt, sysdate_updt) values ('93001472','Tropicamide 0,5 % Tetes Mata (MIDRIC)','92000334','Tropicamide 0,5 % Tetes Mata','MIDRIC 0,5%','Botol Plastik','Tetes Mata','Obat Keras','https://dto.kemkes.go.id/kfacode/93001472',0,'2023-05-01');</v>
      </c>
    </row>
    <row r="1329" spans="1:11" ht="15.75" customHeight="1">
      <c r="A1329" s="2">
        <v>93001579</v>
      </c>
      <c r="B1329" s="2" t="s">
        <v>3685</v>
      </c>
      <c r="C1329" s="2">
        <v>92000903</v>
      </c>
      <c r="D1329" s="2" t="s">
        <v>1425</v>
      </c>
      <c r="E1329" s="2" t="s">
        <v>3686</v>
      </c>
      <c r="F1329" s="2" t="s">
        <v>702</v>
      </c>
      <c r="G1329" s="2" t="s">
        <v>2125</v>
      </c>
      <c r="H1329" s="2" t="s">
        <v>1458</v>
      </c>
      <c r="I1329" s="3" t="str">
        <f t="shared" si="0"/>
        <v>https://dto.kemkes.go.id/kfacode/93001579</v>
      </c>
      <c r="J1329" s="34" t="s">
        <v>3768</v>
      </c>
      <c r="K1329" t="str">
        <f t="shared" si="21"/>
        <v>insert into mkatalog_kfa93 (kode, uraian, kode_92, uraian_92, nama_dagang, satuan_kecil, sediaan, golongan, url, userid_updt, sysdate_updt) values ('93001579','Tropicamide 1 % Tetes Mata (CENDO MYDRIATIL, 0,6 mL)','92000903','Tropicamide 1 % Tetes Mata','CENDO MYDRIATIL 1%','Botol Plastik','Tetes Mata','Obat Keras','https://dto.kemkes.go.id/kfacode/93001579',0,'2023-05-01');</v>
      </c>
    </row>
    <row r="1330" spans="1:11" ht="15.75" customHeight="1">
      <c r="A1330" s="2">
        <v>93001578</v>
      </c>
      <c r="B1330" s="2" t="s">
        <v>3687</v>
      </c>
      <c r="C1330" s="2">
        <v>92000903</v>
      </c>
      <c r="D1330" s="2" t="s">
        <v>1425</v>
      </c>
      <c r="E1330" s="2" t="s">
        <v>3686</v>
      </c>
      <c r="F1330" s="2" t="s">
        <v>702</v>
      </c>
      <c r="G1330" s="2" t="s">
        <v>2125</v>
      </c>
      <c r="H1330" s="2" t="s">
        <v>1458</v>
      </c>
      <c r="I1330" s="3" t="str">
        <f t="shared" si="0"/>
        <v>https://dto.kemkes.go.id/kfacode/93001578</v>
      </c>
      <c r="J1330" s="34" t="s">
        <v>3768</v>
      </c>
      <c r="K1330" t="str">
        <f t="shared" si="21"/>
        <v>insert into mkatalog_kfa93 (kode, uraian, kode_92, uraian_92, nama_dagang, satuan_kecil, sediaan, golongan, url, userid_updt, sysdate_updt) values ('93001578','Tropicamide 1 % Tetes Mata (CENDO MYDRIATIL, 5 mL)','92000903','Tropicamide 1 % Tetes Mata','CENDO MYDRIATIL 1%','Botol Plastik','Tetes Mata','Obat Keras','https://dto.kemkes.go.id/kfacode/93001578',0,'2023-05-01');</v>
      </c>
    </row>
    <row r="1331" spans="1:11" ht="15.75" customHeight="1">
      <c r="A1331" s="2">
        <v>93001581</v>
      </c>
      <c r="B1331" s="2" t="s">
        <v>3688</v>
      </c>
      <c r="C1331" s="2">
        <v>92000903</v>
      </c>
      <c r="D1331" s="2" t="s">
        <v>1425</v>
      </c>
      <c r="E1331" s="2" t="s">
        <v>3689</v>
      </c>
      <c r="F1331" s="2" t="s">
        <v>702</v>
      </c>
      <c r="G1331" s="2" t="s">
        <v>2125</v>
      </c>
      <c r="H1331" s="2" t="s">
        <v>1458</v>
      </c>
      <c r="I1331" s="3" t="str">
        <f t="shared" si="0"/>
        <v>https://dto.kemkes.go.id/kfacode/93001581</v>
      </c>
      <c r="J1331" s="34" t="s">
        <v>3768</v>
      </c>
      <c r="K1331" t="str">
        <f t="shared" si="21"/>
        <v>insert into mkatalog_kfa93 (kode, uraian, kode_92, uraian_92, nama_dagang, satuan_kecil, sediaan, golongan, url, userid_updt, sysdate_updt) values ('93001581','Tropicamide 1 % Tetes Mata (MIDRIC, 5 mL)','92000903','Tropicamide 1 % Tetes Mata','MIDRIC 1%','Botol Plastik','Tetes Mata','Obat Keras','https://dto.kemkes.go.id/kfacode/93001581',0,'2023-05-01');</v>
      </c>
    </row>
    <row r="1332" spans="1:11" ht="15.75" customHeight="1">
      <c r="A1332" s="2">
        <v>93001072</v>
      </c>
      <c r="B1332" s="2" t="s">
        <v>3690</v>
      </c>
      <c r="C1332" s="2">
        <v>92000789</v>
      </c>
      <c r="D1332" s="2" t="s">
        <v>1426</v>
      </c>
      <c r="E1332" s="2" t="s">
        <v>2550</v>
      </c>
      <c r="F1332" s="2" t="s">
        <v>824</v>
      </c>
      <c r="G1332" s="2" t="s">
        <v>1500</v>
      </c>
      <c r="H1332" s="2" t="s">
        <v>1458</v>
      </c>
      <c r="I1332" s="3" t="str">
        <f t="shared" si="0"/>
        <v>https://dto.kemkes.go.id/kfacode/93001072</v>
      </c>
      <c r="J1332" s="34" t="s">
        <v>3768</v>
      </c>
      <c r="K1332" t="str">
        <f t="shared" si="21"/>
        <v>insert into mkatalog_kfa93 (kode, uraian, kode_92, uraian_92, nama_dagang, satuan_kecil, sediaan, golongan, url, userid_updt, sysdate_updt) values ('93001072','Turoctocog Alfa / Faktor VIII Konsentrat 250 IU Serbuk Injeksi (NOVOEIGHT)','92000789','Turoctocog Alfa / Faktor VIII Konsentrat 250 IU Serbuk Injeksi','NOVOEIGHT','Vial + Ampul Pelarut','Serbuk Injeksi','Obat Keras','https://dto.kemkes.go.id/kfacode/93001072',0,'2023-05-01');</v>
      </c>
    </row>
    <row r="1333" spans="1:11" ht="15.75" customHeight="1">
      <c r="A1333" s="2">
        <v>93001073</v>
      </c>
      <c r="B1333" s="2" t="s">
        <v>3691</v>
      </c>
      <c r="C1333" s="2">
        <v>92000790</v>
      </c>
      <c r="D1333" s="2" t="s">
        <v>1427</v>
      </c>
      <c r="E1333" s="2" t="s">
        <v>2550</v>
      </c>
      <c r="F1333" s="2" t="s">
        <v>824</v>
      </c>
      <c r="G1333" s="2" t="s">
        <v>1500</v>
      </c>
      <c r="H1333" s="2" t="s">
        <v>1458</v>
      </c>
      <c r="I1333" s="3" t="str">
        <f t="shared" si="0"/>
        <v>https://dto.kemkes.go.id/kfacode/93001073</v>
      </c>
      <c r="J1333" s="34" t="s">
        <v>3768</v>
      </c>
      <c r="K1333" t="str">
        <f t="shared" si="21"/>
        <v>insert into mkatalog_kfa93 (kode, uraian, kode_92, uraian_92, nama_dagang, satuan_kecil, sediaan, golongan, url, userid_updt, sysdate_updt) values ('93001073','Turoctocog Alfa / Faktor VIII Konsentrat 500 IU Serbuk Injeksi (NOVOEIGHT)','92000790','Turoctocog Alfa / Faktor VIII Konsentrat 500 IU Serbuk Injeksi','NOVOEIGHT','Vial + Ampul Pelarut','Serbuk Injeksi','Obat Keras','https://dto.kemkes.go.id/kfacode/93001073',0,'2023-05-01');</v>
      </c>
    </row>
    <row r="1334" spans="1:11" ht="15.75" customHeight="1">
      <c r="A1334" s="2">
        <v>93001391</v>
      </c>
      <c r="B1334" s="2" t="s">
        <v>3692</v>
      </c>
      <c r="C1334" s="2">
        <v>92000747</v>
      </c>
      <c r="D1334" s="2" t="s">
        <v>1428</v>
      </c>
      <c r="E1334" s="2" t="s">
        <v>3693</v>
      </c>
      <c r="F1334" s="2" t="s">
        <v>649</v>
      </c>
      <c r="G1334" s="2" t="s">
        <v>649</v>
      </c>
      <c r="H1334" s="2" t="s">
        <v>1458</v>
      </c>
      <c r="I1334" s="3" t="str">
        <f t="shared" si="0"/>
        <v>https://dto.kemkes.go.id/kfacode/93001391</v>
      </c>
      <c r="J1334" s="34" t="s">
        <v>3768</v>
      </c>
      <c r="K1334" t="str">
        <f t="shared" si="21"/>
        <v>insert into mkatalog_kfa93 (kode, uraian, kode_92, uraian_92, nama_dagang, satuan_kecil, sediaan, golongan, url, userid_updt, sysdate_updt) values ('93001391','Ursodeoxycholic Acid 250 mg Kapsul (DEXA MEDICA)','92000747','Ursodeoxycholic Acid 250 mg Kapsul','URSODEOXYCHOLIC ACID','Kapsul','Kapsul','Obat Keras','https://dto.kemkes.go.id/kfacode/93001391',0,'2023-05-01');</v>
      </c>
    </row>
    <row r="1335" spans="1:11" ht="15.75" customHeight="1">
      <c r="A1335" s="2">
        <v>93001448</v>
      </c>
      <c r="B1335" s="2" t="s">
        <v>3694</v>
      </c>
      <c r="C1335" s="2">
        <v>92000747</v>
      </c>
      <c r="D1335" s="2" t="s">
        <v>1428</v>
      </c>
      <c r="E1335" s="2" t="s">
        <v>3693</v>
      </c>
      <c r="F1335" s="2" t="s">
        <v>649</v>
      </c>
      <c r="G1335" s="2" t="s">
        <v>649</v>
      </c>
      <c r="H1335" s="2" t="s">
        <v>1458</v>
      </c>
      <c r="I1335" s="3" t="str">
        <f t="shared" si="0"/>
        <v>https://dto.kemkes.go.id/kfacode/93001448</v>
      </c>
      <c r="J1335" s="34" t="s">
        <v>3768</v>
      </c>
      <c r="K1335" t="str">
        <f t="shared" si="21"/>
        <v>insert into mkatalog_kfa93 (kode, uraian, kode_92, uraian_92, nama_dagang, satuan_kecil, sediaan, golongan, url, userid_updt, sysdate_updt) values ('93001448','Ursodeoxycholic Acid 250 mg Kapsul (MEPROFARM)','92000747','Ursodeoxycholic Acid 250 mg Kapsul','URSODEOXYCHOLIC ACID','Kapsul','Kapsul','Obat Keras','https://dto.kemkes.go.id/kfacode/93001448',0,'2023-05-01');</v>
      </c>
    </row>
    <row r="1336" spans="1:11" ht="15.75" customHeight="1">
      <c r="A1336" s="2">
        <v>93000429</v>
      </c>
      <c r="B1336" s="2" t="s">
        <v>3695</v>
      </c>
      <c r="C1336" s="2">
        <v>92000314</v>
      </c>
      <c r="D1336" s="2" t="s">
        <v>1429</v>
      </c>
      <c r="E1336" s="2" t="s">
        <v>3696</v>
      </c>
      <c r="F1336" s="2" t="s">
        <v>640</v>
      </c>
      <c r="G1336" s="2" t="s">
        <v>1457</v>
      </c>
      <c r="H1336" s="2" t="s">
        <v>1458</v>
      </c>
      <c r="I1336" s="3" t="str">
        <f t="shared" si="0"/>
        <v>https://dto.kemkes.go.id/kfacode/93000429</v>
      </c>
      <c r="J1336" s="34" t="s">
        <v>3768</v>
      </c>
      <c r="K1336" t="str">
        <f t="shared" si="21"/>
        <v>insert into mkatalog_kfa93 (kode, uraian, kode_92, uraian_92, nama_dagang, satuan_kecil, sediaan, golongan, url, userid_updt, sysdate_updt) values ('93000429','Valganciclovir Hydrochloride 450 mg Tablet Salut Selaput (VALCYTE)','92000314','Valganciclovir Hydrochloride 450 mg Tablet Salut Selaput','VALCYTE','Tablet','Tablet Salut Selaput','Obat Keras','https://dto.kemkes.go.id/kfacode/93000429',0,'2023-05-01');</v>
      </c>
    </row>
    <row r="1337" spans="1:11" ht="15.75" customHeight="1">
      <c r="A1337" s="2">
        <v>93000703</v>
      </c>
      <c r="B1337" s="2" t="s">
        <v>3697</v>
      </c>
      <c r="C1337" s="2">
        <v>92000474</v>
      </c>
      <c r="D1337" s="2" t="s">
        <v>1430</v>
      </c>
      <c r="E1337" s="2" t="s">
        <v>3698</v>
      </c>
      <c r="F1337" s="2" t="s">
        <v>660</v>
      </c>
      <c r="G1337" s="2" t="s">
        <v>1619</v>
      </c>
      <c r="H1337" s="2" t="s">
        <v>1458</v>
      </c>
      <c r="I1337" s="3" t="str">
        <f t="shared" si="0"/>
        <v>https://dto.kemkes.go.id/kfacode/93000703</v>
      </c>
      <c r="J1337" s="34" t="s">
        <v>3768</v>
      </c>
      <c r="K1337" t="str">
        <f t="shared" si="21"/>
        <v>insert into mkatalog_kfa93 (kode, uraian, kode_92, uraian_92, nama_dagang, satuan_kecil, sediaan, golongan, url, userid_updt, sysdate_updt) values ('93000703','Valsartan 160 mg Kaplet Salut Selaput (DEXA MEDICA)','92000474','Valsartan 160 mg Kaplet Salut Selaput','VALSARTAN','Kaplet','Kaplet Salut Selaput','Obat Keras','https://dto.kemkes.go.id/kfacode/93000703',0,'2023-05-01');</v>
      </c>
    </row>
    <row r="1338" spans="1:11" ht="15.75" customHeight="1">
      <c r="A1338" s="2">
        <v>93000704</v>
      </c>
      <c r="B1338" s="2" t="s">
        <v>3699</v>
      </c>
      <c r="C1338" s="2">
        <v>92000474</v>
      </c>
      <c r="D1338" s="2" t="s">
        <v>1430</v>
      </c>
      <c r="E1338" s="2" t="s">
        <v>3698</v>
      </c>
      <c r="F1338" s="2" t="s">
        <v>660</v>
      </c>
      <c r="G1338" s="2" t="s">
        <v>1619</v>
      </c>
      <c r="H1338" s="2" t="s">
        <v>1458</v>
      </c>
      <c r="I1338" s="3" t="str">
        <f t="shared" si="0"/>
        <v>https://dto.kemkes.go.id/kfacode/93000704</v>
      </c>
      <c r="J1338" s="34" t="s">
        <v>3768</v>
      </c>
      <c r="K1338" t="str">
        <f t="shared" si="21"/>
        <v>insert into mkatalog_kfa93 (kode, uraian, kode_92, uraian_92, nama_dagang, satuan_kecil, sediaan, golongan, url, userid_updt, sysdate_updt) values ('93000704','Valsartan 160 mg Kaplet Salut Selaput (PYRIDAM FARMA TBK)','92000474','Valsartan 160 mg Kaplet Salut Selaput','VALSARTAN','Kaplet','Kaplet Salut Selaput','Obat Keras','https://dto.kemkes.go.id/kfacode/93000704',0,'2023-05-01');</v>
      </c>
    </row>
    <row r="1339" spans="1:11" ht="15.75" customHeight="1">
      <c r="A1339" s="2">
        <v>93000620</v>
      </c>
      <c r="B1339" s="2" t="s">
        <v>3700</v>
      </c>
      <c r="C1339" s="2">
        <v>92000475</v>
      </c>
      <c r="D1339" s="2" t="s">
        <v>1431</v>
      </c>
      <c r="E1339" s="2" t="s">
        <v>3701</v>
      </c>
      <c r="F1339" s="2" t="s">
        <v>640</v>
      </c>
      <c r="G1339" s="2" t="s">
        <v>640</v>
      </c>
      <c r="H1339" s="2" t="s">
        <v>1458</v>
      </c>
      <c r="I1339" s="3" t="str">
        <f t="shared" si="0"/>
        <v>https://dto.kemkes.go.id/kfacode/93000620</v>
      </c>
      <c r="J1339" s="34" t="s">
        <v>3768</v>
      </c>
      <c r="K1339" t="str">
        <f t="shared" si="21"/>
        <v>insert into mkatalog_kfa93 (kode, uraian, kode_92, uraian_92, nama_dagang, satuan_kecil, sediaan, golongan, url, userid_updt, sysdate_updt) values ('93000620','Valsartan 160 mg Tablet Salut Selaput (DIOVAN)','92000475','Valsartan 160 mg Tablet Salut Selaput','DIOVAN','Tablet','Tablet','Obat Keras','https://dto.kemkes.go.id/kfacode/93000620',0,'2023-05-01');</v>
      </c>
    </row>
    <row r="1340" spans="1:11" ht="15.75" customHeight="1">
      <c r="A1340" s="2">
        <v>93000613</v>
      </c>
      <c r="B1340" s="2" t="s">
        <v>3702</v>
      </c>
      <c r="C1340" s="2">
        <v>92000475</v>
      </c>
      <c r="D1340" s="2" t="s">
        <v>1431</v>
      </c>
      <c r="E1340" s="2" t="s">
        <v>3698</v>
      </c>
      <c r="F1340" s="2" t="s">
        <v>640</v>
      </c>
      <c r="G1340" s="2" t="s">
        <v>640</v>
      </c>
      <c r="H1340" s="2" t="s">
        <v>1458</v>
      </c>
      <c r="I1340" s="3" t="str">
        <f t="shared" si="0"/>
        <v>https://dto.kemkes.go.id/kfacode/93000613</v>
      </c>
      <c r="J1340" s="34" t="s">
        <v>3768</v>
      </c>
      <c r="K1340" t="str">
        <f t="shared" si="21"/>
        <v>insert into mkatalog_kfa93 (kode, uraian, kode_92, uraian_92, nama_dagang, satuan_kecil, sediaan, golongan, url, userid_updt, sysdate_updt) values ('93000613','Valsartan 160 mg Tablet Salut Selaput (HEXPHARM JAYA LABORATORIES)','92000475','Valsartan 160 mg Tablet Salut Selaput','VALSARTAN','Tablet','Tablet','Obat Keras','https://dto.kemkes.go.id/kfacode/93000613',0,'2023-05-01');</v>
      </c>
    </row>
    <row r="1341" spans="1:11" ht="15.75" customHeight="1">
      <c r="A1341" s="2">
        <v>93000614</v>
      </c>
      <c r="B1341" s="2" t="s">
        <v>3703</v>
      </c>
      <c r="C1341" s="2">
        <v>92000475</v>
      </c>
      <c r="D1341" s="2" t="s">
        <v>1431</v>
      </c>
      <c r="E1341" s="2" t="s">
        <v>3698</v>
      </c>
      <c r="F1341" s="2" t="s">
        <v>640</v>
      </c>
      <c r="G1341" s="2" t="s">
        <v>640</v>
      </c>
      <c r="H1341" s="2" t="s">
        <v>1458</v>
      </c>
      <c r="I1341" s="3" t="str">
        <f t="shared" si="0"/>
        <v>https://dto.kemkes.go.id/kfacode/93000614</v>
      </c>
      <c r="J1341" s="34" t="s">
        <v>3768</v>
      </c>
      <c r="K1341" t="str">
        <f t="shared" si="21"/>
        <v>insert into mkatalog_kfa93 (kode, uraian, kode_92, uraian_92, nama_dagang, satuan_kecil, sediaan, golongan, url, userid_updt, sysdate_updt) values ('93000614','Valsartan 160 mg Tablet Salut Selaput (KIMIA FARMA Tbk)','92000475','Valsartan 160 mg Tablet Salut Selaput','VALSARTAN','Tablet','Tablet','Obat Keras','https://dto.kemkes.go.id/kfacode/93000614',0,'2023-05-01');</v>
      </c>
    </row>
    <row r="1342" spans="1:11" ht="15.75" customHeight="1">
      <c r="A1342" s="2">
        <v>93000617</v>
      </c>
      <c r="B1342" s="2" t="s">
        <v>3704</v>
      </c>
      <c r="C1342" s="2">
        <v>92000475</v>
      </c>
      <c r="D1342" s="2" t="s">
        <v>1431</v>
      </c>
      <c r="E1342" s="2" t="s">
        <v>3698</v>
      </c>
      <c r="F1342" s="2" t="s">
        <v>640</v>
      </c>
      <c r="G1342" s="2" t="s">
        <v>640</v>
      </c>
      <c r="H1342" s="2" t="s">
        <v>1458</v>
      </c>
      <c r="I1342" s="3" t="str">
        <f t="shared" si="0"/>
        <v>https://dto.kemkes.go.id/kfacode/93000617</v>
      </c>
      <c r="J1342" s="34" t="s">
        <v>3768</v>
      </c>
      <c r="K1342" t="str">
        <f t="shared" si="21"/>
        <v>insert into mkatalog_kfa93 (kode, uraian, kode_92, uraian_92, nama_dagang, satuan_kecil, sediaan, golongan, url, userid_updt, sysdate_updt) values ('93000617','Valsartan 160 mg Tablet Salut Selaput (NULAB PHARMACEUTICAL INDONESIA)','92000475','Valsartan 160 mg Tablet Salut Selaput','VALSARTAN','Tablet','Tablet','Obat Keras','https://dto.kemkes.go.id/kfacode/93000617',0,'2023-05-01');</v>
      </c>
    </row>
    <row r="1343" spans="1:11" ht="15.75" customHeight="1">
      <c r="A1343" s="2">
        <v>93000619</v>
      </c>
      <c r="B1343" s="2" t="s">
        <v>3705</v>
      </c>
      <c r="C1343" s="2">
        <v>92000475</v>
      </c>
      <c r="D1343" s="2" t="s">
        <v>1431</v>
      </c>
      <c r="E1343" s="2" t="s">
        <v>3706</v>
      </c>
      <c r="F1343" s="2" t="s">
        <v>640</v>
      </c>
      <c r="G1343" s="2" t="s">
        <v>640</v>
      </c>
      <c r="H1343" s="2" t="s">
        <v>1458</v>
      </c>
      <c r="I1343" s="3" t="str">
        <f t="shared" si="0"/>
        <v>https://dto.kemkes.go.id/kfacode/93000619</v>
      </c>
      <c r="J1343" s="34" t="s">
        <v>3768</v>
      </c>
      <c r="K1343" t="str">
        <f t="shared" si="21"/>
        <v>insert into mkatalog_kfa93 (kode, uraian, kode_92, uraian_92, nama_dagang, satuan_kecil, sediaan, golongan, url, userid_updt, sysdate_updt) values ('93000619','Valsartan 160 mg Tablet Salut Selaput (VALTENSI)','92000475','Valsartan 160 mg Tablet Salut Selaput','VALTENSI','Tablet','Tablet','Obat Keras','https://dto.kemkes.go.id/kfacode/93000619',0,'2023-05-01');</v>
      </c>
    </row>
    <row r="1344" spans="1:11" ht="15.75" customHeight="1">
      <c r="A1344" s="2">
        <v>93000454</v>
      </c>
      <c r="B1344" s="2" t="s">
        <v>3707</v>
      </c>
      <c r="C1344" s="2">
        <v>92000301</v>
      </c>
      <c r="D1344" s="2" t="s">
        <v>1432</v>
      </c>
      <c r="E1344" s="2" t="s">
        <v>3708</v>
      </c>
      <c r="F1344" s="2" t="s">
        <v>653</v>
      </c>
      <c r="G1344" s="2" t="s">
        <v>1500</v>
      </c>
      <c r="H1344" s="2" t="s">
        <v>1458</v>
      </c>
      <c r="I1344" s="3" t="str">
        <f t="shared" si="0"/>
        <v>https://dto.kemkes.go.id/kfacode/93000454</v>
      </c>
      <c r="J1344" s="34" t="s">
        <v>3768</v>
      </c>
      <c r="K1344" t="str">
        <f t="shared" si="21"/>
        <v>insert into mkatalog_kfa93 (kode, uraian, kode_92, uraian_92, nama_dagang, satuan_kecil, sediaan, golongan, url, userid_updt, sysdate_updt) values ('93000454','Vancomycin Hydrochloride 500 mg Serbuk Injeksi (HEXPHARM JAYA LABORATORIES)','92000301','Vancomycin Hydrochloride 500 mg Serbuk Injeksi','VANCOMYCIN HCL','Vial','Serbuk Injeksi','Obat Keras','https://dto.kemkes.go.id/kfacode/93000454',0,'2023-05-01');</v>
      </c>
    </row>
    <row r="1345" spans="1:11" ht="15.75" customHeight="1">
      <c r="A1345" s="2">
        <v>93000455</v>
      </c>
      <c r="B1345" s="2" t="s">
        <v>3709</v>
      </c>
      <c r="C1345" s="2">
        <v>92000301</v>
      </c>
      <c r="D1345" s="2" t="s">
        <v>1432</v>
      </c>
      <c r="E1345" s="2" t="s">
        <v>3710</v>
      </c>
      <c r="F1345" s="2" t="s">
        <v>653</v>
      </c>
      <c r="G1345" s="2" t="s">
        <v>1500</v>
      </c>
      <c r="H1345" s="2" t="s">
        <v>1458</v>
      </c>
      <c r="I1345" s="3" t="str">
        <f t="shared" si="0"/>
        <v>https://dto.kemkes.go.id/kfacode/93000455</v>
      </c>
      <c r="J1345" s="34" t="s">
        <v>3768</v>
      </c>
      <c r="K1345" t="str">
        <f t="shared" si="21"/>
        <v>insert into mkatalog_kfa93 (kode, uraian, kode_92, uraian_92, nama_dagang, satuan_kecil, sediaan, golongan, url, userid_updt, sysdate_updt) values ('93000455','Vancomycin Hydrochloride 500 mg Serbuk Injeksi (NOVELL PHARMACEUTICAL LABORATORIES)','92000301','Vancomycin Hydrochloride 500 mg Serbuk Injeksi','VANCOMYCIN HYDROCHLORIDE','Vial','Serbuk Injeksi','Obat Keras','https://dto.kemkes.go.id/kfacode/93000455',0,'2023-05-01');</v>
      </c>
    </row>
    <row r="1346" spans="1:11" ht="15.75" customHeight="1">
      <c r="A1346" s="2">
        <v>93000417</v>
      </c>
      <c r="B1346" s="2" t="s">
        <v>3711</v>
      </c>
      <c r="C1346" s="2">
        <v>92000301</v>
      </c>
      <c r="D1346" s="2" t="s">
        <v>1432</v>
      </c>
      <c r="E1346" s="2" t="s">
        <v>3710</v>
      </c>
      <c r="F1346" s="2" t="s">
        <v>653</v>
      </c>
      <c r="G1346" s="2" t="s">
        <v>1500</v>
      </c>
      <c r="H1346" s="2" t="s">
        <v>1458</v>
      </c>
      <c r="I1346" s="3" t="str">
        <f t="shared" si="0"/>
        <v>https://dto.kemkes.go.id/kfacode/93000417</v>
      </c>
      <c r="J1346" s="34" t="s">
        <v>3768</v>
      </c>
      <c r="K1346" t="str">
        <f t="shared" si="21"/>
        <v>insert into mkatalog_kfa93 (kode, uraian, kode_92, uraian_92, nama_dagang, satuan_kecil, sediaan, golongan, url, userid_updt, sysdate_updt) values ('93000417','Vancomycin Hydrochloride 500 mg Serbuk Injeksi (PRATAPA NIRMALA)','92000301','Vancomycin Hydrochloride 500 mg Serbuk Injeksi','VANCOMYCIN HYDROCHLORIDE','Vial','Serbuk Injeksi','Obat Keras','https://dto.kemkes.go.id/kfacode/93000417',0,'2023-05-01');</v>
      </c>
    </row>
    <row r="1347" spans="1:11" ht="15.75" customHeight="1">
      <c r="A1347" s="2">
        <v>93000757</v>
      </c>
      <c r="B1347" s="2" t="s">
        <v>3712</v>
      </c>
      <c r="C1347" s="2">
        <v>92000301</v>
      </c>
      <c r="D1347" s="2" t="s">
        <v>1432</v>
      </c>
      <c r="E1347" s="2" t="s">
        <v>3713</v>
      </c>
      <c r="F1347" s="2" t="s">
        <v>653</v>
      </c>
      <c r="G1347" s="2" t="s">
        <v>1500</v>
      </c>
      <c r="H1347" s="2" t="s">
        <v>1458</v>
      </c>
      <c r="I1347" s="3" t="str">
        <f t="shared" si="0"/>
        <v>https://dto.kemkes.go.id/kfacode/93000757</v>
      </c>
      <c r="J1347" s="34" t="s">
        <v>3768</v>
      </c>
      <c r="K1347" t="str">
        <f t="shared" ref="K1347:K1380" si="22">CONCATENATE(J1347,"('",A1347,"','",B1347,"','",C1347,"','",D1347,"','",E1347,"','",F1347,"','",G1347,"','",H1347,"','",I1347,"',0,'2023-05-01');")</f>
        <v>insert into mkatalog_kfa93 (kode, uraian, kode_92, uraian_92, nama_dagang, satuan_kecil, sediaan, golongan, url, userid_updt, sysdate_updt) values ('93000757','Vancomycin Hydrochloride 500 mg Serbuk Injeksi (VANCOPI)','92000301','Vancomycin Hydrochloride 500 mg Serbuk Injeksi','VANCOPI','Vial','Serbuk Injeksi','Obat Keras','https://dto.kemkes.go.id/kfacode/93000757',0,'2023-05-01');</v>
      </c>
    </row>
    <row r="1348" spans="1:11" ht="15.75" customHeight="1">
      <c r="A1348" s="2">
        <v>93000758</v>
      </c>
      <c r="B1348" s="2" t="s">
        <v>3714</v>
      </c>
      <c r="C1348" s="2">
        <v>92000301</v>
      </c>
      <c r="D1348" s="2" t="s">
        <v>1432</v>
      </c>
      <c r="E1348" s="2" t="s">
        <v>3715</v>
      </c>
      <c r="F1348" s="2" t="s">
        <v>653</v>
      </c>
      <c r="G1348" s="2" t="s">
        <v>1500</v>
      </c>
      <c r="H1348" s="2" t="s">
        <v>1458</v>
      </c>
      <c r="I1348" s="3" t="str">
        <f t="shared" si="0"/>
        <v>https://dto.kemkes.go.id/kfacode/93000758</v>
      </c>
      <c r="J1348" s="34" t="s">
        <v>3768</v>
      </c>
      <c r="K1348" t="str">
        <f t="shared" si="22"/>
        <v>insert into mkatalog_kfa93 (kode, uraian, kode_92, uraian_92, nama_dagang, satuan_kecil, sediaan, golongan, url, userid_updt, sysdate_updt) values ('93000758','Vancomycin Hydrochloride 500 mg Serbuk Injeksi (VANCOSAN)','92000301','Vancomycin Hydrochloride 500 mg Serbuk Injeksi','VANCOSAN','Vial','Serbuk Injeksi','Obat Keras','https://dto.kemkes.go.id/kfacode/93000758',0,'2023-05-01');</v>
      </c>
    </row>
    <row r="1349" spans="1:11" ht="15.75" customHeight="1">
      <c r="A1349" s="2">
        <v>93000266</v>
      </c>
      <c r="B1349" s="2" t="s">
        <v>3716</v>
      </c>
      <c r="C1349" s="2">
        <v>92000187</v>
      </c>
      <c r="D1349" s="2" t="s">
        <v>1433</v>
      </c>
      <c r="E1349" s="2" t="s">
        <v>3717</v>
      </c>
      <c r="F1349" s="2" t="s">
        <v>660</v>
      </c>
      <c r="G1349" s="2" t="s">
        <v>1619</v>
      </c>
      <c r="H1349" s="2" t="s">
        <v>1458</v>
      </c>
      <c r="I1349" s="3" t="str">
        <f t="shared" si="0"/>
        <v>https://dto.kemkes.go.id/kfacode/93000266</v>
      </c>
      <c r="J1349" s="34" t="s">
        <v>3768</v>
      </c>
      <c r="K1349" t="str">
        <f t="shared" si="22"/>
        <v>insert into mkatalog_kfa93 (kode, uraian, kode_92, uraian_92, nama_dagang, satuan_kecil, sediaan, golongan, url, userid_updt, sysdate_updt) values ('93000266','Verapamil 240 mg Kaplet Salut Selaput (ISOPTIN SR)','92000187','Verapamil 240 mg Kaplet Salut Selaput','ISOPTIN SR','Kaplet','Kaplet Salut Selaput','Obat Keras','https://dto.kemkes.go.id/kfacode/93000266',0,'2023-05-01');</v>
      </c>
    </row>
    <row r="1350" spans="1:11" ht="15.75" customHeight="1">
      <c r="A1350" s="2">
        <v>93001616</v>
      </c>
      <c r="B1350" s="2" t="s">
        <v>3718</v>
      </c>
      <c r="C1350" s="2">
        <v>92000924</v>
      </c>
      <c r="D1350" s="2" t="s">
        <v>1434</v>
      </c>
      <c r="E1350" s="2" t="s">
        <v>3719</v>
      </c>
      <c r="F1350" s="2" t="s">
        <v>640</v>
      </c>
      <c r="G1350" s="2" t="s">
        <v>640</v>
      </c>
      <c r="H1350" s="2" t="s">
        <v>1458</v>
      </c>
      <c r="I1350" s="3" t="str">
        <f t="shared" si="0"/>
        <v>https://dto.kemkes.go.id/kfacode/93001616</v>
      </c>
      <c r="J1350" s="34" t="s">
        <v>3768</v>
      </c>
      <c r="K1350" t="str">
        <f t="shared" si="22"/>
        <v>insert into mkatalog_kfa93 (kode, uraian, kode_92, uraian_92, nama_dagang, satuan_kecil, sediaan, golongan, url, userid_updt, sysdate_updt) values ('93001616','Vildagliptin 50 mg Tablet (GALVUS)','92000924','Vildagliptin 50 mg Tablet','GALVUS','Tablet','Tablet','Obat Keras','https://dto.kemkes.go.id/kfacode/93001616',0,'2023-05-01');</v>
      </c>
    </row>
    <row r="1351" spans="1:11" ht="15.75" customHeight="1">
      <c r="A1351" s="2">
        <v>93001269</v>
      </c>
      <c r="B1351" s="2" t="s">
        <v>3720</v>
      </c>
      <c r="C1351" s="2">
        <v>92000504</v>
      </c>
      <c r="D1351" s="2" t="s">
        <v>1435</v>
      </c>
      <c r="E1351" s="2" t="s">
        <v>3721</v>
      </c>
      <c r="F1351" s="2" t="s">
        <v>653</v>
      </c>
      <c r="G1351" s="2" t="s">
        <v>1506</v>
      </c>
      <c r="H1351" s="2" t="s">
        <v>1458</v>
      </c>
      <c r="I1351" s="3" t="str">
        <f t="shared" si="0"/>
        <v>https://dto.kemkes.go.id/kfacode/93001269</v>
      </c>
      <c r="J1351" s="34" t="s">
        <v>3768</v>
      </c>
      <c r="K1351" t="str">
        <f t="shared" si="22"/>
        <v>insert into mkatalog_kfa93 (kode, uraian, kode_92, uraian_92, nama_dagang, satuan_kecil, sediaan, golongan, url, userid_updt, sysdate_updt) values ('93001269','Vincristine Sulfate 1 mg / mL Injeksi (GLOBAL ONKOLAB FARMA, 1 mL)','92000504','Vincristine Sulfate 1 mg / mL Injeksi','VINCRISTINE SULFATE','Vial','Larutan Injeksi','Obat Keras','https://dto.kemkes.go.id/kfacode/93001269',0,'2023-05-01');</v>
      </c>
    </row>
    <row r="1352" spans="1:11" ht="15.75" customHeight="1">
      <c r="A1352" s="2">
        <v>93001268</v>
      </c>
      <c r="B1352" s="2" t="s">
        <v>3722</v>
      </c>
      <c r="C1352" s="2">
        <v>92000504</v>
      </c>
      <c r="D1352" s="2" t="s">
        <v>1435</v>
      </c>
      <c r="E1352" s="2" t="s">
        <v>3721</v>
      </c>
      <c r="F1352" s="2" t="s">
        <v>653</v>
      </c>
      <c r="G1352" s="2" t="s">
        <v>1506</v>
      </c>
      <c r="H1352" s="2" t="s">
        <v>1458</v>
      </c>
      <c r="I1352" s="3" t="str">
        <f t="shared" si="0"/>
        <v>https://dto.kemkes.go.id/kfacode/93001268</v>
      </c>
      <c r="J1352" s="34" t="s">
        <v>3768</v>
      </c>
      <c r="K1352" t="str">
        <f t="shared" si="22"/>
        <v>insert into mkatalog_kfa93 (kode, uraian, kode_92, uraian_92, nama_dagang, satuan_kecil, sediaan, golongan, url, userid_updt, sysdate_updt) values ('93001268','Vincristine Sulfate 1 mg / mL Injeksi (GLOBAL ONKOLAB FARMA, 2 mL)','92000504','Vincristine Sulfate 1 mg / mL Injeksi','VINCRISTINE SULFATE','Vial','Larutan Injeksi','Obat Keras','https://dto.kemkes.go.id/kfacode/93001268',0,'2023-05-01');</v>
      </c>
    </row>
    <row r="1353" spans="1:11" ht="15.75" customHeight="1">
      <c r="A1353" s="2">
        <v>93000443</v>
      </c>
      <c r="B1353" s="2" t="s">
        <v>3723</v>
      </c>
      <c r="C1353" s="2">
        <v>92000321</v>
      </c>
      <c r="D1353" s="2" t="s">
        <v>1436</v>
      </c>
      <c r="E1353" s="2" t="s">
        <v>3724</v>
      </c>
      <c r="F1353" s="2" t="s">
        <v>653</v>
      </c>
      <c r="G1353" s="2" t="s">
        <v>1506</v>
      </c>
      <c r="H1353" s="2" t="s">
        <v>1458</v>
      </c>
      <c r="I1353" s="3" t="str">
        <f t="shared" si="0"/>
        <v>https://dto.kemkes.go.id/kfacode/93000443</v>
      </c>
      <c r="J1353" s="34" t="s">
        <v>3768</v>
      </c>
      <c r="K1353" t="str">
        <f t="shared" si="22"/>
        <v>insert into mkatalog_kfa93 (kode, uraian, kode_92, uraian_92, nama_dagang, satuan_kecil, sediaan, golongan, url, userid_updt, sysdate_updt) values ('93000443','Vinorelbine Tartrate 10 mg / mL Injeksi (FERRON PAR PHARMACEUTICALS, 1 mL)','92000321','Vinorelbine Tartrate 10 mg / mL Injeksi','VINORELBINE TARTRATE','Vial','Larutan Injeksi','Obat Keras','https://dto.kemkes.go.id/kfacode/93000443',0,'2023-05-01');</v>
      </c>
    </row>
    <row r="1354" spans="1:11" ht="15.75" customHeight="1">
      <c r="A1354" s="2">
        <v>93000444</v>
      </c>
      <c r="B1354" s="2" t="s">
        <v>3725</v>
      </c>
      <c r="C1354" s="2">
        <v>92000321</v>
      </c>
      <c r="D1354" s="2" t="s">
        <v>1436</v>
      </c>
      <c r="E1354" s="2" t="s">
        <v>3726</v>
      </c>
      <c r="F1354" s="2" t="s">
        <v>653</v>
      </c>
      <c r="G1354" s="2" t="s">
        <v>1506</v>
      </c>
      <c r="H1354" s="2" t="s">
        <v>1458</v>
      </c>
      <c r="I1354" s="3" t="str">
        <f t="shared" si="0"/>
        <v>https://dto.kemkes.go.id/kfacode/93000444</v>
      </c>
      <c r="J1354" s="34" t="s">
        <v>3768</v>
      </c>
      <c r="K1354" t="str">
        <f t="shared" si="22"/>
        <v>insert into mkatalog_kfa93 (kode, uraian, kode_92, uraian_92, nama_dagang, satuan_kecil, sediaan, golongan, url, userid_updt, sysdate_updt) values ('93000444','Vinorelbine Tartrate 10 mg / mL Injeksi (NAVELBINE, 1 mL)','92000321','Vinorelbine Tartrate 10 mg / mL Injeksi','NAVELBINE','Vial','Larutan Injeksi','Obat Keras','https://dto.kemkes.go.id/kfacode/93000444',0,'2023-05-01');</v>
      </c>
    </row>
    <row r="1355" spans="1:11" ht="15.75" customHeight="1">
      <c r="A1355" s="2">
        <v>93000442</v>
      </c>
      <c r="B1355" s="2" t="s">
        <v>3727</v>
      </c>
      <c r="C1355" s="2">
        <v>92000321</v>
      </c>
      <c r="D1355" s="2" t="s">
        <v>1436</v>
      </c>
      <c r="E1355" s="2" t="s">
        <v>3728</v>
      </c>
      <c r="F1355" s="2" t="s">
        <v>653</v>
      </c>
      <c r="G1355" s="2" t="s">
        <v>1506</v>
      </c>
      <c r="H1355" s="2" t="s">
        <v>1458</v>
      </c>
      <c r="I1355" s="3" t="str">
        <f t="shared" si="0"/>
        <v>https://dto.kemkes.go.id/kfacode/93000442</v>
      </c>
      <c r="J1355" s="34" t="s">
        <v>3768</v>
      </c>
      <c r="K1355" t="str">
        <f t="shared" si="22"/>
        <v>insert into mkatalog_kfa93 (kode, uraian, kode_92, uraian_92, nama_dagang, satuan_kecil, sediaan, golongan, url, userid_updt, sysdate_updt) values ('93000442','Vinorelbine Tartrate 10 mg / mL Injeksi (VINORKAL, 1 mL)','92000321','Vinorelbine Tartrate 10 mg / mL Injeksi','VINORKAL','Vial','Larutan Injeksi','Obat Keras','https://dto.kemkes.go.id/kfacode/93000442',0,'2023-05-01');</v>
      </c>
    </row>
    <row r="1356" spans="1:11" ht="15.75" customHeight="1">
      <c r="A1356" s="2">
        <v>93000445</v>
      </c>
      <c r="B1356" s="2" t="s">
        <v>3729</v>
      </c>
      <c r="C1356" s="2">
        <v>92000321</v>
      </c>
      <c r="D1356" s="2" t="s">
        <v>1436</v>
      </c>
      <c r="E1356" s="2" t="s">
        <v>3728</v>
      </c>
      <c r="F1356" s="2" t="s">
        <v>653</v>
      </c>
      <c r="G1356" s="2" t="s">
        <v>1506</v>
      </c>
      <c r="H1356" s="2" t="s">
        <v>1458</v>
      </c>
      <c r="I1356" s="3" t="str">
        <f t="shared" si="0"/>
        <v>https://dto.kemkes.go.id/kfacode/93000445</v>
      </c>
      <c r="J1356" s="34" t="s">
        <v>3768</v>
      </c>
      <c r="K1356" t="str">
        <f t="shared" si="22"/>
        <v>insert into mkatalog_kfa93 (kode, uraian, kode_92, uraian_92, nama_dagang, satuan_kecil, sediaan, golongan, url, userid_updt, sysdate_updt) values ('93000445','Vinorelbine Tartrate 10 mg / mL Injeksi (VINORKAL, 5 mL)','92000321','Vinorelbine Tartrate 10 mg / mL Injeksi','VINORKAL','Vial','Larutan Injeksi','Obat Keras','https://dto.kemkes.go.id/kfacode/93000445',0,'2023-05-01');</v>
      </c>
    </row>
    <row r="1357" spans="1:11" ht="15.75" customHeight="1">
      <c r="A1357" s="2">
        <v>93000941</v>
      </c>
      <c r="B1357" s="2" t="s">
        <v>3730</v>
      </c>
      <c r="C1357" s="2">
        <v>92000321</v>
      </c>
      <c r="D1357" s="2" t="s">
        <v>1436</v>
      </c>
      <c r="E1357" s="2" t="s">
        <v>3731</v>
      </c>
      <c r="F1357" s="2" t="s">
        <v>653</v>
      </c>
      <c r="G1357" s="2" t="s">
        <v>1506</v>
      </c>
      <c r="H1357" s="2" t="s">
        <v>1458</v>
      </c>
      <c r="I1357" s="3" t="str">
        <f t="shared" si="0"/>
        <v>https://dto.kemkes.go.id/kfacode/93000941</v>
      </c>
      <c r="J1357" s="34" t="s">
        <v>3768</v>
      </c>
      <c r="K1357" t="str">
        <f t="shared" si="22"/>
        <v>insert into mkatalog_kfa93 (kode, uraian, kode_92, uraian_92, nama_dagang, satuan_kecil, sediaan, golongan, url, userid_updt, sysdate_updt) values ('93000941','Vinorelbine Tartrate 10 mg / mL Injeksi (VINSOH, 1 mL)','92000321','Vinorelbine Tartrate 10 mg / mL Injeksi','VINSOH','Vial','Larutan Injeksi','Obat Keras','https://dto.kemkes.go.id/kfacode/93000941',0,'2023-05-01');</v>
      </c>
    </row>
    <row r="1358" spans="1:11" ht="15.75" customHeight="1">
      <c r="A1358" s="2">
        <v>93000940</v>
      </c>
      <c r="B1358" s="2" t="s">
        <v>3732</v>
      </c>
      <c r="C1358" s="2">
        <v>92000321</v>
      </c>
      <c r="D1358" s="2" t="s">
        <v>1436</v>
      </c>
      <c r="E1358" s="2" t="s">
        <v>3731</v>
      </c>
      <c r="F1358" s="2" t="s">
        <v>653</v>
      </c>
      <c r="G1358" s="2" t="s">
        <v>1506</v>
      </c>
      <c r="H1358" s="2" t="s">
        <v>1458</v>
      </c>
      <c r="I1358" s="3" t="str">
        <f t="shared" si="0"/>
        <v>https://dto.kemkes.go.id/kfacode/93000940</v>
      </c>
      <c r="J1358" s="34" t="s">
        <v>3768</v>
      </c>
      <c r="K1358" t="str">
        <f t="shared" si="22"/>
        <v>insert into mkatalog_kfa93 (kode, uraian, kode_92, uraian_92, nama_dagang, satuan_kecil, sediaan, golongan, url, userid_updt, sysdate_updt) values ('93000940','Vinorelbine Tartrate 10 mg / mL Injeksi (VINSOH, 5 mL)','92000321','Vinorelbine Tartrate 10 mg / mL Injeksi','VINSOH','Vial','Larutan Injeksi','Obat Keras','https://dto.kemkes.go.id/kfacode/93000940',0,'2023-05-01');</v>
      </c>
    </row>
    <row r="1359" spans="1:11" ht="15.75" customHeight="1">
      <c r="A1359" s="2">
        <v>93000901</v>
      </c>
      <c r="B1359" s="2" t="s">
        <v>3733</v>
      </c>
      <c r="C1359" s="2">
        <v>92000543</v>
      </c>
      <c r="D1359" s="2" t="s">
        <v>1437</v>
      </c>
      <c r="E1359" s="2" t="s">
        <v>3734</v>
      </c>
      <c r="F1359" s="2" t="s">
        <v>653</v>
      </c>
      <c r="G1359" s="2" t="s">
        <v>1719</v>
      </c>
      <c r="H1359" s="2" t="s">
        <v>1458</v>
      </c>
      <c r="I1359" s="3" t="str">
        <f t="shared" si="0"/>
        <v>https://dto.kemkes.go.id/kfacode/93000901</v>
      </c>
      <c r="J1359" s="34" t="s">
        <v>3768</v>
      </c>
      <c r="K1359" t="str">
        <f t="shared" si="22"/>
        <v>insert into mkatalog_kfa93 (kode, uraian, kode_92, uraian_92, nama_dagang, satuan_kecil, sediaan, golongan, url, userid_updt, sysdate_updt) values ('93000901','Voriconazole 200 mg Serbuk Injeksi Liofilisasi (VORICA)','92000543','Voriconazole 200 mg Serbuk Injeksi Liofilisasi','VORICA','Vial','Serbuk Injeksi Liofilisasi','Obat Keras','https://dto.kemkes.go.id/kfacode/93000901',0,'2023-05-01');</v>
      </c>
    </row>
    <row r="1360" spans="1:11" ht="15.75" customHeight="1">
      <c r="A1360" s="2">
        <v>93000903</v>
      </c>
      <c r="B1360" s="2" t="s">
        <v>3735</v>
      </c>
      <c r="C1360" s="2">
        <v>92000541</v>
      </c>
      <c r="D1360" s="2" t="s">
        <v>1438</v>
      </c>
      <c r="E1360" s="2" t="s">
        <v>3736</v>
      </c>
      <c r="F1360" s="2" t="s">
        <v>640</v>
      </c>
      <c r="G1360" s="2" t="s">
        <v>1457</v>
      </c>
      <c r="H1360" s="2" t="s">
        <v>1458</v>
      </c>
      <c r="I1360" s="3" t="str">
        <f t="shared" si="0"/>
        <v>https://dto.kemkes.go.id/kfacode/93000903</v>
      </c>
      <c r="J1360" s="34" t="s">
        <v>3768</v>
      </c>
      <c r="K1360" t="str">
        <f t="shared" si="22"/>
        <v>insert into mkatalog_kfa93 (kode, uraian, kode_92, uraian_92, nama_dagang, satuan_kecil, sediaan, golongan, url, userid_updt, sysdate_updt) values ('93000903','Voriconazole 200 mg Tablet Salut Selaput (VFEND)','92000541','Voriconazole 200 mg Tablet Salut Selaput','VFEND','Tablet','Tablet Salut Selaput','Obat Keras','https://dto.kemkes.go.id/kfacode/93000903',0,'2023-05-01');</v>
      </c>
    </row>
    <row r="1361" spans="1:11" ht="15.75" customHeight="1">
      <c r="A1361" s="2">
        <v>93001404</v>
      </c>
      <c r="B1361" s="2" t="s">
        <v>3737</v>
      </c>
      <c r="C1361" s="2">
        <v>92000578</v>
      </c>
      <c r="D1361" s="2" t="s">
        <v>1439</v>
      </c>
      <c r="E1361" s="2" t="s">
        <v>3738</v>
      </c>
      <c r="F1361" s="2" t="s">
        <v>640</v>
      </c>
      <c r="G1361" s="2" t="s">
        <v>640</v>
      </c>
      <c r="H1361" s="2" t="s">
        <v>1458</v>
      </c>
      <c r="I1361" s="3" t="str">
        <f t="shared" si="0"/>
        <v>https://dto.kemkes.go.id/kfacode/93001404</v>
      </c>
      <c r="J1361" s="34" t="s">
        <v>3768</v>
      </c>
      <c r="K1361" t="str">
        <f t="shared" si="22"/>
        <v>insert into mkatalog_kfa93 (kode, uraian, kode_92, uraian_92, nama_dagang, satuan_kecil, sediaan, golongan, url, userid_updt, sysdate_updt) values ('93001404','Warfarin 2 mg Tablet (NOVELL PHARMACEUTICAL LABORATORIES)','92000578','Warfarin 2 mg Tablet','WARFARIN SODIUM CLATHRATE','Tablet','Tablet','Obat Keras','https://dto.kemkes.go.id/kfacode/93001404',0,'2023-05-01');</v>
      </c>
    </row>
    <row r="1362" spans="1:11" ht="15.75" customHeight="1">
      <c r="A1362" s="2">
        <v>93000786</v>
      </c>
      <c r="B1362" s="2" t="s">
        <v>3739</v>
      </c>
      <c r="C1362" s="2">
        <v>92000578</v>
      </c>
      <c r="D1362" s="2" t="s">
        <v>1439</v>
      </c>
      <c r="E1362" s="2" t="s">
        <v>3738</v>
      </c>
      <c r="F1362" s="2" t="s">
        <v>640</v>
      </c>
      <c r="G1362" s="2" t="s">
        <v>640</v>
      </c>
      <c r="H1362" s="2" t="s">
        <v>1458</v>
      </c>
      <c r="I1362" s="3" t="str">
        <f t="shared" si="0"/>
        <v>https://dto.kemkes.go.id/kfacode/93000786</v>
      </c>
      <c r="J1362" s="34" t="s">
        <v>3768</v>
      </c>
      <c r="K1362" t="str">
        <f t="shared" si="22"/>
        <v>insert into mkatalog_kfa93 (kode, uraian, kode_92, uraian_92, nama_dagang, satuan_kecil, sediaan, golongan, url, userid_updt, sysdate_updt) values ('93000786','Warfarin 2 mg Tablet (PRATAPA NIRMALA)','92000578','Warfarin 2 mg Tablet','WARFARIN SODIUM CLATHRATE','Tablet','Tablet','Obat Keras','https://dto.kemkes.go.id/kfacode/93000786',0,'2023-05-01');</v>
      </c>
    </row>
    <row r="1363" spans="1:11" ht="15.75" customHeight="1">
      <c r="A1363" s="2">
        <v>93000517</v>
      </c>
      <c r="B1363" s="2" t="s">
        <v>3740</v>
      </c>
      <c r="C1363" s="2">
        <v>92000437</v>
      </c>
      <c r="D1363" s="2" t="s">
        <v>1440</v>
      </c>
      <c r="E1363" s="2" t="s">
        <v>1505</v>
      </c>
      <c r="F1363" s="2" t="s">
        <v>702</v>
      </c>
      <c r="G1363" s="2" t="s">
        <v>1506</v>
      </c>
      <c r="H1363" s="2" t="s">
        <v>1458</v>
      </c>
      <c r="I1363" s="3" t="str">
        <f t="shared" si="0"/>
        <v>https://dto.kemkes.go.id/kfacode/93000517</v>
      </c>
      <c r="J1363" s="34" t="s">
        <v>3768</v>
      </c>
      <c r="K1363" t="str">
        <f t="shared" si="22"/>
        <v>insert into mkatalog_kfa93 (kode, uraian, kode_92, uraian_92, nama_dagang, satuan_kecil, sediaan, golongan, url, userid_updt, sysdate_updt) values ('93000517','Water for Injection (B.BRAUN PHARMACEUTICAL INDONESIA)','92000437','Water for Injection','WATER FOR INJECTION','Botol Plastik','Larutan Injeksi','Obat Keras','https://dto.kemkes.go.id/kfacode/93000517',0,'2023-05-01');</v>
      </c>
    </row>
    <row r="1364" spans="1:11" ht="15.75" customHeight="1">
      <c r="A1364" s="2">
        <v>93001288</v>
      </c>
      <c r="B1364" s="2" t="s">
        <v>3741</v>
      </c>
      <c r="C1364" s="2">
        <v>92000437</v>
      </c>
      <c r="D1364" s="2" t="s">
        <v>1440</v>
      </c>
      <c r="E1364" s="2" t="s">
        <v>3742</v>
      </c>
      <c r="F1364" s="2" t="s">
        <v>702</v>
      </c>
      <c r="G1364" s="2" t="s">
        <v>1506</v>
      </c>
      <c r="H1364" s="2" t="s">
        <v>1458</v>
      </c>
      <c r="I1364" s="3" t="str">
        <f t="shared" si="0"/>
        <v>https://dto.kemkes.go.id/kfacode/93001288</v>
      </c>
      <c r="J1364" s="34" t="s">
        <v>3768</v>
      </c>
      <c r="K1364" t="str">
        <f t="shared" si="22"/>
        <v>insert into mkatalog_kfa93 (kode, uraian, kode_92, uraian_92, nama_dagang, satuan_kecil, sediaan, golongan, url, userid_updt, sysdate_updt) values ('93001288','Water for Injection (SATORIA ANEKA INDUSTRI, 250 mL)','92000437','Water for Injection','WATER  FOR INJECTION','Botol Plastik','Larutan Injeksi','Obat Keras','https://dto.kemkes.go.id/kfacode/93001288',0,'2023-05-01');</v>
      </c>
    </row>
    <row r="1365" spans="1:11" ht="15.75" customHeight="1">
      <c r="A1365" s="2">
        <v>93000800</v>
      </c>
      <c r="B1365" s="2" t="s">
        <v>3743</v>
      </c>
      <c r="C1365" s="2">
        <v>92000575</v>
      </c>
      <c r="D1365" s="2" t="s">
        <v>1441</v>
      </c>
      <c r="E1365" s="2" t="s">
        <v>1505</v>
      </c>
      <c r="F1365" s="2" t="s">
        <v>653</v>
      </c>
      <c r="G1365" s="2" t="s">
        <v>2017</v>
      </c>
      <c r="H1365" s="2" t="s">
        <v>1458</v>
      </c>
      <c r="I1365" s="3" t="str">
        <f t="shared" si="0"/>
        <v>https://dto.kemkes.go.id/kfacode/93000800</v>
      </c>
      <c r="J1365" s="34" t="s">
        <v>3768</v>
      </c>
      <c r="K1365" t="str">
        <f t="shared" si="22"/>
        <v>insert into mkatalog_kfa93 (kode, uraian, kode_92, uraian_92, nama_dagang, satuan_kecil, sediaan, golongan, url, userid_updt, sysdate_updt) values ('93000800','Water For Injection 20 mL (IPHA LABORATORIES)','92000575','Water For Injection 20 mL','WATER FOR INJECTION','Vial','Larutan','Obat Keras','https://dto.kemkes.go.id/kfacode/93000800',0,'2023-05-01');</v>
      </c>
    </row>
    <row r="1366" spans="1:11" ht="15.75" customHeight="1">
      <c r="A1366" s="2">
        <v>93000949</v>
      </c>
      <c r="B1366" s="2" t="s">
        <v>3744</v>
      </c>
      <c r="C1366" s="2">
        <v>92000656</v>
      </c>
      <c r="D1366" s="2" t="s">
        <v>1442</v>
      </c>
      <c r="E1366" s="2" t="s">
        <v>3745</v>
      </c>
      <c r="F1366" s="2" t="s">
        <v>660</v>
      </c>
      <c r="G1366" s="2" t="s">
        <v>660</v>
      </c>
      <c r="H1366" s="2" t="s">
        <v>1458</v>
      </c>
      <c r="I1366" s="3" t="str">
        <f t="shared" si="0"/>
        <v>https://dto.kemkes.go.id/kfacode/93000949</v>
      </c>
      <c r="J1366" s="34" t="s">
        <v>3768</v>
      </c>
      <c r="K1366" t="str">
        <f t="shared" si="22"/>
        <v>insert into mkatalog_kfa93 (kode, uraian, kode_92, uraian_92, nama_dagang, satuan_kecil, sediaan, golongan, url, userid_updt, sysdate_updt) values ('93000949','Zidovudin 300 mg / Lamivudin 150 mg Kaplet (KIMIA FARMA)','92000656','Zidovudin 300 mg / Lamivudin 150 mg Kaplet','LAMIVUDINE - ZIDOVUDINE','Kaplet','Kaplet','Obat Keras','https://dto.kemkes.go.id/kfacode/93000949',0,'2023-05-01');</v>
      </c>
    </row>
    <row r="1367" spans="1:11" ht="15.75" customHeight="1">
      <c r="A1367" s="2">
        <v>93001010</v>
      </c>
      <c r="B1367" s="2" t="s">
        <v>3746</v>
      </c>
      <c r="C1367" s="2">
        <v>92000711</v>
      </c>
      <c r="D1367" s="2" t="s">
        <v>1443</v>
      </c>
      <c r="E1367" s="2" t="s">
        <v>3747</v>
      </c>
      <c r="F1367" s="2" t="s">
        <v>649</v>
      </c>
      <c r="G1367" s="2" t="s">
        <v>649</v>
      </c>
      <c r="H1367" s="2" t="s">
        <v>1458</v>
      </c>
      <c r="I1367" s="3" t="str">
        <f t="shared" si="0"/>
        <v>https://dto.kemkes.go.id/kfacode/93001010</v>
      </c>
      <c r="J1367" s="34" t="s">
        <v>3768</v>
      </c>
      <c r="K1367" t="str">
        <f t="shared" si="22"/>
        <v>insert into mkatalog_kfa93 (kode, uraian, kode_92, uraian_92, nama_dagang, satuan_kecil, sediaan, golongan, url, userid_updt, sysdate_updt) values ('93001010','Zidovudine 100 mg Kapsul (KIMIA FARMA)','92000711','Zidovudine 100 mg Kapsul','ZIDOVUDINE','Kapsul','Kapsul','Obat Keras','https://dto.kemkes.go.id/kfacode/93001010',0,'2023-05-01');</v>
      </c>
    </row>
    <row r="1368" spans="1:11" ht="15.75" customHeight="1">
      <c r="A1368" s="2">
        <v>93000857</v>
      </c>
      <c r="B1368" s="2" t="s">
        <v>3748</v>
      </c>
      <c r="C1368" s="2">
        <v>92000609</v>
      </c>
      <c r="D1368" s="2" t="s">
        <v>1444</v>
      </c>
      <c r="E1368" s="2" t="s">
        <v>3749</v>
      </c>
      <c r="F1368" s="2" t="s">
        <v>658</v>
      </c>
      <c r="G1368" s="2" t="s">
        <v>1562</v>
      </c>
      <c r="H1368" s="2" t="s">
        <v>1672</v>
      </c>
      <c r="I1368" s="3" t="str">
        <f t="shared" si="0"/>
        <v>https://dto.kemkes.go.id/kfacode/93000857</v>
      </c>
      <c r="J1368" s="34" t="s">
        <v>3768</v>
      </c>
      <c r="K1368" t="str">
        <f t="shared" si="22"/>
        <v>insert into mkatalog_kfa93 (kode, uraian, kode_92, uraian_92, nama_dagang, satuan_kecil, sediaan, golongan, url, userid_updt, sysdate_updt) values ('93000857','Zinc Sulfate Monohydrate 10 mg/mL Tetes Oral (COMBIPHAR, 15 mL)','92000609','Zinc Sulfate Monohydrate 10 mg/mL Tetes Oral','ZINC SULFATE MONOHYDRATE','Botol','Tetes Oral (Oral Drops)','Obat Bebas Terbatas','https://dto.kemkes.go.id/kfacode/93000857',0,'2023-05-01');</v>
      </c>
    </row>
    <row r="1369" spans="1:11" ht="15.75" customHeight="1">
      <c r="A1369" s="2">
        <v>93000910</v>
      </c>
      <c r="B1369" s="2" t="s">
        <v>3750</v>
      </c>
      <c r="C1369" s="2">
        <v>92000609</v>
      </c>
      <c r="D1369" s="2" t="s">
        <v>1444</v>
      </c>
      <c r="E1369" s="2" t="s">
        <v>3749</v>
      </c>
      <c r="F1369" s="2" t="s">
        <v>658</v>
      </c>
      <c r="G1369" s="2" t="s">
        <v>1562</v>
      </c>
      <c r="H1369" s="2" t="s">
        <v>1672</v>
      </c>
      <c r="I1369" s="3" t="str">
        <f t="shared" si="0"/>
        <v>https://dto.kemkes.go.id/kfacode/93000910</v>
      </c>
      <c r="J1369" s="34" t="s">
        <v>3768</v>
      </c>
      <c r="K1369" t="str">
        <f t="shared" si="22"/>
        <v>insert into mkatalog_kfa93 (kode, uraian, kode_92, uraian_92, nama_dagang, satuan_kecil, sediaan, golongan, url, userid_updt, sysdate_updt) values ('93000910','Zinc Sulfate Monohydrate 10 mg/mL Tetes Oral (MEPROFARM, 15 mL)','92000609','Zinc Sulfate Monohydrate 10 mg/mL Tetes Oral','ZINC SULFATE MONOHYDRATE','Botol','Tetes Oral (Oral Drops)','Obat Bebas Terbatas','https://dto.kemkes.go.id/kfacode/93000910',0,'2023-05-01');</v>
      </c>
    </row>
    <row r="1370" spans="1:11" ht="15.75" customHeight="1">
      <c r="A1370" s="2">
        <v>93000993</v>
      </c>
      <c r="B1370" s="2" t="s">
        <v>3751</v>
      </c>
      <c r="C1370" s="2">
        <v>92000679</v>
      </c>
      <c r="D1370" s="2" t="s">
        <v>1445</v>
      </c>
      <c r="E1370" s="2" t="s">
        <v>3749</v>
      </c>
      <c r="F1370" s="2" t="s">
        <v>658</v>
      </c>
      <c r="G1370" s="2" t="s">
        <v>1832</v>
      </c>
      <c r="H1370" s="2" t="s">
        <v>1672</v>
      </c>
      <c r="I1370" s="3" t="str">
        <f t="shared" si="0"/>
        <v>https://dto.kemkes.go.id/kfacode/93000993</v>
      </c>
      <c r="J1370" s="34" t="s">
        <v>3768</v>
      </c>
      <c r="K1370" t="str">
        <f t="shared" si="22"/>
        <v>insert into mkatalog_kfa93 (kode, uraian, kode_92, uraian_92, nama_dagang, satuan_kecil, sediaan, golongan, url, userid_updt, sysdate_updt) values ('93000993','Zinc Sulfate Monohydrate 20 mg / 5 ml Sirup (AFIFARMA)','92000679','Zinc Sulfate Monohydrate 20 mg / 5 ml Sirup','ZINC SULFATE MONOHYDRATE','Botol','Sirup','Obat Bebas Terbatas','https://dto.kemkes.go.id/kfacode/93000993',0,'2023-05-01');</v>
      </c>
    </row>
    <row r="1371" spans="1:11" ht="15.75" customHeight="1">
      <c r="A1371" s="2">
        <v>93001264</v>
      </c>
      <c r="B1371" s="2" t="s">
        <v>3752</v>
      </c>
      <c r="C1371" s="2">
        <v>92000679</v>
      </c>
      <c r="D1371" s="2" t="s">
        <v>1445</v>
      </c>
      <c r="E1371" s="2" t="s">
        <v>3749</v>
      </c>
      <c r="F1371" s="2" t="s">
        <v>658</v>
      </c>
      <c r="G1371" s="2" t="s">
        <v>1832</v>
      </c>
      <c r="H1371" s="2" t="s">
        <v>1672</v>
      </c>
      <c r="I1371" s="3" t="str">
        <f t="shared" si="0"/>
        <v>https://dto.kemkes.go.id/kfacode/93001264</v>
      </c>
      <c r="J1371" s="34" t="s">
        <v>3768</v>
      </c>
      <c r="K1371" t="str">
        <f t="shared" si="22"/>
        <v>insert into mkatalog_kfa93 (kode, uraian, kode_92, uraian_92, nama_dagang, satuan_kecil, sediaan, golongan, url, userid_updt, sysdate_updt) values ('93001264','Zinc Sulfate Monohydrate 20 mg / 5 ml Sirup (TEMPO SCAN PACIFIC Tbk)','92000679','Zinc Sulfate Monohydrate 20 mg / 5 ml Sirup','ZINC SULFATE MONOHYDRATE','Botol','Sirup','Obat Bebas Terbatas','https://dto.kemkes.go.id/kfacode/93001264',0,'2023-05-01');</v>
      </c>
    </row>
    <row r="1372" spans="1:11" ht="15.75" customHeight="1">
      <c r="A1372" s="2">
        <v>93000682</v>
      </c>
      <c r="B1372" s="2" t="s">
        <v>3753</v>
      </c>
      <c r="C1372" s="2">
        <v>92000201</v>
      </c>
      <c r="D1372" s="2" t="s">
        <v>1446</v>
      </c>
      <c r="E1372" s="2" t="s">
        <v>3749</v>
      </c>
      <c r="F1372" s="2" t="s">
        <v>640</v>
      </c>
      <c r="G1372" s="2" t="s">
        <v>1648</v>
      </c>
      <c r="H1372" s="2" t="s">
        <v>1672</v>
      </c>
      <c r="I1372" s="3" t="str">
        <f t="shared" si="0"/>
        <v>https://dto.kemkes.go.id/kfacode/93000682</v>
      </c>
      <c r="J1372" s="34" t="s">
        <v>3768</v>
      </c>
      <c r="K1372" t="str">
        <f t="shared" si="22"/>
        <v>insert into mkatalog_kfa93 (kode, uraian, kode_92, uraian_92, nama_dagang, satuan_kecil, sediaan, golongan, url, userid_updt, sysdate_updt) values ('93000682','Zinc Sulfate Monohydrate 20 mg Tablet Dispersible (HOLI PHARMA)','92000201','Zinc Sulfate Monohydrate 20 mg Tablet Dispersible','ZINC SULFATE MONOHYDRATE','Tablet','Tablet Dispersibel','Obat Bebas Terbatas','https://dto.kemkes.go.id/kfacode/93000682',0,'2023-05-01');</v>
      </c>
    </row>
    <row r="1373" spans="1:11" ht="15.75" customHeight="1">
      <c r="A1373" s="2">
        <v>93000302</v>
      </c>
      <c r="B1373" s="2" t="s">
        <v>3754</v>
      </c>
      <c r="C1373" s="2">
        <v>92000201</v>
      </c>
      <c r="D1373" s="2" t="s">
        <v>1446</v>
      </c>
      <c r="E1373" s="2" t="s">
        <v>3755</v>
      </c>
      <c r="F1373" s="2" t="s">
        <v>640</v>
      </c>
      <c r="G1373" s="2" t="s">
        <v>1648</v>
      </c>
      <c r="H1373" s="2" t="s">
        <v>1672</v>
      </c>
      <c r="I1373" s="3" t="str">
        <f t="shared" si="0"/>
        <v>https://dto.kemkes.go.id/kfacode/93000302</v>
      </c>
      <c r="J1373" s="34" t="s">
        <v>3768</v>
      </c>
      <c r="K1373" t="str">
        <f t="shared" si="22"/>
        <v>insert into mkatalog_kfa93 (kode, uraian, kode_92, uraian_92, nama_dagang, satuan_kecil, sediaan, golongan, url, userid_updt, sysdate_updt) values ('93000302','Zinc Sulfate Monohydrate 20 mg Tablet Dispersible (KIMIA FARMA)','92000201','Zinc Sulfate Monohydrate 20 mg Tablet Dispersible','ZINC SULFATE HEPTAHYDRATE','Tablet','Tablet Dispersibel','Obat Bebas Terbatas','https://dto.kemkes.go.id/kfacode/93000302',0,'2023-05-01');</v>
      </c>
    </row>
    <row r="1374" spans="1:11" ht="15.75" customHeight="1">
      <c r="A1374" s="2">
        <v>93001194</v>
      </c>
      <c r="B1374" s="2" t="s">
        <v>3756</v>
      </c>
      <c r="C1374" s="2">
        <v>92000201</v>
      </c>
      <c r="D1374" s="2" t="s">
        <v>1446</v>
      </c>
      <c r="E1374" s="2" t="s">
        <v>3749</v>
      </c>
      <c r="F1374" s="2" t="s">
        <v>640</v>
      </c>
      <c r="G1374" s="2" t="s">
        <v>1648</v>
      </c>
      <c r="H1374" s="2" t="s">
        <v>1672</v>
      </c>
      <c r="I1374" s="3" t="str">
        <f t="shared" si="0"/>
        <v>https://dto.kemkes.go.id/kfacode/93001194</v>
      </c>
      <c r="J1374" s="34" t="s">
        <v>3768</v>
      </c>
      <c r="K1374" t="str">
        <f t="shared" si="22"/>
        <v>insert into mkatalog_kfa93 (kode, uraian, kode_92, uraian_92, nama_dagang, satuan_kecil, sediaan, golongan, url, userid_updt, sysdate_updt) values ('93001194','Zinc Sulfate Monohydrate 20 mg Tablet Dispersible (PHAPROS Tbk)','92000201','Zinc Sulfate Monohydrate 20 mg Tablet Dispersible','ZINC SULFATE MONOHYDRATE','Tablet','Tablet Dispersibel','Obat Bebas Terbatas','https://dto.kemkes.go.id/kfacode/93001194',0,'2023-05-01');</v>
      </c>
    </row>
    <row r="1375" spans="1:11" ht="15.75" customHeight="1">
      <c r="A1375" s="2">
        <v>93000634</v>
      </c>
      <c r="B1375" s="2" t="s">
        <v>3757</v>
      </c>
      <c r="C1375" s="2">
        <v>92000483</v>
      </c>
      <c r="D1375" s="2" t="s">
        <v>1447</v>
      </c>
      <c r="E1375" s="2" t="s">
        <v>3758</v>
      </c>
      <c r="F1375" s="2" t="s">
        <v>702</v>
      </c>
      <c r="G1375" s="2" t="s">
        <v>1530</v>
      </c>
      <c r="H1375" s="2" t="s">
        <v>1458</v>
      </c>
      <c r="I1375" s="3" t="str">
        <f t="shared" si="0"/>
        <v>https://dto.kemkes.go.id/kfacode/93000634</v>
      </c>
      <c r="J1375" s="34" t="s">
        <v>3768</v>
      </c>
      <c r="K1375" t="str">
        <f t="shared" si="22"/>
        <v>insert into mkatalog_kfa93 (kode, uraian, kode_92, uraian_92, nama_dagang, satuan_kecil, sediaan, golongan, url, userid_updt, sysdate_updt) values ('93000634','Zoledronic Acid 4 mg / 100 mL Infus (NOVELL PHARMACEUTICAL LABORATORIES)','92000483','Zoledronic Acid 4 mg / 100 mL Infus','ZOLEDRONIC ACID MONOHYDRATE','Botol Plastik','Infus','Obat Keras','https://dto.kemkes.go.id/kfacode/93000634',0,'2023-05-01');</v>
      </c>
    </row>
    <row r="1376" spans="1:11" ht="15.75" customHeight="1">
      <c r="A1376" s="2">
        <v>93000694</v>
      </c>
      <c r="B1376" s="2" t="s">
        <v>3759</v>
      </c>
      <c r="C1376" s="2">
        <v>92000483</v>
      </c>
      <c r="D1376" s="2" t="s">
        <v>1447</v>
      </c>
      <c r="E1376" s="2" t="s">
        <v>3760</v>
      </c>
      <c r="F1376" s="2" t="s">
        <v>702</v>
      </c>
      <c r="G1376" s="2" t="s">
        <v>1530</v>
      </c>
      <c r="H1376" s="2" t="s">
        <v>1458</v>
      </c>
      <c r="I1376" s="3" t="str">
        <f t="shared" si="0"/>
        <v>https://dto.kemkes.go.id/kfacode/93000694</v>
      </c>
      <c r="J1376" s="34" t="s">
        <v>3768</v>
      </c>
      <c r="K1376" t="str">
        <f t="shared" si="22"/>
        <v>insert into mkatalog_kfa93 (kode, uraian, kode_92, uraian_92, nama_dagang, satuan_kecil, sediaan, golongan, url, userid_updt, sysdate_updt) values ('93000694','Zoledronic Acid 4 mg / 100 mL Infus (SANDRONIC)','92000483','Zoledronic Acid 4 mg / 100 mL Infus','SANDRONIC','Botol Plastik','Infus','Obat Keras','https://dto.kemkes.go.id/kfacode/93000694',0,'2023-05-01');</v>
      </c>
    </row>
    <row r="1377" spans="1:11" ht="15.75" customHeight="1">
      <c r="A1377" s="2">
        <v>93000687</v>
      </c>
      <c r="B1377" s="2" t="s">
        <v>3761</v>
      </c>
      <c r="C1377" s="2">
        <v>92000483</v>
      </c>
      <c r="D1377" s="2" t="s">
        <v>1447</v>
      </c>
      <c r="E1377" s="2" t="s">
        <v>3762</v>
      </c>
      <c r="F1377" s="2" t="s">
        <v>702</v>
      </c>
      <c r="G1377" s="2" t="s">
        <v>1530</v>
      </c>
      <c r="H1377" s="2" t="s">
        <v>1458</v>
      </c>
      <c r="I1377" s="3" t="str">
        <f t="shared" si="0"/>
        <v>https://dto.kemkes.go.id/kfacode/93000687</v>
      </c>
      <c r="J1377" s="34" t="s">
        <v>3768</v>
      </c>
      <c r="K1377" t="str">
        <f t="shared" si="22"/>
        <v>insert into mkatalog_kfa93 (kode, uraian, kode_92, uraian_92, nama_dagang, satuan_kecil, sediaan, golongan, url, userid_updt, sysdate_updt) values ('93000687','Zoledronic Acid 4 mg / 100 mL Infus (ZOMETA)','92000483','Zoledronic Acid 4 mg / 100 mL Infus','ZOMETA','Botol Plastik','Infus','Obat Keras','https://dto.kemkes.go.id/kfacode/93000687',0,'2023-05-01');</v>
      </c>
    </row>
    <row r="1378" spans="1:11" ht="15.75" customHeight="1">
      <c r="A1378" s="2">
        <v>93000276</v>
      </c>
      <c r="B1378" s="2" t="s">
        <v>3763</v>
      </c>
      <c r="C1378" s="2">
        <v>92000240</v>
      </c>
      <c r="D1378" s="2" t="s">
        <v>1448</v>
      </c>
      <c r="E1378" s="2" t="s">
        <v>3764</v>
      </c>
      <c r="F1378" s="2" t="s">
        <v>658</v>
      </c>
      <c r="G1378" s="2" t="s">
        <v>1530</v>
      </c>
      <c r="H1378" s="2" t="s">
        <v>1458</v>
      </c>
      <c r="I1378" s="3" t="str">
        <f t="shared" si="0"/>
        <v>https://dto.kemkes.go.id/kfacode/93000276</v>
      </c>
      <c r="J1378" s="34" t="s">
        <v>3768</v>
      </c>
      <c r="K1378" t="str">
        <f t="shared" si="22"/>
        <v>insert into mkatalog_kfa93 (kode, uraian, kode_92, uraian_92, nama_dagang, satuan_kecil, sediaan, golongan, url, userid_updt, sysdate_updt) values ('93000276','Zoledronic Acid 5 mg Infus (ACLASTA)','92000240','Zoledronic Acid 5 mg Infus','ACLASTA','Botol','Infus','Obat Keras','https://dto.kemkes.go.id/kfacode/93000276',0,'2023-05-01');</v>
      </c>
    </row>
    <row r="1379" spans="1:11" ht="15.75" customHeight="1">
      <c r="A1379" s="2">
        <v>93000888</v>
      </c>
      <c r="B1379" s="2" t="s">
        <v>3765</v>
      </c>
      <c r="C1379" s="2">
        <v>92000625</v>
      </c>
      <c r="D1379" s="2" t="s">
        <v>1449</v>
      </c>
      <c r="E1379" s="2" t="s">
        <v>3764</v>
      </c>
      <c r="F1379" s="2" t="s">
        <v>658</v>
      </c>
      <c r="G1379" s="2" t="s">
        <v>1530</v>
      </c>
      <c r="H1379" s="2" t="s">
        <v>1458</v>
      </c>
      <c r="I1379" s="3" t="str">
        <f t="shared" si="0"/>
        <v>https://dto.kemkes.go.id/kfacode/93000888</v>
      </c>
      <c r="J1379" s="34" t="s">
        <v>3768</v>
      </c>
      <c r="K1379" t="str">
        <f t="shared" si="22"/>
        <v>insert into mkatalog_kfa93 (kode, uraian, kode_92, uraian_92, nama_dagang, satuan_kecil, sediaan, golongan, url, userid_updt, sysdate_updt) values ('93000888','Zoledronic Acid Monohydrate 5 mg / 100 mL Infus (ACLASTA, 100 mL)','92000625','Zoledronic Acid Monohydrate 5 mg / 100 mL Infus','ACLASTA','Botol','Infus','Obat Keras','https://dto.kemkes.go.id/kfacode/93000888',0,'2023-05-01');</v>
      </c>
    </row>
    <row r="1380" spans="1:11" ht="15.75" customHeight="1">
      <c r="A1380" s="2">
        <v>93001629</v>
      </c>
      <c r="B1380" s="2" t="s">
        <v>3766</v>
      </c>
      <c r="C1380" s="2">
        <v>92000929</v>
      </c>
      <c r="D1380" s="2" t="s">
        <v>1450</v>
      </c>
      <c r="E1380" s="2" t="s">
        <v>3767</v>
      </c>
      <c r="F1380" s="2" t="s">
        <v>640</v>
      </c>
      <c r="G1380" s="2" t="s">
        <v>1457</v>
      </c>
      <c r="H1380" s="2" t="s">
        <v>1458</v>
      </c>
      <c r="I1380" s="3" t="str">
        <f t="shared" si="0"/>
        <v>https://dto.kemkes.go.id/kfacode/93001629</v>
      </c>
      <c r="J1380" s="34" t="s">
        <v>3768</v>
      </c>
      <c r="K1380" t="str">
        <f t="shared" si="22"/>
        <v>insert into mkatalog_kfa93 (kode, uraian, kode_92, uraian_92, nama_dagang, satuan_kecil, sediaan, golongan, url, userid_updt, sysdate_updt) values ('93001629','Zonisamide 100 mg Tablet Salut Selaput (ZONEGRAN)','92000929','Zonisamide 100 mg Tablet Salut Selaput','ZONEGRAN','Tablet','Tablet Salut Selaput','Obat Keras','https://dto.kemkes.go.id/kfacode/93001629',0,'2023-05-01');</v>
      </c>
    </row>
    <row r="1381" spans="1:11" ht="15.75" customHeight="1">
      <c r="C1381" s="4" t="str">
        <v/>
      </c>
    </row>
    <row r="1382" spans="1:11" ht="15.75" customHeight="1">
      <c r="C1382" s="4" t="str">
        <v/>
      </c>
    </row>
    <row r="1383" spans="1:11" ht="15.75" customHeight="1">
      <c r="C1383" s="4" t="str">
        <v/>
      </c>
    </row>
    <row r="1384" spans="1:11" ht="15.75" customHeight="1">
      <c r="C1384" s="4" t="str">
        <v/>
      </c>
    </row>
    <row r="1385" spans="1:11" ht="15.75" customHeight="1">
      <c r="C1385" s="4" t="str">
        <v/>
      </c>
    </row>
    <row r="1386" spans="1:11" ht="15.75" customHeight="1">
      <c r="C1386" s="4" t="str">
        <v/>
      </c>
    </row>
    <row r="1387" spans="1:11" ht="15.75" customHeight="1">
      <c r="C1387" s="4" t="str">
        <v/>
      </c>
    </row>
    <row r="1388" spans="1:11" ht="15.75" customHeight="1">
      <c r="C1388" s="4" t="str">
        <v/>
      </c>
    </row>
    <row r="1389" spans="1:11" ht="15.75" customHeight="1">
      <c r="C1389" s="4" t="str">
        <v/>
      </c>
    </row>
    <row r="1390" spans="1:11" ht="15.75" customHeight="1">
      <c r="C1390" s="4" t="str">
        <v/>
      </c>
    </row>
    <row r="1391" spans="1:11" ht="15.75" customHeight="1">
      <c r="C1391" s="4" t="str">
        <v/>
      </c>
    </row>
    <row r="1392" spans="1:11" ht="15.75" customHeight="1">
      <c r="C1392" s="4" t="str">
        <v/>
      </c>
    </row>
    <row r="1393" spans="1:8" ht="15.75" customHeight="1">
      <c r="C1393" s="4" t="str">
        <v/>
      </c>
    </row>
    <row r="1394" spans="1:8" ht="15.75" customHeight="1">
      <c r="A1394" s="2"/>
      <c r="B1394" s="2"/>
      <c r="C1394" s="2" t="str">
        <v/>
      </c>
      <c r="D1394" s="2"/>
      <c r="E1394" s="2"/>
      <c r="F1394" s="2"/>
      <c r="G1394" s="2"/>
      <c r="H1394" s="2"/>
    </row>
    <row r="1395" spans="1:8" ht="15.75" customHeight="1">
      <c r="A1395" s="2"/>
      <c r="B1395" s="2"/>
      <c r="C1395" s="2" t="str">
        <v/>
      </c>
      <c r="D1395" s="2"/>
      <c r="E1395" s="2"/>
      <c r="F1395" s="2"/>
      <c r="G1395" s="2"/>
      <c r="H1395" s="2"/>
    </row>
    <row r="1396" spans="1:8" ht="15.75" customHeight="1">
      <c r="A1396" s="2"/>
      <c r="B1396" s="2"/>
      <c r="C1396" s="2" t="str">
        <v/>
      </c>
      <c r="D1396" s="2"/>
      <c r="E1396" s="2"/>
      <c r="F1396" s="2"/>
      <c r="G1396" s="2"/>
      <c r="H1396" s="2"/>
    </row>
    <row r="1397" spans="1:8" ht="15.75" customHeight="1">
      <c r="A1397" s="2"/>
      <c r="B1397" s="2"/>
      <c r="C1397" s="2" t="str">
        <v/>
      </c>
      <c r="D1397" s="2"/>
      <c r="E1397" s="2"/>
      <c r="F1397" s="2"/>
      <c r="G1397" s="2"/>
      <c r="H1397" s="2"/>
    </row>
    <row r="1398" spans="1:8" ht="15.75" customHeight="1">
      <c r="A1398" s="2"/>
      <c r="B1398" s="2"/>
      <c r="C1398" s="2" t="str">
        <v/>
      </c>
      <c r="D1398" s="2"/>
      <c r="E1398" s="2"/>
      <c r="F1398" s="2"/>
      <c r="G1398" s="2"/>
      <c r="H1398" s="2"/>
    </row>
    <row r="1399" spans="1:8" ht="15.75" customHeight="1">
      <c r="A1399" s="2"/>
      <c r="B1399" s="2"/>
      <c r="C1399" s="2" t="str">
        <v/>
      </c>
      <c r="D1399" s="2"/>
      <c r="E1399" s="2"/>
      <c r="F1399" s="2"/>
      <c r="G1399" s="2"/>
      <c r="H1399" s="2"/>
    </row>
    <row r="1400" spans="1:8" ht="15.75" customHeight="1">
      <c r="A1400" s="2"/>
      <c r="B1400" s="2"/>
      <c r="C1400" s="2" t="str">
        <v/>
      </c>
      <c r="D1400" s="2"/>
      <c r="E1400" s="2"/>
      <c r="F1400" s="2"/>
      <c r="G1400" s="2"/>
      <c r="H1400" s="2"/>
    </row>
    <row r="1401" spans="1:8" ht="15.75" customHeight="1">
      <c r="A1401" s="2"/>
      <c r="B1401" s="2"/>
      <c r="C1401" s="2" t="str">
        <v/>
      </c>
      <c r="D1401" s="2"/>
      <c r="E1401" s="2"/>
      <c r="F1401" s="2"/>
      <c r="G1401" s="2"/>
      <c r="H1401" s="2"/>
    </row>
    <row r="1402" spans="1:8" ht="15.75" customHeight="1">
      <c r="A1402" s="2"/>
      <c r="B1402" s="2"/>
      <c r="C1402" s="2" t="str">
        <v/>
      </c>
      <c r="D1402" s="2"/>
      <c r="E1402" s="2"/>
      <c r="F1402" s="2"/>
      <c r="G1402" s="2"/>
      <c r="H1402" s="2"/>
    </row>
    <row r="1403" spans="1:8" ht="15.75" customHeight="1">
      <c r="A1403" s="2"/>
      <c r="B1403" s="2"/>
      <c r="C1403" s="2" t="str">
        <v/>
      </c>
      <c r="D1403" s="2"/>
      <c r="E1403" s="2"/>
      <c r="F1403" s="2"/>
      <c r="G1403" s="2"/>
      <c r="H1403" s="2"/>
    </row>
    <row r="1404" spans="1:8" ht="15.75" customHeight="1">
      <c r="A1404" s="2"/>
      <c r="B1404" s="2"/>
      <c r="C1404" s="2" t="str">
        <v/>
      </c>
      <c r="D1404" s="2"/>
      <c r="E1404" s="2"/>
      <c r="F1404" s="2"/>
      <c r="G1404" s="2"/>
      <c r="H1404" s="2"/>
    </row>
    <row r="1405" spans="1:8" ht="15.75" customHeight="1">
      <c r="A1405" s="2"/>
      <c r="B1405" s="2"/>
      <c r="C1405" s="2" t="str">
        <v/>
      </c>
      <c r="D1405" s="2"/>
      <c r="E1405" s="2"/>
      <c r="F1405" s="2"/>
      <c r="G1405" s="2"/>
      <c r="H1405" s="2"/>
    </row>
    <row r="1406" spans="1:8" ht="15.75" customHeight="1">
      <c r="A1406" s="2"/>
      <c r="B1406" s="2"/>
      <c r="C1406" s="2" t="str">
        <v/>
      </c>
      <c r="D1406" s="2"/>
      <c r="E1406" s="2"/>
      <c r="F1406" s="2"/>
      <c r="G1406" s="2"/>
      <c r="H1406" s="2"/>
    </row>
    <row r="1407" spans="1:8" ht="15.75" customHeight="1">
      <c r="A1407" s="2"/>
      <c r="B1407" s="2"/>
      <c r="C1407" s="2" t="str">
        <v/>
      </c>
      <c r="D1407" s="2"/>
      <c r="E1407" s="2"/>
      <c r="F1407" s="2"/>
      <c r="G1407" s="2"/>
      <c r="H1407" s="2"/>
    </row>
    <row r="1408" spans="1:8" ht="15.75" customHeight="1">
      <c r="A1408" s="2"/>
      <c r="B1408" s="2"/>
      <c r="C1408" s="2" t="str">
        <v/>
      </c>
      <c r="D1408" s="2"/>
      <c r="E1408" s="2"/>
      <c r="F1408" s="2"/>
      <c r="G1408" s="2"/>
      <c r="H1408" s="2"/>
    </row>
    <row r="1409" spans="1:8" ht="15.75" customHeight="1">
      <c r="A1409" s="2"/>
      <c r="B1409" s="2"/>
      <c r="C1409" s="2" t="str">
        <v/>
      </c>
      <c r="D1409" s="2"/>
      <c r="E1409" s="2"/>
      <c r="F1409" s="2"/>
      <c r="G1409" s="2"/>
      <c r="H1409" s="2"/>
    </row>
    <row r="1410" spans="1:8" ht="15.75" customHeight="1">
      <c r="A1410" s="2"/>
      <c r="B1410" s="2"/>
      <c r="C1410" s="2" t="str">
        <v/>
      </c>
      <c r="D1410" s="2"/>
      <c r="E1410" s="2"/>
      <c r="F1410" s="2"/>
      <c r="G1410" s="2"/>
      <c r="H1410" s="2"/>
    </row>
    <row r="1411" spans="1:8" ht="15.75" customHeight="1">
      <c r="A1411" s="2"/>
      <c r="B1411" s="2"/>
      <c r="C1411" s="2" t="str">
        <v/>
      </c>
      <c r="D1411" s="2"/>
      <c r="E1411" s="2"/>
      <c r="F1411" s="2"/>
      <c r="G1411" s="2"/>
      <c r="H1411" s="2"/>
    </row>
    <row r="1412" spans="1:8" ht="15.75" customHeight="1">
      <c r="A1412" s="2"/>
      <c r="B1412" s="2"/>
      <c r="C1412" s="2" t="str">
        <v/>
      </c>
      <c r="D1412" s="2"/>
      <c r="E1412" s="2"/>
      <c r="F1412" s="2"/>
      <c r="G1412" s="2"/>
      <c r="H1412" s="2"/>
    </row>
    <row r="1413" spans="1:8" ht="15.75" customHeight="1">
      <c r="A1413" s="2"/>
      <c r="B1413" s="2"/>
      <c r="C1413" s="2" t="str">
        <v/>
      </c>
      <c r="D1413" s="2"/>
      <c r="E1413" s="2"/>
      <c r="F1413" s="2"/>
      <c r="G1413" s="2"/>
      <c r="H1413" s="2"/>
    </row>
    <row r="1414" spans="1:8" ht="15.75" customHeight="1">
      <c r="A1414" s="2"/>
      <c r="B1414" s="2"/>
      <c r="C1414" s="2" t="str">
        <v/>
      </c>
      <c r="D1414" s="2"/>
      <c r="E1414" s="2"/>
      <c r="F1414" s="2"/>
      <c r="G1414" s="2"/>
      <c r="H1414" s="2"/>
    </row>
    <row r="1415" spans="1:8" ht="15.75" customHeight="1">
      <c r="A1415" s="2"/>
      <c r="B1415" s="2"/>
      <c r="C1415" s="2" t="str">
        <v/>
      </c>
      <c r="D1415" s="2"/>
      <c r="E1415" s="2"/>
      <c r="F1415" s="2"/>
      <c r="G1415" s="2"/>
      <c r="H1415" s="2"/>
    </row>
    <row r="1416" spans="1:8" ht="15.75" customHeight="1">
      <c r="A1416" s="2"/>
      <c r="B1416" s="2"/>
      <c r="C1416" s="2" t="str">
        <v/>
      </c>
      <c r="D1416" s="2"/>
      <c r="E1416" s="2"/>
      <c r="F1416" s="2"/>
      <c r="G1416" s="2"/>
      <c r="H1416" s="2"/>
    </row>
    <row r="1417" spans="1:8" ht="15.75" customHeight="1">
      <c r="A1417" s="2"/>
      <c r="B1417" s="2"/>
      <c r="C1417" s="2" t="str">
        <v/>
      </c>
      <c r="D1417" s="2"/>
      <c r="E1417" s="2"/>
      <c r="F1417" s="2"/>
      <c r="G1417" s="2"/>
      <c r="H1417" s="2"/>
    </row>
    <row r="1418" spans="1:8" ht="15.75" customHeight="1">
      <c r="A1418" s="2"/>
      <c r="B1418" s="2"/>
      <c r="C1418" s="2" t="str">
        <v/>
      </c>
      <c r="D1418" s="2"/>
      <c r="E1418" s="2"/>
      <c r="F1418" s="2"/>
      <c r="G1418" s="2"/>
      <c r="H1418" s="2"/>
    </row>
    <row r="1419" spans="1:8" ht="15.75" customHeight="1">
      <c r="A1419" s="2"/>
      <c r="B1419" s="2"/>
      <c r="C1419" s="2" t="str">
        <v/>
      </c>
      <c r="D1419" s="2"/>
      <c r="E1419" s="2"/>
      <c r="F1419" s="2"/>
      <c r="G1419" s="2"/>
      <c r="H1419" s="2"/>
    </row>
    <row r="1420" spans="1:8" ht="15.75" customHeight="1">
      <c r="A1420" s="2"/>
      <c r="B1420" s="2"/>
      <c r="C1420" s="2" t="str">
        <v/>
      </c>
      <c r="D1420" s="2"/>
      <c r="E1420" s="2"/>
      <c r="F1420" s="2"/>
      <c r="G1420" s="2"/>
      <c r="H1420" s="2"/>
    </row>
    <row r="1421" spans="1:8" ht="15.75" customHeight="1">
      <c r="A1421" s="2"/>
      <c r="B1421" s="2"/>
      <c r="C1421" s="2" t="str">
        <v/>
      </c>
      <c r="D1421" s="2"/>
      <c r="E1421" s="2"/>
      <c r="F1421" s="2"/>
      <c r="G1421" s="2"/>
      <c r="H1421" s="2"/>
    </row>
    <row r="1422" spans="1:8" ht="15.75" customHeight="1">
      <c r="A1422" s="2"/>
      <c r="B1422" s="2"/>
      <c r="C1422" s="2" t="str">
        <v/>
      </c>
      <c r="D1422" s="2"/>
      <c r="E1422" s="2"/>
      <c r="F1422" s="2"/>
      <c r="G1422" s="2"/>
      <c r="H1422" s="2"/>
    </row>
    <row r="1423" spans="1:8" ht="15.75" customHeight="1">
      <c r="A1423" s="2"/>
      <c r="B1423" s="2"/>
      <c r="C1423" s="2" t="str">
        <v/>
      </c>
      <c r="D1423" s="2"/>
      <c r="E1423" s="2"/>
      <c r="F1423" s="2"/>
      <c r="G1423" s="2"/>
      <c r="H1423" s="2"/>
    </row>
    <row r="1424" spans="1:8" ht="15.75" customHeight="1">
      <c r="A1424" s="2"/>
      <c r="B1424" s="2"/>
      <c r="C1424" s="2" t="str">
        <v/>
      </c>
      <c r="D1424" s="2"/>
      <c r="E1424" s="2"/>
      <c r="F1424" s="2"/>
      <c r="G1424" s="2"/>
      <c r="H1424" s="2"/>
    </row>
    <row r="1425" spans="1:8" ht="15.75" customHeight="1">
      <c r="A1425" s="2"/>
      <c r="B1425" s="2"/>
      <c r="C1425" s="2" t="str">
        <v/>
      </c>
      <c r="D1425" s="2"/>
      <c r="E1425" s="2"/>
      <c r="F1425" s="2"/>
      <c r="G1425" s="2"/>
      <c r="H1425" s="2"/>
    </row>
    <row r="1426" spans="1:8" ht="15.75" customHeight="1">
      <c r="A1426" s="2"/>
      <c r="B1426" s="2"/>
      <c r="C1426" s="2" t="str">
        <v/>
      </c>
      <c r="D1426" s="2"/>
      <c r="E1426" s="2"/>
      <c r="F1426" s="2"/>
      <c r="G1426" s="2"/>
      <c r="H1426" s="2"/>
    </row>
    <row r="1427" spans="1:8" ht="15.75" customHeight="1">
      <c r="A1427" s="2"/>
      <c r="B1427" s="2"/>
      <c r="C1427" s="2" t="str">
        <v/>
      </c>
      <c r="D1427" s="2"/>
      <c r="E1427" s="2"/>
      <c r="F1427" s="2"/>
      <c r="G1427" s="2"/>
      <c r="H1427" s="2"/>
    </row>
    <row r="1428" spans="1:8" ht="15.75" customHeight="1">
      <c r="A1428" s="2"/>
      <c r="B1428" s="2"/>
      <c r="C1428" s="2" t="str">
        <v/>
      </c>
      <c r="D1428" s="2"/>
      <c r="E1428" s="2"/>
      <c r="F1428" s="2"/>
      <c r="G1428" s="2"/>
      <c r="H1428" s="2"/>
    </row>
    <row r="1429" spans="1:8" ht="15.75" customHeight="1">
      <c r="A1429" s="2"/>
      <c r="B1429" s="2"/>
      <c r="C1429" s="2" t="str">
        <v/>
      </c>
      <c r="D1429" s="2"/>
      <c r="E1429" s="2"/>
      <c r="F1429" s="2"/>
      <c r="G1429" s="2"/>
      <c r="H1429" s="2"/>
    </row>
    <row r="1430" spans="1:8" ht="15.75" customHeight="1">
      <c r="A1430" s="2"/>
      <c r="B1430" s="2"/>
      <c r="C1430" s="2" t="str">
        <v/>
      </c>
      <c r="D1430" s="2"/>
      <c r="E1430" s="2"/>
      <c r="F1430" s="2"/>
      <c r="G1430" s="2"/>
      <c r="H1430" s="2"/>
    </row>
    <row r="1431" spans="1:8" ht="15.75" customHeight="1">
      <c r="A1431" s="2"/>
      <c r="B1431" s="2"/>
      <c r="C1431" s="2" t="str">
        <v/>
      </c>
      <c r="D1431" s="2"/>
      <c r="E1431" s="2"/>
      <c r="F1431" s="2"/>
      <c r="G1431" s="2"/>
      <c r="H1431" s="2"/>
    </row>
    <row r="1432" spans="1:8" ht="15.75" customHeight="1">
      <c r="A1432" s="2"/>
      <c r="B1432" s="2"/>
      <c r="C1432" s="2" t="str">
        <v/>
      </c>
      <c r="D1432" s="2"/>
      <c r="E1432" s="2"/>
      <c r="F1432" s="2"/>
      <c r="G1432" s="2"/>
      <c r="H1432" s="2"/>
    </row>
    <row r="1433" spans="1:8" ht="15.75" customHeight="1">
      <c r="A1433" s="2"/>
      <c r="B1433" s="2"/>
      <c r="C1433" s="2" t="str">
        <v/>
      </c>
      <c r="D1433" s="2"/>
      <c r="E1433" s="2"/>
      <c r="F1433" s="2"/>
      <c r="G1433" s="2"/>
      <c r="H1433" s="2"/>
    </row>
    <row r="1434" spans="1:8" ht="15.75" customHeight="1">
      <c r="A1434" s="2"/>
      <c r="B1434" s="2"/>
      <c r="C1434" s="2" t="str">
        <v/>
      </c>
      <c r="D1434" s="2"/>
      <c r="E1434" s="2"/>
      <c r="F1434" s="2"/>
      <c r="G1434" s="2"/>
      <c r="H1434" s="2"/>
    </row>
    <row r="1435" spans="1:8" ht="15.75" customHeight="1">
      <c r="A1435" s="2"/>
      <c r="B1435" s="2"/>
      <c r="C1435" s="2" t="str">
        <v/>
      </c>
      <c r="D1435" s="2"/>
      <c r="E1435" s="2"/>
      <c r="F1435" s="2"/>
      <c r="G1435" s="2"/>
      <c r="H1435" s="2"/>
    </row>
    <row r="1436" spans="1:8" ht="15.75" customHeight="1">
      <c r="A1436" s="2"/>
      <c r="B1436" s="2"/>
      <c r="C1436" s="2" t="str">
        <v/>
      </c>
      <c r="D1436" s="2"/>
      <c r="E1436" s="2"/>
      <c r="F1436" s="2"/>
      <c r="G1436" s="2"/>
      <c r="H1436" s="2"/>
    </row>
    <row r="1437" spans="1:8" ht="15.75" customHeight="1">
      <c r="A1437" s="2"/>
      <c r="B1437" s="2"/>
      <c r="C1437" s="2" t="str">
        <v/>
      </c>
      <c r="D1437" s="2"/>
      <c r="E1437" s="2"/>
      <c r="F1437" s="2"/>
      <c r="G1437" s="2"/>
      <c r="H1437" s="2"/>
    </row>
    <row r="1438" spans="1:8" ht="15.75" customHeight="1">
      <c r="A1438" s="2"/>
      <c r="B1438" s="2"/>
      <c r="C1438" s="2" t="str">
        <v/>
      </c>
      <c r="D1438" s="2"/>
      <c r="E1438" s="2"/>
      <c r="F1438" s="2"/>
      <c r="G1438" s="2"/>
      <c r="H1438" s="2"/>
    </row>
    <row r="1439" spans="1:8" ht="15.75" customHeight="1">
      <c r="A1439" s="2"/>
      <c r="B1439" s="2"/>
      <c r="C1439" s="2" t="str">
        <v/>
      </c>
      <c r="D1439" s="2"/>
      <c r="E1439" s="2"/>
      <c r="F1439" s="2"/>
      <c r="G1439" s="2"/>
      <c r="H1439" s="2"/>
    </row>
    <row r="1440" spans="1:8" ht="15.75" customHeight="1">
      <c r="A1440" s="2"/>
      <c r="B1440" s="2"/>
      <c r="C1440" s="2" t="str">
        <v/>
      </c>
      <c r="D1440" s="2"/>
      <c r="E1440" s="2"/>
      <c r="F1440" s="2"/>
      <c r="G1440" s="2"/>
      <c r="H1440" s="2"/>
    </row>
    <row r="1441" spans="1:8" ht="15.75" customHeight="1">
      <c r="A1441" s="2"/>
      <c r="B1441" s="2"/>
      <c r="C1441" s="2" t="str">
        <v/>
      </c>
      <c r="D1441" s="2"/>
      <c r="E1441" s="2"/>
      <c r="F1441" s="2"/>
      <c r="G1441" s="2"/>
      <c r="H1441" s="2"/>
    </row>
    <row r="1442" spans="1:8" ht="15.75" customHeight="1">
      <c r="A1442" s="2"/>
      <c r="B1442" s="2"/>
      <c r="C1442" s="2" t="str">
        <v/>
      </c>
      <c r="D1442" s="2"/>
      <c r="E1442" s="2"/>
      <c r="F1442" s="2"/>
      <c r="G1442" s="2"/>
      <c r="H1442" s="2"/>
    </row>
    <row r="1443" spans="1:8" ht="15.75" customHeight="1">
      <c r="A1443" s="2"/>
      <c r="B1443" s="2"/>
      <c r="C1443" s="2" t="str">
        <v/>
      </c>
      <c r="D1443" s="2"/>
      <c r="E1443" s="2"/>
      <c r="F1443" s="2"/>
      <c r="G1443" s="2"/>
      <c r="H1443" s="2"/>
    </row>
    <row r="1444" spans="1:8" ht="15.75" customHeight="1">
      <c r="A1444" s="2"/>
      <c r="B1444" s="2"/>
      <c r="C1444" s="2" t="str">
        <v/>
      </c>
      <c r="D1444" s="2"/>
      <c r="E1444" s="2"/>
      <c r="F1444" s="2"/>
      <c r="G1444" s="2"/>
      <c r="H1444" s="2"/>
    </row>
    <row r="1445" spans="1:8" ht="15.75" customHeight="1">
      <c r="A1445" s="2"/>
      <c r="B1445" s="2"/>
      <c r="C1445" s="2" t="str">
        <v/>
      </c>
      <c r="D1445" s="2"/>
      <c r="E1445" s="2"/>
      <c r="F1445" s="2"/>
      <c r="G1445" s="2"/>
      <c r="H1445" s="2"/>
    </row>
    <row r="1446" spans="1:8" ht="15.75" customHeight="1">
      <c r="A1446" s="2"/>
      <c r="B1446" s="2"/>
      <c r="C1446" s="2" t="str">
        <v/>
      </c>
      <c r="D1446" s="2"/>
      <c r="E1446" s="2"/>
      <c r="F1446" s="2"/>
      <c r="G1446" s="2"/>
      <c r="H1446" s="2"/>
    </row>
    <row r="1447" spans="1:8" ht="15.75" customHeight="1">
      <c r="A1447" s="2"/>
      <c r="B1447" s="2"/>
      <c r="C1447" s="2" t="str">
        <v/>
      </c>
      <c r="D1447" s="2"/>
      <c r="E1447" s="2"/>
      <c r="F1447" s="2"/>
      <c r="G1447" s="2"/>
      <c r="H1447" s="2"/>
    </row>
    <row r="1448" spans="1:8" ht="15.75" customHeight="1">
      <c r="A1448" s="2"/>
      <c r="B1448" s="2"/>
      <c r="C1448" s="2" t="str">
        <v/>
      </c>
      <c r="D1448" s="2"/>
      <c r="E1448" s="2"/>
      <c r="F1448" s="2"/>
      <c r="G1448" s="2"/>
      <c r="H1448" s="2"/>
    </row>
    <row r="1449" spans="1:8" ht="15.75" customHeight="1">
      <c r="A1449" s="2"/>
      <c r="B1449" s="2"/>
      <c r="C1449" s="2" t="str">
        <v/>
      </c>
      <c r="D1449" s="2"/>
      <c r="E1449" s="2"/>
      <c r="F1449" s="2"/>
      <c r="G1449" s="2"/>
      <c r="H1449" s="2"/>
    </row>
    <row r="1450" spans="1:8" ht="15.75" customHeight="1">
      <c r="A1450" s="2"/>
      <c r="B1450" s="2"/>
      <c r="C1450" s="2" t="str">
        <v/>
      </c>
      <c r="D1450" s="2"/>
      <c r="E1450" s="2"/>
      <c r="F1450" s="2"/>
      <c r="G1450" s="2"/>
      <c r="H1450" s="2"/>
    </row>
    <row r="1451" spans="1:8" ht="15.75" customHeight="1">
      <c r="A1451" s="2"/>
      <c r="B1451" s="2"/>
      <c r="C1451" s="2" t="str">
        <v/>
      </c>
      <c r="D1451" s="2"/>
      <c r="E1451" s="2"/>
      <c r="F1451" s="2"/>
      <c r="G1451" s="2"/>
      <c r="H1451" s="2"/>
    </row>
    <row r="1452" spans="1:8" ht="15.75" customHeight="1">
      <c r="A1452" s="2"/>
      <c r="B1452" s="2"/>
      <c r="C1452" s="2" t="str">
        <v/>
      </c>
      <c r="D1452" s="2"/>
      <c r="E1452" s="2"/>
      <c r="F1452" s="2"/>
      <c r="G1452" s="2"/>
      <c r="H1452" s="2"/>
    </row>
    <row r="1453" spans="1:8" ht="15.75" customHeight="1">
      <c r="A1453" s="2"/>
      <c r="B1453" s="2"/>
      <c r="C1453" s="2" t="str">
        <v/>
      </c>
      <c r="D1453" s="2"/>
      <c r="E1453" s="2"/>
      <c r="F1453" s="2"/>
      <c r="G1453" s="2"/>
      <c r="H1453" s="2"/>
    </row>
    <row r="1454" spans="1:8" ht="15.75" customHeight="1">
      <c r="A1454" s="2"/>
      <c r="B1454" s="2"/>
      <c r="C1454" s="2" t="str">
        <v/>
      </c>
      <c r="D1454" s="2"/>
      <c r="E1454" s="2"/>
      <c r="F1454" s="2"/>
      <c r="G1454" s="2"/>
      <c r="H1454" s="2"/>
    </row>
    <row r="1455" spans="1:8" ht="15.75" customHeight="1">
      <c r="A1455" s="2"/>
      <c r="B1455" s="2"/>
      <c r="C1455" s="2" t="str">
        <v/>
      </c>
      <c r="D1455" s="2"/>
      <c r="E1455" s="2"/>
      <c r="F1455" s="2"/>
      <c r="G1455" s="2"/>
      <c r="H1455" s="2"/>
    </row>
    <row r="1456" spans="1:8" ht="15.75" customHeight="1">
      <c r="A1456" s="2"/>
      <c r="B1456" s="2"/>
      <c r="C1456" s="2" t="str">
        <v/>
      </c>
      <c r="D1456" s="2"/>
      <c r="E1456" s="2"/>
      <c r="F1456" s="2"/>
      <c r="G1456" s="2"/>
      <c r="H1456" s="2"/>
    </row>
    <row r="1457" spans="1:8" ht="15.75" customHeight="1">
      <c r="A1457" s="2"/>
      <c r="B1457" s="2"/>
      <c r="C1457" s="2" t="str">
        <v/>
      </c>
      <c r="D1457" s="2"/>
      <c r="E1457" s="2"/>
      <c r="F1457" s="2"/>
      <c r="G1457" s="2"/>
      <c r="H1457" s="2"/>
    </row>
    <row r="1458" spans="1:8" ht="15.75" customHeight="1">
      <c r="A1458" s="2"/>
      <c r="B1458" s="2"/>
      <c r="C1458" s="2" t="str">
        <v/>
      </c>
      <c r="D1458" s="2"/>
      <c r="E1458" s="2"/>
      <c r="F1458" s="2"/>
      <c r="G1458" s="2"/>
      <c r="H1458" s="2"/>
    </row>
    <row r="1459" spans="1:8" ht="15.75" customHeight="1">
      <c r="A1459" s="2"/>
      <c r="B1459" s="2"/>
      <c r="C1459" s="2" t="str">
        <v/>
      </c>
      <c r="D1459" s="2"/>
      <c r="E1459" s="2"/>
      <c r="F1459" s="2"/>
      <c r="G1459" s="2"/>
      <c r="H1459" s="2"/>
    </row>
    <row r="1460" spans="1:8" ht="15.75" customHeight="1">
      <c r="A1460" s="2"/>
      <c r="B1460" s="2"/>
      <c r="C1460" s="2" t="str">
        <v/>
      </c>
      <c r="D1460" s="2"/>
      <c r="E1460" s="2"/>
      <c r="F1460" s="2"/>
      <c r="G1460" s="2"/>
      <c r="H1460" s="2"/>
    </row>
    <row r="1461" spans="1:8" ht="15.75" customHeight="1">
      <c r="A1461" s="2"/>
      <c r="B1461" s="2"/>
      <c r="C1461" s="2" t="str">
        <v/>
      </c>
      <c r="D1461" s="2"/>
      <c r="E1461" s="2"/>
      <c r="F1461" s="2"/>
      <c r="G1461" s="2"/>
      <c r="H1461" s="2"/>
    </row>
    <row r="1462" spans="1:8" ht="15.75" customHeight="1">
      <c r="A1462" s="2"/>
      <c r="B1462" s="2"/>
      <c r="C1462" s="2" t="str">
        <v/>
      </c>
      <c r="D1462" s="2"/>
      <c r="E1462" s="2"/>
      <c r="F1462" s="2"/>
      <c r="G1462" s="2"/>
      <c r="H1462" s="2"/>
    </row>
    <row r="1463" spans="1:8" ht="15.75" customHeight="1">
      <c r="A1463" s="2"/>
      <c r="B1463" s="2"/>
      <c r="C1463" s="2" t="str">
        <v/>
      </c>
      <c r="D1463" s="2"/>
      <c r="E1463" s="2"/>
      <c r="F1463" s="2"/>
      <c r="G1463" s="2"/>
      <c r="H1463" s="2"/>
    </row>
    <row r="1464" spans="1:8" ht="15.75" customHeight="1">
      <c r="A1464" s="2"/>
      <c r="B1464" s="2"/>
      <c r="C1464" s="2" t="str">
        <v/>
      </c>
      <c r="D1464" s="2"/>
      <c r="E1464" s="2"/>
      <c r="F1464" s="2"/>
      <c r="G1464" s="2"/>
      <c r="H1464" s="2"/>
    </row>
    <row r="1465" spans="1:8" ht="15.75" customHeight="1">
      <c r="A1465" s="2"/>
      <c r="B1465" s="2"/>
      <c r="C1465" s="2" t="str">
        <v/>
      </c>
      <c r="D1465" s="2"/>
      <c r="E1465" s="2"/>
      <c r="F1465" s="2"/>
      <c r="G1465" s="2"/>
      <c r="H1465" s="2"/>
    </row>
    <row r="1466" spans="1:8" ht="15.75" customHeight="1">
      <c r="A1466" s="2"/>
      <c r="B1466" s="2"/>
      <c r="C1466" s="2" t="str">
        <v/>
      </c>
      <c r="D1466" s="2"/>
      <c r="E1466" s="2"/>
      <c r="F1466" s="2"/>
      <c r="G1466" s="2"/>
      <c r="H1466" s="2"/>
    </row>
    <row r="1467" spans="1:8" ht="15.75" customHeight="1">
      <c r="A1467" s="2"/>
      <c r="B1467" s="2"/>
      <c r="C1467" s="2" t="str">
        <v/>
      </c>
      <c r="D1467" s="2"/>
      <c r="E1467" s="2"/>
      <c r="F1467" s="2"/>
      <c r="G1467" s="2"/>
      <c r="H1467" s="2"/>
    </row>
    <row r="1468" spans="1:8" ht="15.75" customHeight="1">
      <c r="A1468" s="2"/>
      <c r="B1468" s="2"/>
      <c r="C1468" s="2" t="str">
        <v/>
      </c>
      <c r="D1468" s="2"/>
      <c r="E1468" s="2"/>
      <c r="F1468" s="2"/>
      <c r="G1468" s="2"/>
      <c r="H1468" s="2"/>
    </row>
    <row r="1469" spans="1:8" ht="15.75" customHeight="1">
      <c r="A1469" s="2"/>
      <c r="B1469" s="2"/>
      <c r="C1469" s="2" t="str">
        <v/>
      </c>
      <c r="D1469" s="2"/>
      <c r="E1469" s="2"/>
      <c r="F1469" s="2"/>
      <c r="G1469" s="2"/>
      <c r="H1469" s="2"/>
    </row>
    <row r="1470" spans="1:8" ht="15.75" customHeight="1">
      <c r="A1470" s="2"/>
      <c r="B1470" s="2"/>
      <c r="C1470" s="2" t="str">
        <v/>
      </c>
      <c r="D1470" s="2"/>
      <c r="E1470" s="2"/>
      <c r="F1470" s="2"/>
      <c r="G1470" s="2"/>
      <c r="H1470" s="2"/>
    </row>
    <row r="1471" spans="1:8" ht="15.75" customHeight="1">
      <c r="A1471" s="2"/>
      <c r="B1471" s="2"/>
      <c r="C1471" s="2" t="str">
        <v/>
      </c>
      <c r="D1471" s="2"/>
      <c r="E1471" s="2"/>
      <c r="F1471" s="2"/>
      <c r="G1471" s="2"/>
      <c r="H1471" s="2"/>
    </row>
    <row r="1472" spans="1:8" ht="15.75" customHeight="1">
      <c r="A1472" s="2"/>
      <c r="B1472" s="2"/>
      <c r="C1472" s="2" t="str">
        <v/>
      </c>
      <c r="D1472" s="2"/>
      <c r="E1472" s="2"/>
      <c r="F1472" s="2"/>
      <c r="G1472" s="2"/>
      <c r="H1472" s="2"/>
    </row>
    <row r="1473" spans="1:8" ht="15.75" customHeight="1">
      <c r="A1473" s="2"/>
      <c r="B1473" s="2"/>
      <c r="C1473" s="2" t="str">
        <v/>
      </c>
      <c r="D1473" s="2"/>
      <c r="E1473" s="2"/>
      <c r="F1473" s="2"/>
      <c r="G1473" s="2"/>
      <c r="H1473" s="2"/>
    </row>
    <row r="1474" spans="1:8" ht="15.75" customHeight="1">
      <c r="A1474" s="2"/>
      <c r="B1474" s="2"/>
      <c r="C1474" s="2" t="str">
        <v/>
      </c>
      <c r="D1474" s="2"/>
      <c r="E1474" s="2"/>
      <c r="F1474" s="2"/>
      <c r="G1474" s="2"/>
      <c r="H1474" s="2"/>
    </row>
    <row r="1475" spans="1:8" ht="15.75" customHeight="1">
      <c r="A1475" s="2"/>
      <c r="B1475" s="2"/>
      <c r="C1475" s="2" t="str">
        <v/>
      </c>
      <c r="D1475" s="2"/>
      <c r="E1475" s="2"/>
      <c r="F1475" s="2"/>
      <c r="G1475" s="2"/>
      <c r="H1475" s="2"/>
    </row>
    <row r="1476" spans="1:8" ht="15.75" customHeight="1">
      <c r="A1476" s="2"/>
      <c r="B1476" s="2"/>
      <c r="C1476" s="2" t="str">
        <v/>
      </c>
      <c r="D1476" s="2"/>
      <c r="E1476" s="2"/>
      <c r="F1476" s="2"/>
      <c r="G1476" s="2"/>
      <c r="H1476" s="2"/>
    </row>
    <row r="1477" spans="1:8" ht="15.75" customHeight="1">
      <c r="A1477" s="2"/>
      <c r="B1477" s="2"/>
      <c r="C1477" s="2" t="str">
        <v/>
      </c>
      <c r="D1477" s="2"/>
      <c r="E1477" s="2"/>
      <c r="F1477" s="2"/>
      <c r="G1477" s="2"/>
      <c r="H1477" s="2"/>
    </row>
    <row r="1478" spans="1:8" ht="15.75" customHeight="1">
      <c r="A1478" s="2"/>
      <c r="B1478" s="2"/>
      <c r="C1478" s="2" t="str">
        <v/>
      </c>
      <c r="D1478" s="2"/>
      <c r="E1478" s="2"/>
      <c r="F1478" s="2"/>
      <c r="G1478" s="2"/>
      <c r="H1478" s="2"/>
    </row>
    <row r="1479" spans="1:8" ht="15.75" customHeight="1">
      <c r="A1479" s="2"/>
      <c r="B1479" s="2"/>
      <c r="C1479" s="2" t="str">
        <v/>
      </c>
      <c r="D1479" s="2"/>
      <c r="E1479" s="2"/>
      <c r="F1479" s="2"/>
      <c r="G1479" s="2"/>
      <c r="H1479" s="2"/>
    </row>
    <row r="1480" spans="1:8" ht="15.75" customHeight="1">
      <c r="A1480" s="2"/>
      <c r="B1480" s="2"/>
      <c r="C1480" s="2" t="str">
        <v/>
      </c>
      <c r="D1480" s="2"/>
      <c r="E1480" s="2"/>
      <c r="F1480" s="2"/>
      <c r="G1480" s="2"/>
      <c r="H1480" s="2"/>
    </row>
    <row r="1481" spans="1:8" ht="15.75" customHeight="1">
      <c r="A1481" s="2"/>
      <c r="B1481" s="2"/>
      <c r="C1481" s="2" t="str">
        <v/>
      </c>
      <c r="D1481" s="2"/>
      <c r="E1481" s="2"/>
      <c r="F1481" s="2"/>
      <c r="G1481" s="2"/>
      <c r="H1481" s="2"/>
    </row>
    <row r="1482" spans="1:8" ht="15.75" customHeight="1">
      <c r="A1482" s="2"/>
      <c r="B1482" s="2"/>
      <c r="C1482" s="2" t="str">
        <v/>
      </c>
      <c r="D1482" s="2"/>
      <c r="E1482" s="2"/>
      <c r="F1482" s="2"/>
      <c r="G1482" s="2"/>
      <c r="H1482" s="2"/>
    </row>
    <row r="1483" spans="1:8" ht="15.75" customHeight="1">
      <c r="A1483" s="2"/>
      <c r="B1483" s="2"/>
      <c r="C1483" s="2" t="str">
        <v/>
      </c>
      <c r="D1483" s="2"/>
      <c r="E1483" s="2"/>
      <c r="F1483" s="2"/>
      <c r="G1483" s="2"/>
      <c r="H1483" s="2"/>
    </row>
    <row r="1484" spans="1:8" ht="15.75" customHeight="1">
      <c r="A1484" s="2"/>
      <c r="B1484" s="2"/>
      <c r="C1484" s="2" t="str">
        <v/>
      </c>
      <c r="D1484" s="2"/>
      <c r="E1484" s="2"/>
      <c r="F1484" s="2"/>
      <c r="G1484" s="2"/>
      <c r="H1484" s="2"/>
    </row>
    <row r="1485" spans="1:8" ht="15.75" customHeight="1">
      <c r="A1485" s="2"/>
      <c r="B1485" s="2"/>
      <c r="C1485" s="2" t="str">
        <v/>
      </c>
      <c r="D1485" s="2"/>
      <c r="E1485" s="2"/>
      <c r="F1485" s="2"/>
      <c r="G1485" s="2"/>
      <c r="H1485" s="2"/>
    </row>
    <row r="1486" spans="1:8" ht="15.75" customHeight="1">
      <c r="A1486" s="2"/>
      <c r="B1486" s="2"/>
      <c r="C1486" s="2" t="str">
        <v/>
      </c>
      <c r="D1486" s="2"/>
      <c r="E1486" s="2"/>
      <c r="F1486" s="2"/>
      <c r="G1486" s="2"/>
      <c r="H1486" s="2"/>
    </row>
    <row r="1487" spans="1:8" ht="15.75" customHeight="1">
      <c r="A1487" s="2"/>
      <c r="B1487" s="2"/>
      <c r="C1487" s="2" t="str">
        <v/>
      </c>
      <c r="D1487" s="2"/>
      <c r="E1487" s="2"/>
      <c r="F1487" s="2"/>
      <c r="G1487" s="2"/>
      <c r="H1487" s="2"/>
    </row>
    <row r="1488" spans="1:8" ht="15.75" customHeight="1">
      <c r="A1488" s="2"/>
      <c r="B1488" s="2"/>
      <c r="C1488" s="2" t="str">
        <v/>
      </c>
      <c r="D1488" s="2"/>
      <c r="E1488" s="2"/>
      <c r="F1488" s="2"/>
      <c r="G1488" s="2"/>
      <c r="H1488" s="2"/>
    </row>
    <row r="1489" spans="1:8" ht="15.75" customHeight="1">
      <c r="A1489" s="2"/>
      <c r="B1489" s="2"/>
      <c r="C1489" s="2" t="str">
        <v/>
      </c>
      <c r="D1489" s="2"/>
      <c r="E1489" s="2"/>
      <c r="F1489" s="2"/>
      <c r="G1489" s="2"/>
      <c r="H1489" s="2"/>
    </row>
    <row r="1490" spans="1:8" ht="15.75" customHeight="1">
      <c r="A1490" s="2"/>
      <c r="B1490" s="2"/>
      <c r="C1490" s="2" t="str">
        <v/>
      </c>
      <c r="D1490" s="2"/>
      <c r="E1490" s="2"/>
      <c r="F1490" s="2"/>
      <c r="G1490" s="2"/>
      <c r="H1490" s="2"/>
    </row>
    <row r="1491" spans="1:8" ht="15.75" customHeight="1">
      <c r="A1491" s="2"/>
      <c r="B1491" s="2"/>
      <c r="C1491" s="2" t="str">
        <v/>
      </c>
      <c r="D1491" s="2"/>
      <c r="E1491" s="2"/>
      <c r="F1491" s="2"/>
      <c r="G1491" s="2"/>
      <c r="H1491" s="2"/>
    </row>
    <row r="1492" spans="1:8" ht="15.75" customHeight="1">
      <c r="A1492" s="2"/>
      <c r="B1492" s="2"/>
      <c r="C1492" s="2" t="str">
        <v/>
      </c>
      <c r="D1492" s="2"/>
      <c r="E1492" s="2"/>
      <c r="F1492" s="2"/>
      <c r="G1492" s="2"/>
      <c r="H1492" s="2"/>
    </row>
    <row r="1493" spans="1:8" ht="15.75" customHeight="1">
      <c r="A1493" s="2"/>
      <c r="B1493" s="2"/>
      <c r="C1493" s="2" t="str">
        <v/>
      </c>
      <c r="D1493" s="2"/>
      <c r="E1493" s="2"/>
      <c r="F1493" s="2"/>
      <c r="G1493" s="2"/>
      <c r="H1493" s="2"/>
    </row>
    <row r="1494" spans="1:8" ht="15.75" customHeight="1">
      <c r="A1494" s="2"/>
      <c r="B1494" s="2"/>
      <c r="C1494" s="2" t="str">
        <v/>
      </c>
      <c r="D1494" s="2"/>
      <c r="E1494" s="2"/>
      <c r="F1494" s="2"/>
      <c r="G1494" s="2"/>
      <c r="H1494" s="2"/>
    </row>
    <row r="1495" spans="1:8" ht="15.75" customHeight="1">
      <c r="A1495" s="2"/>
      <c r="B1495" s="2"/>
      <c r="C1495" s="2" t="str">
        <v/>
      </c>
      <c r="D1495" s="2"/>
      <c r="E1495" s="2"/>
      <c r="F1495" s="2"/>
      <c r="G1495" s="2"/>
      <c r="H1495" s="2"/>
    </row>
    <row r="1496" spans="1:8" ht="15.75" customHeight="1">
      <c r="A1496" s="2"/>
      <c r="B1496" s="2"/>
      <c r="C1496" s="2" t="str">
        <v/>
      </c>
      <c r="D1496" s="2"/>
      <c r="E1496" s="2"/>
      <c r="F1496" s="2"/>
      <c r="G1496" s="2"/>
      <c r="H1496" s="2"/>
    </row>
    <row r="1497" spans="1:8" ht="15.75" customHeight="1">
      <c r="A1497" s="2"/>
      <c r="B1497" s="2"/>
      <c r="C1497" s="2" t="str">
        <v/>
      </c>
      <c r="D1497" s="2"/>
      <c r="E1497" s="2"/>
      <c r="F1497" s="2"/>
      <c r="G1497" s="2"/>
      <c r="H1497" s="2"/>
    </row>
    <row r="1498" spans="1:8" ht="15.75" customHeight="1">
      <c r="A1498" s="2"/>
      <c r="B1498" s="2"/>
      <c r="C1498" s="2" t="str">
        <v/>
      </c>
      <c r="D1498" s="2"/>
      <c r="E1498" s="2"/>
      <c r="F1498" s="2"/>
      <c r="G1498" s="2"/>
      <c r="H1498" s="2"/>
    </row>
    <row r="1499" spans="1:8" ht="15.75" customHeight="1">
      <c r="A1499" s="2"/>
      <c r="B1499" s="2"/>
      <c r="C1499" s="2" t="str">
        <v/>
      </c>
      <c r="D1499" s="2"/>
      <c r="E1499" s="2"/>
      <c r="F1499" s="2"/>
      <c r="G1499" s="2"/>
      <c r="H1499" s="2"/>
    </row>
    <row r="1500" spans="1:8" ht="15.75" customHeight="1">
      <c r="A1500" s="2"/>
      <c r="B1500" s="2"/>
      <c r="C1500" s="2" t="str">
        <v/>
      </c>
      <c r="D1500" s="2"/>
      <c r="E1500" s="2"/>
      <c r="F1500" s="2"/>
      <c r="G1500" s="2"/>
      <c r="H1500" s="2"/>
    </row>
    <row r="1501" spans="1:8" ht="15.75" customHeight="1">
      <c r="A1501" s="2"/>
      <c r="B1501" s="2"/>
      <c r="C1501" s="2" t="str">
        <v/>
      </c>
      <c r="D1501" s="2"/>
      <c r="E1501" s="2"/>
      <c r="F1501" s="2"/>
      <c r="G1501" s="2"/>
      <c r="H1501" s="2"/>
    </row>
    <row r="1502" spans="1:8" ht="15.75" customHeight="1">
      <c r="A1502" s="2"/>
      <c r="B1502" s="2"/>
      <c r="C1502" s="2" t="str">
        <v/>
      </c>
      <c r="D1502" s="2"/>
      <c r="E1502" s="2"/>
      <c r="F1502" s="2"/>
      <c r="G1502" s="2"/>
      <c r="H1502" s="2"/>
    </row>
    <row r="1503" spans="1:8" ht="15.75" customHeight="1">
      <c r="A1503" s="2"/>
      <c r="B1503" s="2"/>
      <c r="C1503" s="2" t="str">
        <v/>
      </c>
      <c r="D1503" s="2"/>
      <c r="E1503" s="2"/>
      <c r="F1503" s="2"/>
      <c r="G1503" s="2"/>
      <c r="H1503" s="2"/>
    </row>
    <row r="1504" spans="1:8" ht="15.75" customHeight="1">
      <c r="A1504" s="2"/>
      <c r="B1504" s="2"/>
      <c r="C1504" s="2" t="str">
        <v/>
      </c>
      <c r="D1504" s="2"/>
      <c r="E1504" s="2"/>
      <c r="F1504" s="2"/>
      <c r="G1504" s="2"/>
      <c r="H1504" s="2"/>
    </row>
    <row r="1505" spans="1:8" ht="15.75" customHeight="1">
      <c r="A1505" s="2"/>
      <c r="B1505" s="2"/>
      <c r="C1505" s="2" t="str">
        <v/>
      </c>
      <c r="D1505" s="2"/>
      <c r="E1505" s="2"/>
      <c r="F1505" s="2"/>
      <c r="G1505" s="2"/>
      <c r="H1505" s="2"/>
    </row>
    <row r="1506" spans="1:8" ht="15.75" customHeight="1">
      <c r="A1506" s="2"/>
      <c r="B1506" s="2"/>
      <c r="C1506" s="2" t="str">
        <v/>
      </c>
      <c r="D1506" s="2"/>
      <c r="E1506" s="2"/>
      <c r="F1506" s="2"/>
      <c r="G1506" s="2"/>
      <c r="H1506" s="2"/>
    </row>
    <row r="1507" spans="1:8" ht="15.75" customHeight="1">
      <c r="A1507" s="2"/>
      <c r="B1507" s="2"/>
      <c r="C1507" s="2" t="str">
        <v/>
      </c>
      <c r="D1507" s="2"/>
      <c r="E1507" s="2"/>
      <c r="F1507" s="2"/>
      <c r="G1507" s="2"/>
      <c r="H1507" s="2"/>
    </row>
    <row r="1508" spans="1:8" ht="15.75" customHeight="1">
      <c r="A1508" s="2"/>
      <c r="B1508" s="2"/>
      <c r="C1508" s="2" t="str">
        <v/>
      </c>
      <c r="D1508" s="2"/>
      <c r="E1508" s="2"/>
      <c r="F1508" s="2"/>
      <c r="G1508" s="2"/>
      <c r="H1508" s="2"/>
    </row>
    <row r="1509" spans="1:8" ht="15.75" customHeight="1">
      <c r="A1509" s="2"/>
      <c r="B1509" s="2"/>
      <c r="C1509" s="2" t="str">
        <v/>
      </c>
      <c r="D1509" s="2"/>
      <c r="E1509" s="2"/>
      <c r="F1509" s="2"/>
      <c r="G1509" s="2"/>
      <c r="H1509" s="2"/>
    </row>
    <row r="1510" spans="1:8" ht="15.75" customHeight="1">
      <c r="A1510" s="2"/>
      <c r="B1510" s="2"/>
      <c r="C1510" s="2" t="str">
        <v/>
      </c>
      <c r="D1510" s="2"/>
      <c r="E1510" s="2"/>
      <c r="F1510" s="2"/>
      <c r="G1510" s="2"/>
      <c r="H1510" s="2"/>
    </row>
    <row r="1511" spans="1:8" ht="15.75" customHeight="1">
      <c r="A1511" s="2"/>
      <c r="B1511" s="2"/>
      <c r="C1511" s="2" t="str">
        <v/>
      </c>
      <c r="D1511" s="2"/>
      <c r="E1511" s="2"/>
      <c r="F1511" s="2"/>
      <c r="G1511" s="2"/>
      <c r="H1511" s="2"/>
    </row>
    <row r="1512" spans="1:8" ht="15.75" customHeight="1">
      <c r="A1512" s="2"/>
      <c r="B1512" s="2"/>
      <c r="C1512" s="2" t="str">
        <v/>
      </c>
      <c r="D1512" s="2"/>
      <c r="E1512" s="2"/>
      <c r="F1512" s="2"/>
      <c r="G1512" s="2"/>
      <c r="H1512" s="2"/>
    </row>
    <row r="1513" spans="1:8" ht="15.75" customHeight="1">
      <c r="A1513" s="2"/>
      <c r="B1513" s="2"/>
      <c r="C1513" s="2" t="str">
        <v/>
      </c>
      <c r="D1513" s="2"/>
      <c r="E1513" s="2"/>
      <c r="F1513" s="2"/>
      <c r="G1513" s="2"/>
      <c r="H1513" s="2"/>
    </row>
    <row r="1514" spans="1:8" ht="15.75" customHeight="1">
      <c r="A1514" s="2"/>
      <c r="B1514" s="2"/>
      <c r="C1514" s="2" t="str">
        <v/>
      </c>
      <c r="D1514" s="2"/>
      <c r="E1514" s="2"/>
      <c r="F1514" s="2"/>
      <c r="G1514" s="2"/>
      <c r="H1514" s="2"/>
    </row>
    <row r="1515" spans="1:8" ht="15.75" customHeight="1">
      <c r="A1515" s="2"/>
      <c r="B1515" s="2"/>
      <c r="C1515" s="2" t="str">
        <v/>
      </c>
      <c r="D1515" s="2"/>
      <c r="E1515" s="2"/>
      <c r="F1515" s="2"/>
      <c r="G1515" s="2"/>
      <c r="H1515" s="2"/>
    </row>
    <row r="1516" spans="1:8" ht="15.75" customHeight="1">
      <c r="A1516" s="2"/>
      <c r="B1516" s="2"/>
      <c r="C1516" s="2" t="str">
        <v/>
      </c>
      <c r="D1516" s="2"/>
      <c r="E1516" s="2"/>
      <c r="F1516" s="2"/>
      <c r="G1516" s="2"/>
      <c r="H1516" s="2"/>
    </row>
    <row r="1517" spans="1:8" ht="15.75" customHeight="1">
      <c r="A1517" s="2"/>
      <c r="B1517" s="2"/>
      <c r="C1517" s="2" t="str">
        <v/>
      </c>
      <c r="D1517" s="2"/>
      <c r="E1517" s="2"/>
      <c r="F1517" s="2"/>
      <c r="G1517" s="2"/>
      <c r="H1517" s="2"/>
    </row>
    <row r="1518" spans="1:8" ht="15.75" customHeight="1">
      <c r="A1518" s="2"/>
      <c r="B1518" s="2"/>
      <c r="C1518" s="2" t="str">
        <v/>
      </c>
      <c r="D1518" s="2"/>
      <c r="E1518" s="2"/>
      <c r="F1518" s="2"/>
      <c r="G1518" s="2"/>
      <c r="H1518" s="2"/>
    </row>
    <row r="1519" spans="1:8" ht="15.75" customHeight="1">
      <c r="A1519" s="2"/>
      <c r="B1519" s="2"/>
      <c r="C1519" s="2" t="str">
        <v/>
      </c>
      <c r="D1519" s="2"/>
      <c r="E1519" s="2"/>
      <c r="F1519" s="2"/>
      <c r="G1519" s="2"/>
      <c r="H1519" s="2"/>
    </row>
    <row r="1520" spans="1:8" ht="15.75" customHeight="1">
      <c r="A1520" s="2"/>
      <c r="B1520" s="2"/>
      <c r="C1520" s="2" t="str">
        <v/>
      </c>
      <c r="D1520" s="2"/>
      <c r="E1520" s="2"/>
      <c r="F1520" s="2"/>
      <c r="G1520" s="2"/>
      <c r="H1520" s="2"/>
    </row>
    <row r="1521" spans="1:8" ht="15.75" customHeight="1">
      <c r="A1521" s="2"/>
      <c r="B1521" s="2"/>
      <c r="C1521" s="2" t="str">
        <v/>
      </c>
      <c r="D1521" s="2"/>
      <c r="E1521" s="2"/>
      <c r="F1521" s="2"/>
      <c r="G1521" s="2"/>
      <c r="H1521" s="2"/>
    </row>
    <row r="1522" spans="1:8" ht="15.75" customHeight="1">
      <c r="A1522" s="2"/>
      <c r="B1522" s="2"/>
      <c r="C1522" s="2" t="str">
        <v/>
      </c>
      <c r="D1522" s="2"/>
      <c r="E1522" s="2"/>
      <c r="F1522" s="2"/>
      <c r="G1522" s="2"/>
      <c r="H1522" s="2"/>
    </row>
    <row r="1523" spans="1:8" ht="15.75" customHeight="1">
      <c r="A1523" s="2"/>
      <c r="B1523" s="2"/>
      <c r="C1523" s="2" t="str">
        <v/>
      </c>
      <c r="D1523" s="2"/>
      <c r="E1523" s="2"/>
      <c r="F1523" s="2"/>
      <c r="G1523" s="2"/>
      <c r="H1523" s="2"/>
    </row>
    <row r="1524" spans="1:8" ht="15.75" customHeight="1">
      <c r="A1524" s="2"/>
      <c r="B1524" s="2"/>
      <c r="C1524" s="2" t="str">
        <v/>
      </c>
      <c r="D1524" s="2"/>
      <c r="E1524" s="2"/>
      <c r="F1524" s="2"/>
      <c r="G1524" s="2"/>
      <c r="H1524" s="2"/>
    </row>
    <row r="1525" spans="1:8" ht="15.75" customHeight="1">
      <c r="A1525" s="2"/>
      <c r="B1525" s="2"/>
      <c r="C1525" s="2" t="str">
        <v/>
      </c>
      <c r="D1525" s="2"/>
      <c r="E1525" s="2"/>
      <c r="F1525" s="2"/>
      <c r="G1525" s="2"/>
      <c r="H1525" s="2"/>
    </row>
    <row r="1526" spans="1:8" ht="15.75" customHeight="1">
      <c r="A1526" s="2"/>
      <c r="B1526" s="2"/>
      <c r="C1526" s="2" t="str">
        <v/>
      </c>
      <c r="D1526" s="2"/>
      <c r="E1526" s="2"/>
      <c r="F1526" s="2"/>
      <c r="G1526" s="2"/>
      <c r="H1526" s="2"/>
    </row>
    <row r="1527" spans="1:8" ht="15.75" customHeight="1">
      <c r="A1527" s="2"/>
      <c r="B1527" s="2"/>
      <c r="C1527" s="2" t="str">
        <v/>
      </c>
      <c r="D1527" s="2"/>
      <c r="E1527" s="2"/>
      <c r="F1527" s="2"/>
      <c r="G1527" s="2"/>
      <c r="H1527" s="2"/>
    </row>
    <row r="1528" spans="1:8" ht="15.75" customHeight="1">
      <c r="A1528" s="2"/>
      <c r="B1528" s="2"/>
      <c r="C1528" s="2" t="str">
        <v/>
      </c>
      <c r="D1528" s="2"/>
      <c r="E1528" s="2"/>
      <c r="F1528" s="2"/>
      <c r="G1528" s="2"/>
      <c r="H1528" s="2"/>
    </row>
    <row r="1529" spans="1:8" ht="15.75" customHeight="1">
      <c r="A1529" s="2"/>
      <c r="B1529" s="2"/>
      <c r="C1529" s="2" t="str">
        <v/>
      </c>
      <c r="D1529" s="2"/>
      <c r="E1529" s="2"/>
      <c r="F1529" s="2"/>
      <c r="G1529" s="2"/>
      <c r="H1529" s="2"/>
    </row>
    <row r="1530" spans="1:8" ht="15.75" customHeight="1">
      <c r="A1530" s="2"/>
      <c r="B1530" s="2"/>
      <c r="C1530" s="2" t="str">
        <v/>
      </c>
      <c r="D1530" s="2"/>
      <c r="E1530" s="2"/>
      <c r="F1530" s="2"/>
      <c r="G1530" s="2"/>
      <c r="H1530" s="2"/>
    </row>
    <row r="1531" spans="1:8" ht="15.75" customHeight="1">
      <c r="A1531" s="2"/>
      <c r="B1531" s="2"/>
      <c r="C1531" s="2" t="str">
        <v/>
      </c>
      <c r="D1531" s="2"/>
      <c r="E1531" s="2"/>
      <c r="F1531" s="2"/>
      <c r="G1531" s="2"/>
      <c r="H1531" s="2"/>
    </row>
    <row r="1532" spans="1:8" ht="15.75" customHeight="1">
      <c r="A1532" s="2"/>
      <c r="B1532" s="2"/>
      <c r="C1532" s="2" t="str">
        <v/>
      </c>
      <c r="D1532" s="2"/>
      <c r="E1532" s="2"/>
      <c r="F1532" s="2"/>
      <c r="G1532" s="2"/>
      <c r="H1532" s="2"/>
    </row>
    <row r="1533" spans="1:8" ht="15.75" customHeight="1">
      <c r="A1533" s="2"/>
      <c r="B1533" s="2"/>
      <c r="C1533" s="2" t="str">
        <v/>
      </c>
      <c r="D1533" s="2"/>
      <c r="E1533" s="2"/>
      <c r="F1533" s="2"/>
      <c r="G1533" s="2"/>
      <c r="H1533" s="2"/>
    </row>
    <row r="1534" spans="1:8" ht="15.75" customHeight="1">
      <c r="A1534" s="2"/>
      <c r="B1534" s="2"/>
      <c r="C1534" s="2" t="str">
        <v/>
      </c>
      <c r="D1534" s="2"/>
      <c r="E1534" s="2"/>
      <c r="F1534" s="2"/>
      <c r="G1534" s="2"/>
      <c r="H1534" s="2"/>
    </row>
    <row r="1535" spans="1:8" ht="15.75" customHeight="1">
      <c r="A1535" s="2"/>
      <c r="B1535" s="2"/>
      <c r="C1535" s="2" t="str">
        <v/>
      </c>
      <c r="D1535" s="2"/>
      <c r="E1535" s="2"/>
      <c r="F1535" s="2"/>
      <c r="G1535" s="2"/>
      <c r="H1535" s="2"/>
    </row>
    <row r="1536" spans="1:8" ht="15.75" customHeight="1">
      <c r="A1536" s="2"/>
      <c r="B1536" s="2"/>
      <c r="C1536" s="2" t="str">
        <v/>
      </c>
      <c r="D1536" s="2"/>
      <c r="E1536" s="2"/>
      <c r="F1536" s="2"/>
      <c r="G1536" s="2"/>
      <c r="H1536" s="2"/>
    </row>
    <row r="1537" spans="1:8" ht="15.75" customHeight="1">
      <c r="A1537" s="2"/>
      <c r="B1537" s="2"/>
      <c r="C1537" s="2" t="str">
        <v/>
      </c>
      <c r="D1537" s="2"/>
      <c r="E1537" s="2"/>
      <c r="F1537" s="2"/>
      <c r="G1537" s="2"/>
      <c r="H1537" s="2"/>
    </row>
    <row r="1538" spans="1:8" ht="15.75" customHeight="1">
      <c r="A1538" s="2"/>
      <c r="B1538" s="2"/>
      <c r="C1538" s="2" t="str">
        <v/>
      </c>
      <c r="D1538" s="2"/>
      <c r="E1538" s="2"/>
      <c r="F1538" s="2"/>
      <c r="G1538" s="2"/>
      <c r="H1538" s="2"/>
    </row>
    <row r="1539" spans="1:8" ht="15.75" customHeight="1">
      <c r="A1539" s="2"/>
      <c r="B1539" s="2"/>
      <c r="C1539" s="2" t="str">
        <v/>
      </c>
      <c r="D1539" s="2"/>
      <c r="E1539" s="2"/>
      <c r="F1539" s="2"/>
      <c r="G1539" s="2"/>
      <c r="H1539" s="2"/>
    </row>
    <row r="1540" spans="1:8" ht="15.75" customHeight="1">
      <c r="A1540" s="2"/>
      <c r="B1540" s="2"/>
      <c r="C1540" s="2" t="str">
        <v/>
      </c>
      <c r="D1540" s="2"/>
      <c r="E1540" s="2"/>
      <c r="F1540" s="2"/>
      <c r="G1540" s="2"/>
      <c r="H1540" s="2"/>
    </row>
    <row r="1541" spans="1:8" ht="15.75" customHeight="1">
      <c r="A1541" s="2"/>
      <c r="B1541" s="2"/>
      <c r="C1541" s="2" t="str">
        <v/>
      </c>
      <c r="D1541" s="2"/>
      <c r="E1541" s="2"/>
      <c r="F1541" s="2"/>
      <c r="G1541" s="2"/>
      <c r="H1541" s="2"/>
    </row>
    <row r="1542" spans="1:8" ht="15.75" customHeight="1">
      <c r="A1542" s="2"/>
      <c r="B1542" s="2"/>
      <c r="C1542" s="2" t="str">
        <v/>
      </c>
      <c r="D1542" s="2"/>
      <c r="E1542" s="2"/>
      <c r="F1542" s="2"/>
      <c r="G1542" s="2"/>
      <c r="H1542" s="2"/>
    </row>
    <row r="1543" spans="1:8" ht="15.75" customHeight="1">
      <c r="A1543" s="2"/>
      <c r="B1543" s="2"/>
      <c r="C1543" s="2" t="str">
        <v/>
      </c>
      <c r="D1543" s="2"/>
      <c r="E1543" s="2"/>
      <c r="F1543" s="2"/>
      <c r="G1543" s="2"/>
      <c r="H1543" s="2"/>
    </row>
    <row r="1544" spans="1:8" ht="15.75" customHeight="1">
      <c r="A1544" s="2"/>
      <c r="B1544" s="2"/>
      <c r="C1544" s="2" t="str">
        <v/>
      </c>
      <c r="D1544" s="2"/>
      <c r="E1544" s="2"/>
      <c r="F1544" s="2"/>
      <c r="G1544" s="2"/>
      <c r="H1544" s="2"/>
    </row>
    <row r="1545" spans="1:8" ht="15.75" customHeight="1">
      <c r="A1545" s="2"/>
      <c r="B1545" s="2"/>
      <c r="C1545" s="2" t="str">
        <v/>
      </c>
      <c r="D1545" s="2"/>
      <c r="E1545" s="2"/>
      <c r="F1545" s="2"/>
      <c r="G1545" s="2"/>
      <c r="H1545" s="2"/>
    </row>
    <row r="1546" spans="1:8" ht="15.75" customHeight="1">
      <c r="A1546" s="2"/>
      <c r="B1546" s="2"/>
      <c r="C1546" s="2" t="str">
        <v/>
      </c>
      <c r="D1546" s="2"/>
      <c r="E1546" s="2"/>
      <c r="F1546" s="2"/>
      <c r="G1546" s="2"/>
      <c r="H1546" s="2"/>
    </row>
    <row r="1547" spans="1:8" ht="15.75" customHeight="1">
      <c r="A1547" s="2"/>
      <c r="B1547" s="2"/>
      <c r="C1547" s="2" t="str">
        <v/>
      </c>
      <c r="D1547" s="2"/>
      <c r="E1547" s="2"/>
      <c r="F1547" s="2"/>
      <c r="G1547" s="2"/>
      <c r="H1547" s="2"/>
    </row>
    <row r="1548" spans="1:8" ht="15.75" customHeight="1">
      <c r="A1548" s="2"/>
      <c r="B1548" s="2"/>
      <c r="C1548" s="2" t="str">
        <v/>
      </c>
      <c r="D1548" s="2"/>
      <c r="E1548" s="2"/>
      <c r="F1548" s="2"/>
      <c r="G1548" s="2"/>
      <c r="H1548" s="2"/>
    </row>
    <row r="1549" spans="1:8" ht="15.75" customHeight="1">
      <c r="A1549" s="2"/>
      <c r="B1549" s="2"/>
      <c r="C1549" s="2" t="str">
        <v/>
      </c>
      <c r="D1549" s="2"/>
      <c r="E1549" s="2"/>
      <c r="F1549" s="2"/>
      <c r="G1549" s="2"/>
      <c r="H1549" s="2"/>
    </row>
    <row r="1550" spans="1:8" ht="15.75" customHeight="1">
      <c r="A1550" s="2"/>
      <c r="B1550" s="2"/>
      <c r="C1550" s="2" t="str">
        <v/>
      </c>
      <c r="D1550" s="2"/>
      <c r="E1550" s="2"/>
      <c r="F1550" s="2"/>
      <c r="G1550" s="2"/>
      <c r="H1550" s="2"/>
    </row>
    <row r="1551" spans="1:8" ht="15.75" customHeight="1">
      <c r="A1551" s="2"/>
      <c r="B1551" s="2"/>
      <c r="C1551" s="2" t="str">
        <v/>
      </c>
      <c r="D1551" s="2"/>
      <c r="E1551" s="2"/>
      <c r="F1551" s="2"/>
      <c r="G1551" s="2"/>
      <c r="H1551" s="2"/>
    </row>
    <row r="1552" spans="1:8" ht="15.75" customHeight="1">
      <c r="A1552" s="2"/>
      <c r="B1552" s="2"/>
      <c r="C1552" s="2" t="str">
        <v/>
      </c>
      <c r="D1552" s="2"/>
      <c r="E1552" s="2"/>
      <c r="F1552" s="2"/>
      <c r="G1552" s="2"/>
      <c r="H1552" s="2"/>
    </row>
    <row r="1553" spans="1:8" ht="15.75" customHeight="1">
      <c r="A1553" s="2"/>
      <c r="B1553" s="2"/>
      <c r="C1553" s="2" t="str">
        <v/>
      </c>
      <c r="D1553" s="2"/>
      <c r="E1553" s="2"/>
      <c r="F1553" s="2"/>
      <c r="G1553" s="2"/>
      <c r="H1553" s="2"/>
    </row>
    <row r="1554" spans="1:8" ht="15.75" customHeight="1">
      <c r="A1554" s="2"/>
      <c r="B1554" s="2"/>
      <c r="C1554" s="2" t="str">
        <v/>
      </c>
      <c r="D1554" s="2"/>
      <c r="E1554" s="2"/>
      <c r="F1554" s="2"/>
      <c r="G1554" s="2"/>
      <c r="H1554" s="2"/>
    </row>
    <row r="1555" spans="1:8" ht="15.75" customHeight="1">
      <c r="A1555" s="2"/>
      <c r="B1555" s="2"/>
      <c r="C1555" s="2" t="str">
        <v/>
      </c>
      <c r="D1555" s="2"/>
      <c r="E1555" s="2"/>
      <c r="F1555" s="2"/>
      <c r="G1555" s="2"/>
      <c r="H1555" s="2"/>
    </row>
    <row r="1556" spans="1:8" ht="15.75" customHeight="1">
      <c r="A1556" s="2"/>
      <c r="B1556" s="2"/>
      <c r="C1556" s="2" t="str">
        <v/>
      </c>
      <c r="D1556" s="2"/>
      <c r="E1556" s="2"/>
      <c r="F1556" s="2"/>
      <c r="G1556" s="2"/>
      <c r="H1556" s="2"/>
    </row>
    <row r="1557" spans="1:8" ht="15.75" customHeight="1">
      <c r="A1557" s="2"/>
      <c r="B1557" s="2"/>
      <c r="C1557" s="2" t="str">
        <v/>
      </c>
      <c r="D1557" s="2"/>
      <c r="E1557" s="2"/>
      <c r="F1557" s="2"/>
      <c r="G1557" s="2"/>
      <c r="H1557" s="2"/>
    </row>
    <row r="1558" spans="1:8" ht="15.75" customHeight="1">
      <c r="A1558" s="2"/>
      <c r="B1558" s="2"/>
      <c r="C1558" s="2" t="str">
        <v/>
      </c>
      <c r="D1558" s="2"/>
      <c r="E1558" s="2"/>
      <c r="F1558" s="2"/>
      <c r="G1558" s="2"/>
      <c r="H1558" s="2"/>
    </row>
    <row r="1559" spans="1:8" ht="15.75" customHeight="1">
      <c r="A1559" s="2"/>
      <c r="B1559" s="2"/>
      <c r="C1559" s="2" t="str">
        <v/>
      </c>
      <c r="D1559" s="2"/>
      <c r="E1559" s="2"/>
      <c r="F1559" s="2"/>
      <c r="G1559" s="2"/>
      <c r="H1559" s="2"/>
    </row>
    <row r="1560" spans="1:8" ht="15.75" customHeight="1">
      <c r="A1560" s="2"/>
      <c r="B1560" s="2"/>
      <c r="C1560" s="2" t="str">
        <v/>
      </c>
      <c r="D1560" s="2"/>
      <c r="E1560" s="2"/>
      <c r="F1560" s="2"/>
      <c r="G1560" s="2"/>
      <c r="H1560" s="2"/>
    </row>
    <row r="1561" spans="1:8" ht="15.75" customHeight="1">
      <c r="A1561" s="2"/>
      <c r="B1561" s="2"/>
      <c r="C1561" s="2" t="str">
        <v/>
      </c>
      <c r="D1561" s="2"/>
      <c r="E1561" s="2"/>
      <c r="F1561" s="2"/>
      <c r="G1561" s="2"/>
      <c r="H1561" s="2"/>
    </row>
    <row r="1562" spans="1:8" ht="15.75" customHeight="1">
      <c r="A1562" s="2"/>
      <c r="B1562" s="2"/>
      <c r="C1562" s="2" t="str">
        <v/>
      </c>
      <c r="D1562" s="2"/>
      <c r="E1562" s="2"/>
      <c r="F1562" s="2"/>
      <c r="G1562" s="2"/>
      <c r="H1562" s="2"/>
    </row>
    <row r="1563" spans="1:8" ht="15.75" customHeight="1">
      <c r="A1563" s="2"/>
      <c r="B1563" s="2"/>
      <c r="C1563" s="2" t="str">
        <v/>
      </c>
      <c r="D1563" s="2"/>
      <c r="E1563" s="2"/>
      <c r="F1563" s="2"/>
      <c r="G1563" s="2"/>
      <c r="H1563" s="2"/>
    </row>
    <row r="1564" spans="1:8" ht="15.75" customHeight="1">
      <c r="A1564" s="2"/>
      <c r="B1564" s="2"/>
      <c r="C1564" s="2" t="str">
        <v/>
      </c>
      <c r="D1564" s="2"/>
      <c r="E1564" s="2"/>
      <c r="F1564" s="2"/>
      <c r="G1564" s="2"/>
      <c r="H1564" s="2"/>
    </row>
    <row r="1565" spans="1:8" ht="15.75" customHeight="1">
      <c r="A1565" s="2"/>
      <c r="B1565" s="2"/>
      <c r="C1565" s="2" t="str">
        <v/>
      </c>
      <c r="D1565" s="2"/>
      <c r="E1565" s="2"/>
      <c r="F1565" s="2"/>
      <c r="G1565" s="2"/>
      <c r="H1565" s="2"/>
    </row>
    <row r="1566" spans="1:8" ht="15.75" customHeight="1">
      <c r="A1566" s="2"/>
      <c r="B1566" s="2"/>
      <c r="C1566" s="2" t="str">
        <v/>
      </c>
      <c r="D1566" s="2"/>
      <c r="E1566" s="2"/>
      <c r="F1566" s="2"/>
      <c r="G1566" s="2"/>
      <c r="H1566" s="2"/>
    </row>
    <row r="1567" spans="1:8" ht="15.75" customHeight="1">
      <c r="A1567" s="2"/>
      <c r="B1567" s="2"/>
      <c r="C1567" s="2" t="str">
        <v/>
      </c>
      <c r="D1567" s="2"/>
      <c r="E1567" s="2"/>
      <c r="F1567" s="2"/>
      <c r="G1567" s="2"/>
      <c r="H1567" s="2"/>
    </row>
    <row r="1568" spans="1:8" ht="15.75" customHeight="1">
      <c r="A1568" s="2"/>
      <c r="B1568" s="2"/>
      <c r="C1568" s="2" t="str">
        <v/>
      </c>
      <c r="D1568" s="2"/>
      <c r="E1568" s="2"/>
      <c r="F1568" s="2"/>
      <c r="G1568" s="2"/>
      <c r="H1568" s="2"/>
    </row>
    <row r="1569" spans="1:8" ht="15.75" customHeight="1">
      <c r="A1569" s="2"/>
      <c r="B1569" s="2"/>
      <c r="C1569" s="2" t="str">
        <v/>
      </c>
      <c r="D1569" s="2"/>
      <c r="E1569" s="2"/>
      <c r="F1569" s="2"/>
      <c r="G1569" s="2"/>
      <c r="H1569" s="2"/>
    </row>
    <row r="1570" spans="1:8" ht="15.75" customHeight="1">
      <c r="A1570" s="2"/>
      <c r="B1570" s="2"/>
      <c r="C1570" s="2" t="str">
        <v/>
      </c>
      <c r="D1570" s="2"/>
      <c r="E1570" s="2"/>
      <c r="F1570" s="2"/>
      <c r="G1570" s="2"/>
      <c r="H1570" s="2"/>
    </row>
    <row r="1571" spans="1:8" ht="15.75" customHeight="1">
      <c r="A1571" s="2"/>
      <c r="B1571" s="2"/>
      <c r="C1571" s="2" t="str">
        <v/>
      </c>
      <c r="D1571" s="2"/>
      <c r="E1571" s="2"/>
      <c r="F1571" s="2"/>
      <c r="G1571" s="2"/>
      <c r="H1571" s="2"/>
    </row>
    <row r="1572" spans="1:8" ht="15.75" customHeight="1">
      <c r="A1572" s="2"/>
      <c r="B1572" s="2"/>
      <c r="C1572" s="2" t="str">
        <v/>
      </c>
      <c r="D1572" s="2"/>
      <c r="E1572" s="2"/>
      <c r="F1572" s="2"/>
      <c r="G1572" s="2"/>
      <c r="H1572" s="2"/>
    </row>
    <row r="1573" spans="1:8" ht="15.75" customHeight="1">
      <c r="A1573" s="2"/>
      <c r="B1573" s="2"/>
      <c r="C1573" s="2" t="str">
        <v/>
      </c>
      <c r="D1573" s="2"/>
      <c r="E1573" s="2"/>
      <c r="F1573" s="2"/>
      <c r="G1573" s="2"/>
      <c r="H1573" s="2"/>
    </row>
    <row r="1574" spans="1:8" ht="15.75" customHeight="1">
      <c r="A1574" s="2"/>
      <c r="B1574" s="2"/>
      <c r="C1574" s="2" t="str">
        <v/>
      </c>
      <c r="D1574" s="2"/>
      <c r="E1574" s="2"/>
      <c r="F1574" s="2"/>
      <c r="G1574" s="2"/>
      <c r="H1574" s="2"/>
    </row>
    <row r="1575" spans="1:8" ht="15.75" customHeight="1">
      <c r="A1575" s="2"/>
      <c r="B1575" s="2"/>
      <c r="C1575" s="2" t="str">
        <v/>
      </c>
      <c r="D1575" s="2"/>
      <c r="E1575" s="2"/>
      <c r="F1575" s="2"/>
      <c r="G1575" s="2"/>
      <c r="H1575" s="2"/>
    </row>
    <row r="1576" spans="1:8" ht="15.75" customHeight="1">
      <c r="A1576" s="2"/>
      <c r="B1576" s="2"/>
      <c r="C1576" s="2" t="str">
        <v/>
      </c>
      <c r="D1576" s="2"/>
      <c r="E1576" s="2"/>
      <c r="F1576" s="2"/>
      <c r="G1576" s="2"/>
      <c r="H1576" s="2"/>
    </row>
    <row r="1577" spans="1:8" ht="15.75" customHeight="1">
      <c r="A1577" s="2"/>
      <c r="B1577" s="2"/>
      <c r="C1577" s="2" t="str">
        <v/>
      </c>
      <c r="D1577" s="2"/>
      <c r="E1577" s="2"/>
      <c r="F1577" s="2"/>
      <c r="G1577" s="2"/>
      <c r="H1577" s="2"/>
    </row>
    <row r="1578" spans="1:8" ht="15.75" customHeight="1">
      <c r="A1578" s="2"/>
      <c r="B1578" s="2"/>
      <c r="C1578" s="2" t="str">
        <v/>
      </c>
      <c r="D1578" s="2"/>
      <c r="E1578" s="2"/>
      <c r="F1578" s="2"/>
      <c r="G1578" s="2"/>
      <c r="H1578" s="2"/>
    </row>
    <row r="1579" spans="1:8" ht="15.75" customHeight="1">
      <c r="A1579" s="2"/>
      <c r="B1579" s="2"/>
      <c r="C1579" s="2" t="str">
        <v/>
      </c>
      <c r="D1579" s="2"/>
      <c r="E1579" s="2"/>
      <c r="F1579" s="2"/>
      <c r="G1579" s="2"/>
      <c r="H1579" s="2"/>
    </row>
    <row r="1580" spans="1:8" ht="15.75" customHeight="1">
      <c r="A1580" s="2"/>
      <c r="B1580" s="2"/>
      <c r="C1580" s="2" t="str">
        <v/>
      </c>
      <c r="D1580" s="2"/>
      <c r="E1580" s="2"/>
      <c r="F1580" s="2"/>
      <c r="G1580" s="2"/>
      <c r="H1580" s="2"/>
    </row>
    <row r="1581" spans="1:8" ht="15.75" customHeight="1">
      <c r="A1581" s="2"/>
      <c r="B1581" s="2"/>
      <c r="C1581" s="2" t="str">
        <v/>
      </c>
      <c r="D1581" s="2"/>
      <c r="E1581" s="2"/>
      <c r="F1581" s="2"/>
      <c r="G1581" s="2"/>
      <c r="H1581" s="2"/>
    </row>
    <row r="1582" spans="1:8" ht="15.75" customHeight="1">
      <c r="A1582" s="2"/>
      <c r="B1582" s="2"/>
      <c r="C1582" s="2" t="str">
        <v/>
      </c>
      <c r="D1582" s="2"/>
      <c r="E1582" s="2"/>
      <c r="F1582" s="2"/>
      <c r="G1582" s="2"/>
      <c r="H1582" s="2"/>
    </row>
    <row r="1583" spans="1:8" ht="15.75" customHeight="1">
      <c r="A1583" s="2"/>
      <c r="B1583" s="2"/>
      <c r="C1583" s="2" t="str">
        <v/>
      </c>
      <c r="D1583" s="2"/>
      <c r="E1583" s="2"/>
      <c r="F1583" s="2"/>
      <c r="G1583" s="2"/>
      <c r="H1583" s="2"/>
    </row>
    <row r="1584" spans="1:8" ht="15.75" customHeight="1">
      <c r="A1584" s="2"/>
      <c r="B1584" s="2"/>
      <c r="C1584" s="2" t="str">
        <v/>
      </c>
      <c r="D1584" s="2"/>
      <c r="E1584" s="2"/>
      <c r="F1584" s="2"/>
      <c r="G1584" s="2"/>
      <c r="H1584" s="2"/>
    </row>
    <row r="1585" spans="1:8" ht="15.75" customHeight="1">
      <c r="A1585" s="2"/>
      <c r="B1585" s="2"/>
      <c r="C1585" s="2" t="str">
        <v/>
      </c>
      <c r="D1585" s="2"/>
      <c r="E1585" s="2"/>
      <c r="F1585" s="2"/>
      <c r="G1585" s="2"/>
      <c r="H1585" s="2"/>
    </row>
    <row r="1586" spans="1:8" ht="15.75" customHeight="1">
      <c r="A1586" s="2"/>
      <c r="B1586" s="2"/>
      <c r="C1586" s="2" t="str">
        <v/>
      </c>
      <c r="D1586" s="2"/>
      <c r="E1586" s="2"/>
      <c r="F1586" s="2"/>
      <c r="G1586" s="2"/>
      <c r="H1586" s="2"/>
    </row>
    <row r="1587" spans="1:8" ht="15.75" customHeight="1">
      <c r="A1587" s="2"/>
      <c r="B1587" s="2"/>
      <c r="C1587" s="2" t="str">
        <v/>
      </c>
      <c r="D1587" s="2"/>
      <c r="E1587" s="2"/>
      <c r="F1587" s="2"/>
      <c r="G1587" s="2"/>
      <c r="H1587" s="2"/>
    </row>
    <row r="1588" spans="1:8" ht="15.75" customHeight="1">
      <c r="A1588" s="2"/>
      <c r="B1588" s="2"/>
      <c r="C1588" s="2" t="str">
        <v/>
      </c>
      <c r="D1588" s="2"/>
      <c r="E1588" s="2"/>
      <c r="F1588" s="2"/>
      <c r="G1588" s="2"/>
      <c r="H1588" s="2"/>
    </row>
    <row r="1589" spans="1:8" ht="15.75" customHeight="1">
      <c r="A1589" s="2"/>
      <c r="B1589" s="2"/>
      <c r="C1589" s="2" t="str">
        <v/>
      </c>
      <c r="D1589" s="2"/>
      <c r="E1589" s="2"/>
      <c r="F1589" s="2"/>
      <c r="G1589" s="2"/>
      <c r="H1589" s="2"/>
    </row>
    <row r="1590" spans="1:8" ht="15.75" customHeight="1">
      <c r="A1590" s="2"/>
      <c r="B1590" s="2"/>
      <c r="C1590" s="2" t="str">
        <v/>
      </c>
      <c r="D1590" s="2"/>
      <c r="E1590" s="2"/>
      <c r="F1590" s="2"/>
      <c r="G1590" s="2"/>
      <c r="H1590" s="2"/>
    </row>
    <row r="1591" spans="1:8" ht="15.75" customHeight="1">
      <c r="A1591" s="2"/>
      <c r="B1591" s="2"/>
      <c r="C1591" s="2" t="str">
        <v/>
      </c>
      <c r="D1591" s="2"/>
      <c r="E1591" s="2"/>
      <c r="F1591" s="2"/>
      <c r="G1591" s="2"/>
      <c r="H1591" s="2"/>
    </row>
    <row r="1592" spans="1:8" ht="15.75" customHeight="1">
      <c r="A1592" s="2"/>
      <c r="B1592" s="2"/>
      <c r="C1592" s="2" t="str">
        <v/>
      </c>
      <c r="D1592" s="2"/>
      <c r="E1592" s="2"/>
      <c r="F1592" s="2"/>
      <c r="G1592" s="2"/>
      <c r="H1592" s="2"/>
    </row>
    <row r="1593" spans="1:8" ht="15.75" customHeight="1">
      <c r="A1593" s="2"/>
      <c r="B1593" s="2"/>
      <c r="C1593" s="2" t="str">
        <v/>
      </c>
      <c r="D1593" s="2"/>
      <c r="E1593" s="2"/>
      <c r="F1593" s="2"/>
      <c r="G1593" s="2"/>
      <c r="H1593" s="2"/>
    </row>
    <row r="1594" spans="1:8" ht="15.75" customHeight="1">
      <c r="A1594" s="2"/>
      <c r="B1594" s="2"/>
      <c r="C1594" s="2" t="str">
        <v/>
      </c>
      <c r="D1594" s="2"/>
      <c r="E1594" s="2"/>
      <c r="F1594" s="2"/>
      <c r="G1594" s="2"/>
      <c r="H1594" s="2"/>
    </row>
    <row r="1595" spans="1:8" ht="15.75" customHeight="1">
      <c r="A1595" s="2"/>
      <c r="B1595" s="2"/>
      <c r="C1595" s="2" t="str">
        <v/>
      </c>
      <c r="D1595" s="2"/>
      <c r="E1595" s="2"/>
      <c r="F1595" s="2"/>
      <c r="G1595" s="2"/>
      <c r="H1595" s="2"/>
    </row>
    <row r="1596" spans="1:8" ht="15.75" customHeight="1">
      <c r="A1596" s="2"/>
      <c r="B1596" s="2"/>
      <c r="C1596" s="2" t="str">
        <v/>
      </c>
      <c r="D1596" s="2"/>
      <c r="E1596" s="2"/>
      <c r="F1596" s="2"/>
      <c r="G1596" s="2"/>
      <c r="H1596" s="2"/>
    </row>
    <row r="1597" spans="1:8" ht="15.75" customHeight="1">
      <c r="A1597" s="2"/>
      <c r="B1597" s="2"/>
      <c r="C1597" s="2" t="str">
        <v/>
      </c>
      <c r="D1597" s="2"/>
      <c r="E1597" s="2"/>
      <c r="F1597" s="2"/>
      <c r="G1597" s="2"/>
      <c r="H1597" s="2"/>
    </row>
    <row r="1598" spans="1:8" ht="15.75" customHeight="1">
      <c r="A1598" s="2"/>
      <c r="B1598" s="2"/>
      <c r="C1598" s="2" t="str">
        <v/>
      </c>
      <c r="D1598" s="2"/>
      <c r="E1598" s="2"/>
      <c r="F1598" s="2"/>
      <c r="G1598" s="2"/>
      <c r="H1598" s="2"/>
    </row>
    <row r="1599" spans="1:8" ht="15.75" customHeight="1">
      <c r="A1599" s="2"/>
      <c r="B1599" s="2"/>
      <c r="C1599" s="2" t="str">
        <v/>
      </c>
      <c r="D1599" s="2"/>
      <c r="E1599" s="2"/>
      <c r="F1599" s="2"/>
      <c r="G1599" s="2"/>
      <c r="H1599" s="2"/>
    </row>
    <row r="1600" spans="1:8" ht="15.75" customHeight="1">
      <c r="A1600" s="2"/>
      <c r="B1600" s="2"/>
      <c r="C1600" s="2" t="str">
        <v/>
      </c>
      <c r="D1600" s="2"/>
      <c r="E1600" s="2"/>
      <c r="F1600" s="2"/>
      <c r="G1600" s="2"/>
      <c r="H1600" s="2"/>
    </row>
    <row r="1601" spans="1:8" ht="15.75" customHeight="1">
      <c r="A1601" s="2"/>
      <c r="B1601" s="2"/>
      <c r="C1601" s="2" t="str">
        <v/>
      </c>
      <c r="D1601" s="2"/>
      <c r="E1601" s="2"/>
      <c r="F1601" s="2"/>
      <c r="G1601" s="2"/>
      <c r="H1601" s="2"/>
    </row>
    <row r="1602" spans="1:8" ht="15.75" customHeight="1">
      <c r="A1602" s="2"/>
      <c r="B1602" s="2"/>
      <c r="C1602" s="2" t="str">
        <v/>
      </c>
      <c r="D1602" s="2"/>
      <c r="E1602" s="2"/>
      <c r="F1602" s="2"/>
      <c r="G1602" s="2"/>
      <c r="H1602" s="2"/>
    </row>
    <row r="1603" spans="1:8" ht="15.75" customHeight="1">
      <c r="A1603" s="2"/>
      <c r="B1603" s="2"/>
      <c r="C1603" s="2" t="str">
        <v/>
      </c>
      <c r="D1603" s="2"/>
      <c r="E1603" s="2"/>
      <c r="F1603" s="2"/>
      <c r="G1603" s="2"/>
      <c r="H1603" s="2"/>
    </row>
    <row r="1604" spans="1:8" ht="15.75" customHeight="1">
      <c r="A1604" s="2"/>
      <c r="B1604" s="2"/>
      <c r="C1604" s="2" t="str">
        <v/>
      </c>
      <c r="D1604" s="2"/>
      <c r="E1604" s="2"/>
      <c r="F1604" s="2"/>
      <c r="G1604" s="2"/>
      <c r="H1604" s="2"/>
    </row>
    <row r="1605" spans="1:8" ht="15.75" customHeight="1">
      <c r="A1605" s="2"/>
      <c r="B1605" s="2"/>
      <c r="C1605" s="2" t="str">
        <v/>
      </c>
      <c r="D1605" s="2"/>
      <c r="E1605" s="2"/>
      <c r="F1605" s="2"/>
      <c r="G1605" s="2"/>
      <c r="H1605" s="2"/>
    </row>
    <row r="1606" spans="1:8" ht="15.75" customHeight="1">
      <c r="A1606" s="2"/>
      <c r="B1606" s="2"/>
      <c r="C1606" s="2" t="str">
        <v/>
      </c>
      <c r="D1606" s="2"/>
      <c r="E1606" s="2"/>
      <c r="F1606" s="2"/>
      <c r="G1606" s="2"/>
      <c r="H1606" s="2"/>
    </row>
    <row r="1607" spans="1:8" ht="15.75" customHeight="1">
      <c r="A1607" s="2"/>
      <c r="B1607" s="2"/>
      <c r="C1607" s="2" t="str">
        <v/>
      </c>
      <c r="D1607" s="2"/>
      <c r="E1607" s="2"/>
      <c r="F1607" s="2"/>
      <c r="G1607" s="2"/>
      <c r="H1607" s="2"/>
    </row>
    <row r="1608" spans="1:8" ht="15.75" customHeight="1">
      <c r="A1608" s="2"/>
      <c r="B1608" s="2"/>
      <c r="C1608" s="2" t="str">
        <v/>
      </c>
      <c r="D1608" s="2"/>
      <c r="E1608" s="2"/>
      <c r="F1608" s="2"/>
      <c r="G1608" s="2"/>
      <c r="H1608" s="2"/>
    </row>
    <row r="1609" spans="1:8" ht="15.75" customHeight="1">
      <c r="A1609" s="2"/>
      <c r="B1609" s="2"/>
      <c r="C1609" s="2" t="str">
        <v/>
      </c>
      <c r="D1609" s="2"/>
      <c r="E1609" s="2"/>
      <c r="F1609" s="2"/>
      <c r="G1609" s="2"/>
      <c r="H1609" s="2"/>
    </row>
    <row r="1610" spans="1:8" ht="15.75" customHeight="1">
      <c r="A1610" s="2"/>
      <c r="B1610" s="2"/>
      <c r="C1610" s="2" t="str">
        <v/>
      </c>
      <c r="D1610" s="2"/>
      <c r="E1610" s="2"/>
      <c r="F1610" s="2"/>
      <c r="G1610" s="2"/>
      <c r="H1610" s="2"/>
    </row>
    <row r="1611" spans="1:8" ht="15.75" customHeight="1">
      <c r="A1611" s="2"/>
      <c r="B1611" s="2"/>
      <c r="C1611" s="2" t="str">
        <v/>
      </c>
      <c r="D1611" s="2"/>
      <c r="E1611" s="2"/>
      <c r="F1611" s="2"/>
      <c r="G1611" s="2"/>
      <c r="H1611" s="2"/>
    </row>
    <row r="1612" spans="1:8" ht="15.75" customHeight="1">
      <c r="A1612" s="2"/>
      <c r="B1612" s="2"/>
      <c r="C1612" s="2" t="str">
        <v/>
      </c>
      <c r="D1612" s="2"/>
      <c r="E1612" s="2"/>
      <c r="F1612" s="2"/>
      <c r="G1612" s="2"/>
      <c r="H1612" s="2"/>
    </row>
    <row r="1613" spans="1:8" ht="15.75" customHeight="1">
      <c r="A1613" s="2"/>
      <c r="B1613" s="2"/>
      <c r="C1613" s="2" t="str">
        <v/>
      </c>
      <c r="D1613" s="2"/>
      <c r="E1613" s="2"/>
      <c r="F1613" s="2"/>
      <c r="G1613" s="2"/>
      <c r="H1613" s="2"/>
    </row>
    <row r="1614" spans="1:8" ht="15.75" customHeight="1">
      <c r="A1614" s="2"/>
      <c r="B1614" s="2"/>
      <c r="C1614" s="2" t="str">
        <v/>
      </c>
      <c r="D1614" s="2"/>
      <c r="E1614" s="2"/>
      <c r="F1614" s="2"/>
      <c r="G1614" s="2"/>
      <c r="H1614" s="2"/>
    </row>
    <row r="1615" spans="1:8" ht="15.75" customHeight="1">
      <c r="A1615" s="2"/>
      <c r="B1615" s="2"/>
      <c r="C1615" s="2" t="str">
        <v/>
      </c>
      <c r="D1615" s="2"/>
      <c r="E1615" s="2"/>
      <c r="F1615" s="2"/>
      <c r="G1615" s="2"/>
      <c r="H1615" s="2"/>
    </row>
    <row r="1616" spans="1:8" ht="15.75" customHeight="1">
      <c r="A1616" s="2"/>
      <c r="B1616" s="2"/>
      <c r="C1616" s="2" t="str">
        <v/>
      </c>
      <c r="D1616" s="2"/>
      <c r="E1616" s="2"/>
      <c r="F1616" s="2"/>
      <c r="G1616" s="2"/>
      <c r="H1616" s="2"/>
    </row>
    <row r="1617" spans="1:8" ht="15.75" customHeight="1">
      <c r="A1617" s="2"/>
      <c r="B1617" s="2"/>
      <c r="C1617" s="2" t="str">
        <v/>
      </c>
      <c r="D1617" s="2"/>
      <c r="E1617" s="2"/>
      <c r="F1617" s="2"/>
      <c r="G1617" s="2"/>
      <c r="H1617" s="2"/>
    </row>
    <row r="1618" spans="1:8" ht="15.75" customHeight="1">
      <c r="A1618" s="2"/>
      <c r="B1618" s="2"/>
      <c r="C1618" s="2" t="str">
        <v/>
      </c>
      <c r="D1618" s="2"/>
      <c r="E1618" s="2"/>
      <c r="F1618" s="2"/>
      <c r="G1618" s="2"/>
      <c r="H1618" s="2"/>
    </row>
    <row r="1619" spans="1:8" ht="15.75" customHeight="1">
      <c r="A1619" s="2"/>
      <c r="B1619" s="2"/>
      <c r="C1619" s="2" t="str">
        <v/>
      </c>
      <c r="D1619" s="2"/>
      <c r="E1619" s="2"/>
      <c r="F1619" s="2"/>
      <c r="G1619" s="2"/>
      <c r="H1619" s="2"/>
    </row>
    <row r="1620" spans="1:8" ht="15.75" customHeight="1">
      <c r="A1620" s="2"/>
      <c r="B1620" s="2"/>
      <c r="C1620" s="2" t="str">
        <v/>
      </c>
      <c r="D1620" s="2"/>
      <c r="E1620" s="2"/>
      <c r="F1620" s="2"/>
      <c r="G1620" s="2"/>
      <c r="H1620" s="2"/>
    </row>
    <row r="1621" spans="1:8" ht="15.75" customHeight="1">
      <c r="A1621" s="2"/>
      <c r="B1621" s="2"/>
      <c r="C1621" s="2" t="str">
        <v/>
      </c>
      <c r="D1621" s="2"/>
      <c r="E1621" s="2"/>
      <c r="F1621" s="2"/>
      <c r="G1621" s="2"/>
      <c r="H1621" s="2"/>
    </row>
    <row r="1622" spans="1:8" ht="15.75" customHeight="1">
      <c r="A1622" s="2"/>
      <c r="B1622" s="2"/>
      <c r="C1622" s="2" t="str">
        <v/>
      </c>
      <c r="D1622" s="2"/>
      <c r="E1622" s="2"/>
      <c r="F1622" s="2"/>
      <c r="G1622" s="2"/>
      <c r="H1622" s="2"/>
    </row>
    <row r="1623" spans="1:8" ht="15.75" customHeight="1">
      <c r="A1623" s="2"/>
      <c r="B1623" s="2"/>
      <c r="C1623" s="2" t="str">
        <v/>
      </c>
      <c r="D1623" s="2"/>
      <c r="E1623" s="2"/>
      <c r="F1623" s="2"/>
      <c r="G1623" s="2"/>
      <c r="H1623" s="2"/>
    </row>
    <row r="1624" spans="1:8" ht="15.75" customHeight="1">
      <c r="A1624" s="2"/>
      <c r="B1624" s="2"/>
      <c r="C1624" s="2" t="str">
        <v/>
      </c>
      <c r="D1624" s="2"/>
      <c r="E1624" s="2"/>
      <c r="F1624" s="2"/>
      <c r="G1624" s="2"/>
      <c r="H1624" s="2"/>
    </row>
    <row r="1625" spans="1:8" ht="15.75" customHeight="1">
      <c r="A1625" s="2"/>
      <c r="B1625" s="2"/>
      <c r="C1625" s="2" t="str">
        <v/>
      </c>
      <c r="D1625" s="2"/>
      <c r="E1625" s="2"/>
      <c r="F1625" s="2"/>
      <c r="G1625" s="2"/>
      <c r="H1625" s="2"/>
    </row>
    <row r="1626" spans="1:8" ht="15.75" customHeight="1">
      <c r="A1626" s="2"/>
      <c r="B1626" s="2"/>
      <c r="C1626" s="2" t="str">
        <v/>
      </c>
      <c r="D1626" s="2"/>
      <c r="E1626" s="2"/>
      <c r="F1626" s="2"/>
      <c r="G1626" s="2"/>
      <c r="H1626" s="2"/>
    </row>
    <row r="1627" spans="1:8" ht="15.75" customHeight="1">
      <c r="A1627" s="2"/>
      <c r="B1627" s="2"/>
      <c r="C1627" s="2" t="str">
        <v/>
      </c>
      <c r="D1627" s="2"/>
      <c r="E1627" s="2"/>
      <c r="F1627" s="2"/>
      <c r="G1627" s="2"/>
      <c r="H1627" s="2"/>
    </row>
    <row r="1628" spans="1:8" ht="15.75" customHeight="1">
      <c r="A1628" s="2"/>
      <c r="B1628" s="2"/>
      <c r="C1628" s="2" t="str">
        <v/>
      </c>
      <c r="D1628" s="2"/>
      <c r="E1628" s="2"/>
      <c r="F1628" s="2"/>
      <c r="G1628" s="2"/>
      <c r="H1628" s="2"/>
    </row>
    <row r="1629" spans="1:8" ht="15.75" customHeight="1">
      <c r="A1629" s="2"/>
      <c r="B1629" s="2"/>
      <c r="C1629" s="2" t="str">
        <v/>
      </c>
      <c r="D1629" s="2"/>
      <c r="E1629" s="2"/>
      <c r="F1629" s="2"/>
      <c r="G1629" s="2"/>
      <c r="H1629" s="2"/>
    </row>
    <row r="1630" spans="1:8" ht="15.75" customHeight="1">
      <c r="A1630" s="2"/>
      <c r="B1630" s="2"/>
      <c r="C1630" s="2" t="str">
        <v/>
      </c>
      <c r="D1630" s="2"/>
      <c r="E1630" s="2"/>
      <c r="F1630" s="2"/>
      <c r="G1630" s="2"/>
      <c r="H1630" s="2"/>
    </row>
    <row r="1631" spans="1:8" ht="15.75" customHeight="1">
      <c r="A1631" s="2"/>
      <c r="B1631" s="2"/>
      <c r="C1631" s="2" t="str">
        <v/>
      </c>
      <c r="D1631" s="2"/>
      <c r="E1631" s="2"/>
      <c r="F1631" s="2"/>
      <c r="G1631" s="2"/>
      <c r="H1631" s="2"/>
    </row>
    <row r="1632" spans="1:8" ht="15.75" customHeight="1">
      <c r="A1632" s="2"/>
      <c r="B1632" s="2"/>
      <c r="C1632" s="2" t="str">
        <v/>
      </c>
      <c r="D1632" s="2"/>
      <c r="E1632" s="2"/>
      <c r="F1632" s="2"/>
      <c r="G1632" s="2"/>
      <c r="H1632" s="2"/>
    </row>
    <row r="1633" spans="1:8" ht="15.75" customHeight="1">
      <c r="A1633" s="2"/>
      <c r="B1633" s="2"/>
      <c r="C1633" s="2" t="str">
        <v/>
      </c>
      <c r="D1633" s="2"/>
      <c r="E1633" s="2"/>
      <c r="F1633" s="2"/>
      <c r="G1633" s="2"/>
      <c r="H1633" s="2"/>
    </row>
    <row r="1634" spans="1:8" ht="15.75" customHeight="1">
      <c r="A1634" s="2"/>
      <c r="B1634" s="2"/>
      <c r="C1634" s="2" t="str">
        <v/>
      </c>
      <c r="D1634" s="2"/>
      <c r="E1634" s="2"/>
      <c r="F1634" s="2"/>
      <c r="G1634" s="2"/>
      <c r="H1634" s="2"/>
    </row>
    <row r="1635" spans="1:8" ht="15.75" customHeight="1">
      <c r="A1635" s="2"/>
      <c r="B1635" s="2"/>
      <c r="C1635" s="2" t="str">
        <v/>
      </c>
      <c r="D1635" s="2"/>
      <c r="E1635" s="2"/>
      <c r="F1635" s="2"/>
      <c r="G1635" s="2"/>
      <c r="H1635" s="2"/>
    </row>
    <row r="1636" spans="1:8" ht="15.75" customHeight="1">
      <c r="A1636" s="2"/>
      <c r="B1636" s="2"/>
      <c r="C1636" s="2" t="str">
        <v/>
      </c>
      <c r="D1636" s="2"/>
      <c r="E1636" s="2"/>
      <c r="F1636" s="2"/>
      <c r="G1636" s="2"/>
      <c r="H1636" s="2"/>
    </row>
    <row r="1637" spans="1:8" ht="15.75" customHeight="1">
      <c r="A1637" s="2"/>
      <c r="B1637" s="2"/>
      <c r="C1637" s="2" t="str">
        <v/>
      </c>
      <c r="D1637" s="2"/>
      <c r="E1637" s="2"/>
      <c r="F1637" s="2"/>
      <c r="G1637" s="2"/>
      <c r="H1637" s="2"/>
    </row>
    <row r="1638" spans="1:8" ht="15.75" customHeight="1">
      <c r="A1638" s="2"/>
      <c r="B1638" s="2"/>
      <c r="C1638" s="2" t="str">
        <v/>
      </c>
      <c r="D1638" s="2"/>
      <c r="E1638" s="2"/>
      <c r="F1638" s="2"/>
      <c r="G1638" s="2"/>
      <c r="H1638" s="2"/>
    </row>
    <row r="1639" spans="1:8" ht="15.75" customHeight="1">
      <c r="A1639" s="2"/>
      <c r="B1639" s="2"/>
      <c r="C1639" s="2" t="str">
        <v/>
      </c>
      <c r="D1639" s="2"/>
      <c r="E1639" s="2"/>
      <c r="F1639" s="2"/>
      <c r="G1639" s="2"/>
      <c r="H1639" s="2"/>
    </row>
    <row r="1640" spans="1:8" ht="15.75" customHeight="1">
      <c r="A1640" s="2"/>
      <c r="B1640" s="2"/>
      <c r="C1640" s="2" t="str">
        <v/>
      </c>
      <c r="D1640" s="2"/>
      <c r="E1640" s="2"/>
      <c r="F1640" s="2"/>
      <c r="G1640" s="2"/>
      <c r="H1640" s="2"/>
    </row>
    <row r="1641" spans="1:8" ht="15.75" customHeight="1">
      <c r="A1641" s="2"/>
      <c r="B1641" s="2"/>
      <c r="C1641" s="2" t="str">
        <v/>
      </c>
      <c r="D1641" s="2"/>
      <c r="E1641" s="2"/>
      <c r="F1641" s="2"/>
      <c r="G1641" s="2"/>
      <c r="H1641" s="2"/>
    </row>
    <row r="1642" spans="1:8" ht="15.75" customHeight="1">
      <c r="A1642" s="2"/>
      <c r="B1642" s="2"/>
      <c r="C1642" s="2" t="str">
        <v/>
      </c>
      <c r="D1642" s="2"/>
      <c r="E1642" s="2"/>
      <c r="F1642" s="2"/>
      <c r="G1642" s="2"/>
      <c r="H1642" s="2"/>
    </row>
    <row r="1643" spans="1:8" ht="15.75" customHeight="1">
      <c r="A1643" s="2"/>
      <c r="B1643" s="2"/>
      <c r="C1643" s="2" t="str">
        <v/>
      </c>
      <c r="D1643" s="2"/>
      <c r="E1643" s="2"/>
      <c r="F1643" s="2"/>
      <c r="G1643" s="2"/>
      <c r="H1643" s="2"/>
    </row>
    <row r="1644" spans="1:8" ht="15.75" customHeight="1">
      <c r="A1644" s="2"/>
      <c r="B1644" s="2"/>
      <c r="C1644" s="2" t="str">
        <v/>
      </c>
      <c r="D1644" s="2"/>
      <c r="E1644" s="2"/>
      <c r="F1644" s="2"/>
      <c r="G1644" s="2"/>
      <c r="H1644" s="2"/>
    </row>
    <row r="1645" spans="1:8" ht="15.75" customHeight="1">
      <c r="A1645" s="2"/>
      <c r="B1645" s="2"/>
      <c r="C1645" s="2" t="str">
        <v/>
      </c>
      <c r="D1645" s="2"/>
      <c r="E1645" s="2"/>
      <c r="F1645" s="2"/>
      <c r="G1645" s="2"/>
      <c r="H1645" s="2"/>
    </row>
    <row r="1646" spans="1:8" ht="15.75" customHeight="1">
      <c r="A1646" s="2"/>
      <c r="B1646" s="2"/>
      <c r="C1646" s="2" t="str">
        <v/>
      </c>
      <c r="D1646" s="2"/>
      <c r="E1646" s="2"/>
      <c r="F1646" s="2"/>
      <c r="G1646" s="2"/>
      <c r="H1646" s="2"/>
    </row>
    <row r="1647" spans="1:8" ht="15.75" customHeight="1">
      <c r="A1647" s="2"/>
      <c r="B1647" s="2"/>
      <c r="C1647" s="2" t="str">
        <v/>
      </c>
      <c r="D1647" s="2"/>
      <c r="E1647" s="2"/>
      <c r="F1647" s="2"/>
      <c r="G1647" s="2"/>
      <c r="H1647" s="2"/>
    </row>
    <row r="1648" spans="1:8" ht="15.75" customHeight="1">
      <c r="A1648" s="2"/>
      <c r="B1648" s="2"/>
      <c r="C1648" s="2" t="str">
        <v/>
      </c>
      <c r="D1648" s="2"/>
      <c r="E1648" s="2"/>
      <c r="F1648" s="2"/>
      <c r="G1648" s="2"/>
      <c r="H1648" s="2"/>
    </row>
    <row r="1649" spans="1:8" ht="15.75" customHeight="1">
      <c r="A1649" s="2"/>
      <c r="B1649" s="2"/>
      <c r="C1649" s="2" t="str">
        <v/>
      </c>
      <c r="D1649" s="2"/>
      <c r="E1649" s="2"/>
      <c r="F1649" s="2"/>
      <c r="G1649" s="2"/>
      <c r="H1649" s="2"/>
    </row>
    <row r="1650" spans="1:8" ht="15.75" customHeight="1">
      <c r="A1650" s="2"/>
      <c r="B1650" s="2"/>
      <c r="C1650" s="2" t="str">
        <v/>
      </c>
      <c r="D1650" s="2"/>
      <c r="E1650" s="2"/>
      <c r="F1650" s="2"/>
      <c r="G1650" s="2"/>
      <c r="H1650" s="2"/>
    </row>
    <row r="1651" spans="1:8" ht="15.75" customHeight="1">
      <c r="A1651" s="2"/>
      <c r="B1651" s="2"/>
      <c r="C1651" s="2" t="str">
        <v/>
      </c>
      <c r="D1651" s="2"/>
      <c r="E1651" s="2"/>
      <c r="F1651" s="2"/>
      <c r="G1651" s="2"/>
      <c r="H1651" s="2"/>
    </row>
    <row r="1652" spans="1:8" ht="15.75" customHeight="1">
      <c r="A1652" s="2"/>
      <c r="B1652" s="2"/>
      <c r="C1652" s="2" t="str">
        <v/>
      </c>
      <c r="D1652" s="2"/>
      <c r="E1652" s="2"/>
      <c r="F1652" s="2"/>
      <c r="G1652" s="2"/>
      <c r="H1652" s="2"/>
    </row>
    <row r="1653" spans="1:8" ht="15.75" customHeight="1">
      <c r="A1653" s="2"/>
      <c r="B1653" s="2"/>
      <c r="C1653" s="2" t="str">
        <v/>
      </c>
      <c r="D1653" s="2"/>
      <c r="E1653" s="2"/>
      <c r="F1653" s="2"/>
      <c r="G1653" s="2"/>
      <c r="H1653" s="2"/>
    </row>
    <row r="1654" spans="1:8" ht="15.75" customHeight="1">
      <c r="A1654" s="2"/>
      <c r="B1654" s="2"/>
      <c r="C1654" s="2" t="str">
        <v/>
      </c>
      <c r="D1654" s="2"/>
      <c r="E1654" s="2"/>
      <c r="F1654" s="2"/>
      <c r="G1654" s="2"/>
      <c r="H1654" s="2"/>
    </row>
    <row r="1655" spans="1:8" ht="15.75" customHeight="1">
      <c r="A1655" s="2"/>
      <c r="B1655" s="2"/>
      <c r="C1655" s="2" t="str">
        <v/>
      </c>
      <c r="D1655" s="2"/>
      <c r="E1655" s="2"/>
      <c r="F1655" s="2"/>
      <c r="G1655" s="2"/>
      <c r="H1655" s="2"/>
    </row>
    <row r="1656" spans="1:8" ht="15.75" customHeight="1">
      <c r="A1656" s="2"/>
      <c r="B1656" s="2"/>
      <c r="C1656" s="2" t="str">
        <v/>
      </c>
      <c r="D1656" s="2"/>
      <c r="E1656" s="2"/>
      <c r="F1656" s="2"/>
      <c r="G1656" s="2"/>
      <c r="H1656" s="2"/>
    </row>
    <row r="1657" spans="1:8" ht="15.75" customHeight="1">
      <c r="A1657" s="2"/>
      <c r="B1657" s="2"/>
      <c r="C1657" s="2" t="str">
        <v/>
      </c>
      <c r="D1657" s="2"/>
      <c r="E1657" s="2"/>
      <c r="F1657" s="2"/>
      <c r="G1657" s="2"/>
      <c r="H1657" s="2"/>
    </row>
    <row r="1658" spans="1:8" ht="15.75" customHeight="1">
      <c r="A1658" s="2"/>
      <c r="B1658" s="2"/>
      <c r="C1658" s="2" t="str">
        <v/>
      </c>
      <c r="D1658" s="2"/>
      <c r="E1658" s="2"/>
      <c r="F1658" s="2"/>
      <c r="G1658" s="2"/>
      <c r="H1658" s="2"/>
    </row>
    <row r="1659" spans="1:8" ht="15.75" customHeight="1">
      <c r="A1659" s="2"/>
      <c r="B1659" s="2"/>
      <c r="C1659" s="2" t="str">
        <v/>
      </c>
      <c r="D1659" s="2"/>
      <c r="E1659" s="2"/>
      <c r="F1659" s="2"/>
      <c r="G1659" s="2"/>
      <c r="H1659" s="2"/>
    </row>
    <row r="1660" spans="1:8" ht="15.75" customHeight="1">
      <c r="A1660" s="2"/>
      <c r="B1660" s="2"/>
      <c r="C1660" s="2" t="str">
        <v/>
      </c>
      <c r="D1660" s="2"/>
      <c r="E1660" s="2"/>
      <c r="F1660" s="2"/>
      <c r="G1660" s="2"/>
      <c r="H1660" s="2"/>
    </row>
    <row r="1661" spans="1:8" ht="15.75" customHeight="1">
      <c r="A1661" s="2"/>
      <c r="B1661" s="2"/>
      <c r="C1661" s="2" t="str">
        <v/>
      </c>
      <c r="D1661" s="2"/>
      <c r="E1661" s="2"/>
      <c r="F1661" s="2"/>
      <c r="G1661" s="2"/>
      <c r="H1661" s="2"/>
    </row>
    <row r="1662" spans="1:8" ht="15.75" customHeight="1">
      <c r="A1662" s="2"/>
      <c r="B1662" s="2"/>
      <c r="C1662" s="2" t="str">
        <v/>
      </c>
      <c r="D1662" s="2"/>
      <c r="E1662" s="2"/>
      <c r="F1662" s="2"/>
      <c r="G1662" s="2"/>
      <c r="H1662" s="2"/>
    </row>
    <row r="1663" spans="1:8" ht="15.75" customHeight="1">
      <c r="A1663" s="2"/>
      <c r="B1663" s="2"/>
      <c r="C1663" s="2" t="str">
        <v/>
      </c>
      <c r="D1663" s="2"/>
      <c r="E1663" s="2"/>
      <c r="F1663" s="2"/>
      <c r="G1663" s="2"/>
      <c r="H1663" s="2"/>
    </row>
    <row r="1664" spans="1:8" ht="15.75" customHeight="1">
      <c r="A1664" s="2"/>
      <c r="B1664" s="2"/>
      <c r="C1664" s="2" t="str">
        <v/>
      </c>
      <c r="D1664" s="2"/>
      <c r="E1664" s="2"/>
      <c r="F1664" s="2"/>
      <c r="G1664" s="2"/>
      <c r="H1664" s="2"/>
    </row>
    <row r="1665" spans="1:8" ht="15.75" customHeight="1">
      <c r="A1665" s="2"/>
      <c r="B1665" s="2"/>
      <c r="C1665" s="2" t="str">
        <v/>
      </c>
      <c r="D1665" s="2"/>
      <c r="E1665" s="2"/>
      <c r="F1665" s="2"/>
      <c r="G1665" s="2"/>
      <c r="H1665" s="2"/>
    </row>
    <row r="1666" spans="1:8" ht="15.75" customHeight="1">
      <c r="A1666" s="2"/>
      <c r="B1666" s="2"/>
      <c r="C1666" s="2" t="str">
        <v/>
      </c>
      <c r="D1666" s="2"/>
      <c r="E1666" s="2"/>
      <c r="F1666" s="2"/>
      <c r="G1666" s="2"/>
      <c r="H1666" s="2"/>
    </row>
    <row r="1667" spans="1:8" ht="15.75" customHeight="1">
      <c r="A1667" s="2"/>
      <c r="B1667" s="2"/>
      <c r="C1667" s="2" t="str">
        <v/>
      </c>
      <c r="D1667" s="2"/>
      <c r="E1667" s="2"/>
      <c r="F1667" s="2"/>
      <c r="G1667" s="2"/>
      <c r="H1667" s="2"/>
    </row>
    <row r="1668" spans="1:8" ht="15.75" customHeight="1">
      <c r="A1668" s="2"/>
      <c r="B1668" s="2"/>
      <c r="C1668" s="2" t="str">
        <v/>
      </c>
      <c r="D1668" s="2"/>
      <c r="E1668" s="2"/>
      <c r="F1668" s="2"/>
      <c r="G1668" s="2"/>
      <c r="H1668" s="2"/>
    </row>
    <row r="1669" spans="1:8" ht="15.75" customHeight="1">
      <c r="A1669" s="2"/>
      <c r="B1669" s="2"/>
      <c r="C1669" s="2" t="str">
        <v/>
      </c>
      <c r="D1669" s="2"/>
      <c r="E1669" s="2"/>
      <c r="F1669" s="2"/>
      <c r="G1669" s="2"/>
      <c r="H1669" s="2"/>
    </row>
    <row r="1670" spans="1:8" ht="15.75" customHeight="1">
      <c r="A1670" s="2"/>
      <c r="B1670" s="2"/>
      <c r="C1670" s="2" t="str">
        <v/>
      </c>
      <c r="D1670" s="2"/>
      <c r="E1670" s="2"/>
      <c r="F1670" s="2"/>
      <c r="G1670" s="2"/>
      <c r="H1670" s="2"/>
    </row>
    <row r="1671" spans="1:8" ht="15.75" customHeight="1">
      <c r="A1671" s="2"/>
      <c r="B1671" s="2"/>
      <c r="C1671" s="2" t="str">
        <v/>
      </c>
      <c r="D1671" s="2"/>
      <c r="E1671" s="2"/>
      <c r="F1671" s="2"/>
      <c r="G1671" s="2"/>
      <c r="H1671" s="2"/>
    </row>
    <row r="1672" spans="1:8" ht="15.75" customHeight="1">
      <c r="A1672" s="2"/>
      <c r="B1672" s="2"/>
      <c r="C1672" s="2" t="str">
        <v/>
      </c>
      <c r="D1672" s="2"/>
      <c r="E1672" s="2"/>
      <c r="F1672" s="2"/>
      <c r="G1672" s="2"/>
      <c r="H1672" s="2"/>
    </row>
    <row r="1673" spans="1:8" ht="15.75" customHeight="1">
      <c r="A1673" s="2"/>
      <c r="B1673" s="2"/>
      <c r="C1673" s="2" t="str">
        <v/>
      </c>
      <c r="D1673" s="2"/>
      <c r="E1673" s="2"/>
      <c r="F1673" s="2"/>
      <c r="G1673" s="2"/>
      <c r="H1673" s="2"/>
    </row>
    <row r="1674" spans="1:8" ht="15.75" customHeight="1">
      <c r="A1674" s="2"/>
      <c r="B1674" s="2"/>
      <c r="C1674" s="2" t="str">
        <v/>
      </c>
      <c r="D1674" s="2"/>
      <c r="E1674" s="2"/>
      <c r="F1674" s="2"/>
      <c r="G1674" s="2"/>
      <c r="H1674" s="2"/>
    </row>
    <row r="1675" spans="1:8" ht="15.75" customHeight="1">
      <c r="A1675" s="2"/>
      <c r="B1675" s="2"/>
      <c r="C1675" s="2" t="str">
        <v/>
      </c>
      <c r="D1675" s="2"/>
      <c r="E1675" s="2"/>
      <c r="F1675" s="2"/>
      <c r="G1675" s="2"/>
      <c r="H1675" s="2"/>
    </row>
    <row r="1676" spans="1:8" ht="15.75" customHeight="1">
      <c r="A1676" s="2"/>
      <c r="B1676" s="2"/>
      <c r="C1676" s="2" t="str">
        <v/>
      </c>
      <c r="D1676" s="2"/>
      <c r="E1676" s="2"/>
      <c r="F1676" s="2"/>
      <c r="G1676" s="2"/>
      <c r="H1676" s="2"/>
    </row>
    <row r="1677" spans="1:8" ht="15.75" customHeight="1">
      <c r="A1677" s="2"/>
      <c r="B1677" s="2"/>
      <c r="C1677" s="2" t="str">
        <v/>
      </c>
      <c r="D1677" s="2"/>
      <c r="E1677" s="2"/>
      <c r="F1677" s="2"/>
      <c r="G1677" s="2"/>
      <c r="H1677" s="2"/>
    </row>
    <row r="1678" spans="1:8" ht="15.75" customHeight="1">
      <c r="A1678" s="2"/>
      <c r="B1678" s="2"/>
      <c r="C1678" s="2" t="str">
        <v/>
      </c>
      <c r="D1678" s="2"/>
      <c r="E1678" s="2"/>
      <c r="F1678" s="2"/>
      <c r="G1678" s="2"/>
      <c r="H1678" s="2"/>
    </row>
    <row r="1679" spans="1:8" ht="15.75" customHeight="1">
      <c r="A1679" s="2"/>
      <c r="B1679" s="2"/>
      <c r="C1679" s="2" t="str">
        <v/>
      </c>
      <c r="D1679" s="2"/>
      <c r="E1679" s="2"/>
      <c r="F1679" s="2"/>
      <c r="G1679" s="2"/>
      <c r="H1679" s="2"/>
    </row>
    <row r="1680" spans="1:8" ht="15.75" customHeight="1">
      <c r="A1680" s="2"/>
      <c r="B1680" s="2"/>
      <c r="C1680" s="2" t="str">
        <v/>
      </c>
      <c r="D1680" s="2"/>
      <c r="E1680" s="2"/>
      <c r="F1680" s="2"/>
      <c r="G1680" s="2"/>
      <c r="H1680" s="2"/>
    </row>
    <row r="1681" spans="1:8" ht="15.75" customHeight="1">
      <c r="A1681" s="2"/>
      <c r="B1681" s="2"/>
      <c r="C1681" s="2" t="str">
        <v/>
      </c>
      <c r="D1681" s="2"/>
      <c r="E1681" s="2"/>
      <c r="F1681" s="2"/>
      <c r="G1681" s="2"/>
      <c r="H1681" s="2"/>
    </row>
    <row r="1682" spans="1:8" ht="15.75" customHeight="1">
      <c r="A1682" s="2"/>
      <c r="B1682" s="2"/>
      <c r="C1682" s="2" t="str">
        <v/>
      </c>
      <c r="D1682" s="2"/>
      <c r="E1682" s="2"/>
      <c r="F1682" s="2"/>
      <c r="G1682" s="2"/>
      <c r="H1682" s="2"/>
    </row>
    <row r="1683" spans="1:8" ht="15.75" customHeight="1">
      <c r="A1683" s="2"/>
      <c r="B1683" s="2"/>
      <c r="C1683" s="2" t="str">
        <v/>
      </c>
      <c r="D1683" s="2"/>
      <c r="E1683" s="2"/>
      <c r="F1683" s="2"/>
      <c r="G1683" s="2"/>
      <c r="H1683" s="2"/>
    </row>
    <row r="1684" spans="1:8" ht="15.75" customHeight="1">
      <c r="A1684" s="2"/>
      <c r="B1684" s="2"/>
      <c r="C1684" s="2" t="str">
        <v/>
      </c>
      <c r="D1684" s="2"/>
      <c r="E1684" s="2"/>
      <c r="F1684" s="2"/>
      <c r="G1684" s="2"/>
      <c r="H1684" s="2"/>
    </row>
    <row r="1685" spans="1:8" ht="15.75" customHeight="1">
      <c r="A1685" s="2"/>
      <c r="B1685" s="2"/>
      <c r="C1685" s="2" t="str">
        <v/>
      </c>
      <c r="D1685" s="2"/>
      <c r="E1685" s="2"/>
      <c r="F1685" s="2"/>
      <c r="G1685" s="2"/>
      <c r="H1685" s="2"/>
    </row>
    <row r="1686" spans="1:8" ht="15.75" customHeight="1">
      <c r="A1686" s="2"/>
      <c r="B1686" s="2"/>
      <c r="C1686" s="2" t="str">
        <v/>
      </c>
      <c r="D1686" s="2"/>
      <c r="E1686" s="2"/>
      <c r="F1686" s="2"/>
      <c r="G1686" s="2"/>
      <c r="H1686" s="2"/>
    </row>
    <row r="1687" spans="1:8" ht="15.75" customHeight="1">
      <c r="A1687" s="2"/>
      <c r="B1687" s="2"/>
      <c r="C1687" s="2" t="str">
        <v/>
      </c>
      <c r="D1687" s="2"/>
      <c r="E1687" s="2"/>
      <c r="F1687" s="2"/>
      <c r="G1687" s="2"/>
      <c r="H1687" s="2"/>
    </row>
    <row r="1688" spans="1:8" ht="15.75" customHeight="1">
      <c r="A1688" s="2"/>
      <c r="B1688" s="2"/>
      <c r="C1688" s="2" t="str">
        <v/>
      </c>
      <c r="D1688" s="2"/>
      <c r="E1688" s="2"/>
      <c r="F1688" s="2"/>
      <c r="G1688" s="2"/>
      <c r="H1688" s="2"/>
    </row>
    <row r="1689" spans="1:8" ht="15.75" customHeight="1">
      <c r="A1689" s="2"/>
      <c r="B1689" s="2"/>
      <c r="C1689" s="2" t="str">
        <v/>
      </c>
      <c r="D1689" s="2"/>
      <c r="E1689" s="2"/>
      <c r="F1689" s="2"/>
      <c r="G1689" s="2"/>
      <c r="H1689" s="2"/>
    </row>
    <row r="1690" spans="1:8" ht="15.75" customHeight="1">
      <c r="A1690" s="2"/>
      <c r="B1690" s="2"/>
      <c r="C1690" s="2" t="str">
        <v/>
      </c>
      <c r="D1690" s="2"/>
      <c r="E1690" s="2"/>
      <c r="F1690" s="2"/>
      <c r="G1690" s="2"/>
      <c r="H1690" s="2"/>
    </row>
    <row r="1691" spans="1:8" ht="15.75" customHeight="1">
      <c r="A1691" s="2"/>
      <c r="B1691" s="2"/>
      <c r="C1691" s="2" t="str">
        <v/>
      </c>
      <c r="D1691" s="2"/>
      <c r="E1691" s="2"/>
      <c r="F1691" s="2"/>
      <c r="G1691" s="2"/>
      <c r="H1691" s="2"/>
    </row>
    <row r="1692" spans="1:8" ht="15.75" customHeight="1">
      <c r="A1692" s="2"/>
      <c r="B1692" s="2"/>
      <c r="C1692" s="2" t="str">
        <v/>
      </c>
      <c r="D1692" s="2"/>
      <c r="E1692" s="2"/>
      <c r="F1692" s="2"/>
      <c r="G1692" s="2"/>
      <c r="H1692" s="2"/>
    </row>
    <row r="1693" spans="1:8" ht="15.75" customHeight="1">
      <c r="A1693" s="2"/>
      <c r="B1693" s="2"/>
      <c r="C1693" s="2" t="str">
        <v/>
      </c>
      <c r="D1693" s="2"/>
      <c r="E1693" s="2"/>
      <c r="F1693" s="2"/>
      <c r="G1693" s="2"/>
      <c r="H1693" s="2"/>
    </row>
    <row r="1694" spans="1:8" ht="15.75" customHeight="1">
      <c r="A1694" s="2"/>
      <c r="B1694" s="2"/>
      <c r="C1694" s="2" t="str">
        <v/>
      </c>
      <c r="D1694" s="2"/>
      <c r="E1694" s="2"/>
      <c r="F1694" s="2"/>
      <c r="G1694" s="2"/>
      <c r="H1694" s="2"/>
    </row>
    <row r="1695" spans="1:8" ht="15.75" customHeight="1">
      <c r="A1695" s="2"/>
      <c r="B1695" s="2"/>
      <c r="C1695" s="2" t="str">
        <v/>
      </c>
      <c r="D1695" s="2"/>
      <c r="E1695" s="2"/>
      <c r="F1695" s="2"/>
      <c r="G1695" s="2"/>
      <c r="H1695" s="2"/>
    </row>
    <row r="1696" spans="1:8" ht="15.75" customHeight="1">
      <c r="A1696" s="2"/>
      <c r="B1696" s="2"/>
      <c r="C1696" s="2" t="str">
        <v/>
      </c>
      <c r="D1696" s="2"/>
      <c r="E1696" s="2"/>
      <c r="F1696" s="2"/>
      <c r="G1696" s="2"/>
      <c r="H1696" s="2"/>
    </row>
    <row r="1697" spans="1:8" ht="15.75" customHeight="1">
      <c r="A1697" s="2"/>
      <c r="B1697" s="2"/>
      <c r="C1697" s="2" t="str">
        <v/>
      </c>
      <c r="D1697" s="2"/>
      <c r="E1697" s="2"/>
      <c r="F1697" s="2"/>
      <c r="G1697" s="2"/>
      <c r="H1697" s="2"/>
    </row>
    <row r="1698" spans="1:8" ht="15.75" customHeight="1">
      <c r="A1698" s="2"/>
      <c r="B1698" s="2"/>
      <c r="C1698" s="2" t="str">
        <v/>
      </c>
      <c r="D1698" s="2"/>
      <c r="E1698" s="2"/>
      <c r="F1698" s="2"/>
      <c r="G1698" s="2"/>
      <c r="H1698" s="2"/>
    </row>
    <row r="1699" spans="1:8" ht="15.75" customHeight="1">
      <c r="A1699" s="2"/>
      <c r="B1699" s="2"/>
      <c r="C1699" s="2" t="str">
        <v/>
      </c>
      <c r="D1699" s="2"/>
      <c r="E1699" s="2"/>
      <c r="F1699" s="2"/>
      <c r="G1699" s="2"/>
      <c r="H1699" s="2"/>
    </row>
    <row r="1700" spans="1:8" ht="15.75" customHeight="1">
      <c r="A1700" s="2"/>
      <c r="B1700" s="2"/>
      <c r="C1700" s="2" t="str">
        <v/>
      </c>
      <c r="D1700" s="2"/>
      <c r="E1700" s="2"/>
      <c r="F1700" s="2"/>
      <c r="G1700" s="2"/>
      <c r="H1700" s="2"/>
    </row>
    <row r="1701" spans="1:8" ht="15.75" customHeight="1">
      <c r="A1701" s="2"/>
      <c r="B1701" s="2"/>
      <c r="C1701" s="2" t="str">
        <v/>
      </c>
      <c r="D1701" s="2"/>
      <c r="E1701" s="2"/>
      <c r="F1701" s="2"/>
      <c r="G1701" s="2"/>
      <c r="H1701" s="2"/>
    </row>
    <row r="1702" spans="1:8" ht="15.75" customHeight="1">
      <c r="A1702" s="2"/>
      <c r="B1702" s="2"/>
      <c r="C1702" s="2" t="str">
        <v/>
      </c>
      <c r="D1702" s="2"/>
      <c r="E1702" s="2"/>
      <c r="F1702" s="2"/>
      <c r="G1702" s="2"/>
      <c r="H1702" s="2"/>
    </row>
    <row r="1703" spans="1:8" ht="15.75" customHeight="1">
      <c r="A1703" s="2"/>
      <c r="B1703" s="2"/>
      <c r="C1703" s="2" t="str">
        <v/>
      </c>
      <c r="D1703" s="2"/>
      <c r="E1703" s="2"/>
      <c r="F1703" s="2"/>
      <c r="G1703" s="2"/>
      <c r="H1703" s="2"/>
    </row>
    <row r="1704" spans="1:8" ht="15.75" customHeight="1">
      <c r="A1704" s="2"/>
      <c r="B1704" s="2"/>
      <c r="C1704" s="2" t="str">
        <v/>
      </c>
      <c r="D1704" s="2"/>
      <c r="E1704" s="2"/>
      <c r="F1704" s="2"/>
      <c r="G1704" s="2"/>
      <c r="H1704" s="2"/>
    </row>
    <row r="1705" spans="1:8" ht="15.75" customHeight="1">
      <c r="A1705" s="2"/>
      <c r="B1705" s="2"/>
      <c r="C1705" s="2" t="str">
        <v/>
      </c>
      <c r="D1705" s="2"/>
      <c r="E1705" s="2"/>
      <c r="F1705" s="2"/>
      <c r="G1705" s="2"/>
      <c r="H1705" s="2"/>
    </row>
    <row r="1706" spans="1:8" ht="15.75" customHeight="1">
      <c r="A1706" s="2"/>
      <c r="B1706" s="2"/>
      <c r="C1706" s="2" t="str">
        <v/>
      </c>
      <c r="D1706" s="2"/>
      <c r="E1706" s="2"/>
      <c r="F1706" s="2"/>
      <c r="G1706" s="2"/>
      <c r="H1706" s="2"/>
    </row>
    <row r="1707" spans="1:8" ht="15.75" customHeight="1">
      <c r="A1707" s="2"/>
      <c r="B1707" s="2"/>
      <c r="C1707" s="2" t="str">
        <v/>
      </c>
      <c r="D1707" s="2"/>
      <c r="E1707" s="2"/>
      <c r="F1707" s="2"/>
      <c r="G1707" s="2"/>
      <c r="H1707" s="2"/>
    </row>
    <row r="1708" spans="1:8" ht="15.75" customHeight="1">
      <c r="A1708" s="2"/>
      <c r="B1708" s="2"/>
      <c r="C1708" s="2" t="str">
        <v/>
      </c>
      <c r="D1708" s="2"/>
      <c r="E1708" s="2"/>
      <c r="F1708" s="2"/>
      <c r="G1708" s="2"/>
      <c r="H1708" s="2"/>
    </row>
    <row r="1709" spans="1:8" ht="15.75" customHeight="1">
      <c r="A1709" s="2"/>
      <c r="B1709" s="2"/>
      <c r="C1709" s="2" t="str">
        <v/>
      </c>
      <c r="D1709" s="2"/>
      <c r="E1709" s="2"/>
      <c r="F1709" s="2"/>
      <c r="G1709" s="2"/>
      <c r="H1709" s="2"/>
    </row>
    <row r="1710" spans="1:8" ht="15.75" customHeight="1">
      <c r="A1710" s="2"/>
      <c r="B1710" s="2"/>
      <c r="C1710" s="2" t="str">
        <v/>
      </c>
      <c r="D1710" s="2"/>
      <c r="E1710" s="2"/>
      <c r="F1710" s="2"/>
      <c r="G1710" s="2"/>
      <c r="H1710" s="2"/>
    </row>
    <row r="1711" spans="1:8" ht="15.75" customHeight="1">
      <c r="A1711" s="2"/>
      <c r="B1711" s="2"/>
      <c r="C1711" s="2" t="str">
        <v/>
      </c>
      <c r="D1711" s="2"/>
      <c r="E1711" s="2"/>
      <c r="F1711" s="2"/>
      <c r="G1711" s="2"/>
      <c r="H1711" s="2"/>
    </row>
    <row r="1712" spans="1:8" ht="15.75" customHeight="1">
      <c r="A1712" s="2"/>
      <c r="B1712" s="2"/>
      <c r="C1712" s="2" t="str">
        <v/>
      </c>
      <c r="D1712" s="2"/>
      <c r="E1712" s="2"/>
      <c r="F1712" s="2"/>
      <c r="G1712" s="2"/>
      <c r="H1712" s="2"/>
    </row>
    <row r="1713" spans="1:8" ht="15.75" customHeight="1">
      <c r="A1713" s="2"/>
      <c r="B1713" s="2"/>
      <c r="C1713" s="2" t="str">
        <v/>
      </c>
      <c r="D1713" s="2"/>
      <c r="E1713" s="2"/>
      <c r="F1713" s="2"/>
      <c r="G1713" s="2"/>
      <c r="H1713" s="2"/>
    </row>
    <row r="1714" spans="1:8" ht="15.75" customHeight="1">
      <c r="A1714" s="2"/>
      <c r="B1714" s="2"/>
      <c r="C1714" s="2" t="str">
        <v/>
      </c>
      <c r="D1714" s="2"/>
      <c r="E1714" s="2"/>
      <c r="F1714" s="2"/>
      <c r="G1714" s="2"/>
      <c r="H1714" s="2"/>
    </row>
    <row r="1715" spans="1:8" ht="15.75" customHeight="1">
      <c r="A1715" s="2"/>
      <c r="B1715" s="2"/>
      <c r="C1715" s="2" t="str">
        <v/>
      </c>
      <c r="D1715" s="2"/>
      <c r="E1715" s="2"/>
      <c r="F1715" s="2"/>
      <c r="G1715" s="2"/>
      <c r="H1715" s="2"/>
    </row>
    <row r="1716" spans="1:8" ht="15.75" customHeight="1">
      <c r="A1716" s="2"/>
      <c r="B1716" s="2"/>
      <c r="C1716" s="2" t="str">
        <v/>
      </c>
      <c r="D1716" s="2"/>
      <c r="E1716" s="2"/>
      <c r="F1716" s="2"/>
      <c r="G1716" s="2"/>
      <c r="H1716" s="2"/>
    </row>
    <row r="1717" spans="1:8" ht="15.75" customHeight="1">
      <c r="A1717" s="2"/>
      <c r="B1717" s="2"/>
      <c r="C1717" s="2" t="str">
        <v/>
      </c>
      <c r="D1717" s="2"/>
      <c r="E1717" s="2"/>
      <c r="F1717" s="2"/>
      <c r="G1717" s="2"/>
      <c r="H1717" s="2"/>
    </row>
    <row r="1718" spans="1:8" ht="15.75" customHeight="1">
      <c r="A1718" s="2"/>
      <c r="B1718" s="2"/>
      <c r="C1718" s="2" t="str">
        <v/>
      </c>
      <c r="D1718" s="2"/>
      <c r="E1718" s="2"/>
      <c r="F1718" s="2"/>
      <c r="G1718" s="2"/>
      <c r="H1718" s="2"/>
    </row>
    <row r="1719" spans="1:8" ht="15.75" customHeight="1">
      <c r="A1719" s="2"/>
      <c r="B1719" s="2"/>
      <c r="C1719" s="2" t="str">
        <v/>
      </c>
      <c r="D1719" s="2"/>
      <c r="E1719" s="2"/>
      <c r="F1719" s="2"/>
      <c r="G1719" s="2"/>
      <c r="H1719" s="2"/>
    </row>
    <row r="1720" spans="1:8" ht="15.75" customHeight="1">
      <c r="A1720" s="2"/>
      <c r="B1720" s="2"/>
      <c r="C1720" s="2" t="str">
        <v/>
      </c>
      <c r="D1720" s="2"/>
      <c r="E1720" s="2"/>
      <c r="F1720" s="2"/>
      <c r="G1720" s="2"/>
      <c r="H1720" s="2"/>
    </row>
    <row r="1721" spans="1:8" ht="15.75" customHeight="1">
      <c r="A1721" s="2"/>
      <c r="B1721" s="2"/>
      <c r="C1721" s="2" t="str">
        <v/>
      </c>
      <c r="D1721" s="2"/>
      <c r="E1721" s="2"/>
      <c r="F1721" s="2"/>
      <c r="G1721" s="2"/>
      <c r="H1721" s="2"/>
    </row>
    <row r="1722" spans="1:8" ht="15.75" customHeight="1">
      <c r="A1722" s="2"/>
      <c r="B1722" s="2"/>
      <c r="C1722" s="2" t="str">
        <v/>
      </c>
      <c r="D1722" s="2"/>
      <c r="E1722" s="2"/>
      <c r="F1722" s="2"/>
      <c r="G1722" s="2"/>
      <c r="H1722" s="2"/>
    </row>
    <row r="1723" spans="1:8" ht="15.75" customHeight="1">
      <c r="A1723" s="2"/>
      <c r="B1723" s="2"/>
      <c r="C1723" s="2" t="str">
        <v/>
      </c>
      <c r="D1723" s="2"/>
      <c r="E1723" s="2"/>
      <c r="F1723" s="2"/>
      <c r="G1723" s="2"/>
      <c r="H1723" s="2"/>
    </row>
    <row r="1724" spans="1:8" ht="15.75" customHeight="1">
      <c r="A1724" s="2"/>
      <c r="B1724" s="2"/>
      <c r="C1724" s="2" t="str">
        <v/>
      </c>
      <c r="D1724" s="2"/>
      <c r="E1724" s="2"/>
      <c r="F1724" s="2"/>
      <c r="G1724" s="2"/>
      <c r="H1724" s="2"/>
    </row>
    <row r="1725" spans="1:8" ht="15.75" customHeight="1">
      <c r="A1725" s="2"/>
      <c r="B1725" s="2"/>
      <c r="C1725" s="2" t="str">
        <v/>
      </c>
      <c r="D1725" s="2"/>
      <c r="E1725" s="2"/>
      <c r="F1725" s="2"/>
      <c r="G1725" s="2"/>
      <c r="H1725" s="2"/>
    </row>
    <row r="1726" spans="1:8" ht="15.75" customHeight="1">
      <c r="A1726" s="2"/>
      <c r="B1726" s="2"/>
      <c r="C1726" s="2" t="str">
        <v/>
      </c>
      <c r="D1726" s="2"/>
      <c r="E1726" s="2"/>
      <c r="F1726" s="2"/>
      <c r="G1726" s="2"/>
      <c r="H1726" s="2"/>
    </row>
    <row r="1727" spans="1:8" ht="15.75" customHeight="1">
      <c r="A1727" s="2"/>
      <c r="B1727" s="2"/>
      <c r="C1727" s="2" t="str">
        <v/>
      </c>
      <c r="D1727" s="2"/>
      <c r="E1727" s="2"/>
      <c r="F1727" s="2"/>
      <c r="G1727" s="2"/>
      <c r="H1727" s="2"/>
    </row>
    <row r="1728" spans="1:8" ht="15.75" customHeight="1">
      <c r="A1728" s="2"/>
      <c r="B1728" s="2"/>
      <c r="C1728" s="2" t="str">
        <v/>
      </c>
      <c r="D1728" s="2"/>
      <c r="E1728" s="2"/>
      <c r="F1728" s="2"/>
      <c r="G1728" s="2"/>
      <c r="H1728" s="2"/>
    </row>
    <row r="1729" spans="1:8" ht="15.75" customHeight="1">
      <c r="A1729" s="2"/>
      <c r="B1729" s="2"/>
      <c r="C1729" s="2" t="str">
        <v/>
      </c>
      <c r="D1729" s="2"/>
      <c r="E1729" s="2"/>
      <c r="F1729" s="2"/>
      <c r="G1729" s="2"/>
      <c r="H1729" s="2"/>
    </row>
    <row r="1730" spans="1:8" ht="15.75" customHeight="1">
      <c r="A1730" s="2"/>
      <c r="B1730" s="2"/>
      <c r="C1730" s="2" t="str">
        <v/>
      </c>
      <c r="D1730" s="2"/>
      <c r="E1730" s="2"/>
      <c r="F1730" s="2"/>
      <c r="G1730" s="2"/>
      <c r="H1730" s="2"/>
    </row>
    <row r="1731" spans="1:8" ht="15.75" customHeight="1">
      <c r="A1731" s="2"/>
      <c r="B1731" s="2"/>
      <c r="C1731" s="2" t="str">
        <v/>
      </c>
      <c r="D1731" s="2"/>
      <c r="E1731" s="2"/>
      <c r="F1731" s="2"/>
      <c r="G1731" s="2"/>
      <c r="H1731" s="2"/>
    </row>
    <row r="1732" spans="1:8" ht="15.75" customHeight="1">
      <c r="A1732" s="2"/>
      <c r="B1732" s="2"/>
      <c r="C1732" s="2" t="str">
        <v/>
      </c>
      <c r="D1732" s="2"/>
      <c r="E1732" s="2"/>
      <c r="F1732" s="2"/>
      <c r="G1732" s="2"/>
      <c r="H1732" s="2"/>
    </row>
    <row r="1733" spans="1:8" ht="15.75" customHeight="1">
      <c r="A1733" s="2"/>
      <c r="B1733" s="2"/>
      <c r="C1733" s="2" t="str">
        <v/>
      </c>
      <c r="D1733" s="2"/>
      <c r="E1733" s="2"/>
      <c r="F1733" s="2"/>
      <c r="G1733" s="2"/>
      <c r="H1733" s="2"/>
    </row>
    <row r="1734" spans="1:8" ht="15.75" customHeight="1">
      <c r="A1734" s="2"/>
      <c r="B1734" s="2"/>
      <c r="C1734" s="2" t="str">
        <v/>
      </c>
      <c r="D1734" s="2"/>
      <c r="E1734" s="2"/>
      <c r="F1734" s="2"/>
      <c r="G1734" s="2"/>
      <c r="H1734" s="2"/>
    </row>
    <row r="1735" spans="1:8" ht="15.75" customHeight="1">
      <c r="A1735" s="2"/>
      <c r="B1735" s="2"/>
      <c r="C1735" s="2" t="str">
        <v/>
      </c>
      <c r="D1735" s="2"/>
      <c r="E1735" s="2"/>
      <c r="F1735" s="2"/>
      <c r="G1735" s="2"/>
      <c r="H1735" s="2"/>
    </row>
    <row r="1736" spans="1:8" ht="15.75" customHeight="1">
      <c r="A1736" s="2"/>
      <c r="B1736" s="2"/>
      <c r="C1736" s="2" t="str">
        <v/>
      </c>
      <c r="D1736" s="2"/>
      <c r="E1736" s="2"/>
      <c r="F1736" s="2"/>
      <c r="G1736" s="2"/>
      <c r="H1736" s="2"/>
    </row>
    <row r="1737" spans="1:8" ht="15.75" customHeight="1">
      <c r="A1737" s="2"/>
      <c r="B1737" s="2"/>
      <c r="C1737" s="2" t="str">
        <v/>
      </c>
      <c r="D1737" s="2"/>
      <c r="E1737" s="2"/>
      <c r="F1737" s="2"/>
      <c r="G1737" s="2"/>
      <c r="H1737" s="2"/>
    </row>
    <row r="1738" spans="1:8" ht="15.75" customHeight="1">
      <c r="A1738" s="2"/>
      <c r="B1738" s="2"/>
      <c r="C1738" s="2" t="str">
        <v/>
      </c>
      <c r="D1738" s="2"/>
      <c r="E1738" s="2"/>
      <c r="F1738" s="2"/>
      <c r="G1738" s="2"/>
      <c r="H1738" s="2"/>
    </row>
    <row r="1739" spans="1:8" ht="15.75" customHeight="1">
      <c r="A1739" s="2"/>
      <c r="B1739" s="2"/>
      <c r="C1739" s="2" t="str">
        <v/>
      </c>
      <c r="D1739" s="2"/>
      <c r="E1739" s="2"/>
      <c r="F1739" s="2"/>
      <c r="G1739" s="2"/>
      <c r="H1739" s="2"/>
    </row>
    <row r="1740" spans="1:8" ht="15.75" customHeight="1">
      <c r="A1740" s="2"/>
      <c r="B1740" s="2"/>
      <c r="C1740" s="2" t="str">
        <v/>
      </c>
      <c r="D1740" s="2"/>
      <c r="E1740" s="2"/>
      <c r="F1740" s="2"/>
      <c r="G1740" s="2"/>
      <c r="H1740" s="2"/>
    </row>
    <row r="1741" spans="1:8" ht="15.75" customHeight="1">
      <c r="A1741" s="2"/>
      <c r="B1741" s="2"/>
      <c r="C1741" s="2" t="str">
        <v/>
      </c>
      <c r="D1741" s="2"/>
      <c r="E1741" s="2"/>
      <c r="F1741" s="2"/>
      <c r="G1741" s="2"/>
      <c r="H1741" s="2"/>
    </row>
    <row r="1742" spans="1:8" ht="15.75" customHeight="1">
      <c r="A1742" s="2"/>
      <c r="B1742" s="2"/>
      <c r="C1742" s="2" t="str">
        <v/>
      </c>
      <c r="D1742" s="2"/>
      <c r="E1742" s="2"/>
      <c r="F1742" s="2"/>
      <c r="G1742" s="2"/>
      <c r="H1742" s="2"/>
    </row>
    <row r="1743" spans="1:8" ht="15.75" customHeight="1">
      <c r="A1743" s="2"/>
      <c r="B1743" s="2"/>
      <c r="C1743" s="2" t="str">
        <v/>
      </c>
      <c r="D1743" s="2"/>
      <c r="E1743" s="2"/>
      <c r="F1743" s="2"/>
      <c r="G1743" s="2"/>
      <c r="H1743" s="2"/>
    </row>
    <row r="1744" spans="1:8" ht="15.75" customHeight="1">
      <c r="A1744" s="2"/>
      <c r="B1744" s="2"/>
      <c r="C1744" s="2" t="str">
        <v/>
      </c>
      <c r="D1744" s="2"/>
      <c r="E1744" s="2"/>
      <c r="F1744" s="2"/>
      <c r="G1744" s="2"/>
      <c r="H1744" s="2"/>
    </row>
    <row r="1745" spans="1:8" ht="15.75" customHeight="1">
      <c r="A1745" s="2"/>
      <c r="B1745" s="2"/>
      <c r="C1745" s="2" t="str">
        <v/>
      </c>
      <c r="D1745" s="2"/>
      <c r="E1745" s="2"/>
      <c r="F1745" s="2"/>
      <c r="G1745" s="2"/>
      <c r="H1745" s="2"/>
    </row>
    <row r="1746" spans="1:8" ht="15.75" customHeight="1">
      <c r="A1746" s="2"/>
      <c r="B1746" s="2"/>
      <c r="C1746" s="2" t="str">
        <v/>
      </c>
      <c r="D1746" s="2"/>
      <c r="E1746" s="2"/>
      <c r="F1746" s="2"/>
      <c r="G1746" s="2"/>
      <c r="H1746" s="2"/>
    </row>
    <row r="1747" spans="1:8" ht="15.75" customHeight="1">
      <c r="A1747" s="2"/>
      <c r="B1747" s="2"/>
      <c r="C1747" s="2" t="str">
        <v/>
      </c>
      <c r="D1747" s="2"/>
      <c r="E1747" s="2"/>
      <c r="F1747" s="2"/>
      <c r="G1747" s="2"/>
      <c r="H1747" s="2"/>
    </row>
    <row r="1748" spans="1:8" ht="15.75" customHeight="1">
      <c r="A1748" s="2"/>
      <c r="B1748" s="2"/>
      <c r="C1748" s="2" t="str">
        <v/>
      </c>
      <c r="D1748" s="2"/>
      <c r="E1748" s="2"/>
      <c r="F1748" s="2"/>
      <c r="G1748" s="2"/>
      <c r="H1748" s="2"/>
    </row>
    <row r="1749" spans="1:8" ht="15.75" customHeight="1">
      <c r="A1749" s="2"/>
      <c r="B1749" s="2"/>
      <c r="C1749" s="2" t="str">
        <v/>
      </c>
      <c r="D1749" s="2"/>
      <c r="E1749" s="2"/>
      <c r="F1749" s="2"/>
      <c r="G1749" s="2"/>
      <c r="H1749" s="2"/>
    </row>
    <row r="1750" spans="1:8" ht="15.75" customHeight="1">
      <c r="A1750" s="2"/>
      <c r="B1750" s="2"/>
      <c r="C1750" s="2" t="str">
        <v/>
      </c>
      <c r="D1750" s="2"/>
      <c r="E1750" s="2"/>
      <c r="F1750" s="2"/>
      <c r="G1750" s="2"/>
      <c r="H1750" s="2"/>
    </row>
    <row r="1751" spans="1:8" ht="15.75" customHeight="1">
      <c r="A1751" s="2"/>
      <c r="B1751" s="2"/>
      <c r="C1751" s="2" t="str">
        <v/>
      </c>
      <c r="D1751" s="2"/>
      <c r="E1751" s="2"/>
      <c r="F1751" s="2"/>
      <c r="G1751" s="2"/>
      <c r="H1751" s="2"/>
    </row>
    <row r="1752" spans="1:8" ht="15.75" customHeight="1">
      <c r="A1752" s="2"/>
      <c r="B1752" s="2"/>
      <c r="C1752" s="2" t="str">
        <v/>
      </c>
      <c r="D1752" s="2"/>
      <c r="E1752" s="2"/>
      <c r="F1752" s="2"/>
      <c r="G1752" s="2"/>
      <c r="H1752" s="2"/>
    </row>
    <row r="1753" spans="1:8" ht="15.75" customHeight="1">
      <c r="A1753" s="2"/>
      <c r="B1753" s="2"/>
      <c r="C1753" s="2" t="str">
        <v/>
      </c>
      <c r="D1753" s="2"/>
      <c r="E1753" s="2"/>
      <c r="F1753" s="2"/>
      <c r="G1753" s="2"/>
      <c r="H1753" s="2"/>
    </row>
    <row r="1754" spans="1:8" ht="15.75" customHeight="1">
      <c r="A1754" s="2"/>
      <c r="B1754" s="2"/>
      <c r="C1754" s="2" t="str">
        <v/>
      </c>
      <c r="D1754" s="2"/>
      <c r="E1754" s="2"/>
      <c r="F1754" s="2"/>
      <c r="G1754" s="2"/>
      <c r="H1754" s="2"/>
    </row>
    <row r="1755" spans="1:8" ht="15.75" customHeight="1">
      <c r="A1755" s="2"/>
      <c r="B1755" s="2"/>
      <c r="C1755" s="2" t="str">
        <v/>
      </c>
      <c r="D1755" s="2"/>
      <c r="E1755" s="2"/>
      <c r="F1755" s="2"/>
      <c r="G1755" s="2"/>
      <c r="H1755" s="2"/>
    </row>
    <row r="1756" spans="1:8" ht="15.75" customHeight="1">
      <c r="A1756" s="2"/>
      <c r="B1756" s="2"/>
      <c r="C1756" s="2" t="str">
        <v/>
      </c>
      <c r="D1756" s="2"/>
      <c r="E1756" s="2"/>
      <c r="F1756" s="2"/>
      <c r="G1756" s="2"/>
      <c r="H1756" s="2"/>
    </row>
    <row r="1757" spans="1:8" ht="15.75" customHeight="1">
      <c r="A1757" s="2"/>
      <c r="B1757" s="2"/>
      <c r="C1757" s="2" t="str">
        <v/>
      </c>
      <c r="D1757" s="2"/>
      <c r="E1757" s="2"/>
      <c r="F1757" s="2"/>
      <c r="G1757" s="2"/>
      <c r="H1757" s="2"/>
    </row>
    <row r="1758" spans="1:8" ht="15.75" customHeight="1">
      <c r="A1758" s="2"/>
      <c r="B1758" s="2"/>
      <c r="C1758" s="2" t="str">
        <v/>
      </c>
      <c r="D1758" s="2"/>
      <c r="E1758" s="2"/>
      <c r="F1758" s="2"/>
      <c r="G1758" s="2"/>
      <c r="H1758" s="2"/>
    </row>
    <row r="1759" spans="1:8" ht="15.75" customHeight="1">
      <c r="A1759" s="2"/>
      <c r="B1759" s="2"/>
      <c r="C1759" s="2" t="str">
        <v/>
      </c>
      <c r="D1759" s="2"/>
      <c r="E1759" s="2"/>
      <c r="F1759" s="2"/>
      <c r="G1759" s="2"/>
      <c r="H1759" s="2"/>
    </row>
    <row r="1760" spans="1:8" ht="15.75" customHeight="1">
      <c r="A1760" s="2"/>
      <c r="B1760" s="2"/>
      <c r="C1760" s="2" t="str">
        <v/>
      </c>
      <c r="D1760" s="2"/>
      <c r="E1760" s="2"/>
      <c r="F1760" s="2"/>
      <c r="G1760" s="2"/>
      <c r="H1760" s="2"/>
    </row>
    <row r="1761" spans="1:8" ht="15.75" customHeight="1">
      <c r="A1761" s="2"/>
      <c r="B1761" s="2"/>
      <c r="C1761" s="2" t="str">
        <v/>
      </c>
      <c r="D1761" s="2"/>
      <c r="E1761" s="2"/>
      <c r="F1761" s="2"/>
      <c r="G1761" s="2"/>
      <c r="H1761" s="2"/>
    </row>
    <row r="1762" spans="1:8" ht="15.75" customHeight="1">
      <c r="A1762" s="2"/>
      <c r="B1762" s="2"/>
      <c r="C1762" s="2" t="str">
        <v/>
      </c>
      <c r="D1762" s="2"/>
      <c r="E1762" s="2"/>
      <c r="F1762" s="2"/>
      <c r="G1762" s="2"/>
      <c r="H1762" s="2"/>
    </row>
    <row r="1763" spans="1:8" ht="15.75" customHeight="1">
      <c r="A1763" s="2"/>
      <c r="B1763" s="2"/>
      <c r="C1763" s="2" t="str">
        <v/>
      </c>
      <c r="D1763" s="2"/>
      <c r="E1763" s="2"/>
      <c r="F1763" s="2"/>
      <c r="G1763" s="2"/>
      <c r="H1763" s="2"/>
    </row>
    <row r="1764" spans="1:8" ht="15.75" customHeight="1">
      <c r="A1764" s="2"/>
      <c r="B1764" s="2"/>
      <c r="C1764" s="2" t="str">
        <v/>
      </c>
      <c r="D1764" s="2"/>
      <c r="E1764" s="2"/>
      <c r="F1764" s="2"/>
      <c r="G1764" s="2"/>
      <c r="H1764" s="2"/>
    </row>
    <row r="1765" spans="1:8" ht="15.75" customHeight="1">
      <c r="A1765" s="2"/>
      <c r="B1765" s="2"/>
      <c r="C1765" s="2" t="str">
        <v/>
      </c>
      <c r="D1765" s="2"/>
      <c r="E1765" s="2"/>
      <c r="F1765" s="2"/>
      <c r="G1765" s="2"/>
      <c r="H1765" s="2"/>
    </row>
    <row r="1766" spans="1:8" ht="15.75" customHeight="1">
      <c r="A1766" s="2"/>
      <c r="B1766" s="2"/>
      <c r="C1766" s="2" t="str">
        <v/>
      </c>
      <c r="D1766" s="2"/>
      <c r="E1766" s="2"/>
      <c r="F1766" s="2"/>
      <c r="G1766" s="2"/>
      <c r="H1766" s="2"/>
    </row>
    <row r="1767" spans="1:8" ht="15.75" customHeight="1">
      <c r="A1767" s="2"/>
      <c r="B1767" s="2"/>
      <c r="C1767" s="2" t="str">
        <v/>
      </c>
      <c r="D1767" s="2"/>
      <c r="E1767" s="2"/>
      <c r="F1767" s="2"/>
      <c r="G1767" s="2"/>
      <c r="H1767" s="2"/>
    </row>
    <row r="1768" spans="1:8" ht="15.75" customHeight="1">
      <c r="A1768" s="2"/>
      <c r="B1768" s="2"/>
      <c r="C1768" s="2" t="str">
        <v/>
      </c>
      <c r="D1768" s="2"/>
      <c r="E1768" s="2"/>
      <c r="F1768" s="2"/>
      <c r="G1768" s="2"/>
      <c r="H1768" s="2"/>
    </row>
    <row r="1769" spans="1:8" ht="15.75" customHeight="1">
      <c r="A1769" s="2"/>
      <c r="B1769" s="2"/>
      <c r="C1769" s="2" t="str">
        <v/>
      </c>
      <c r="D1769" s="2"/>
      <c r="E1769" s="2"/>
      <c r="F1769" s="2"/>
      <c r="G1769" s="2"/>
      <c r="H1769" s="2"/>
    </row>
    <row r="1770" spans="1:8" ht="15.75" customHeight="1">
      <c r="A1770" s="2"/>
      <c r="B1770" s="2"/>
      <c r="C1770" s="2" t="str">
        <v/>
      </c>
      <c r="D1770" s="2"/>
      <c r="E1770" s="2"/>
      <c r="F1770" s="2"/>
      <c r="G1770" s="2"/>
      <c r="H1770" s="2"/>
    </row>
    <row r="1771" spans="1:8" ht="15.75" customHeight="1">
      <c r="A1771" s="2"/>
      <c r="B1771" s="2"/>
      <c r="C1771" s="2" t="str">
        <v/>
      </c>
      <c r="D1771" s="2"/>
      <c r="E1771" s="2"/>
      <c r="F1771" s="2"/>
      <c r="G1771" s="2"/>
      <c r="H1771" s="2"/>
    </row>
    <row r="1772" spans="1:8" ht="15.75" customHeight="1">
      <c r="A1772" s="2"/>
      <c r="B1772" s="2"/>
      <c r="C1772" s="2" t="str">
        <v/>
      </c>
      <c r="D1772" s="2"/>
      <c r="E1772" s="2"/>
      <c r="F1772" s="2"/>
      <c r="G1772" s="2"/>
      <c r="H1772" s="2"/>
    </row>
    <row r="1773" spans="1:8" ht="15.75" customHeight="1">
      <c r="A1773" s="2"/>
      <c r="B1773" s="2"/>
      <c r="C1773" s="2" t="str">
        <v/>
      </c>
      <c r="D1773" s="2"/>
      <c r="E1773" s="2"/>
      <c r="F1773" s="2"/>
      <c r="G1773" s="2"/>
      <c r="H1773" s="2"/>
    </row>
    <row r="1774" spans="1:8" ht="15.75" customHeight="1">
      <c r="A1774" s="2"/>
      <c r="B1774" s="2"/>
      <c r="C1774" s="2" t="str">
        <v/>
      </c>
      <c r="D1774" s="2"/>
      <c r="E1774" s="2"/>
      <c r="F1774" s="2"/>
      <c r="G1774" s="2"/>
      <c r="H1774" s="2"/>
    </row>
    <row r="1775" spans="1:8" ht="15.75" customHeight="1">
      <c r="A1775" s="2"/>
      <c r="B1775" s="2"/>
      <c r="C1775" s="2" t="str">
        <v/>
      </c>
      <c r="D1775" s="2"/>
      <c r="E1775" s="2"/>
      <c r="F1775" s="2"/>
      <c r="G1775" s="2"/>
      <c r="H1775" s="2"/>
    </row>
    <row r="1776" spans="1:8" ht="15.75" customHeight="1">
      <c r="A1776" s="2"/>
      <c r="B1776" s="2"/>
      <c r="C1776" s="2" t="str">
        <v/>
      </c>
      <c r="D1776" s="2"/>
      <c r="E1776" s="2"/>
      <c r="F1776" s="2"/>
      <c r="G1776" s="2"/>
      <c r="H1776" s="2"/>
    </row>
    <row r="1777" spans="1:8" ht="15.75" customHeight="1">
      <c r="A1777" s="2"/>
      <c r="B1777" s="2"/>
      <c r="C1777" s="2" t="str">
        <v/>
      </c>
      <c r="D1777" s="2"/>
      <c r="E1777" s="2"/>
      <c r="F1777" s="2"/>
      <c r="G1777" s="2"/>
      <c r="H1777" s="2"/>
    </row>
    <row r="1778" spans="1:8" ht="15.75" customHeight="1">
      <c r="A1778" s="2"/>
      <c r="B1778" s="2"/>
      <c r="C1778" s="2" t="str">
        <v/>
      </c>
      <c r="D1778" s="2"/>
      <c r="E1778" s="2"/>
      <c r="F1778" s="2"/>
      <c r="G1778" s="2"/>
      <c r="H1778" s="2"/>
    </row>
    <row r="1779" spans="1:8" ht="15.75" customHeight="1">
      <c r="A1779" s="2"/>
      <c r="B1779" s="2"/>
      <c r="C1779" s="2" t="str">
        <v/>
      </c>
      <c r="D1779" s="2"/>
      <c r="E1779" s="2"/>
      <c r="F1779" s="2"/>
      <c r="G1779" s="2"/>
      <c r="H1779" s="2"/>
    </row>
    <row r="1780" spans="1:8" ht="15.75" customHeight="1">
      <c r="A1780" s="2"/>
      <c r="B1780" s="2"/>
      <c r="C1780" s="2" t="str">
        <v/>
      </c>
      <c r="D1780" s="2"/>
      <c r="E1780" s="2"/>
      <c r="F1780" s="2"/>
      <c r="G1780" s="2"/>
      <c r="H1780" s="2"/>
    </row>
    <row r="1781" spans="1:8" ht="15.75" customHeight="1">
      <c r="A1781" s="2"/>
      <c r="B1781" s="2"/>
      <c r="C1781" s="2" t="str">
        <v/>
      </c>
      <c r="D1781" s="2"/>
      <c r="E1781" s="2"/>
      <c r="F1781" s="2"/>
      <c r="G1781" s="2"/>
      <c r="H1781" s="2"/>
    </row>
    <row r="1782" spans="1:8" ht="15.75" customHeight="1">
      <c r="A1782" s="2"/>
      <c r="B1782" s="2"/>
      <c r="C1782" s="2" t="str">
        <v/>
      </c>
      <c r="D1782" s="2"/>
      <c r="E1782" s="2"/>
      <c r="F1782" s="2"/>
      <c r="G1782" s="2"/>
      <c r="H1782" s="2"/>
    </row>
    <row r="1783" spans="1:8" ht="15.75" customHeight="1">
      <c r="A1783" s="2"/>
      <c r="B1783" s="2"/>
      <c r="C1783" s="2" t="str">
        <v/>
      </c>
      <c r="D1783" s="2"/>
      <c r="E1783" s="2"/>
      <c r="F1783" s="2"/>
      <c r="G1783" s="2"/>
      <c r="H1783" s="2"/>
    </row>
    <row r="1784" spans="1:8" ht="15.75" customHeight="1">
      <c r="A1784" s="2"/>
      <c r="B1784" s="2"/>
      <c r="C1784" s="2" t="str">
        <v/>
      </c>
      <c r="D1784" s="2"/>
      <c r="E1784" s="2"/>
      <c r="F1784" s="2"/>
      <c r="G1784" s="2"/>
      <c r="H1784" s="2"/>
    </row>
    <row r="1785" spans="1:8" ht="15.75" customHeight="1">
      <c r="A1785" s="2"/>
      <c r="B1785" s="2"/>
      <c r="C1785" s="2" t="str">
        <v/>
      </c>
      <c r="D1785" s="2"/>
      <c r="E1785" s="2"/>
      <c r="F1785" s="2"/>
      <c r="G1785" s="2"/>
      <c r="H1785" s="2"/>
    </row>
    <row r="1786" spans="1:8" ht="15.75" customHeight="1">
      <c r="A1786" s="2"/>
      <c r="B1786" s="2"/>
      <c r="C1786" s="2" t="str">
        <v/>
      </c>
      <c r="D1786" s="2"/>
      <c r="E1786" s="2"/>
      <c r="F1786" s="2"/>
      <c r="G1786" s="2"/>
      <c r="H1786" s="2"/>
    </row>
    <row r="1787" spans="1:8" ht="15.75" customHeight="1">
      <c r="A1787" s="2"/>
      <c r="B1787" s="2"/>
      <c r="C1787" s="2" t="str">
        <v/>
      </c>
      <c r="D1787" s="2"/>
      <c r="E1787" s="2"/>
      <c r="F1787" s="2"/>
      <c r="G1787" s="2"/>
      <c r="H1787" s="2"/>
    </row>
    <row r="1788" spans="1:8" ht="15.75" customHeight="1">
      <c r="A1788" s="2"/>
      <c r="B1788" s="2"/>
      <c r="C1788" s="2" t="str">
        <v/>
      </c>
      <c r="D1788" s="2"/>
      <c r="E1788" s="2"/>
      <c r="F1788" s="2"/>
      <c r="G1788" s="2"/>
      <c r="H1788" s="2"/>
    </row>
    <row r="1789" spans="1:8" ht="15.75" customHeight="1">
      <c r="A1789" s="2"/>
      <c r="B1789" s="2"/>
      <c r="C1789" s="2" t="str">
        <v/>
      </c>
      <c r="D1789" s="2"/>
      <c r="E1789" s="2"/>
      <c r="F1789" s="2"/>
      <c r="G1789" s="2"/>
      <c r="H1789" s="2"/>
    </row>
    <row r="1790" spans="1:8" ht="15.75" customHeight="1">
      <c r="A1790" s="2"/>
      <c r="B1790" s="2"/>
      <c r="C1790" s="2" t="str">
        <v/>
      </c>
      <c r="D1790" s="2"/>
      <c r="E1790" s="2"/>
      <c r="F1790" s="2"/>
      <c r="G1790" s="2"/>
      <c r="H1790" s="2"/>
    </row>
    <row r="1791" spans="1:8" ht="15.75" customHeight="1">
      <c r="A1791" s="2"/>
      <c r="B1791" s="2"/>
      <c r="C1791" s="2" t="str">
        <v/>
      </c>
      <c r="D1791" s="2"/>
      <c r="E1791" s="2"/>
      <c r="F1791" s="2"/>
      <c r="G1791" s="2"/>
      <c r="H1791" s="2"/>
    </row>
    <row r="1792" spans="1:8" ht="15.75" customHeight="1">
      <c r="A1792" s="2"/>
      <c r="B1792" s="2"/>
      <c r="C1792" s="2" t="str">
        <v/>
      </c>
      <c r="D1792" s="2"/>
      <c r="E1792" s="2"/>
      <c r="F1792" s="2"/>
      <c r="G1792" s="2"/>
      <c r="H1792" s="2"/>
    </row>
    <row r="1793" spans="1:8" ht="15.75" customHeight="1">
      <c r="A1793" s="2"/>
      <c r="B1793" s="2"/>
      <c r="C1793" s="2" t="str">
        <v/>
      </c>
      <c r="D1793" s="2"/>
      <c r="E1793" s="2"/>
      <c r="F1793" s="2"/>
      <c r="G1793" s="2"/>
      <c r="H1793" s="2"/>
    </row>
    <row r="1794" spans="1:8" ht="15.75" customHeight="1">
      <c r="A1794" s="2"/>
      <c r="B1794" s="2"/>
      <c r="C1794" s="2" t="str">
        <v/>
      </c>
      <c r="D1794" s="2"/>
      <c r="E1794" s="2"/>
      <c r="F1794" s="2"/>
      <c r="G1794" s="2"/>
      <c r="H1794" s="2"/>
    </row>
    <row r="1795" spans="1:8" ht="15.75" customHeight="1">
      <c r="A1795" s="2"/>
      <c r="B1795" s="2"/>
      <c r="C1795" s="2" t="str">
        <v/>
      </c>
      <c r="D1795" s="2"/>
      <c r="E1795" s="2"/>
      <c r="F1795" s="2"/>
      <c r="G1795" s="2"/>
      <c r="H1795" s="2"/>
    </row>
    <row r="1796" spans="1:8" ht="15.75" customHeight="1">
      <c r="A1796" s="2"/>
      <c r="B1796" s="2"/>
      <c r="C1796" s="2" t="str">
        <v/>
      </c>
      <c r="D1796" s="2"/>
      <c r="E1796" s="2"/>
      <c r="F1796" s="2"/>
      <c r="G1796" s="2"/>
      <c r="H1796" s="2"/>
    </row>
    <row r="1797" spans="1:8" ht="15.75" customHeight="1">
      <c r="A1797" s="2"/>
      <c r="B1797" s="2"/>
      <c r="C1797" s="2" t="str">
        <v/>
      </c>
      <c r="D1797" s="2"/>
      <c r="E1797" s="2"/>
      <c r="F1797" s="2"/>
      <c r="G1797" s="2"/>
      <c r="H1797" s="2"/>
    </row>
    <row r="1798" spans="1:8" ht="15.75" customHeight="1">
      <c r="A1798" s="2"/>
      <c r="B1798" s="2"/>
      <c r="C1798" s="2" t="str">
        <v/>
      </c>
      <c r="D1798" s="2"/>
      <c r="E1798" s="2"/>
      <c r="F1798" s="2"/>
      <c r="G1798" s="2"/>
      <c r="H1798" s="2"/>
    </row>
    <row r="1799" spans="1:8" ht="15.75" customHeight="1">
      <c r="A1799" s="2"/>
      <c r="B1799" s="2"/>
      <c r="C1799" s="2" t="str">
        <v/>
      </c>
      <c r="D1799" s="2"/>
      <c r="E1799" s="2"/>
      <c r="F1799" s="2"/>
      <c r="G1799" s="2"/>
      <c r="H1799" s="2"/>
    </row>
    <row r="1800" spans="1:8" ht="15.75" customHeight="1">
      <c r="A1800" s="2"/>
      <c r="B1800" s="2"/>
      <c r="C1800" s="2" t="str">
        <v/>
      </c>
      <c r="D1800" s="2"/>
      <c r="E1800" s="2"/>
      <c r="F1800" s="2"/>
      <c r="G1800" s="2"/>
      <c r="H1800" s="2"/>
    </row>
    <row r="1801" spans="1:8" ht="15.75" customHeight="1">
      <c r="A1801" s="2"/>
      <c r="B1801" s="2"/>
      <c r="C1801" s="2" t="str">
        <v/>
      </c>
      <c r="D1801" s="2"/>
      <c r="E1801" s="2"/>
      <c r="F1801" s="2"/>
      <c r="G1801" s="2"/>
      <c r="H1801" s="2"/>
    </row>
    <row r="1802" spans="1:8" ht="15.75" customHeight="1">
      <c r="A1802" s="2"/>
      <c r="B1802" s="2"/>
      <c r="C1802" s="2" t="str">
        <v/>
      </c>
      <c r="D1802" s="2"/>
      <c r="E1802" s="2"/>
      <c r="F1802" s="2"/>
      <c r="G1802" s="2"/>
      <c r="H1802" s="2"/>
    </row>
    <row r="1803" spans="1:8" ht="15.75" customHeight="1">
      <c r="A1803" s="2"/>
      <c r="B1803" s="2"/>
      <c r="C1803" s="2" t="str">
        <v/>
      </c>
      <c r="D1803" s="2"/>
      <c r="E1803" s="2"/>
      <c r="F1803" s="2"/>
      <c r="G1803" s="2"/>
      <c r="H1803" s="2"/>
    </row>
    <row r="1804" spans="1:8" ht="15.75" customHeight="1">
      <c r="A1804" s="2"/>
      <c r="B1804" s="2"/>
      <c r="C1804" s="2" t="str">
        <v/>
      </c>
      <c r="D1804" s="2"/>
      <c r="E1804" s="2"/>
      <c r="F1804" s="2"/>
      <c r="G1804" s="2"/>
      <c r="H1804" s="2"/>
    </row>
    <row r="1805" spans="1:8" ht="15.75" customHeight="1">
      <c r="A1805" s="2"/>
      <c r="B1805" s="2"/>
      <c r="C1805" s="2" t="str">
        <v/>
      </c>
      <c r="D1805" s="2"/>
      <c r="E1805" s="2"/>
      <c r="F1805" s="2"/>
      <c r="G1805" s="2"/>
      <c r="H1805" s="2"/>
    </row>
    <row r="1806" spans="1:8" ht="15.75" customHeight="1">
      <c r="A1806" s="2"/>
      <c r="B1806" s="2"/>
      <c r="C1806" s="2" t="str">
        <v/>
      </c>
      <c r="D1806" s="2"/>
      <c r="E1806" s="2"/>
      <c r="F1806" s="2"/>
      <c r="G1806" s="2"/>
      <c r="H1806" s="2"/>
    </row>
    <row r="1807" spans="1:8" ht="15.75" customHeight="1">
      <c r="A1807" s="2"/>
      <c r="B1807" s="2"/>
      <c r="C1807" s="2" t="str">
        <v/>
      </c>
      <c r="D1807" s="2"/>
      <c r="E1807" s="2"/>
      <c r="F1807" s="2"/>
      <c r="G1807" s="2"/>
      <c r="H1807" s="2"/>
    </row>
    <row r="1808" spans="1:8" ht="15.75" customHeight="1">
      <c r="A1808" s="2"/>
      <c r="B1808" s="2"/>
      <c r="C1808" s="2" t="str">
        <v/>
      </c>
      <c r="D1808" s="2"/>
      <c r="E1808" s="2"/>
      <c r="F1808" s="2"/>
      <c r="G1808" s="2"/>
      <c r="H1808" s="2"/>
    </row>
    <row r="1809" spans="1:8" ht="15.75" customHeight="1">
      <c r="A1809" s="2"/>
      <c r="B1809" s="2"/>
      <c r="C1809" s="2" t="str">
        <v/>
      </c>
      <c r="D1809" s="2"/>
      <c r="E1809" s="2"/>
      <c r="F1809" s="2"/>
      <c r="G1809" s="2"/>
      <c r="H1809" s="2"/>
    </row>
    <row r="1810" spans="1:8" ht="15.75" customHeight="1">
      <c r="A1810" s="2"/>
      <c r="B1810" s="2"/>
      <c r="C1810" s="2" t="str">
        <v/>
      </c>
      <c r="D1810" s="2"/>
      <c r="E1810" s="2"/>
      <c r="F1810" s="2"/>
      <c r="G1810" s="2"/>
      <c r="H1810" s="2"/>
    </row>
    <row r="1811" spans="1:8" ht="15.75" customHeight="1">
      <c r="A1811" s="2"/>
      <c r="B1811" s="2"/>
      <c r="C1811" s="2" t="str">
        <v/>
      </c>
      <c r="D1811" s="2"/>
      <c r="E1811" s="2"/>
      <c r="F1811" s="2"/>
      <c r="G1811" s="2"/>
      <c r="H1811" s="2"/>
    </row>
    <row r="1812" spans="1:8" ht="15.75" customHeight="1">
      <c r="A1812" s="2"/>
      <c r="B1812" s="2"/>
      <c r="C1812" s="2" t="str">
        <v/>
      </c>
      <c r="D1812" s="2"/>
      <c r="E1812" s="2"/>
      <c r="F1812" s="2"/>
      <c r="G1812" s="2"/>
      <c r="H1812" s="2"/>
    </row>
    <row r="1813" spans="1:8" ht="15.75" customHeight="1">
      <c r="A1813" s="2"/>
      <c r="B1813" s="2"/>
      <c r="C1813" s="2" t="str">
        <v/>
      </c>
      <c r="D1813" s="2"/>
      <c r="E1813" s="2"/>
      <c r="F1813" s="2"/>
      <c r="G1813" s="2"/>
      <c r="H1813" s="2"/>
    </row>
    <row r="1814" spans="1:8" ht="15.75" customHeight="1">
      <c r="A1814" s="2"/>
      <c r="B1814" s="2"/>
      <c r="C1814" s="2" t="str">
        <v/>
      </c>
      <c r="D1814" s="2"/>
      <c r="E1814" s="2"/>
      <c r="F1814" s="2"/>
      <c r="G1814" s="2"/>
      <c r="H1814" s="2"/>
    </row>
    <row r="1815" spans="1:8" ht="15.75" customHeight="1">
      <c r="A1815" s="2"/>
      <c r="B1815" s="2"/>
      <c r="C1815" s="2" t="str">
        <v/>
      </c>
      <c r="D1815" s="2"/>
      <c r="E1815" s="2"/>
      <c r="F1815" s="2"/>
      <c r="G1815" s="2"/>
      <c r="H1815" s="2"/>
    </row>
    <row r="1816" spans="1:8" ht="15.75" customHeight="1">
      <c r="A1816" s="2"/>
      <c r="B1816" s="2"/>
      <c r="C1816" s="2" t="str">
        <v/>
      </c>
      <c r="D1816" s="2"/>
      <c r="E1816" s="2"/>
      <c r="F1816" s="2"/>
      <c r="G1816" s="2"/>
      <c r="H1816" s="2"/>
    </row>
    <row r="1817" spans="1:8" ht="15.75" customHeight="1">
      <c r="A1817" s="2"/>
      <c r="B1817" s="2"/>
      <c r="C1817" s="2" t="str">
        <v/>
      </c>
      <c r="D1817" s="2"/>
      <c r="E1817" s="2"/>
      <c r="F1817" s="2"/>
      <c r="G1817" s="2"/>
      <c r="H1817" s="2"/>
    </row>
    <row r="1818" spans="1:8" ht="15.75" customHeight="1">
      <c r="A1818" s="2"/>
      <c r="B1818" s="2"/>
      <c r="C1818" s="2" t="str">
        <v/>
      </c>
      <c r="D1818" s="2"/>
      <c r="E1818" s="2"/>
      <c r="F1818" s="2"/>
      <c r="G1818" s="2"/>
      <c r="H1818" s="2"/>
    </row>
    <row r="1819" spans="1:8" ht="15.75" customHeight="1">
      <c r="A1819" s="2"/>
      <c r="B1819" s="2"/>
      <c r="C1819" s="2" t="str">
        <v/>
      </c>
      <c r="D1819" s="2"/>
      <c r="E1819" s="2"/>
      <c r="F1819" s="2"/>
      <c r="G1819" s="2"/>
      <c r="H1819" s="2"/>
    </row>
    <row r="1820" spans="1:8" ht="15.75" customHeight="1">
      <c r="A1820" s="2"/>
      <c r="B1820" s="2"/>
      <c r="C1820" s="2" t="str">
        <v/>
      </c>
      <c r="D1820" s="2"/>
      <c r="E1820" s="2"/>
      <c r="F1820" s="2"/>
      <c r="G1820" s="2"/>
      <c r="H1820" s="2"/>
    </row>
    <row r="1821" spans="1:8" ht="15.75" customHeight="1">
      <c r="A1821" s="2"/>
      <c r="B1821" s="2"/>
      <c r="C1821" s="2" t="str">
        <v/>
      </c>
      <c r="D1821" s="2"/>
      <c r="E1821" s="2"/>
      <c r="F1821" s="2"/>
      <c r="G1821" s="2"/>
      <c r="H1821" s="2"/>
    </row>
    <row r="1822" spans="1:8" ht="15.75" customHeight="1">
      <c r="A1822" s="2"/>
      <c r="B1822" s="2"/>
      <c r="C1822" s="2" t="str">
        <v/>
      </c>
      <c r="D1822" s="2"/>
      <c r="E1822" s="2"/>
      <c r="F1822" s="2"/>
      <c r="G1822" s="2"/>
      <c r="H1822" s="2"/>
    </row>
    <row r="1823" spans="1:8" ht="15.75" customHeight="1">
      <c r="A1823" s="2"/>
      <c r="B1823" s="2"/>
      <c r="C1823" s="2" t="str">
        <v/>
      </c>
      <c r="D1823" s="2"/>
      <c r="E1823" s="2"/>
      <c r="F1823" s="2"/>
      <c r="G1823" s="2"/>
      <c r="H1823" s="2"/>
    </row>
    <row r="1824" spans="1:8" ht="15.75" customHeight="1">
      <c r="A1824" s="2"/>
      <c r="B1824" s="2"/>
      <c r="C1824" s="2" t="str">
        <v/>
      </c>
      <c r="D1824" s="2"/>
      <c r="E1824" s="2"/>
      <c r="F1824" s="2"/>
      <c r="G1824" s="2"/>
      <c r="H1824" s="2"/>
    </row>
    <row r="1825" spans="1:8" ht="15.75" customHeight="1">
      <c r="A1825" s="2"/>
      <c r="B1825" s="2"/>
      <c r="C1825" s="2" t="str">
        <v/>
      </c>
      <c r="D1825" s="2"/>
      <c r="E1825" s="2"/>
      <c r="F1825" s="2"/>
      <c r="G1825" s="2"/>
      <c r="H1825" s="2"/>
    </row>
    <row r="1826" spans="1:8" ht="15.75" customHeight="1">
      <c r="A1826" s="2"/>
      <c r="B1826" s="2"/>
      <c r="C1826" s="2" t="str">
        <v/>
      </c>
      <c r="D1826" s="2"/>
      <c r="E1826" s="2"/>
      <c r="F1826" s="2"/>
      <c r="G1826" s="2"/>
      <c r="H1826" s="2"/>
    </row>
    <row r="1827" spans="1:8" ht="15.75" customHeight="1">
      <c r="A1827" s="2"/>
      <c r="B1827" s="2"/>
      <c r="C1827" s="2" t="str">
        <v/>
      </c>
      <c r="D1827" s="2"/>
      <c r="E1827" s="2"/>
      <c r="F1827" s="2"/>
      <c r="G1827" s="2"/>
      <c r="H1827" s="2"/>
    </row>
    <row r="1828" spans="1:8" ht="15.75" customHeight="1">
      <c r="A1828" s="2"/>
      <c r="B1828" s="2"/>
      <c r="C1828" s="2" t="str">
        <v/>
      </c>
      <c r="D1828" s="2"/>
      <c r="E1828" s="2"/>
      <c r="F1828" s="2"/>
      <c r="G1828" s="2"/>
      <c r="H1828" s="2"/>
    </row>
    <row r="1829" spans="1:8" ht="15.75" customHeight="1">
      <c r="A1829" s="2"/>
      <c r="B1829" s="2"/>
      <c r="C1829" s="2" t="str">
        <v/>
      </c>
      <c r="D1829" s="2"/>
      <c r="E1829" s="2"/>
      <c r="F1829" s="2"/>
      <c r="G1829" s="2"/>
      <c r="H1829" s="2"/>
    </row>
    <row r="1830" spans="1:8" ht="15.75" customHeight="1">
      <c r="A1830" s="2"/>
      <c r="B1830" s="2"/>
      <c r="C1830" s="2" t="str">
        <v/>
      </c>
      <c r="D1830" s="2"/>
      <c r="E1830" s="2"/>
      <c r="F1830" s="2"/>
      <c r="G1830" s="2"/>
      <c r="H1830" s="2"/>
    </row>
    <row r="1831" spans="1:8" ht="15.75" customHeight="1">
      <c r="A1831" s="2"/>
      <c r="B1831" s="2"/>
      <c r="C1831" s="2" t="str">
        <v/>
      </c>
      <c r="D1831" s="2"/>
      <c r="E1831" s="2"/>
      <c r="F1831" s="2"/>
      <c r="G1831" s="2"/>
      <c r="H1831" s="2"/>
    </row>
    <row r="1832" spans="1:8" ht="15.75" customHeight="1">
      <c r="A1832" s="2"/>
      <c r="B1832" s="2"/>
      <c r="C1832" s="2" t="str">
        <v/>
      </c>
      <c r="D1832" s="2"/>
      <c r="E1832" s="2"/>
      <c r="F1832" s="2"/>
      <c r="G1832" s="2"/>
      <c r="H1832" s="2"/>
    </row>
    <row r="1833" spans="1:8" ht="15.75" customHeight="1">
      <c r="A1833" s="2"/>
      <c r="B1833" s="2"/>
      <c r="C1833" s="2" t="str">
        <v/>
      </c>
      <c r="D1833" s="2"/>
      <c r="E1833" s="2"/>
      <c r="F1833" s="2"/>
      <c r="G1833" s="2"/>
      <c r="H1833" s="2"/>
    </row>
    <row r="1834" spans="1:8" ht="15.75" customHeight="1">
      <c r="A1834" s="2"/>
      <c r="B1834" s="2"/>
      <c r="C1834" s="2" t="str">
        <v/>
      </c>
      <c r="D1834" s="2"/>
      <c r="E1834" s="2"/>
      <c r="F1834" s="2"/>
      <c r="G1834" s="2"/>
      <c r="H1834" s="2"/>
    </row>
    <row r="1835" spans="1:8" ht="15.75" customHeight="1">
      <c r="A1835" s="2"/>
      <c r="B1835" s="2"/>
      <c r="C1835" s="2" t="str">
        <v/>
      </c>
      <c r="D1835" s="2"/>
      <c r="E1835" s="2"/>
      <c r="F1835" s="2"/>
      <c r="G1835" s="2"/>
      <c r="H1835" s="2"/>
    </row>
    <row r="1836" spans="1:8" ht="15.75" customHeight="1">
      <c r="A1836" s="2"/>
      <c r="B1836" s="2"/>
      <c r="C1836" s="2" t="str">
        <v/>
      </c>
      <c r="D1836" s="2"/>
      <c r="E1836" s="2"/>
      <c r="F1836" s="2"/>
      <c r="G1836" s="2"/>
      <c r="H1836" s="2"/>
    </row>
    <row r="1837" spans="1:8" ht="15.75" customHeight="1">
      <c r="A1837" s="2"/>
      <c r="B1837" s="2"/>
      <c r="C1837" s="2" t="str">
        <v/>
      </c>
      <c r="D1837" s="2"/>
      <c r="E1837" s="2"/>
      <c r="F1837" s="2"/>
      <c r="G1837" s="2"/>
      <c r="H1837" s="2"/>
    </row>
    <row r="1838" spans="1:8" ht="15.75" customHeight="1">
      <c r="A1838" s="2"/>
      <c r="B1838" s="2"/>
      <c r="C1838" s="2" t="str">
        <v/>
      </c>
      <c r="D1838" s="2"/>
      <c r="E1838" s="2"/>
      <c r="F1838" s="2"/>
      <c r="G1838" s="2"/>
      <c r="H1838" s="2"/>
    </row>
    <row r="1839" spans="1:8" ht="15.75" customHeight="1">
      <c r="A1839" s="2"/>
      <c r="B1839" s="2"/>
      <c r="C1839" s="2" t="str">
        <v/>
      </c>
      <c r="D1839" s="2"/>
      <c r="E1839" s="2"/>
      <c r="F1839" s="2"/>
      <c r="G1839" s="2"/>
      <c r="H1839" s="2"/>
    </row>
    <row r="1840" spans="1:8" ht="15.75" customHeight="1">
      <c r="A1840" s="2"/>
      <c r="B1840" s="2"/>
      <c r="C1840" s="2" t="str">
        <v/>
      </c>
      <c r="D1840" s="2"/>
      <c r="E1840" s="2"/>
      <c r="F1840" s="2"/>
      <c r="G1840" s="2"/>
      <c r="H1840" s="2"/>
    </row>
    <row r="1841" spans="1:8" ht="15.75" customHeight="1">
      <c r="A1841" s="2"/>
      <c r="B1841" s="2"/>
      <c r="C1841" s="2" t="str">
        <v/>
      </c>
      <c r="D1841" s="2"/>
      <c r="E1841" s="2"/>
      <c r="F1841" s="2"/>
      <c r="G1841" s="2"/>
      <c r="H1841" s="2"/>
    </row>
    <row r="1842" spans="1:8" ht="15.75" customHeight="1">
      <c r="A1842" s="2"/>
      <c r="B1842" s="2"/>
      <c r="C1842" s="2" t="str">
        <v/>
      </c>
      <c r="D1842" s="2"/>
      <c r="E1842" s="2"/>
      <c r="F1842" s="2"/>
      <c r="G1842" s="2"/>
      <c r="H1842" s="2"/>
    </row>
    <row r="1843" spans="1:8" ht="15.75" customHeight="1">
      <c r="A1843" s="2"/>
      <c r="B1843" s="2"/>
      <c r="C1843" s="2" t="str">
        <v/>
      </c>
      <c r="D1843" s="2"/>
      <c r="E1843" s="2"/>
      <c r="F1843" s="2"/>
      <c r="G1843" s="2"/>
      <c r="H1843" s="2"/>
    </row>
    <row r="1844" spans="1:8" ht="15.75" customHeight="1">
      <c r="A1844" s="2"/>
      <c r="B1844" s="2"/>
      <c r="C1844" s="2" t="str">
        <v/>
      </c>
      <c r="D1844" s="2"/>
      <c r="E1844" s="2"/>
      <c r="F1844" s="2"/>
      <c r="G1844" s="2"/>
      <c r="H1844" s="2"/>
    </row>
    <row r="1845" spans="1:8" ht="15.75" customHeight="1">
      <c r="A1845" s="2"/>
      <c r="B1845" s="2"/>
      <c r="C1845" s="2" t="str">
        <v/>
      </c>
      <c r="D1845" s="2"/>
      <c r="E1845" s="2"/>
      <c r="F1845" s="2"/>
      <c r="G1845" s="2"/>
      <c r="H1845" s="2"/>
    </row>
    <row r="1846" spans="1:8" ht="15.75" customHeight="1">
      <c r="A1846" s="2"/>
      <c r="B1846" s="2"/>
      <c r="C1846" s="2" t="str">
        <v/>
      </c>
      <c r="D1846" s="2"/>
      <c r="E1846" s="2"/>
      <c r="F1846" s="2"/>
      <c r="G1846" s="2"/>
      <c r="H1846" s="2"/>
    </row>
    <row r="1847" spans="1:8" ht="15.75" customHeight="1">
      <c r="A1847" s="2"/>
      <c r="B1847" s="2"/>
      <c r="C1847" s="2" t="str">
        <v/>
      </c>
      <c r="D1847" s="2"/>
      <c r="E1847" s="2"/>
      <c r="F1847" s="2"/>
      <c r="G1847" s="2"/>
      <c r="H1847" s="2"/>
    </row>
    <row r="1848" spans="1:8" ht="15.75" customHeight="1">
      <c r="A1848" s="2"/>
      <c r="B1848" s="2"/>
      <c r="C1848" s="2" t="str">
        <v/>
      </c>
      <c r="D1848" s="2"/>
      <c r="E1848" s="2"/>
      <c r="F1848" s="2"/>
      <c r="G1848" s="2"/>
      <c r="H1848" s="2"/>
    </row>
    <row r="1849" spans="1:8" ht="15.75" customHeight="1">
      <c r="A1849" s="2"/>
      <c r="B1849" s="2"/>
      <c r="C1849" s="2" t="str">
        <v/>
      </c>
      <c r="D1849" s="2"/>
      <c r="E1849" s="2"/>
      <c r="F1849" s="2"/>
      <c r="G1849" s="2"/>
      <c r="H1849" s="2"/>
    </row>
    <row r="1850" spans="1:8" ht="15.75" customHeight="1">
      <c r="A1850" s="2"/>
      <c r="B1850" s="2"/>
      <c r="C1850" s="2" t="str">
        <v/>
      </c>
      <c r="D1850" s="2"/>
      <c r="E1850" s="2"/>
      <c r="F1850" s="2"/>
      <c r="G1850" s="2"/>
      <c r="H1850" s="2"/>
    </row>
    <row r="1851" spans="1:8" ht="15.75" customHeight="1">
      <c r="A1851" s="2"/>
      <c r="B1851" s="2"/>
      <c r="C1851" s="2" t="str">
        <v/>
      </c>
      <c r="D1851" s="2"/>
      <c r="E1851" s="2"/>
      <c r="F1851" s="2"/>
      <c r="G1851" s="2"/>
      <c r="H1851" s="2"/>
    </row>
    <row r="1852" spans="1:8" ht="15.75" customHeight="1">
      <c r="A1852" s="2"/>
      <c r="B1852" s="2"/>
      <c r="C1852" s="2" t="str">
        <v/>
      </c>
      <c r="D1852" s="2"/>
      <c r="E1852" s="2"/>
      <c r="F1852" s="2"/>
      <c r="G1852" s="2"/>
      <c r="H1852" s="2"/>
    </row>
    <row r="1853" spans="1:8" ht="15.75" customHeight="1">
      <c r="A1853" s="2"/>
      <c r="B1853" s="2"/>
      <c r="C1853" s="2" t="str">
        <v/>
      </c>
      <c r="D1853" s="2"/>
      <c r="E1853" s="2"/>
      <c r="F1853" s="2"/>
      <c r="G1853" s="2"/>
      <c r="H1853" s="2"/>
    </row>
    <row r="1854" spans="1:8" ht="15.75" customHeight="1">
      <c r="A1854" s="2"/>
      <c r="B1854" s="2"/>
      <c r="C1854" s="2" t="str">
        <v/>
      </c>
      <c r="D1854" s="2"/>
      <c r="E1854" s="2"/>
      <c r="F1854" s="2"/>
      <c r="G1854" s="2"/>
      <c r="H1854" s="2"/>
    </row>
    <row r="1855" spans="1:8" ht="15.75" customHeight="1">
      <c r="A1855" s="2"/>
      <c r="B1855" s="2"/>
      <c r="C1855" s="2" t="str">
        <v/>
      </c>
      <c r="D1855" s="2"/>
      <c r="E1855" s="2"/>
      <c r="F1855" s="2"/>
      <c r="G1855" s="2"/>
      <c r="H1855" s="2"/>
    </row>
    <row r="1856" spans="1:8" ht="15.75" customHeight="1">
      <c r="A1856" s="2"/>
      <c r="B1856" s="2"/>
      <c r="C1856" s="2" t="str">
        <v/>
      </c>
      <c r="D1856" s="2"/>
      <c r="E1856" s="2"/>
      <c r="F1856" s="2"/>
      <c r="G1856" s="2"/>
      <c r="H1856" s="2"/>
    </row>
    <row r="1857" spans="1:8" ht="15.75" customHeight="1">
      <c r="A1857" s="2"/>
      <c r="B1857" s="2"/>
      <c r="C1857" s="2" t="str">
        <v/>
      </c>
      <c r="D1857" s="2"/>
      <c r="E1857" s="2"/>
      <c r="F1857" s="2"/>
      <c r="G1857" s="2"/>
      <c r="H1857" s="2"/>
    </row>
    <row r="1858" spans="1:8" ht="15.75" customHeight="1">
      <c r="A1858" s="2"/>
      <c r="B1858" s="2"/>
      <c r="C1858" s="2" t="str">
        <v/>
      </c>
      <c r="D1858" s="2"/>
      <c r="E1858" s="2"/>
      <c r="F1858" s="2"/>
      <c r="G1858" s="2"/>
      <c r="H1858" s="2"/>
    </row>
    <row r="1859" spans="1:8" ht="15.75" customHeight="1">
      <c r="A1859" s="2"/>
      <c r="B1859" s="2"/>
      <c r="C1859" s="2" t="str">
        <v/>
      </c>
      <c r="D1859" s="2"/>
      <c r="E1859" s="2"/>
      <c r="F1859" s="2"/>
      <c r="G1859" s="2"/>
      <c r="H1859" s="2"/>
    </row>
    <row r="1860" spans="1:8" ht="15.75" customHeight="1">
      <c r="A1860" s="2"/>
      <c r="B1860" s="2"/>
      <c r="C1860" s="2" t="str">
        <v/>
      </c>
      <c r="D1860" s="2"/>
      <c r="E1860" s="2"/>
      <c r="F1860" s="2"/>
      <c r="G1860" s="2"/>
      <c r="H1860" s="2"/>
    </row>
    <row r="1861" spans="1:8" ht="15.75" customHeight="1">
      <c r="A1861" s="2"/>
      <c r="B1861" s="2"/>
      <c r="C1861" s="2" t="str">
        <v/>
      </c>
      <c r="D1861" s="2"/>
      <c r="E1861" s="2"/>
      <c r="F1861" s="2"/>
      <c r="G1861" s="2"/>
      <c r="H1861" s="2"/>
    </row>
    <row r="1862" spans="1:8" ht="15.75" customHeight="1">
      <c r="A1862" s="2"/>
      <c r="B1862" s="2"/>
      <c r="C1862" s="2" t="str">
        <v/>
      </c>
      <c r="D1862" s="2"/>
      <c r="E1862" s="2"/>
      <c r="F1862" s="2"/>
      <c r="G1862" s="2"/>
      <c r="H1862" s="2"/>
    </row>
    <row r="1863" spans="1:8" ht="15.75" customHeight="1">
      <c r="A1863" s="2"/>
      <c r="B1863" s="2"/>
      <c r="C1863" s="2" t="str">
        <v/>
      </c>
      <c r="D1863" s="2"/>
      <c r="E1863" s="2"/>
      <c r="F1863" s="2"/>
      <c r="G1863" s="2"/>
      <c r="H1863" s="2"/>
    </row>
    <row r="1864" spans="1:8" ht="15.75" customHeight="1">
      <c r="A1864" s="2"/>
      <c r="B1864" s="2"/>
      <c r="C1864" s="2" t="str">
        <v/>
      </c>
      <c r="D1864" s="2"/>
      <c r="E1864" s="2"/>
      <c r="F1864" s="2"/>
      <c r="G1864" s="2"/>
      <c r="H1864" s="2"/>
    </row>
    <row r="1865" spans="1:8" ht="15.75" customHeight="1">
      <c r="A1865" s="2"/>
      <c r="B1865" s="2"/>
      <c r="C1865" s="2" t="str">
        <v/>
      </c>
      <c r="D1865" s="2"/>
      <c r="E1865" s="2"/>
      <c r="F1865" s="2"/>
      <c r="G1865" s="2"/>
      <c r="H1865" s="2"/>
    </row>
    <row r="1866" spans="1:8" ht="15.75" customHeight="1">
      <c r="A1866" s="2"/>
      <c r="B1866" s="2"/>
      <c r="C1866" s="2" t="str">
        <v/>
      </c>
      <c r="D1866" s="2"/>
      <c r="E1866" s="2"/>
      <c r="F1866" s="2"/>
      <c r="G1866" s="2"/>
      <c r="H1866" s="2"/>
    </row>
    <row r="1867" spans="1:8" ht="15.75" customHeight="1">
      <c r="A1867" s="2"/>
      <c r="B1867" s="2"/>
      <c r="C1867" s="2" t="str">
        <v/>
      </c>
      <c r="D1867" s="2"/>
      <c r="E1867" s="2"/>
      <c r="F1867" s="2"/>
      <c r="G1867" s="2"/>
      <c r="H1867" s="2"/>
    </row>
    <row r="1868" spans="1:8" ht="15.75" customHeight="1">
      <c r="A1868" s="2"/>
      <c r="B1868" s="2"/>
      <c r="C1868" s="2" t="str">
        <v/>
      </c>
      <c r="D1868" s="2"/>
      <c r="E1868" s="2"/>
      <c r="F1868" s="2"/>
      <c r="G1868" s="2"/>
      <c r="H1868" s="2"/>
    </row>
    <row r="1869" spans="1:8" ht="15.75" customHeight="1">
      <c r="A1869" s="2"/>
      <c r="B1869" s="2"/>
      <c r="C1869" s="2" t="str">
        <v/>
      </c>
      <c r="D1869" s="2"/>
      <c r="E1869" s="2"/>
      <c r="F1869" s="2"/>
      <c r="G1869" s="2"/>
      <c r="H1869" s="2"/>
    </row>
    <row r="1870" spans="1:8" ht="15.75" customHeight="1">
      <c r="A1870" s="2"/>
      <c r="B1870" s="2"/>
      <c r="C1870" s="2" t="str">
        <v/>
      </c>
      <c r="D1870" s="2"/>
      <c r="E1870" s="2"/>
      <c r="F1870" s="2"/>
      <c r="G1870" s="2"/>
      <c r="H1870" s="2"/>
    </row>
    <row r="1871" spans="1:8" ht="15.75" customHeight="1">
      <c r="A1871" s="2"/>
      <c r="B1871" s="2"/>
      <c r="C1871" s="2" t="str">
        <v/>
      </c>
      <c r="D1871" s="2"/>
      <c r="E1871" s="2"/>
      <c r="F1871" s="2"/>
      <c r="G1871" s="2"/>
      <c r="H1871" s="2"/>
    </row>
    <row r="1872" spans="1:8" ht="15.75" customHeight="1">
      <c r="A1872" s="2"/>
      <c r="B1872" s="2"/>
      <c r="C1872" s="2" t="str">
        <v/>
      </c>
      <c r="D1872" s="2"/>
      <c r="E1872" s="2"/>
      <c r="F1872" s="2"/>
      <c r="G1872" s="2"/>
      <c r="H1872" s="2"/>
    </row>
    <row r="1873" spans="1:8" ht="15.75" customHeight="1">
      <c r="A1873" s="2"/>
      <c r="B1873" s="2"/>
      <c r="C1873" s="2" t="str">
        <v/>
      </c>
      <c r="D1873" s="2"/>
      <c r="E1873" s="2"/>
      <c r="F1873" s="2"/>
      <c r="G1873" s="2"/>
      <c r="H1873" s="2"/>
    </row>
    <row r="1874" spans="1:8" ht="15.75" customHeight="1">
      <c r="A1874" s="2"/>
      <c r="B1874" s="2"/>
      <c r="C1874" s="2" t="str">
        <v/>
      </c>
      <c r="D1874" s="2"/>
      <c r="E1874" s="2"/>
      <c r="F1874" s="2"/>
      <c r="G1874" s="2"/>
      <c r="H1874" s="2"/>
    </row>
    <row r="1875" spans="1:8" ht="15.75" customHeight="1">
      <c r="A1875" s="2"/>
      <c r="B1875" s="2"/>
      <c r="C1875" s="2" t="str">
        <v/>
      </c>
      <c r="D1875" s="2"/>
      <c r="E1875" s="2"/>
      <c r="F1875" s="2"/>
      <c r="G1875" s="2"/>
      <c r="H1875" s="2"/>
    </row>
    <row r="1876" spans="1:8" ht="15.75" customHeight="1">
      <c r="A1876" s="2"/>
      <c r="B1876" s="2"/>
      <c r="C1876" s="2" t="str">
        <v/>
      </c>
      <c r="D1876" s="2"/>
      <c r="E1876" s="2"/>
      <c r="F1876" s="2"/>
      <c r="G1876" s="2"/>
      <c r="H1876" s="2"/>
    </row>
    <row r="1877" spans="1:8" ht="15.75" customHeight="1">
      <c r="A1877" s="2"/>
      <c r="B1877" s="2"/>
      <c r="C1877" s="2" t="str">
        <v/>
      </c>
      <c r="D1877" s="2"/>
      <c r="E1877" s="2"/>
      <c r="F1877" s="2"/>
      <c r="G1877" s="2"/>
      <c r="H1877" s="2"/>
    </row>
    <row r="1878" spans="1:8" ht="15.75" customHeight="1">
      <c r="A1878" s="2"/>
      <c r="B1878" s="2"/>
      <c r="C1878" s="2" t="str">
        <v/>
      </c>
      <c r="D1878" s="2"/>
      <c r="E1878" s="2"/>
      <c r="F1878" s="2"/>
      <c r="G1878" s="2"/>
      <c r="H1878" s="2"/>
    </row>
    <row r="1879" spans="1:8" ht="15.75" customHeight="1">
      <c r="A1879" s="2"/>
      <c r="B1879" s="2"/>
      <c r="C1879" s="2" t="str">
        <v/>
      </c>
      <c r="D1879" s="2"/>
      <c r="E1879" s="2"/>
      <c r="F1879" s="2"/>
      <c r="G1879" s="2"/>
      <c r="H1879" s="2"/>
    </row>
    <row r="1880" spans="1:8" ht="15.75" customHeight="1">
      <c r="A1880" s="2"/>
      <c r="B1880" s="2"/>
      <c r="C1880" s="2" t="str">
        <v/>
      </c>
      <c r="D1880" s="2"/>
      <c r="E1880" s="2"/>
      <c r="F1880" s="2"/>
      <c r="G1880" s="2"/>
      <c r="H1880" s="2"/>
    </row>
    <row r="1881" spans="1:8" ht="15.75" customHeight="1">
      <c r="A1881" s="2"/>
      <c r="B1881" s="2"/>
      <c r="C1881" s="2" t="str">
        <v/>
      </c>
      <c r="D1881" s="2"/>
      <c r="E1881" s="2"/>
      <c r="F1881" s="2"/>
      <c r="G1881" s="2"/>
      <c r="H1881" s="2"/>
    </row>
    <row r="1882" spans="1:8" ht="15.75" customHeight="1">
      <c r="A1882" s="2"/>
      <c r="B1882" s="2"/>
      <c r="C1882" s="2" t="str">
        <v/>
      </c>
      <c r="D1882" s="2"/>
      <c r="E1882" s="2"/>
      <c r="F1882" s="2"/>
      <c r="G1882" s="2"/>
      <c r="H1882" s="2"/>
    </row>
    <row r="1883" spans="1:8" ht="15.75" customHeight="1">
      <c r="A1883" s="2"/>
      <c r="B1883" s="2"/>
      <c r="C1883" s="2" t="str">
        <v/>
      </c>
      <c r="D1883" s="2"/>
      <c r="E1883" s="2"/>
      <c r="F1883" s="2"/>
      <c r="G1883" s="2"/>
      <c r="H1883" s="2"/>
    </row>
    <row r="1884" spans="1:8" ht="15.75" customHeight="1">
      <c r="A1884" s="2"/>
      <c r="B1884" s="2"/>
      <c r="C1884" s="2" t="str">
        <v/>
      </c>
      <c r="D1884" s="2"/>
      <c r="E1884" s="2"/>
      <c r="F1884" s="2"/>
      <c r="G1884" s="2"/>
      <c r="H1884" s="2"/>
    </row>
    <row r="1885" spans="1:8" ht="15.75" customHeight="1">
      <c r="A1885" s="2"/>
      <c r="B1885" s="2"/>
      <c r="C1885" s="2" t="str">
        <v/>
      </c>
      <c r="D1885" s="2"/>
      <c r="E1885" s="2"/>
      <c r="F1885" s="2"/>
      <c r="G1885" s="2"/>
      <c r="H1885" s="2"/>
    </row>
    <row r="1886" spans="1:8" ht="15.75" customHeight="1">
      <c r="A1886" s="2"/>
      <c r="B1886" s="2"/>
      <c r="C1886" s="2" t="str">
        <v/>
      </c>
      <c r="D1886" s="2"/>
      <c r="E1886" s="2"/>
      <c r="F1886" s="2"/>
      <c r="G1886" s="2"/>
      <c r="H1886" s="2"/>
    </row>
    <row r="1887" spans="1:8" ht="15.75" customHeight="1">
      <c r="A1887" s="2"/>
      <c r="B1887" s="2"/>
      <c r="C1887" s="2" t="str">
        <v/>
      </c>
      <c r="D1887" s="2"/>
      <c r="E1887" s="2"/>
      <c r="F1887" s="2"/>
      <c r="G1887" s="2"/>
      <c r="H1887" s="2"/>
    </row>
    <row r="1888" spans="1:8" ht="15.75" customHeight="1">
      <c r="A1888" s="2"/>
      <c r="B1888" s="2"/>
      <c r="C1888" s="2" t="str">
        <v/>
      </c>
      <c r="D1888" s="2"/>
      <c r="E1888" s="2"/>
      <c r="F1888" s="2"/>
      <c r="G1888" s="2"/>
      <c r="H1888" s="2"/>
    </row>
    <row r="1889" spans="1:8" ht="15.75" customHeight="1">
      <c r="A1889" s="2"/>
      <c r="B1889" s="2"/>
      <c r="C1889" s="2" t="str">
        <v/>
      </c>
      <c r="D1889" s="2"/>
      <c r="E1889" s="2"/>
      <c r="F1889" s="2"/>
      <c r="G1889" s="2"/>
      <c r="H1889" s="2"/>
    </row>
    <row r="1890" spans="1:8" ht="15.75" customHeight="1">
      <c r="A1890" s="2"/>
      <c r="B1890" s="2"/>
      <c r="C1890" s="2" t="str">
        <v/>
      </c>
      <c r="D1890" s="2"/>
      <c r="E1890" s="2"/>
      <c r="F1890" s="2"/>
      <c r="G1890" s="2"/>
      <c r="H1890" s="2"/>
    </row>
    <row r="1891" spans="1:8" ht="15.75" customHeight="1">
      <c r="A1891" s="2"/>
      <c r="B1891" s="2"/>
      <c r="C1891" s="2" t="str">
        <v/>
      </c>
      <c r="D1891" s="2"/>
      <c r="E1891" s="2"/>
      <c r="F1891" s="2"/>
      <c r="G1891" s="2"/>
      <c r="H1891" s="2"/>
    </row>
    <row r="1892" spans="1:8" ht="15.75" customHeight="1">
      <c r="A1892" s="2"/>
      <c r="B1892" s="2"/>
      <c r="C1892" s="2" t="str">
        <v/>
      </c>
      <c r="D1892" s="2"/>
      <c r="E1892" s="2"/>
      <c r="F1892" s="2"/>
      <c r="G1892" s="2"/>
      <c r="H1892" s="2"/>
    </row>
    <row r="1893" spans="1:8" ht="15.75" customHeight="1">
      <c r="A1893" s="2"/>
      <c r="B1893" s="2"/>
      <c r="C1893" s="2" t="str">
        <v/>
      </c>
      <c r="D1893" s="2"/>
      <c r="E1893" s="2"/>
      <c r="F1893" s="2"/>
      <c r="G1893" s="2"/>
      <c r="H1893" s="2"/>
    </row>
    <row r="1894" spans="1:8" ht="15.75" customHeight="1">
      <c r="A1894" s="2"/>
      <c r="B1894" s="2"/>
      <c r="C1894" s="2" t="str">
        <v/>
      </c>
      <c r="D1894" s="2"/>
      <c r="E1894" s="2"/>
      <c r="F1894" s="2"/>
      <c r="G1894" s="2"/>
      <c r="H1894" s="2"/>
    </row>
    <row r="1895" spans="1:8" ht="15.75" customHeight="1">
      <c r="A1895" s="2"/>
      <c r="B1895" s="2"/>
      <c r="C1895" s="2" t="str">
        <v/>
      </c>
      <c r="D1895" s="2"/>
      <c r="E1895" s="2"/>
      <c r="F1895" s="2"/>
      <c r="G1895" s="2"/>
      <c r="H1895" s="2"/>
    </row>
    <row r="1896" spans="1:8" ht="15.75" customHeight="1">
      <c r="A1896" s="2"/>
      <c r="B1896" s="2"/>
      <c r="C1896" s="2" t="str">
        <v/>
      </c>
      <c r="D1896" s="2"/>
      <c r="E1896" s="2"/>
      <c r="F1896" s="2"/>
      <c r="G1896" s="2"/>
      <c r="H1896" s="2"/>
    </row>
    <row r="1897" spans="1:8" ht="15.75" customHeight="1">
      <c r="A1897" s="2"/>
      <c r="B1897" s="2"/>
      <c r="C1897" s="2" t="str">
        <v/>
      </c>
      <c r="D1897" s="2"/>
      <c r="E1897" s="2"/>
      <c r="F1897" s="2"/>
      <c r="G1897" s="2"/>
      <c r="H1897" s="2"/>
    </row>
    <row r="1898" spans="1:8" ht="15.75" customHeight="1">
      <c r="A1898" s="2"/>
      <c r="B1898" s="2"/>
      <c r="C1898" s="2" t="str">
        <v/>
      </c>
      <c r="D1898" s="2"/>
      <c r="E1898" s="2"/>
      <c r="F1898" s="2"/>
      <c r="G1898" s="2"/>
      <c r="H1898" s="2"/>
    </row>
    <row r="1899" spans="1:8" ht="15.75" customHeight="1">
      <c r="A1899" s="2"/>
      <c r="B1899" s="2"/>
      <c r="C1899" s="2" t="str">
        <v/>
      </c>
      <c r="D1899" s="2"/>
      <c r="E1899" s="2"/>
      <c r="F1899" s="2"/>
      <c r="G1899" s="2"/>
      <c r="H1899" s="2"/>
    </row>
    <row r="1900" spans="1:8" ht="15.75" customHeight="1">
      <c r="A1900" s="2"/>
      <c r="B1900" s="2"/>
      <c r="C1900" s="2" t="str">
        <v/>
      </c>
      <c r="D1900" s="2"/>
      <c r="E1900" s="2"/>
      <c r="F1900" s="2"/>
      <c r="G1900" s="2"/>
      <c r="H1900" s="2"/>
    </row>
    <row r="1901" spans="1:8" ht="15.75" customHeight="1">
      <c r="A1901" s="2"/>
      <c r="B1901" s="2"/>
      <c r="C1901" s="2" t="str">
        <v/>
      </c>
      <c r="D1901" s="2"/>
      <c r="E1901" s="2"/>
      <c r="F1901" s="2"/>
      <c r="G1901" s="2"/>
      <c r="H1901" s="2"/>
    </row>
    <row r="1902" spans="1:8" ht="15.75" customHeight="1">
      <c r="A1902" s="2"/>
      <c r="B1902" s="2"/>
      <c r="C1902" s="2" t="str">
        <v/>
      </c>
      <c r="D1902" s="2"/>
      <c r="E1902" s="2"/>
      <c r="F1902" s="2"/>
      <c r="G1902" s="2"/>
      <c r="H1902" s="2"/>
    </row>
    <row r="1903" spans="1:8" ht="15.75" customHeight="1">
      <c r="A1903" s="2"/>
      <c r="B1903" s="2"/>
      <c r="C1903" s="2" t="str">
        <v/>
      </c>
      <c r="D1903" s="2"/>
      <c r="E1903" s="2"/>
      <c r="F1903" s="2"/>
      <c r="G1903" s="2"/>
      <c r="H1903" s="2"/>
    </row>
    <row r="1904" spans="1:8" ht="15.75" customHeight="1">
      <c r="A1904" s="2"/>
      <c r="B1904" s="2"/>
      <c r="C1904" s="2" t="str">
        <v/>
      </c>
      <c r="D1904" s="2"/>
      <c r="E1904" s="2"/>
      <c r="F1904" s="2"/>
      <c r="G1904" s="2"/>
      <c r="H1904" s="2"/>
    </row>
    <row r="1905" spans="1:8" ht="15.75" customHeight="1">
      <c r="A1905" s="2"/>
      <c r="B1905" s="2"/>
      <c r="C1905" s="2" t="str">
        <v/>
      </c>
      <c r="D1905" s="2"/>
      <c r="E1905" s="2"/>
      <c r="F1905" s="2"/>
      <c r="G1905" s="2"/>
      <c r="H1905" s="2"/>
    </row>
    <row r="1906" spans="1:8" ht="15.75" customHeight="1">
      <c r="A1906" s="2"/>
      <c r="B1906" s="2"/>
      <c r="C1906" s="2" t="str">
        <v/>
      </c>
      <c r="D1906" s="2"/>
      <c r="E1906" s="2"/>
      <c r="F1906" s="2"/>
      <c r="G1906" s="2"/>
      <c r="H1906" s="2"/>
    </row>
    <row r="1907" spans="1:8" ht="15.75" customHeight="1">
      <c r="A1907" s="2"/>
      <c r="B1907" s="2"/>
      <c r="C1907" s="2" t="str">
        <v/>
      </c>
      <c r="D1907" s="2"/>
      <c r="E1907" s="2"/>
      <c r="F1907" s="2"/>
      <c r="G1907" s="2"/>
      <c r="H1907" s="2"/>
    </row>
    <row r="1908" spans="1:8" ht="15.75" customHeight="1">
      <c r="A1908" s="2"/>
      <c r="B1908" s="2"/>
      <c r="C1908" s="2" t="str">
        <v/>
      </c>
      <c r="D1908" s="2"/>
      <c r="E1908" s="2"/>
      <c r="F1908" s="2"/>
      <c r="G1908" s="2"/>
      <c r="H1908" s="2"/>
    </row>
    <row r="1909" spans="1:8" ht="15.75" customHeight="1">
      <c r="A1909" s="2"/>
      <c r="B1909" s="2"/>
      <c r="C1909" s="2" t="str">
        <v/>
      </c>
      <c r="D1909" s="2"/>
      <c r="E1909" s="2"/>
      <c r="F1909" s="2"/>
      <c r="G1909" s="2"/>
      <c r="H1909" s="2"/>
    </row>
    <row r="1910" spans="1:8" ht="15.75" customHeight="1">
      <c r="A1910" s="2"/>
      <c r="B1910" s="2"/>
      <c r="C1910" s="2" t="str">
        <v/>
      </c>
      <c r="D1910" s="2"/>
      <c r="E1910" s="2"/>
      <c r="F1910" s="2"/>
      <c r="G1910" s="2"/>
      <c r="H1910" s="2"/>
    </row>
    <row r="1911" spans="1:8" ht="15.75" customHeight="1">
      <c r="A1911" s="2"/>
      <c r="B1911" s="2"/>
      <c r="C1911" s="2" t="str">
        <v/>
      </c>
      <c r="D1911" s="2"/>
      <c r="E1911" s="2"/>
      <c r="F1911" s="2"/>
      <c r="G1911" s="2"/>
      <c r="H1911" s="2"/>
    </row>
    <row r="1912" spans="1:8" ht="15.75" customHeight="1">
      <c r="A1912" s="2"/>
      <c r="B1912" s="2"/>
      <c r="C1912" s="2" t="str">
        <v/>
      </c>
      <c r="D1912" s="2"/>
      <c r="E1912" s="2"/>
      <c r="F1912" s="2"/>
      <c r="G1912" s="2"/>
      <c r="H1912" s="2"/>
    </row>
    <row r="1913" spans="1:8" ht="15.75" customHeight="1">
      <c r="A1913" s="2"/>
      <c r="B1913" s="2"/>
      <c r="C1913" s="2" t="str">
        <v/>
      </c>
      <c r="D1913" s="2"/>
      <c r="E1913" s="2"/>
      <c r="F1913" s="2"/>
      <c r="G1913" s="2"/>
      <c r="H1913" s="2"/>
    </row>
    <row r="1914" spans="1:8" ht="15.75" customHeight="1">
      <c r="A1914" s="2"/>
      <c r="B1914" s="2"/>
      <c r="C1914" s="2" t="str">
        <v/>
      </c>
      <c r="D1914" s="2"/>
      <c r="E1914" s="2"/>
      <c r="F1914" s="2"/>
      <c r="G1914" s="2"/>
      <c r="H1914" s="2"/>
    </row>
    <row r="1915" spans="1:8" ht="15.75" customHeight="1">
      <c r="A1915" s="2"/>
      <c r="B1915" s="2"/>
      <c r="C1915" s="2" t="str">
        <v/>
      </c>
      <c r="D1915" s="2"/>
      <c r="E1915" s="2"/>
      <c r="F1915" s="2"/>
      <c r="G1915" s="2"/>
      <c r="H1915" s="2"/>
    </row>
    <row r="1916" spans="1:8" ht="15.75" customHeight="1">
      <c r="A1916" s="2"/>
      <c r="B1916" s="2"/>
      <c r="C1916" s="2" t="str">
        <v/>
      </c>
      <c r="D1916" s="2"/>
      <c r="E1916" s="2"/>
      <c r="F1916" s="2"/>
      <c r="G1916" s="2"/>
      <c r="H1916" s="2"/>
    </row>
    <row r="1917" spans="1:8" ht="15.75" customHeight="1">
      <c r="A1917" s="2"/>
      <c r="B1917" s="2"/>
      <c r="C1917" s="2" t="str">
        <v/>
      </c>
      <c r="D1917" s="2"/>
      <c r="E1917" s="2"/>
      <c r="F1917" s="2"/>
      <c r="G1917" s="2"/>
      <c r="H1917" s="2"/>
    </row>
    <row r="1918" spans="1:8" ht="15.75" customHeight="1">
      <c r="A1918" s="2"/>
      <c r="B1918" s="2"/>
      <c r="C1918" s="2" t="str">
        <v/>
      </c>
      <c r="D1918" s="2"/>
      <c r="E1918" s="2"/>
      <c r="F1918" s="2"/>
      <c r="G1918" s="2"/>
      <c r="H1918" s="2"/>
    </row>
    <row r="1919" spans="1:8" ht="15.75" customHeight="1">
      <c r="A1919" s="2"/>
      <c r="B1919" s="2"/>
      <c r="C1919" s="2" t="str">
        <v/>
      </c>
      <c r="D1919" s="2"/>
      <c r="E1919" s="2"/>
      <c r="F1919" s="2"/>
      <c r="G1919" s="2"/>
      <c r="H1919" s="2"/>
    </row>
    <row r="1920" spans="1:8" ht="15.75" customHeight="1">
      <c r="A1920" s="2"/>
      <c r="B1920" s="2"/>
      <c r="C1920" s="2" t="str">
        <v/>
      </c>
      <c r="D1920" s="2"/>
      <c r="E1920" s="2"/>
      <c r="F1920" s="2"/>
      <c r="G1920" s="2"/>
      <c r="H1920" s="2"/>
    </row>
    <row r="1921" spans="1:8" ht="15.75" customHeight="1">
      <c r="A1921" s="2"/>
      <c r="B1921" s="2"/>
      <c r="C1921" s="2" t="str">
        <v/>
      </c>
      <c r="D1921" s="2"/>
      <c r="E1921" s="2"/>
      <c r="F1921" s="2"/>
      <c r="G1921" s="2"/>
      <c r="H1921" s="2"/>
    </row>
    <row r="1922" spans="1:8" ht="15.75" customHeight="1">
      <c r="A1922" s="2"/>
      <c r="B1922" s="2"/>
      <c r="C1922" s="2" t="str">
        <v/>
      </c>
      <c r="D1922" s="2"/>
      <c r="E1922" s="2"/>
      <c r="F1922" s="2"/>
      <c r="G1922" s="2"/>
      <c r="H1922" s="2"/>
    </row>
    <row r="1923" spans="1:8" ht="15.75" customHeight="1">
      <c r="A1923" s="2"/>
      <c r="B1923" s="2"/>
      <c r="C1923" s="2" t="str">
        <v/>
      </c>
      <c r="D1923" s="2"/>
      <c r="E1923" s="2"/>
      <c r="F1923" s="2"/>
      <c r="G1923" s="2"/>
      <c r="H1923" s="2"/>
    </row>
    <row r="1924" spans="1:8" ht="15.75" customHeight="1">
      <c r="A1924" s="2"/>
      <c r="B1924" s="2"/>
      <c r="C1924" s="2" t="str">
        <v/>
      </c>
      <c r="D1924" s="2"/>
      <c r="E1924" s="2"/>
      <c r="F1924" s="2"/>
      <c r="G1924" s="2"/>
      <c r="H1924" s="2"/>
    </row>
    <row r="1925" spans="1:8" ht="15.75" customHeight="1">
      <c r="A1925" s="2"/>
      <c r="B1925" s="2"/>
      <c r="C1925" s="2" t="str">
        <v/>
      </c>
      <c r="D1925" s="2"/>
      <c r="E1925" s="2"/>
      <c r="F1925" s="2"/>
      <c r="G1925" s="2"/>
      <c r="H1925" s="2"/>
    </row>
    <row r="1926" spans="1:8" ht="15.75" customHeight="1">
      <c r="A1926" s="2"/>
      <c r="B1926" s="2"/>
      <c r="C1926" s="2" t="str">
        <v/>
      </c>
      <c r="D1926" s="2"/>
      <c r="E1926" s="2"/>
      <c r="F1926" s="2"/>
      <c r="G1926" s="2"/>
      <c r="H1926" s="2"/>
    </row>
    <row r="1927" spans="1:8" ht="15.75" customHeight="1">
      <c r="A1927" s="2"/>
      <c r="B1927" s="2"/>
      <c r="C1927" s="2" t="str">
        <v/>
      </c>
      <c r="D1927" s="2"/>
      <c r="E1927" s="2"/>
      <c r="F1927" s="2"/>
      <c r="G1927" s="2"/>
      <c r="H1927" s="2"/>
    </row>
    <row r="1928" spans="1:8" ht="15.75" customHeight="1">
      <c r="A1928" s="2"/>
      <c r="B1928" s="2"/>
      <c r="C1928" s="2" t="str">
        <v/>
      </c>
      <c r="D1928" s="2"/>
      <c r="E1928" s="2"/>
      <c r="F1928" s="2"/>
      <c r="G1928" s="2"/>
      <c r="H1928" s="2"/>
    </row>
    <row r="1929" spans="1:8" ht="15.75" customHeight="1">
      <c r="A1929" s="2"/>
      <c r="B1929" s="2"/>
      <c r="C1929" s="2" t="str">
        <v/>
      </c>
      <c r="D1929" s="2"/>
      <c r="E1929" s="2"/>
      <c r="F1929" s="2"/>
      <c r="G1929" s="2"/>
      <c r="H1929" s="2"/>
    </row>
    <row r="1930" spans="1:8" ht="15.75" customHeight="1">
      <c r="A1930" s="2"/>
      <c r="B1930" s="2"/>
      <c r="C1930" s="2" t="str">
        <v/>
      </c>
      <c r="D1930" s="2"/>
      <c r="E1930" s="2"/>
      <c r="F1930" s="2"/>
      <c r="G1930" s="2"/>
      <c r="H1930" s="2"/>
    </row>
    <row r="1931" spans="1:8" ht="15.75" customHeight="1">
      <c r="A1931" s="2"/>
      <c r="B1931" s="2"/>
      <c r="C1931" s="2" t="str">
        <v/>
      </c>
      <c r="D1931" s="2"/>
      <c r="E1931" s="2"/>
      <c r="F1931" s="2"/>
      <c r="G1931" s="2"/>
      <c r="H1931" s="2"/>
    </row>
    <row r="1932" spans="1:8" ht="15.75" customHeight="1">
      <c r="A1932" s="2"/>
      <c r="B1932" s="2"/>
      <c r="C1932" s="2" t="str">
        <v/>
      </c>
      <c r="D1932" s="2"/>
      <c r="E1932" s="2"/>
      <c r="F1932" s="2"/>
      <c r="G1932" s="2"/>
      <c r="H1932" s="2"/>
    </row>
    <row r="1933" spans="1:8" ht="15.75" customHeight="1">
      <c r="A1933" s="2"/>
      <c r="B1933" s="2"/>
      <c r="C1933" s="2" t="str">
        <v/>
      </c>
      <c r="D1933" s="2"/>
      <c r="E1933" s="2"/>
      <c r="F1933" s="2"/>
      <c r="G1933" s="2"/>
      <c r="H1933" s="2"/>
    </row>
    <row r="1934" spans="1:8" ht="15.75" customHeight="1">
      <c r="A1934" s="2"/>
      <c r="B1934" s="2"/>
      <c r="C1934" s="2" t="str">
        <v/>
      </c>
      <c r="D1934" s="2"/>
      <c r="E1934" s="2"/>
      <c r="F1934" s="2"/>
      <c r="G1934" s="2"/>
      <c r="H1934" s="2"/>
    </row>
    <row r="1935" spans="1:8" ht="15.75" customHeight="1">
      <c r="A1935" s="2"/>
      <c r="B1935" s="2"/>
      <c r="C1935" s="2" t="str">
        <v/>
      </c>
      <c r="D1935" s="2"/>
      <c r="E1935" s="2"/>
      <c r="F1935" s="2"/>
      <c r="G1935" s="2"/>
      <c r="H1935" s="2"/>
    </row>
    <row r="1936" spans="1:8" ht="15.75" customHeight="1">
      <c r="A1936" s="2"/>
      <c r="B1936" s="2"/>
      <c r="C1936" s="2" t="str">
        <v/>
      </c>
      <c r="D1936" s="2"/>
      <c r="E1936" s="2"/>
      <c r="F1936" s="2"/>
      <c r="G1936" s="2"/>
      <c r="H1936" s="2"/>
    </row>
    <row r="1937" spans="1:8" ht="15.75" customHeight="1">
      <c r="A1937" s="2"/>
      <c r="B1937" s="2"/>
      <c r="C1937" s="2" t="str">
        <v/>
      </c>
      <c r="D1937" s="2"/>
      <c r="E1937" s="2"/>
      <c r="F1937" s="2"/>
      <c r="G1937" s="2"/>
      <c r="H1937" s="2"/>
    </row>
    <row r="1938" spans="1:8" ht="15.75" customHeight="1">
      <c r="A1938" s="2"/>
      <c r="B1938" s="2"/>
      <c r="C1938" s="2" t="str">
        <v/>
      </c>
      <c r="D1938" s="2"/>
      <c r="E1938" s="2"/>
      <c r="F1938" s="2"/>
      <c r="G1938" s="2"/>
      <c r="H1938" s="2"/>
    </row>
    <row r="1939" spans="1:8" ht="15.75" customHeight="1">
      <c r="A1939" s="2"/>
      <c r="B1939" s="2"/>
      <c r="C1939" s="2" t="str">
        <v/>
      </c>
      <c r="D1939" s="2"/>
      <c r="E1939" s="2"/>
      <c r="F1939" s="2"/>
      <c r="G1939" s="2"/>
      <c r="H1939" s="2"/>
    </row>
    <row r="1940" spans="1:8" ht="15.75" customHeight="1">
      <c r="A1940" s="2"/>
      <c r="B1940" s="2"/>
      <c r="C1940" s="2" t="str">
        <v/>
      </c>
      <c r="D1940" s="2"/>
      <c r="E1940" s="2"/>
      <c r="F1940" s="2"/>
      <c r="G1940" s="2"/>
      <c r="H1940" s="2"/>
    </row>
    <row r="1941" spans="1:8" ht="15.75" customHeight="1">
      <c r="A1941" s="2"/>
      <c r="B1941" s="2"/>
      <c r="C1941" s="2" t="str">
        <v/>
      </c>
      <c r="D1941" s="2"/>
      <c r="E1941" s="2"/>
      <c r="F1941" s="2"/>
      <c r="G1941" s="2"/>
      <c r="H1941" s="2"/>
    </row>
    <row r="1942" spans="1:8" ht="15.75" customHeight="1">
      <c r="A1942" s="2"/>
      <c r="B1942" s="2"/>
      <c r="C1942" s="2" t="str">
        <v/>
      </c>
      <c r="D1942" s="2"/>
      <c r="E1942" s="2"/>
      <c r="F1942" s="2"/>
      <c r="G1942" s="2"/>
      <c r="H1942" s="2"/>
    </row>
    <row r="1943" spans="1:8" ht="15.75" customHeight="1">
      <c r="A1943" s="2"/>
      <c r="B1943" s="2"/>
      <c r="C1943" s="2" t="str">
        <v/>
      </c>
      <c r="D1943" s="2"/>
      <c r="E1943" s="2"/>
      <c r="F1943" s="2"/>
      <c r="G1943" s="2"/>
      <c r="H1943" s="2"/>
    </row>
    <row r="1944" spans="1:8" ht="15.75" customHeight="1">
      <c r="A1944" s="2"/>
      <c r="B1944" s="2"/>
      <c r="C1944" s="2" t="str">
        <v/>
      </c>
      <c r="D1944" s="2"/>
      <c r="E1944" s="2"/>
      <c r="F1944" s="2"/>
      <c r="G1944" s="2"/>
      <c r="H1944" s="2"/>
    </row>
    <row r="1945" spans="1:8" ht="15.75" customHeight="1">
      <c r="A1945" s="2"/>
      <c r="B1945" s="2"/>
      <c r="C1945" s="2" t="str">
        <v/>
      </c>
      <c r="D1945" s="2"/>
      <c r="E1945" s="2"/>
      <c r="F1945" s="2"/>
      <c r="G1945" s="2"/>
      <c r="H1945" s="2"/>
    </row>
    <row r="1946" spans="1:8" ht="15.75" customHeight="1">
      <c r="A1946" s="2"/>
      <c r="B1946" s="2"/>
      <c r="C1946" s="2" t="str">
        <v/>
      </c>
      <c r="D1946" s="2"/>
      <c r="E1946" s="2"/>
      <c r="F1946" s="2"/>
      <c r="G1946" s="2"/>
      <c r="H1946" s="2"/>
    </row>
    <row r="1947" spans="1:8" ht="15.75" customHeight="1">
      <c r="A1947" s="2"/>
      <c r="B1947" s="2"/>
      <c r="C1947" s="2" t="str">
        <v/>
      </c>
      <c r="D1947" s="2"/>
      <c r="E1947" s="2"/>
      <c r="F1947" s="2"/>
      <c r="G1947" s="2"/>
      <c r="H1947" s="2"/>
    </row>
    <row r="1948" spans="1:8" ht="15.75" customHeight="1">
      <c r="A1948" s="2"/>
      <c r="B1948" s="2"/>
      <c r="C1948" s="2" t="str">
        <v/>
      </c>
      <c r="D1948" s="2"/>
      <c r="E1948" s="2"/>
      <c r="F1948" s="2"/>
      <c r="G1948" s="2"/>
      <c r="H1948" s="2"/>
    </row>
    <row r="1949" spans="1:8" ht="15.75" customHeight="1">
      <c r="A1949" s="2"/>
      <c r="B1949" s="2"/>
      <c r="C1949" s="2" t="str">
        <v/>
      </c>
      <c r="D1949" s="2"/>
      <c r="E1949" s="2"/>
      <c r="F1949" s="2"/>
      <c r="G1949" s="2"/>
      <c r="H1949" s="2"/>
    </row>
    <row r="1950" spans="1:8" ht="15.75" customHeight="1">
      <c r="A1950" s="2"/>
      <c r="B1950" s="2"/>
      <c r="C1950" s="2" t="str">
        <v/>
      </c>
      <c r="D1950" s="2"/>
      <c r="E1950" s="2"/>
      <c r="F1950" s="2"/>
      <c r="G1950" s="2"/>
      <c r="H1950" s="2"/>
    </row>
    <row r="1951" spans="1:8" ht="15.75" customHeight="1">
      <c r="A1951" s="2"/>
      <c r="B1951" s="2"/>
      <c r="C1951" s="2" t="str">
        <v/>
      </c>
      <c r="D1951" s="2"/>
      <c r="E1951" s="2"/>
      <c r="F1951" s="2"/>
      <c r="G1951" s="2"/>
      <c r="H1951" s="2"/>
    </row>
    <row r="1952" spans="1:8" ht="15.75" customHeight="1">
      <c r="A1952" s="2"/>
      <c r="B1952" s="2"/>
      <c r="C1952" s="2" t="str">
        <v/>
      </c>
      <c r="D1952" s="2"/>
      <c r="E1952" s="2"/>
      <c r="F1952" s="2"/>
      <c r="G1952" s="2"/>
      <c r="H1952" s="2"/>
    </row>
    <row r="1953" spans="1:8" ht="15.75" customHeight="1">
      <c r="A1953" s="2"/>
      <c r="B1953" s="2"/>
      <c r="C1953" s="2" t="str">
        <v/>
      </c>
      <c r="D1953" s="2"/>
      <c r="E1953" s="2"/>
      <c r="F1953" s="2"/>
      <c r="G1953" s="2"/>
      <c r="H1953" s="2"/>
    </row>
    <row r="1954" spans="1:8" ht="15.75" customHeight="1">
      <c r="A1954" s="2"/>
      <c r="B1954" s="2"/>
      <c r="C1954" s="2" t="str">
        <v/>
      </c>
      <c r="D1954" s="2"/>
      <c r="E1954" s="2"/>
      <c r="F1954" s="2"/>
      <c r="G1954" s="2"/>
      <c r="H1954" s="2"/>
    </row>
    <row r="1955" spans="1:8" ht="15.75" customHeight="1">
      <c r="A1955" s="2"/>
      <c r="B1955" s="2"/>
      <c r="C1955" s="2" t="str">
        <v/>
      </c>
      <c r="D1955" s="2"/>
      <c r="E1955" s="2"/>
      <c r="F1955" s="2"/>
      <c r="G1955" s="2"/>
      <c r="H1955" s="2"/>
    </row>
    <row r="1956" spans="1:8" ht="15.75" customHeight="1">
      <c r="A1956" s="2"/>
      <c r="B1956" s="2"/>
      <c r="C1956" s="2" t="str">
        <v/>
      </c>
      <c r="D1956" s="2"/>
      <c r="E1956" s="2"/>
      <c r="F1956" s="2"/>
      <c r="G1956" s="2"/>
      <c r="H1956" s="2"/>
    </row>
    <row r="1957" spans="1:8" ht="15.75" customHeight="1">
      <c r="A1957" s="2"/>
      <c r="B1957" s="2"/>
      <c r="C1957" s="2" t="str">
        <v/>
      </c>
      <c r="D1957" s="2"/>
      <c r="E1957" s="2"/>
      <c r="F1957" s="2"/>
      <c r="G1957" s="2"/>
      <c r="H1957" s="2"/>
    </row>
    <row r="1958" spans="1:8" ht="15.75" customHeight="1">
      <c r="A1958" s="2"/>
      <c r="B1958" s="2"/>
      <c r="C1958" s="2" t="str">
        <v/>
      </c>
      <c r="D1958" s="2"/>
      <c r="E1958" s="2"/>
      <c r="F1958" s="2"/>
      <c r="G1958" s="2"/>
      <c r="H1958" s="2"/>
    </row>
    <row r="1959" spans="1:8" ht="15.75" customHeight="1">
      <c r="A1959" s="2"/>
      <c r="B1959" s="2"/>
      <c r="C1959" s="2" t="str">
        <v/>
      </c>
      <c r="D1959" s="2"/>
      <c r="E1959" s="2"/>
      <c r="F1959" s="2"/>
      <c r="G1959" s="2"/>
      <c r="H1959" s="2"/>
    </row>
    <row r="1960" spans="1:8" ht="15.75" customHeight="1">
      <c r="A1960" s="2"/>
      <c r="B1960" s="2"/>
      <c r="C1960" s="2" t="str">
        <v/>
      </c>
      <c r="D1960" s="2"/>
      <c r="E1960" s="2"/>
      <c r="F1960" s="2"/>
      <c r="G1960" s="2"/>
      <c r="H1960" s="2"/>
    </row>
    <row r="1961" spans="1:8" ht="15.75" customHeight="1">
      <c r="A1961" s="2"/>
      <c r="B1961" s="2"/>
      <c r="C1961" s="2" t="str">
        <v/>
      </c>
      <c r="D1961" s="2"/>
      <c r="E1961" s="2"/>
      <c r="F1961" s="2"/>
      <c r="G1961" s="2"/>
      <c r="H1961" s="2"/>
    </row>
    <row r="1962" spans="1:8" ht="15.75" customHeight="1">
      <c r="A1962" s="2"/>
      <c r="B1962" s="2"/>
      <c r="C1962" s="2" t="str">
        <v/>
      </c>
      <c r="D1962" s="2"/>
      <c r="E1962" s="2"/>
      <c r="F1962" s="2"/>
      <c r="G1962" s="2"/>
      <c r="H1962" s="2"/>
    </row>
    <row r="1963" spans="1:8" ht="15.75" customHeight="1">
      <c r="A1963" s="2"/>
      <c r="B1963" s="2"/>
      <c r="C1963" s="2" t="str">
        <v/>
      </c>
      <c r="D1963" s="2"/>
      <c r="E1963" s="2"/>
      <c r="F1963" s="2"/>
      <c r="G1963" s="2"/>
      <c r="H1963" s="2"/>
    </row>
    <row r="1964" spans="1:8" ht="15.75" customHeight="1">
      <c r="A1964" s="2"/>
      <c r="B1964" s="2"/>
      <c r="C1964" s="2" t="str">
        <v/>
      </c>
      <c r="D1964" s="2"/>
      <c r="E1964" s="2"/>
      <c r="F1964" s="2"/>
      <c r="G1964" s="2"/>
      <c r="H1964" s="2"/>
    </row>
    <row r="1965" spans="1:8" ht="15.75" customHeight="1">
      <c r="A1965" s="2"/>
      <c r="B1965" s="2"/>
      <c r="C1965" s="2" t="str">
        <v/>
      </c>
      <c r="D1965" s="2"/>
      <c r="E1965" s="2"/>
      <c r="F1965" s="2"/>
      <c r="G1965" s="2"/>
      <c r="H1965" s="2"/>
    </row>
    <row r="1966" spans="1:8" ht="15.75" customHeight="1">
      <c r="A1966" s="2"/>
      <c r="B1966" s="2"/>
      <c r="C1966" s="2" t="str">
        <v/>
      </c>
      <c r="D1966" s="2"/>
      <c r="E1966" s="2"/>
      <c r="F1966" s="2"/>
      <c r="G1966" s="2"/>
      <c r="H1966" s="2"/>
    </row>
    <row r="1967" spans="1:8" ht="15.75" customHeight="1">
      <c r="A1967" s="2"/>
      <c r="B1967" s="2"/>
      <c r="C1967" s="2" t="str">
        <v/>
      </c>
      <c r="D1967" s="2"/>
      <c r="E1967" s="2"/>
      <c r="F1967" s="2"/>
      <c r="G1967" s="2"/>
      <c r="H1967" s="2"/>
    </row>
    <row r="1968" spans="1:8" ht="15.75" customHeight="1">
      <c r="A1968" s="2"/>
      <c r="B1968" s="2"/>
      <c r="C1968" s="2" t="str">
        <v/>
      </c>
      <c r="D1968" s="2"/>
      <c r="E1968" s="2"/>
      <c r="F1968" s="2"/>
      <c r="G1968" s="2"/>
      <c r="H1968" s="2"/>
    </row>
    <row r="1969" spans="1:8" ht="15.75" customHeight="1">
      <c r="A1969" s="2"/>
      <c r="B1969" s="2"/>
      <c r="C1969" s="2" t="str">
        <v/>
      </c>
      <c r="D1969" s="2"/>
      <c r="E1969" s="2"/>
      <c r="F1969" s="2"/>
      <c r="G1969" s="2"/>
      <c r="H1969" s="2"/>
    </row>
    <row r="1970" spans="1:8" ht="15.75" customHeight="1">
      <c r="A1970" s="2"/>
      <c r="B1970" s="2"/>
      <c r="C1970" s="2" t="str">
        <v/>
      </c>
      <c r="D1970" s="2"/>
      <c r="E1970" s="2"/>
      <c r="F1970" s="2"/>
      <c r="G1970" s="2"/>
      <c r="H1970" s="2"/>
    </row>
    <row r="1971" spans="1:8" ht="15.75" customHeight="1">
      <c r="A1971" s="2"/>
      <c r="B1971" s="2"/>
      <c r="C1971" s="2" t="str">
        <v/>
      </c>
      <c r="D1971" s="2"/>
      <c r="E1971" s="2"/>
      <c r="F1971" s="2"/>
      <c r="G1971" s="2"/>
      <c r="H1971" s="2"/>
    </row>
    <row r="1972" spans="1:8" ht="15.75" customHeight="1">
      <c r="A1972" s="2"/>
      <c r="B1972" s="2"/>
      <c r="C1972" s="2" t="str">
        <v/>
      </c>
      <c r="D1972" s="2"/>
      <c r="E1972" s="2"/>
      <c r="F1972" s="2"/>
      <c r="G1972" s="2"/>
      <c r="H1972" s="2"/>
    </row>
    <row r="1973" spans="1:8" ht="15.75" customHeight="1">
      <c r="A1973" s="2"/>
      <c r="B1973" s="2"/>
      <c r="C1973" s="2" t="str">
        <v/>
      </c>
      <c r="D1973" s="2"/>
      <c r="E1973" s="2"/>
      <c r="F1973" s="2"/>
      <c r="G1973" s="2"/>
      <c r="H1973" s="2"/>
    </row>
    <row r="1974" spans="1:8" ht="15.75" customHeight="1">
      <c r="A1974" s="2"/>
      <c r="B1974" s="2"/>
      <c r="C1974" s="2" t="str">
        <v/>
      </c>
      <c r="D1974" s="2"/>
      <c r="E1974" s="2"/>
      <c r="F1974" s="2"/>
      <c r="G1974" s="2"/>
      <c r="H1974" s="2"/>
    </row>
    <row r="1975" spans="1:8" ht="15.75" customHeight="1">
      <c r="A1975" s="2"/>
      <c r="B1975" s="2"/>
      <c r="C1975" s="2" t="str">
        <v/>
      </c>
      <c r="D1975" s="2"/>
      <c r="E1975" s="2"/>
      <c r="F1975" s="2"/>
      <c r="G1975" s="2"/>
      <c r="H1975" s="2"/>
    </row>
    <row r="1976" spans="1:8" ht="15.75" customHeight="1">
      <c r="A1976" s="2"/>
      <c r="B1976" s="2"/>
      <c r="C1976" s="2" t="str">
        <v/>
      </c>
      <c r="D1976" s="2"/>
      <c r="E1976" s="2"/>
      <c r="F1976" s="2"/>
      <c r="G1976" s="2"/>
      <c r="H1976" s="2"/>
    </row>
    <row r="1977" spans="1:8" ht="15.75" customHeight="1">
      <c r="A1977" s="2"/>
      <c r="B1977" s="2"/>
      <c r="C1977" s="2" t="str">
        <v/>
      </c>
      <c r="D1977" s="2"/>
      <c r="E1977" s="2"/>
      <c r="F1977" s="2"/>
      <c r="G1977" s="2"/>
      <c r="H1977" s="2"/>
    </row>
    <row r="1978" spans="1:8" ht="15.75" customHeight="1">
      <c r="A1978" s="2"/>
      <c r="B1978" s="2"/>
      <c r="C1978" s="2" t="str">
        <v/>
      </c>
      <c r="D1978" s="2"/>
      <c r="E1978" s="2"/>
      <c r="F1978" s="2"/>
      <c r="G1978" s="2"/>
      <c r="H1978" s="2"/>
    </row>
    <row r="1979" spans="1:8" ht="15.75" customHeight="1">
      <c r="A1979" s="2"/>
      <c r="B1979" s="2"/>
      <c r="C1979" s="2" t="str">
        <v/>
      </c>
      <c r="D1979" s="2"/>
      <c r="E1979" s="2"/>
      <c r="F1979" s="2"/>
      <c r="G1979" s="2"/>
      <c r="H1979" s="2"/>
    </row>
    <row r="1980" spans="1:8" ht="15.75" customHeight="1">
      <c r="A1980" s="2"/>
      <c r="B1980" s="2"/>
      <c r="C1980" s="2" t="str">
        <v/>
      </c>
      <c r="D1980" s="2"/>
      <c r="E1980" s="2"/>
      <c r="F1980" s="2"/>
      <c r="G1980" s="2"/>
      <c r="H1980" s="2"/>
    </row>
    <row r="1981" spans="1:8" ht="15.75" customHeight="1">
      <c r="A1981" s="2"/>
      <c r="B1981" s="2"/>
      <c r="C1981" s="2" t="str">
        <v/>
      </c>
      <c r="D1981" s="2"/>
      <c r="E1981" s="2"/>
      <c r="F1981" s="2"/>
      <c r="G1981" s="2"/>
      <c r="H1981" s="2"/>
    </row>
    <row r="1982" spans="1:8" ht="15.75" customHeight="1">
      <c r="A1982" s="2"/>
      <c r="B1982" s="2"/>
      <c r="C1982" s="2" t="str">
        <v/>
      </c>
      <c r="D1982" s="2"/>
      <c r="E1982" s="2"/>
      <c r="F1982" s="2"/>
      <c r="G1982" s="2"/>
      <c r="H1982" s="2"/>
    </row>
    <row r="1983" spans="1:8" ht="15.75" customHeight="1">
      <c r="A1983" s="2"/>
      <c r="B1983" s="2"/>
      <c r="C1983" s="2" t="str">
        <v/>
      </c>
      <c r="D1983" s="2"/>
      <c r="E1983" s="2"/>
      <c r="F1983" s="2"/>
      <c r="G1983" s="2"/>
      <c r="H1983" s="2"/>
    </row>
    <row r="1984" spans="1:8" ht="15.75" customHeight="1">
      <c r="A1984" s="2"/>
      <c r="B1984" s="2"/>
      <c r="C1984" s="2" t="str">
        <v/>
      </c>
      <c r="D1984" s="2"/>
      <c r="E1984" s="2"/>
      <c r="F1984" s="2"/>
      <c r="G1984" s="2"/>
      <c r="H1984" s="2"/>
    </row>
    <row r="1985" spans="1:8" ht="15.75" customHeight="1">
      <c r="A1985" s="2"/>
      <c r="B1985" s="2"/>
      <c r="C1985" s="2" t="str">
        <v/>
      </c>
      <c r="D1985" s="2"/>
      <c r="E1985" s="2"/>
      <c r="F1985" s="2"/>
      <c r="G1985" s="2"/>
      <c r="H1985" s="2"/>
    </row>
    <row r="1986" spans="1:8" ht="15.75" customHeight="1">
      <c r="A1986" s="2"/>
      <c r="B1986" s="2"/>
      <c r="C1986" s="2" t="str">
        <v/>
      </c>
      <c r="D1986" s="2"/>
      <c r="E1986" s="2"/>
      <c r="F1986" s="2"/>
      <c r="G1986" s="2"/>
      <c r="H1986" s="2"/>
    </row>
    <row r="1987" spans="1:8" ht="15.75" customHeight="1">
      <c r="A1987" s="2"/>
      <c r="B1987" s="2"/>
      <c r="C1987" s="2" t="str">
        <v/>
      </c>
      <c r="D1987" s="2"/>
      <c r="E1987" s="2"/>
      <c r="F1987" s="2"/>
      <c r="G1987" s="2"/>
      <c r="H1987" s="2"/>
    </row>
    <row r="1988" spans="1:8" ht="15.75" customHeight="1">
      <c r="A1988" s="2"/>
      <c r="B1988" s="2"/>
      <c r="C1988" s="2" t="str">
        <v/>
      </c>
      <c r="D1988" s="2"/>
      <c r="E1988" s="2"/>
      <c r="F1988" s="2"/>
      <c r="G1988" s="2"/>
      <c r="H1988" s="2"/>
    </row>
    <row r="1989" spans="1:8" ht="15.75" customHeight="1">
      <c r="A1989" s="2"/>
      <c r="B1989" s="2"/>
      <c r="C1989" s="2" t="str">
        <v/>
      </c>
      <c r="D1989" s="2"/>
      <c r="E1989" s="2"/>
      <c r="F1989" s="2"/>
      <c r="G1989" s="2"/>
      <c r="H1989" s="2"/>
    </row>
    <row r="1990" spans="1:8" ht="15.75" customHeight="1">
      <c r="A1990" s="2"/>
      <c r="B1990" s="2"/>
      <c r="C1990" s="2" t="str">
        <v/>
      </c>
      <c r="D1990" s="2"/>
      <c r="E1990" s="2"/>
      <c r="F1990" s="2"/>
      <c r="G1990" s="2"/>
      <c r="H1990" s="2"/>
    </row>
    <row r="1991" spans="1:8" ht="15.75" customHeight="1">
      <c r="A1991" s="2"/>
      <c r="B1991" s="2"/>
      <c r="C1991" s="2" t="str">
        <v/>
      </c>
      <c r="D1991" s="2"/>
      <c r="E1991" s="2"/>
      <c r="F1991" s="2"/>
      <c r="G1991" s="2"/>
      <c r="H1991" s="2"/>
    </row>
    <row r="1992" spans="1:8" ht="15.75" customHeight="1">
      <c r="A1992" s="2"/>
      <c r="B1992" s="2"/>
      <c r="C1992" s="2" t="str">
        <v/>
      </c>
      <c r="D1992" s="2"/>
      <c r="E1992" s="2"/>
      <c r="F1992" s="2"/>
      <c r="G1992" s="2"/>
      <c r="H1992" s="2"/>
    </row>
    <row r="1993" spans="1:8" ht="15.75" customHeight="1">
      <c r="A1993" s="2"/>
      <c r="B1993" s="2"/>
      <c r="C1993" s="2" t="str">
        <v/>
      </c>
      <c r="D1993" s="2"/>
      <c r="E1993" s="2"/>
      <c r="F1993" s="2"/>
      <c r="G1993" s="2"/>
      <c r="H1993" s="2"/>
    </row>
    <row r="1994" spans="1:8" ht="15.75" customHeight="1">
      <c r="A1994" s="2"/>
      <c r="B1994" s="2"/>
      <c r="C1994" s="2" t="str">
        <v/>
      </c>
      <c r="D1994" s="2"/>
      <c r="E1994" s="2"/>
      <c r="F1994" s="2"/>
      <c r="G1994" s="2"/>
      <c r="H1994" s="2"/>
    </row>
    <row r="1995" spans="1:8" ht="15.75" customHeight="1">
      <c r="A1995" s="2"/>
      <c r="B1995" s="2"/>
      <c r="C1995" s="2" t="str">
        <v/>
      </c>
      <c r="D1995" s="2"/>
      <c r="E1995" s="2"/>
      <c r="F1995" s="2"/>
      <c r="G1995" s="2"/>
      <c r="H1995" s="2"/>
    </row>
    <row r="1996" spans="1:8" ht="15.75" customHeight="1">
      <c r="A1996" s="2"/>
      <c r="B1996" s="2"/>
      <c r="C1996" s="2" t="str">
        <v/>
      </c>
      <c r="D1996" s="2"/>
      <c r="E1996" s="2"/>
      <c r="F1996" s="2"/>
      <c r="G1996" s="2"/>
      <c r="H1996" s="2"/>
    </row>
    <row r="1997" spans="1:8" ht="15.75" customHeight="1">
      <c r="A1997" s="2"/>
      <c r="B1997" s="2"/>
      <c r="C1997" s="2" t="str">
        <v/>
      </c>
      <c r="D1997" s="2"/>
      <c r="E1997" s="2"/>
      <c r="F1997" s="2"/>
      <c r="G1997" s="2"/>
      <c r="H1997" s="2"/>
    </row>
    <row r="1998" spans="1:8" ht="15.75" customHeight="1">
      <c r="A1998" s="2"/>
      <c r="B1998" s="2"/>
      <c r="C1998" s="2" t="str">
        <v/>
      </c>
      <c r="D1998" s="2"/>
      <c r="E1998" s="2"/>
      <c r="F1998" s="2"/>
      <c r="G1998" s="2"/>
      <c r="H1998" s="2"/>
    </row>
    <row r="1999" spans="1:8" ht="15.75" customHeight="1">
      <c r="A1999" s="2"/>
      <c r="B1999" s="2"/>
      <c r="C1999" s="2" t="str">
        <v/>
      </c>
      <c r="D1999" s="2"/>
      <c r="E1999" s="2"/>
      <c r="F1999" s="2"/>
      <c r="G1999" s="2"/>
      <c r="H1999" s="2"/>
    </row>
    <row r="2000" spans="1:8" ht="15.75" customHeight="1">
      <c r="A2000" s="2"/>
      <c r="B2000" s="2"/>
      <c r="C2000" s="2" t="str">
        <v/>
      </c>
      <c r="D2000" s="2"/>
      <c r="E2000" s="2"/>
      <c r="F2000" s="2"/>
      <c r="G2000" s="2"/>
      <c r="H2000" s="2"/>
    </row>
    <row r="2001" spans="1:8" ht="15.75" customHeight="1">
      <c r="A2001" s="2"/>
      <c r="B2001" s="2"/>
      <c r="C2001" s="2" t="str">
        <v/>
      </c>
      <c r="D2001" s="2"/>
      <c r="E2001" s="2"/>
      <c r="F2001" s="2"/>
      <c r="G2001" s="2"/>
      <c r="H2001" s="2"/>
    </row>
    <row r="2002" spans="1:8" ht="15.75" customHeight="1">
      <c r="A2002" s="2"/>
      <c r="B2002" s="2"/>
      <c r="C2002" s="2" t="str">
        <v/>
      </c>
      <c r="D2002" s="2"/>
      <c r="E2002" s="2"/>
      <c r="F2002" s="2"/>
      <c r="G2002" s="2"/>
      <c r="H2002" s="2"/>
    </row>
    <row r="2003" spans="1:8" ht="15.75" customHeight="1">
      <c r="A2003" s="2"/>
      <c r="B2003" s="2"/>
      <c r="C2003" s="2" t="str">
        <v/>
      </c>
      <c r="D2003" s="2"/>
      <c r="E2003" s="2"/>
      <c r="F2003" s="2"/>
      <c r="G2003" s="2"/>
      <c r="H2003" s="2"/>
    </row>
    <row r="2004" spans="1:8" ht="15.75" customHeight="1">
      <c r="A2004" s="2"/>
      <c r="B2004" s="2"/>
      <c r="C2004" s="2" t="str">
        <v/>
      </c>
      <c r="D2004" s="2"/>
      <c r="E2004" s="2"/>
      <c r="F2004" s="2"/>
      <c r="G2004" s="2"/>
      <c r="H2004" s="2"/>
    </row>
    <row r="2005" spans="1:8" ht="15.75" customHeight="1">
      <c r="A2005" s="2"/>
      <c r="B2005" s="2"/>
      <c r="C2005" s="2" t="str">
        <v/>
      </c>
      <c r="D2005" s="2"/>
      <c r="E2005" s="2"/>
      <c r="F2005" s="2"/>
      <c r="G2005" s="2"/>
      <c r="H2005" s="2"/>
    </row>
    <row r="2006" spans="1:8" ht="15.75" customHeight="1">
      <c r="A2006" s="2"/>
      <c r="B2006" s="2"/>
      <c r="C2006" s="2" t="str">
        <v/>
      </c>
      <c r="D2006" s="2"/>
      <c r="E2006" s="2"/>
      <c r="F2006" s="2"/>
      <c r="G2006" s="2"/>
      <c r="H2006" s="2"/>
    </row>
    <row r="2007" spans="1:8" ht="15.75" customHeight="1">
      <c r="A2007" s="2"/>
      <c r="B2007" s="2"/>
      <c r="C2007" s="2" t="str">
        <v/>
      </c>
      <c r="D2007" s="2"/>
      <c r="E2007" s="2"/>
      <c r="F2007" s="2"/>
      <c r="G2007" s="2"/>
      <c r="H2007" s="2"/>
    </row>
    <row r="2008" spans="1:8" ht="15.75" customHeight="1">
      <c r="A2008" s="2"/>
      <c r="B2008" s="2"/>
      <c r="C2008" s="2" t="str">
        <v/>
      </c>
      <c r="D2008" s="2"/>
      <c r="E2008" s="2"/>
      <c r="F2008" s="2"/>
      <c r="G2008" s="2"/>
      <c r="H2008" s="2"/>
    </row>
    <row r="2009" spans="1:8" ht="15.75" customHeight="1">
      <c r="A2009" s="2"/>
      <c r="B2009" s="2"/>
      <c r="C2009" s="2" t="str">
        <v/>
      </c>
      <c r="D2009" s="2"/>
      <c r="E2009" s="2"/>
      <c r="F2009" s="2"/>
      <c r="G2009" s="2"/>
      <c r="H2009" s="2"/>
    </row>
    <row r="2010" spans="1:8" ht="15.75" customHeight="1">
      <c r="A2010" s="2"/>
      <c r="B2010" s="2"/>
      <c r="C2010" s="2" t="str">
        <v/>
      </c>
      <c r="D2010" s="2"/>
      <c r="E2010" s="2"/>
      <c r="F2010" s="2"/>
      <c r="G2010" s="2"/>
      <c r="H2010" s="2"/>
    </row>
    <row r="2011" spans="1:8" ht="15.75" customHeight="1">
      <c r="A2011" s="2"/>
      <c r="B2011" s="2"/>
      <c r="C2011" s="2" t="str">
        <v/>
      </c>
      <c r="D2011" s="2"/>
      <c r="E2011" s="2"/>
      <c r="F2011" s="2"/>
      <c r="G2011" s="2"/>
      <c r="H2011" s="2"/>
    </row>
    <row r="2012" spans="1:8" ht="15.75" customHeight="1">
      <c r="A2012" s="2"/>
      <c r="B2012" s="2"/>
      <c r="C2012" s="2" t="str">
        <v/>
      </c>
      <c r="D2012" s="2"/>
      <c r="E2012" s="2"/>
      <c r="F2012" s="2"/>
      <c r="G2012" s="2"/>
      <c r="H2012" s="2"/>
    </row>
    <row r="2013" spans="1:8" ht="15.75" customHeight="1">
      <c r="A2013" s="2"/>
      <c r="B2013" s="2"/>
      <c r="C2013" s="2" t="str">
        <v/>
      </c>
      <c r="D2013" s="2"/>
      <c r="E2013" s="2"/>
      <c r="F2013" s="2"/>
      <c r="G2013" s="2"/>
      <c r="H2013" s="2"/>
    </row>
    <row r="2014" spans="1:8" ht="15.75" customHeight="1">
      <c r="A2014" s="2"/>
      <c r="B2014" s="2"/>
      <c r="C2014" s="2" t="str">
        <v/>
      </c>
      <c r="D2014" s="2"/>
      <c r="E2014" s="2"/>
      <c r="F2014" s="2"/>
      <c r="G2014" s="2"/>
      <c r="H2014" s="2"/>
    </row>
    <row r="2015" spans="1:8" ht="15.75" customHeight="1">
      <c r="A2015" s="2"/>
      <c r="B2015" s="2"/>
      <c r="C2015" s="2" t="str">
        <v/>
      </c>
      <c r="D2015" s="2"/>
      <c r="E2015" s="2"/>
      <c r="F2015" s="2"/>
      <c r="G2015" s="2"/>
      <c r="H2015" s="2"/>
    </row>
    <row r="2016" spans="1:8" ht="15.75" customHeight="1">
      <c r="A2016" s="2"/>
      <c r="B2016" s="2"/>
      <c r="C2016" s="2" t="str">
        <v/>
      </c>
      <c r="D2016" s="2"/>
      <c r="E2016" s="2"/>
      <c r="F2016" s="2"/>
      <c r="G2016" s="2"/>
      <c r="H2016" s="2"/>
    </row>
    <row r="2017" spans="1:8" ht="15.75" customHeight="1">
      <c r="A2017" s="2"/>
      <c r="B2017" s="2"/>
      <c r="C2017" s="2" t="str">
        <v/>
      </c>
      <c r="D2017" s="2"/>
      <c r="E2017" s="2"/>
      <c r="F2017" s="2"/>
      <c r="G2017" s="2"/>
      <c r="H2017" s="2"/>
    </row>
    <row r="2018" spans="1:8" ht="15.75" customHeight="1">
      <c r="A2018" s="2"/>
      <c r="B2018" s="2"/>
      <c r="C2018" s="2" t="str">
        <v/>
      </c>
      <c r="D2018" s="2"/>
      <c r="E2018" s="2"/>
      <c r="F2018" s="2"/>
      <c r="G2018" s="2"/>
      <c r="H2018" s="2"/>
    </row>
    <row r="2019" spans="1:8" ht="15.75" customHeight="1">
      <c r="A2019" s="2"/>
      <c r="B2019" s="2"/>
      <c r="C2019" s="2" t="str">
        <v/>
      </c>
      <c r="D2019" s="2"/>
      <c r="E2019" s="2"/>
      <c r="F2019" s="2"/>
      <c r="G2019" s="2"/>
      <c r="H2019" s="2"/>
    </row>
    <row r="2020" spans="1:8" ht="15.75" customHeight="1">
      <c r="A2020" s="2"/>
      <c r="B2020" s="2"/>
      <c r="C2020" s="2" t="str">
        <v/>
      </c>
      <c r="D2020" s="2"/>
      <c r="E2020" s="2"/>
      <c r="F2020" s="2"/>
      <c r="G2020" s="2"/>
      <c r="H2020" s="2"/>
    </row>
    <row r="2021" spans="1:8" ht="15.75" customHeight="1">
      <c r="A2021" s="2"/>
      <c r="B2021" s="2"/>
      <c r="C2021" s="2" t="str">
        <v/>
      </c>
      <c r="D2021" s="2"/>
      <c r="E2021" s="2"/>
      <c r="F2021" s="2"/>
      <c r="G2021" s="2"/>
      <c r="H2021" s="2"/>
    </row>
    <row r="2022" spans="1:8" ht="15.75" customHeight="1">
      <c r="A2022" s="2"/>
      <c r="B2022" s="2"/>
      <c r="C2022" s="2" t="str">
        <v/>
      </c>
      <c r="D2022" s="2"/>
      <c r="E2022" s="2"/>
      <c r="F2022" s="2"/>
      <c r="G2022" s="2"/>
      <c r="H2022" s="2"/>
    </row>
    <row r="2023" spans="1:8" ht="15.75" customHeight="1">
      <c r="A2023" s="2"/>
      <c r="B2023" s="2"/>
      <c r="C2023" s="2" t="str">
        <v/>
      </c>
      <c r="D2023" s="2"/>
      <c r="E2023" s="2"/>
      <c r="F2023" s="2"/>
      <c r="G2023" s="2"/>
      <c r="H2023" s="2"/>
    </row>
    <row r="2024" spans="1:8" ht="15.75" customHeight="1">
      <c r="A2024" s="2"/>
      <c r="B2024" s="2"/>
      <c r="C2024" s="2" t="str">
        <v/>
      </c>
      <c r="D2024" s="2"/>
      <c r="E2024" s="2"/>
      <c r="F2024" s="2"/>
      <c r="G2024" s="2"/>
      <c r="H2024" s="2"/>
    </row>
    <row r="2025" spans="1:8" ht="15.75" customHeight="1">
      <c r="A2025" s="2"/>
      <c r="B2025" s="2"/>
      <c r="C2025" s="2" t="str">
        <v/>
      </c>
      <c r="D2025" s="2"/>
      <c r="E2025" s="2"/>
      <c r="F2025" s="2"/>
      <c r="G2025" s="2"/>
      <c r="H2025" s="2"/>
    </row>
    <row r="2026" spans="1:8" ht="15.75" customHeight="1">
      <c r="A2026" s="2"/>
      <c r="B2026" s="2"/>
      <c r="C2026" s="2" t="str">
        <v/>
      </c>
      <c r="D2026" s="2"/>
      <c r="E2026" s="2"/>
      <c r="F2026" s="2"/>
      <c r="G2026" s="2"/>
      <c r="H2026" s="2"/>
    </row>
    <row r="2027" spans="1:8" ht="15.75" customHeight="1">
      <c r="A2027" s="2"/>
      <c r="B2027" s="2"/>
      <c r="C2027" s="2" t="str">
        <v/>
      </c>
      <c r="D2027" s="2"/>
      <c r="E2027" s="2"/>
      <c r="F2027" s="2"/>
      <c r="G2027" s="2"/>
      <c r="H2027" s="2"/>
    </row>
    <row r="2028" spans="1:8" ht="15.75" customHeight="1">
      <c r="A2028" s="2"/>
      <c r="B2028" s="2"/>
      <c r="C2028" s="2" t="str">
        <v/>
      </c>
      <c r="D2028" s="2"/>
      <c r="E2028" s="2"/>
      <c r="F2028" s="2"/>
      <c r="G2028" s="2"/>
      <c r="H2028" s="2"/>
    </row>
    <row r="2029" spans="1:8" ht="15.75" customHeight="1">
      <c r="A2029" s="2"/>
      <c r="B2029" s="2"/>
      <c r="C2029" s="2" t="str">
        <v/>
      </c>
      <c r="D2029" s="2"/>
      <c r="E2029" s="2"/>
      <c r="F2029" s="2"/>
      <c r="G2029" s="2"/>
      <c r="H2029" s="2"/>
    </row>
    <row r="2030" spans="1:8" ht="15.75" customHeight="1">
      <c r="A2030" s="2"/>
      <c r="B2030" s="2"/>
      <c r="C2030" s="2" t="str">
        <v/>
      </c>
      <c r="D2030" s="2"/>
      <c r="E2030" s="2"/>
      <c r="F2030" s="2"/>
      <c r="G2030" s="2"/>
      <c r="H2030" s="2"/>
    </row>
    <row r="2031" spans="1:8" ht="15.75" customHeight="1">
      <c r="A2031" s="2"/>
      <c r="B2031" s="2"/>
      <c r="C2031" s="2" t="str">
        <v/>
      </c>
      <c r="D2031" s="2"/>
      <c r="E2031" s="2"/>
      <c r="F2031" s="2"/>
      <c r="G2031" s="2"/>
      <c r="H2031" s="2"/>
    </row>
    <row r="2032" spans="1:8" ht="15.75" customHeight="1">
      <c r="A2032" s="2"/>
      <c r="B2032" s="2"/>
      <c r="C2032" s="2" t="str">
        <v/>
      </c>
      <c r="D2032" s="2"/>
      <c r="E2032" s="2"/>
      <c r="F2032" s="2"/>
      <c r="G2032" s="2"/>
      <c r="H2032" s="2"/>
    </row>
    <row r="2033" spans="1:8" ht="15.75" customHeight="1">
      <c r="A2033" s="2"/>
      <c r="B2033" s="2"/>
      <c r="C2033" s="2" t="str">
        <v/>
      </c>
      <c r="D2033" s="2"/>
      <c r="E2033" s="2"/>
      <c r="F2033" s="2"/>
      <c r="G2033" s="2"/>
      <c r="H2033" s="2"/>
    </row>
    <row r="2034" spans="1:8" ht="15.75" customHeight="1">
      <c r="A2034" s="2"/>
      <c r="B2034" s="2"/>
      <c r="C2034" s="2" t="str">
        <v/>
      </c>
      <c r="D2034" s="2"/>
      <c r="E2034" s="2"/>
      <c r="F2034" s="2"/>
      <c r="G2034" s="2"/>
      <c r="H2034" s="2"/>
    </row>
    <row r="2035" spans="1:8" ht="15.75" customHeight="1">
      <c r="A2035" s="2"/>
      <c r="B2035" s="2"/>
      <c r="C2035" s="2" t="str">
        <v/>
      </c>
      <c r="D2035" s="2"/>
      <c r="E2035" s="2"/>
      <c r="F2035" s="2"/>
      <c r="G2035" s="2"/>
      <c r="H2035" s="2"/>
    </row>
    <row r="2036" spans="1:8" ht="15.75" customHeight="1">
      <c r="A2036" s="2"/>
      <c r="B2036" s="2"/>
      <c r="C2036" s="2" t="str">
        <v/>
      </c>
      <c r="D2036" s="2"/>
      <c r="E2036" s="2"/>
      <c r="F2036" s="2"/>
      <c r="G2036" s="2"/>
      <c r="H2036" s="2"/>
    </row>
    <row r="2037" spans="1:8" ht="15.75" customHeight="1">
      <c r="A2037" s="2"/>
      <c r="B2037" s="2"/>
      <c r="C2037" s="2" t="str">
        <v/>
      </c>
      <c r="D2037" s="2"/>
      <c r="E2037" s="2"/>
      <c r="F2037" s="2"/>
      <c r="G2037" s="2"/>
      <c r="H2037" s="2"/>
    </row>
    <row r="2038" spans="1:8" ht="15.75" customHeight="1">
      <c r="A2038" s="2"/>
      <c r="B2038" s="2"/>
      <c r="C2038" s="2" t="str">
        <v/>
      </c>
      <c r="D2038" s="2"/>
      <c r="E2038" s="2"/>
      <c r="F2038" s="2"/>
      <c r="G2038" s="2"/>
      <c r="H2038" s="2"/>
    </row>
    <row r="2039" spans="1:8" ht="15.75" customHeight="1">
      <c r="A2039" s="2"/>
      <c r="B2039" s="2"/>
      <c r="C2039" s="2" t="str">
        <v/>
      </c>
      <c r="D2039" s="2"/>
      <c r="E2039" s="2"/>
      <c r="F2039" s="2"/>
      <c r="G2039" s="2"/>
      <c r="H2039" s="2"/>
    </row>
    <row r="2040" spans="1:8" ht="15.75" customHeight="1">
      <c r="A2040" s="2"/>
      <c r="B2040" s="2"/>
      <c r="C2040" s="2" t="str">
        <v/>
      </c>
      <c r="D2040" s="2"/>
      <c r="E2040" s="2"/>
      <c r="F2040" s="2"/>
      <c r="G2040" s="2"/>
      <c r="H2040" s="2"/>
    </row>
    <row r="2041" spans="1:8" ht="15.75" customHeight="1">
      <c r="A2041" s="2"/>
      <c r="B2041" s="2"/>
      <c r="C2041" s="2" t="str">
        <v/>
      </c>
      <c r="D2041" s="2"/>
      <c r="E2041" s="2"/>
      <c r="F2041" s="2"/>
      <c r="G2041" s="2"/>
      <c r="H2041" s="2"/>
    </row>
    <row r="2042" spans="1:8" ht="15.75" customHeight="1">
      <c r="A2042" s="2"/>
      <c r="B2042" s="2"/>
      <c r="C2042" s="2" t="str">
        <v/>
      </c>
      <c r="D2042" s="2"/>
      <c r="E2042" s="2"/>
      <c r="F2042" s="2"/>
      <c r="G2042" s="2"/>
      <c r="H2042" s="2"/>
    </row>
    <row r="2043" spans="1:8" ht="15.75" customHeight="1">
      <c r="A2043" s="2"/>
      <c r="B2043" s="2"/>
      <c r="C2043" s="2" t="str">
        <v/>
      </c>
      <c r="D2043" s="2"/>
      <c r="E2043" s="2"/>
      <c r="F2043" s="2"/>
      <c r="G2043" s="2"/>
      <c r="H2043" s="2"/>
    </row>
    <row r="2044" spans="1:8" ht="15.75" customHeight="1">
      <c r="A2044" s="2"/>
      <c r="B2044" s="2"/>
      <c r="C2044" s="2" t="str">
        <v/>
      </c>
      <c r="D2044" s="2"/>
      <c r="E2044" s="2"/>
      <c r="F2044" s="2"/>
      <c r="G2044" s="2"/>
      <c r="H2044" s="2"/>
    </row>
    <row r="2045" spans="1:8" ht="15.75" customHeight="1">
      <c r="A2045" s="2"/>
      <c r="B2045" s="2"/>
      <c r="C2045" s="2" t="str">
        <v/>
      </c>
      <c r="D2045" s="2"/>
      <c r="E2045" s="2"/>
      <c r="F2045" s="2"/>
      <c r="G2045" s="2"/>
      <c r="H2045" s="2"/>
    </row>
    <row r="2046" spans="1:8" ht="15.75" customHeight="1">
      <c r="A2046" s="2"/>
      <c r="B2046" s="2"/>
      <c r="C2046" s="2" t="str">
        <v/>
      </c>
      <c r="D2046" s="2"/>
      <c r="E2046" s="2"/>
      <c r="F2046" s="2"/>
      <c r="G2046" s="2"/>
      <c r="H2046" s="2"/>
    </row>
    <row r="2047" spans="1:8" ht="15.75" customHeight="1">
      <c r="A2047" s="2"/>
      <c r="B2047" s="2"/>
      <c r="C2047" s="2" t="str">
        <v/>
      </c>
      <c r="D2047" s="2"/>
      <c r="E2047" s="2"/>
      <c r="F2047" s="2"/>
      <c r="G2047" s="2"/>
      <c r="H2047" s="2"/>
    </row>
    <row r="2048" spans="1:8" ht="15.75" customHeight="1">
      <c r="A2048" s="2"/>
      <c r="B2048" s="2"/>
      <c r="C2048" s="2" t="str">
        <v/>
      </c>
      <c r="D2048" s="2"/>
      <c r="E2048" s="2"/>
      <c r="F2048" s="2"/>
      <c r="G2048" s="2"/>
      <c r="H2048" s="2"/>
    </row>
    <row r="2049" spans="1:8" ht="15.75" customHeight="1">
      <c r="A2049" s="2"/>
      <c r="B2049" s="2"/>
      <c r="C2049" s="2" t="str">
        <v/>
      </c>
      <c r="D2049" s="2"/>
      <c r="E2049" s="2"/>
      <c r="F2049" s="2"/>
      <c r="G2049" s="2"/>
      <c r="H2049" s="2"/>
    </row>
  </sheetData>
  <autoFilter ref="A1:I2049">
    <extLst/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91. BZA (Update 06 Sep)</vt:lpstr>
      <vt:lpstr>92. POV (Update 06 Sep)</vt:lpstr>
      <vt:lpstr>93. POA (Update 06 Sep)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2022-09-14T03:08:00Z</dcterms:created>
  <dcterms:modified xsi:type="dcterms:W3CDTF">2023-05-11T05:20:07Z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5BCE1FE0763C4D2188346CE271F7DD78</vt:lpwstr>
  </property>
  <property fmtid="{D5CDD505-2E9C-101B-9397-08002B2CF9AE}" pid="3" name="KSOProductBuildVer">
    <vt:lpwstr>1033-11.2.0.11486</vt:lpwstr>
  </property>
</Properties>
</file>