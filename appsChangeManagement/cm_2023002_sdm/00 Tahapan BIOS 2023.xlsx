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New SDM\Laporan IKT BIOS\"/>
    </mc:Choice>
  </mc:AlternateContent>
  <xr:revisionPtr revIDLastSave="0" documentId="13_ncr:1_{78137E19-EC1A-4B4E-BB5B-7D22FA119D23}" xr6:coauthVersionLast="44" xr6:coauthVersionMax="44" xr10:uidLastSave="{00000000-0000-0000-0000-000000000000}"/>
  <bookViews>
    <workbookView xWindow="10260" yWindow="210" windowWidth="10230" windowHeight="10710" xr2:uid="{54E5C68A-6915-4DCC-84EA-E83C036E0821}"/>
  </bookViews>
  <sheets>
    <sheet name="Sheet1" sheetId="1" r:id="rId1"/>
    <sheet name="Januari 2023" sheetId="2" r:id="rId2"/>
  </sheets>
  <definedNames>
    <definedName name="_xlnm.Print_Titles" localSheetId="1">'Januari 2023'!$1:$2</definedName>
    <definedName name="_xlnm.Print_Titles" localSheetId="0">Sheet1!$1:$2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G18" i="2" l="1"/>
  <c r="H18" i="2" s="1"/>
  <c r="J18" i="2" s="1"/>
  <c r="H3" i="2"/>
  <c r="J3" i="2" s="1"/>
  <c r="H34" i="1"/>
  <c r="G34" i="1"/>
  <c r="H35" i="1" l="1"/>
  <c r="F30" i="1"/>
  <c r="F25" i="1"/>
  <c r="F34" i="1" l="1"/>
</calcChain>
</file>

<file path=xl/sharedStrings.xml><?xml version="1.0" encoding="utf-8"?>
<sst xmlns="http://schemas.openxmlformats.org/spreadsheetml/2006/main" count="86" uniqueCount="60">
  <si>
    <t>NO.</t>
  </si>
  <si>
    <t>INFORMASI</t>
  </si>
  <si>
    <t>DATA SDM : 14 Parameter</t>
  </si>
  <si>
    <t>Jumlah Dokter Spesialis</t>
  </si>
  <si>
    <t>Data yang dikirimkan merupakan posisi data pada saat tanggal berkenaan, bersifat akumulatif. Data yang dikirimkan merupakan jumlah pegawai sesuai kriteria. Termasuk Dokter Sub Spesialis dan Dokter Spesialis Lain (sesuai dokumen RL.2).
Data awal dikirimkan pada awal tahun berkenaan, updating data dikirimkan per periode semesteran/tahunan.</t>
  </si>
  <si>
    <t>PARAMETER</t>
  </si>
  <si>
    <t>KETERANGAN</t>
  </si>
  <si>
    <t>Jumlah Dokter Gigi</t>
  </si>
  <si>
    <t>Jumlah Dokter Umum</t>
  </si>
  <si>
    <t>Jumlah Tenaga Perawat</t>
  </si>
  <si>
    <t>Jumlah Tenaga Bidan</t>
  </si>
  <si>
    <t>Jumlah Pranata Laboratorium</t>
  </si>
  <si>
    <t>Jumlah Radiografer</t>
  </si>
  <si>
    <t>Jumlah Nutrisionist</t>
  </si>
  <si>
    <t>Jumlah Fisioterapis</t>
  </si>
  <si>
    <t>Jumlah Pharmacist</t>
  </si>
  <si>
    <t>Jumlah Tenaga Profesional Lainnya</t>
  </si>
  <si>
    <t>Jumlah Tenaga Non Medis</t>
  </si>
  <si>
    <t>Jumlah Tenaga Non Medis Administrasi</t>
  </si>
  <si>
    <t>Jumlah Sanitarian</t>
  </si>
  <si>
    <t>Umum, Keuangan, SDM, Humas, BMN</t>
  </si>
  <si>
    <t>SKOR</t>
  </si>
  <si>
    <t>TAHAP 1 - Integrasi Data</t>
  </si>
  <si>
    <t>Profil SDM (usia, jenis kelamin, pendidikan, lama kerja dll.</t>
  </si>
  <si>
    <t>Analisis kebutuhan pegawai (bisa embed ke no 4)</t>
  </si>
  <si>
    <t>Analisis beban kerja</t>
  </si>
  <si>
    <t>Komposisi SDM (ASN, Non ASN)</t>
  </si>
  <si>
    <t>TAHAP 2 - Analitika Data</t>
  </si>
  <si>
    <t>TAHAPAN</t>
  </si>
  <si>
    <t>Training Need Analysis (pelatihan yg dibutuhkan pegawai)</t>
  </si>
  <si>
    <t>Analisis kinerja pegawai (IKI/SKP pegawai)</t>
  </si>
  <si>
    <t xml:space="preserve">TAHAP 3 - Sistem Informasi Manajemen </t>
  </si>
  <si>
    <t>Sistem Informasi SDM (aplikasi)</t>
  </si>
  <si>
    <t>Pencatatan data SDM
* Rekam, Ubah, Hapus data SDM (rekrutmen, pemberhentian,
perubahan status SDM)</t>
  </si>
  <si>
    <t>Pencatatan perhitungan kinerja SDM (e-kinerja)</t>
  </si>
  <si>
    <t>TAHAP 4</t>
  </si>
  <si>
    <t>Profil BLU (pejabat dan pegawai)</t>
  </si>
  <si>
    <t>BOBOT per TAHAP</t>
  </si>
  <si>
    <t>Informasi Nama Direksi dan Jumlah Pegawai per Status Kepegawaian dan jenis tenaga</t>
  </si>
  <si>
    <t>1. Kelengkapan Data pada Modul BIOS</t>
  </si>
  <si>
    <t>2. Tarif dan Remunerasi</t>
  </si>
  <si>
    <t>Pengajuan remunerasi baru/revisi pada modul remunerasi (jika ada)</t>
  </si>
  <si>
    <t>Extra Miles</t>
  </si>
  <si>
    <t>Analitika
Data</t>
  </si>
  <si>
    <t>Ada SK SDM / Bagian di bidang
Analisis Data</t>
  </si>
  <si>
    <t>TOTAL SKOR</t>
  </si>
  <si>
    <t>PIC</t>
  </si>
  <si>
    <t>Sub Koordinator Administrasi SDM</t>
  </si>
  <si>
    <t>Sub Koordinator Pengembangan SDM</t>
  </si>
  <si>
    <t>TAHAP 5 - Operasionalisasi BIOS</t>
  </si>
  <si>
    <t>KEBUTUHAN BIOS TAHUN 2023</t>
  </si>
  <si>
    <t>Dashboard SDM-Non Aplikasi</t>
  </si>
  <si>
    <t>pred</t>
  </si>
  <si>
    <t>REALISASI</t>
  </si>
  <si>
    <t>CAPAIAN</t>
  </si>
  <si>
    <t>BIOS TAHUN 2023</t>
  </si>
  <si>
    <t>CAPAIAN TERHADAP TARGET TW 1</t>
  </si>
  <si>
    <t>TARGET TW 1</t>
  </si>
  <si>
    <t>TARGET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</si>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</sst>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Arial"/>
      <family val="2"/>
    </font>
    <font>
      <sz val="12"/>
      <color theme="1"/>
      <name val="Arial"/>
      <family val="2"/>
    </font>
    <font>
      <sz val="12"/>
      <color rgb="FFFF0000"/>
      <name val="Arial"/>
      <family val="2"/>
    </font>
    <font>
      <b/>
      <sz val="14"/>
      <color theme="1"/>
      <name val="Arial"/>
      <family val="2"/>
    </font>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9" fontId="5" fillId="0" borderId="0" applyFont="0" applyFill="0" applyBorder="0" applyAlignment="0" applyProtection="0"/>
  </cellStyleXfs>
  <cellXfs count="35">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wrapText="1"/>
    </xf>
    <xf numFmtId="9"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left" vertical="center"/>
    </xf>
    <xf numFmtId="0" fontId="2" fillId="0" borderId="1" xfId="0" applyFont="1" applyBorder="1" applyAlignment="1">
      <alignment horizontal="left" vertical="center"/>
    </xf>
    <xf numFmtId="9" fontId="2" fillId="0" borderId="1" xfId="0" applyNumberFormat="1"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wrapText="1"/>
    </xf>
    <xf numFmtId="0" fontId="3" fillId="0" borderId="1" xfId="0" applyFont="1" applyBorder="1" applyAlignment="1">
      <alignment horizontal="center" vertical="center"/>
    </xf>
    <xf numFmtId="0" fontId="1" fillId="0" borderId="1" xfId="0" applyFont="1" applyBorder="1" applyAlignment="1">
      <alignment horizontal="center" vertical="center"/>
    </xf>
    <xf numFmtId="0" fontId="3" fillId="0" borderId="1" xfId="0" applyFont="1" applyBorder="1" applyAlignment="1">
      <alignment horizontal="left" vertical="center" wrapText="1"/>
    </xf>
    <xf numFmtId="0" fontId="1" fillId="0" borderId="0" xfId="0" applyFont="1" applyAlignment="1">
      <alignment horizontal="center" vertical="center"/>
    </xf>
    <xf numFmtId="9" fontId="1" fillId="0" borderId="1" xfId="0" applyNumberFormat="1" applyFont="1" applyBorder="1" applyAlignment="1">
      <alignment horizontal="center" vertical="center"/>
    </xf>
    <xf numFmtId="9" fontId="2" fillId="0" borderId="0" xfId="1" applyFont="1" applyAlignment="1">
      <alignment horizontal="center" vertical="center"/>
    </xf>
    <xf numFmtId="0" fontId="1" fillId="0" borderId="1" xfId="0" applyFont="1" applyBorder="1" applyAlignment="1">
      <alignment horizontal="center" vertical="center"/>
    </xf>
    <xf numFmtId="9" fontId="2" fillId="0" borderId="1" xfId="1" applyFont="1" applyBorder="1" applyAlignment="1">
      <alignment horizontal="center" vertical="center" wrapText="1"/>
    </xf>
    <xf numFmtId="9" fontId="1" fillId="0" borderId="1" xfId="1" applyFont="1" applyBorder="1" applyAlignment="1">
      <alignment horizontal="center" vertical="center"/>
    </xf>
    <xf numFmtId="9" fontId="1" fillId="0" borderId="1" xfId="1"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1" fillId="0" borderId="5" xfId="0" applyFont="1" applyBorder="1" applyAlignment="1">
      <alignment horizontal="right" vertical="center"/>
    </xf>
    <xf numFmtId="0" fontId="1" fillId="0" borderId="6" xfId="0" applyFont="1" applyBorder="1" applyAlignment="1">
      <alignment horizontal="right" vertical="center"/>
    </xf>
    <xf numFmtId="0" fontId="1" fillId="0" borderId="7" xfId="0" applyFont="1" applyBorder="1" applyAlignment="1">
      <alignment horizontal="right" vertical="center"/>
    </xf>
    <xf numFmtId="0" fontId="2" fillId="0" borderId="3" xfId="0" applyFont="1" applyBorder="1" applyAlignment="1">
      <alignment horizontal="center" vertical="center" wrapText="1"/>
    </xf>
    <xf numFmtId="0" fontId="2" fillId="0" borderId="3" xfId="0" applyFont="1" applyBorder="1" applyAlignment="1">
      <alignment horizontal="center" vertical="center"/>
    </xf>
    <xf numFmtId="0" fontId="1" fillId="0" borderId="1" xfId="0" applyFont="1" applyBorder="1" applyAlignment="1">
      <alignment horizontal="center" vertical="center"/>
    </xf>
    <xf numFmtId="0" fontId="4" fillId="0" borderId="8" xfId="0" applyFont="1" applyBorder="1" applyAlignment="1">
      <alignment horizontal="center" vertical="center"/>
    </xf>
    <xf numFmtId="0" fontId="2" fillId="2" borderId="1" xfId="0" applyFont="1" applyFill="1" applyBorder="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5B9EC-2CD7-40E9-BAFF-B7AD7B69BED3}">
  <sheetPr>
    <pageSetUpPr fitToPage="1"/>
  </sheetPr>
  <dimension ref="A1:J35"/>
  <sheetViews>
    <sheetView tabSelected="1" zoomScaleNormal="100" zoomScaleSheetLayoutView="100" workbookViewId="0">
      <pane ySplit="2" topLeftCell="A17" activePane="bottomLeft" state="frozen"/>
      <selection pane="bottomLeft" activeCell="E25" sqref="E25"/>
    </sheetView>
  </sheetViews>
  <sheetFormatPr defaultRowHeight="15" x14ac:dyDescent="0.25"/>
  <cols>
    <col min="1" max="1" width="5.28515625" style="11" bestFit="1" customWidth="1"/>
    <col min="2" max="2" width="18.42578125" style="12" customWidth="1"/>
    <col min="3" max="3" width="21.28515625" style="12" customWidth="1"/>
    <col min="4" max="4" width="3.85546875" style="11" bestFit="1" customWidth="1"/>
    <col min="5" max="5" width="44" style="8" bestFit="1" customWidth="1"/>
    <col min="6" max="6" width="13.42578125" style="11" bestFit="1" customWidth="1"/>
    <col min="7" max="7" width="8" style="11" bestFit="1" customWidth="1"/>
    <col min="8" max="8" width="8" style="11" customWidth="1"/>
    <col min="9" max="9" width="53.140625" style="12" bestFit="1" customWidth="1"/>
    <col min="10" max="10" width="17.140625" style="11" customWidth="1"/>
    <col min="11" max="16384" width="9.140625" style="8"/>
  </cols>
  <sheetData>
    <row r="1" spans="1:10" ht="25.5" customHeight="1" x14ac:dyDescent="0.25">
      <c r="A1" s="33" t="s">
        <v>50</v>
      </c>
      <c r="B1" s="33"/>
      <c r="C1" s="33"/>
      <c r="D1" s="33"/>
      <c r="E1" s="33"/>
      <c r="F1" s="33"/>
      <c r="G1" s="33"/>
      <c r="H1" s="33"/>
      <c r="I1" s="33"/>
      <c r="J1" s="33"/>
    </row>
    <row r="2" spans="1:10" s="16" customFormat="1" ht="31.5" x14ac:dyDescent="0.25">
      <c r="A2" s="2" t="s">
        <v>0</v>
      </c>
      <c r="B2" s="3" t="s">
        <v>28</v>
      </c>
      <c r="C2" s="3" t="s">
        <v>1</v>
      </c>
      <c r="D2" s="32" t="s">
        <v>5</v>
      </c>
      <c r="E2" s="32"/>
      <c r="F2" s="3" t="s">
        <v>37</v>
      </c>
      <c r="G2" s="2" t="s">
        <v>21</v>
      </c>
      <c r="H2" s="14" t="s">
        <v>52</v>
      </c>
      <c r="I2" s="3" t="s">
        <v>6</v>
      </c>
      <c r="J2" s="2" t="s">
        <v>46</v>
      </c>
    </row>
    <row r="3" spans="1:10" ht="60" customHeight="1" x14ac:dyDescent="0.25">
      <c r="A3" s="25">
        <v>1</v>
      </c>
      <c r="B3" s="23" t="s">
        <v>22</v>
      </c>
      <c r="C3" s="23" t="s">
        <v>2</v>
      </c>
      <c r="D3" s="4">
        <v>1</v>
      </c>
      <c r="E3" s="5" t="s">
        <v>3</v>
      </c>
      <c r="F3" s="6">
        <v>0.4</v>
      </c>
      <c r="G3" s="7">
        <v>10</v>
      </c>
      <c r="H3" s="7">
        <v>10</v>
      </c>
      <c r="I3" s="5" t="s">
        <v>4</v>
      </c>
      <c r="J3" s="23" t="s">
        <v>47</v>
      </c>
    </row>
    <row r="4" spans="1:10" x14ac:dyDescent="0.25">
      <c r="A4" s="31"/>
      <c r="B4" s="30"/>
      <c r="C4" s="30"/>
      <c r="D4" s="4">
        <v>2</v>
      </c>
      <c r="E4" s="9" t="s">
        <v>7</v>
      </c>
      <c r="F4" s="4"/>
      <c r="G4" s="4"/>
      <c r="H4" s="4"/>
      <c r="I4" s="5"/>
      <c r="J4" s="30"/>
    </row>
    <row r="5" spans="1:10" x14ac:dyDescent="0.25">
      <c r="A5" s="31"/>
      <c r="B5" s="30"/>
      <c r="C5" s="30"/>
      <c r="D5" s="4">
        <v>3</v>
      </c>
      <c r="E5" s="9" t="s">
        <v>8</v>
      </c>
      <c r="F5" s="4"/>
      <c r="G5" s="4"/>
      <c r="H5" s="4"/>
      <c r="I5" s="5"/>
      <c r="J5" s="30"/>
    </row>
    <row r="6" spans="1:10" x14ac:dyDescent="0.25">
      <c r="A6" s="31"/>
      <c r="B6" s="30"/>
      <c r="C6" s="30"/>
      <c r="D6" s="4">
        <v>4</v>
      </c>
      <c r="E6" s="9" t="s">
        <v>9</v>
      </c>
      <c r="F6" s="4"/>
      <c r="G6" s="4"/>
      <c r="H6" s="4"/>
      <c r="I6" s="5"/>
      <c r="J6" s="30"/>
    </row>
    <row r="7" spans="1:10" x14ac:dyDescent="0.25">
      <c r="A7" s="31"/>
      <c r="B7" s="30"/>
      <c r="C7" s="30"/>
      <c r="D7" s="4">
        <v>5</v>
      </c>
      <c r="E7" s="9" t="s">
        <v>10</v>
      </c>
      <c r="F7" s="4"/>
      <c r="G7" s="4"/>
      <c r="H7" s="4"/>
      <c r="I7" s="5"/>
      <c r="J7" s="30"/>
    </row>
    <row r="8" spans="1:10" x14ac:dyDescent="0.25">
      <c r="A8" s="31"/>
      <c r="B8" s="30"/>
      <c r="C8" s="30"/>
      <c r="D8" s="4">
        <v>6</v>
      </c>
      <c r="E8" s="9" t="s">
        <v>11</v>
      </c>
      <c r="F8" s="4"/>
      <c r="G8" s="4"/>
      <c r="H8" s="4"/>
      <c r="I8" s="5"/>
      <c r="J8" s="30"/>
    </row>
    <row r="9" spans="1:10" x14ac:dyDescent="0.25">
      <c r="A9" s="31"/>
      <c r="B9" s="30"/>
      <c r="C9" s="30"/>
      <c r="D9" s="4">
        <v>7</v>
      </c>
      <c r="E9" s="9" t="s">
        <v>12</v>
      </c>
      <c r="F9" s="4"/>
      <c r="G9" s="4"/>
      <c r="H9" s="4"/>
      <c r="I9" s="5"/>
      <c r="J9" s="30"/>
    </row>
    <row r="10" spans="1:10" x14ac:dyDescent="0.25">
      <c r="A10" s="31"/>
      <c r="B10" s="30"/>
      <c r="C10" s="30"/>
      <c r="D10" s="4">
        <v>8</v>
      </c>
      <c r="E10" s="9" t="s">
        <v>13</v>
      </c>
      <c r="F10" s="4"/>
      <c r="G10" s="4"/>
      <c r="H10" s="4"/>
      <c r="I10" s="5"/>
      <c r="J10" s="30"/>
    </row>
    <row r="11" spans="1:10" x14ac:dyDescent="0.25">
      <c r="A11" s="31"/>
      <c r="B11" s="30"/>
      <c r="C11" s="30"/>
      <c r="D11" s="4">
        <v>9</v>
      </c>
      <c r="E11" s="9" t="s">
        <v>14</v>
      </c>
      <c r="F11" s="4"/>
      <c r="G11" s="4"/>
      <c r="H11" s="4"/>
      <c r="I11" s="5"/>
      <c r="J11" s="30"/>
    </row>
    <row r="12" spans="1:10" x14ac:dyDescent="0.25">
      <c r="A12" s="31"/>
      <c r="B12" s="30"/>
      <c r="C12" s="30"/>
      <c r="D12" s="4">
        <v>10</v>
      </c>
      <c r="E12" s="9" t="s">
        <v>15</v>
      </c>
      <c r="F12" s="4"/>
      <c r="G12" s="4"/>
      <c r="H12" s="4"/>
      <c r="I12" s="5"/>
      <c r="J12" s="30"/>
    </row>
    <row r="13" spans="1:10" x14ac:dyDescent="0.25">
      <c r="A13" s="31"/>
      <c r="B13" s="30"/>
      <c r="C13" s="30"/>
      <c r="D13" s="4">
        <v>11</v>
      </c>
      <c r="E13" s="9" t="s">
        <v>16</v>
      </c>
      <c r="F13" s="4"/>
      <c r="G13" s="4"/>
      <c r="H13" s="4"/>
      <c r="I13" s="5"/>
      <c r="J13" s="30"/>
    </row>
    <row r="14" spans="1:10" x14ac:dyDescent="0.25">
      <c r="A14" s="31"/>
      <c r="B14" s="30"/>
      <c r="C14" s="30"/>
      <c r="D14" s="4">
        <v>12</v>
      </c>
      <c r="E14" s="9" t="s">
        <v>17</v>
      </c>
      <c r="F14" s="4"/>
      <c r="G14" s="4"/>
      <c r="H14" s="4"/>
      <c r="I14" s="5"/>
      <c r="J14" s="30"/>
    </row>
    <row r="15" spans="1:10" x14ac:dyDescent="0.25">
      <c r="A15" s="31"/>
      <c r="B15" s="30"/>
      <c r="C15" s="30"/>
      <c r="D15" s="4">
        <v>13</v>
      </c>
      <c r="E15" s="9" t="s">
        <v>18</v>
      </c>
      <c r="F15" s="4"/>
      <c r="G15" s="4"/>
      <c r="H15" s="4"/>
      <c r="I15" s="5" t="s">
        <v>20</v>
      </c>
      <c r="J15" s="30"/>
    </row>
    <row r="16" spans="1:10" x14ac:dyDescent="0.25">
      <c r="A16" s="26"/>
      <c r="B16" s="24"/>
      <c r="C16" s="24"/>
      <c r="D16" s="4">
        <v>14</v>
      </c>
      <c r="E16" s="9" t="s">
        <v>19</v>
      </c>
      <c r="F16" s="4"/>
      <c r="G16" s="4"/>
      <c r="H16" s="4"/>
      <c r="I16" s="5"/>
      <c r="J16" s="24"/>
    </row>
    <row r="17" spans="1:10" ht="7.5" customHeight="1" x14ac:dyDescent="0.25">
      <c r="A17" s="4"/>
      <c r="B17" s="5"/>
      <c r="C17" s="5"/>
      <c r="D17" s="4"/>
      <c r="E17" s="9"/>
      <c r="F17" s="4"/>
      <c r="G17" s="4"/>
      <c r="H17" s="4"/>
      <c r="I17" s="5"/>
      <c r="J17" s="4"/>
    </row>
    <row r="18" spans="1:10" ht="15" customHeight="1" x14ac:dyDescent="0.25">
      <c r="A18" s="25">
        <v>2</v>
      </c>
      <c r="B18" s="23" t="s">
        <v>27</v>
      </c>
      <c r="C18" s="23" t="s">
        <v>51</v>
      </c>
      <c r="D18" s="4">
        <v>1</v>
      </c>
      <c r="E18" s="5" t="s">
        <v>26</v>
      </c>
      <c r="F18" s="6">
        <v>0.05</v>
      </c>
      <c r="G18" s="4">
        <v>6</v>
      </c>
      <c r="H18" s="4">
        <v>6</v>
      </c>
      <c r="I18" s="5"/>
      <c r="J18" s="23" t="s">
        <v>47</v>
      </c>
    </row>
    <row r="19" spans="1:10" ht="30" x14ac:dyDescent="0.25">
      <c r="A19" s="31"/>
      <c r="B19" s="30"/>
      <c r="C19" s="30"/>
      <c r="D19" s="4">
        <v>2</v>
      </c>
      <c r="E19" s="5" t="s">
        <v>23</v>
      </c>
      <c r="F19" s="4"/>
      <c r="G19" s="4">
        <v>6</v>
      </c>
      <c r="H19" s="4">
        <v>6</v>
      </c>
      <c r="I19" s="5"/>
      <c r="J19" s="30"/>
    </row>
    <row r="20" spans="1:10" ht="30" x14ac:dyDescent="0.25">
      <c r="A20" s="31"/>
      <c r="B20" s="30"/>
      <c r="C20" s="30"/>
      <c r="D20" s="4">
        <v>3</v>
      </c>
      <c r="E20" s="5" t="s">
        <v>24</v>
      </c>
      <c r="F20" s="4"/>
      <c r="G20" s="4">
        <v>2</v>
      </c>
      <c r="H20" s="4">
        <v>2</v>
      </c>
      <c r="I20" s="5"/>
      <c r="J20" s="30"/>
    </row>
    <row r="21" spans="1:10" x14ac:dyDescent="0.25">
      <c r="A21" s="31"/>
      <c r="B21" s="30"/>
      <c r="C21" s="30"/>
      <c r="D21" s="4">
        <v>4</v>
      </c>
      <c r="E21" s="15" t="s">
        <v>25</v>
      </c>
      <c r="F21" s="4"/>
      <c r="G21" s="4">
        <v>0</v>
      </c>
      <c r="H21" s="4">
        <v>0</v>
      </c>
      <c r="I21" s="5"/>
      <c r="J21" s="24"/>
    </row>
    <row r="22" spans="1:10" ht="30" x14ac:dyDescent="0.25">
      <c r="A22" s="31"/>
      <c r="B22" s="30"/>
      <c r="C22" s="30"/>
      <c r="D22" s="4">
        <v>5</v>
      </c>
      <c r="E22" s="5" t="s">
        <v>30</v>
      </c>
      <c r="F22" s="4"/>
      <c r="G22" s="4">
        <v>2</v>
      </c>
      <c r="H22" s="4">
        <v>2</v>
      </c>
      <c r="I22" s="5"/>
      <c r="J22" s="23" t="s">
        <v>48</v>
      </c>
    </row>
    <row r="23" spans="1:10" ht="30" x14ac:dyDescent="0.25">
      <c r="A23" s="26"/>
      <c r="B23" s="24"/>
      <c r="C23" s="24"/>
      <c r="D23" s="4">
        <v>6</v>
      </c>
      <c r="E23" s="5" t="s">
        <v>29</v>
      </c>
      <c r="F23" s="4"/>
      <c r="G23" s="4">
        <v>2</v>
      </c>
      <c r="H23" s="4">
        <v>2</v>
      </c>
      <c r="I23" s="5"/>
      <c r="J23" s="24"/>
    </row>
    <row r="24" spans="1:10" ht="7.5" customHeight="1" x14ac:dyDescent="0.25">
      <c r="A24" s="4"/>
      <c r="B24" s="5"/>
      <c r="C24" s="5"/>
      <c r="D24" s="4"/>
      <c r="E24" s="9"/>
      <c r="F24" s="4"/>
      <c r="G24" s="4"/>
      <c r="H24" s="4"/>
      <c r="I24" s="5"/>
      <c r="J24" s="4"/>
    </row>
    <row r="25" spans="1:10" ht="60" x14ac:dyDescent="0.25">
      <c r="A25" s="25">
        <v>3</v>
      </c>
      <c r="B25" s="23" t="s">
        <v>31</v>
      </c>
      <c r="C25" s="23" t="s">
        <v>32</v>
      </c>
      <c r="D25" s="4"/>
      <c r="E25" s="5" t="s">
        <v>33</v>
      </c>
      <c r="F25" s="10">
        <f>20%/3</f>
        <v>6.6666666666666666E-2</v>
      </c>
      <c r="G25" s="4">
        <v>12</v>
      </c>
      <c r="H25" s="4">
        <v>12</v>
      </c>
      <c r="I25" s="5"/>
      <c r="J25" s="7" t="s">
        <v>47</v>
      </c>
    </row>
    <row r="26" spans="1:10" ht="60" x14ac:dyDescent="0.25">
      <c r="A26" s="26"/>
      <c r="B26" s="24"/>
      <c r="C26" s="24"/>
      <c r="D26" s="4"/>
      <c r="E26" s="34" t="s">
        <v>34</v>
      </c>
      <c r="F26" s="4"/>
      <c r="G26" s="4">
        <v>8</v>
      </c>
      <c r="H26" s="4">
        <v>0</v>
      </c>
      <c r="I26" s="5"/>
      <c r="J26" s="7" t="s">
        <v>48</v>
      </c>
    </row>
    <row r="27" spans="1:10" ht="7.5" customHeight="1" x14ac:dyDescent="0.25">
      <c r="A27" s="4"/>
      <c r="B27" s="5"/>
      <c r="C27" s="5"/>
      <c r="D27" s="4"/>
      <c r="E27" s="9"/>
      <c r="F27" s="4"/>
      <c r="G27" s="4"/>
      <c r="H27" s="4"/>
      <c r="I27" s="5"/>
      <c r="J27" s="4"/>
    </row>
    <row r="28" spans="1:10" x14ac:dyDescent="0.25">
      <c r="A28" s="13">
        <v>4</v>
      </c>
      <c r="B28" s="15" t="s">
        <v>35</v>
      </c>
      <c r="C28" s="5"/>
      <c r="D28" s="4"/>
      <c r="E28" s="9"/>
      <c r="F28" s="4"/>
      <c r="G28" s="4"/>
      <c r="H28" s="4"/>
      <c r="I28" s="5"/>
      <c r="J28" s="4"/>
    </row>
    <row r="29" spans="1:10" x14ac:dyDescent="0.25">
      <c r="A29" s="4"/>
      <c r="B29" s="5"/>
      <c r="C29" s="5"/>
      <c r="D29" s="4"/>
      <c r="E29" s="9"/>
      <c r="F29" s="4"/>
      <c r="G29" s="4"/>
      <c r="H29" s="4"/>
      <c r="I29" s="5"/>
      <c r="J29" s="4"/>
    </row>
    <row r="30" spans="1:10" ht="60" x14ac:dyDescent="0.25">
      <c r="A30" s="25">
        <v>5</v>
      </c>
      <c r="B30" s="23" t="s">
        <v>49</v>
      </c>
      <c r="C30" s="5" t="s">
        <v>39</v>
      </c>
      <c r="D30" s="4"/>
      <c r="E30" s="9" t="s">
        <v>36</v>
      </c>
      <c r="F30" s="10">
        <f>10%/8</f>
        <v>1.2500000000000001E-2</v>
      </c>
      <c r="G30" s="4">
        <v>10</v>
      </c>
      <c r="H30" s="4">
        <v>10</v>
      </c>
      <c r="I30" s="5" t="s">
        <v>38</v>
      </c>
      <c r="J30" s="7" t="s">
        <v>47</v>
      </c>
    </row>
    <row r="31" spans="1:10" ht="60" x14ac:dyDescent="0.25">
      <c r="A31" s="26"/>
      <c r="B31" s="24"/>
      <c r="C31" s="5" t="s">
        <v>40</v>
      </c>
      <c r="D31" s="4"/>
      <c r="E31" s="5" t="s">
        <v>41</v>
      </c>
      <c r="F31" s="4"/>
      <c r="G31" s="4">
        <v>10</v>
      </c>
      <c r="H31" s="4">
        <v>10</v>
      </c>
      <c r="I31" s="5"/>
      <c r="J31" s="7" t="s">
        <v>48</v>
      </c>
    </row>
    <row r="32" spans="1:10" ht="7.5" customHeight="1" x14ac:dyDescent="0.25">
      <c r="A32" s="4"/>
      <c r="B32" s="5"/>
      <c r="C32" s="5"/>
      <c r="D32" s="4"/>
      <c r="E32" s="9"/>
      <c r="F32" s="4"/>
      <c r="G32" s="4"/>
      <c r="H32" s="4"/>
      <c r="I32" s="5"/>
      <c r="J32" s="4"/>
    </row>
    <row r="33" spans="1:10" ht="60" x14ac:dyDescent="0.25">
      <c r="A33" s="4">
        <v>6</v>
      </c>
      <c r="B33" s="5" t="s">
        <v>42</v>
      </c>
      <c r="C33" s="5" t="s">
        <v>43</v>
      </c>
      <c r="D33" s="4"/>
      <c r="E33" s="5" t="s">
        <v>44</v>
      </c>
      <c r="F33" s="10">
        <v>0.5</v>
      </c>
      <c r="G33" s="4">
        <v>4</v>
      </c>
      <c r="H33" s="4"/>
      <c r="I33" s="5"/>
      <c r="J33" s="7" t="s">
        <v>47</v>
      </c>
    </row>
    <row r="34" spans="1:10" ht="35.25" customHeight="1" x14ac:dyDescent="0.25">
      <c r="A34" s="27" t="s">
        <v>45</v>
      </c>
      <c r="B34" s="28"/>
      <c r="C34" s="28"/>
      <c r="D34" s="28"/>
      <c r="E34" s="29"/>
      <c r="F34" s="17">
        <f>SUM(F3,F18,F25,F30)</f>
        <v>0.52916666666666667</v>
      </c>
      <c r="G34" s="1">
        <f>SUM(G3:G33)</f>
        <v>72</v>
      </c>
      <c r="H34" s="14">
        <f>SUM(H3:H33)</f>
        <v>60</v>
      </c>
      <c r="I34" s="5"/>
      <c r="J34" s="4"/>
    </row>
    <row r="35" spans="1:10" x14ac:dyDescent="0.25">
      <c r="H35" s="18">
        <f>H34/G34</f>
        <v>0.83333333333333337</v>
      </c>
    </row>
  </sheetData>
  <mergeCells count="17">
    <mergeCell ref="D2:E2"/>
    <mergeCell ref="C3:C16"/>
    <mergeCell ref="B3:B16"/>
    <mergeCell ref="A3:A16"/>
    <mergeCell ref="A1:J1"/>
    <mergeCell ref="B30:B31"/>
    <mergeCell ref="A30:A31"/>
    <mergeCell ref="A34:E34"/>
    <mergeCell ref="J3:J16"/>
    <mergeCell ref="J18:J21"/>
    <mergeCell ref="J22:J23"/>
    <mergeCell ref="C18:C23"/>
    <mergeCell ref="B18:B23"/>
    <mergeCell ref="A18:A23"/>
    <mergeCell ref="A25:A26"/>
    <mergeCell ref="B25:B26"/>
    <mergeCell ref="C25:C26"/>
  </mergeCells>
  <pageMargins left="1.1023622047244095" right="0.47244094488188981" top="0.74803149606299213" bottom="0.74803149606299213" header="0.31496062992125984" footer="0.31496062992125984"/>
  <pageSetup paperSize="5" scale="82" fitToHeight="0" orientation="landscape" r:id="rId1"/>
  <rowBreaks count="1" manualBreakCount="1">
    <brk id="24"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6B17C-BA4A-4353-B405-CB84FB0FA84C}">
  <sheetPr>
    <pageSetUpPr fitToPage="1"/>
  </sheetPr>
  <dimension ref="A1:J18"/>
  <sheetViews>
    <sheetView zoomScale="70" zoomScaleNormal="70" zoomScaleSheetLayoutView="85" workbookViewId="0">
      <pane ySplit="2" topLeftCell="A6" activePane="bottomLeft" state="frozen"/>
      <selection pane="bottomLeft" sqref="A1:J18"/>
    </sheetView>
  </sheetViews>
  <sheetFormatPr defaultRowHeight="15" x14ac:dyDescent="0.25"/>
  <cols>
    <col min="1" max="1" width="5.28515625" style="11" bestFit="1" customWidth="1"/>
    <col min="2" max="2" width="18.42578125" style="12" customWidth="1"/>
    <col min="3" max="3" width="21.28515625" style="12" customWidth="1"/>
    <col min="4" max="4" width="3.85546875" style="11" bestFit="1" customWidth="1"/>
    <col min="5" max="5" width="44" style="8" bestFit="1" customWidth="1"/>
    <col min="6" max="6" width="10.7109375" style="11" bestFit="1" customWidth="1"/>
    <col min="7" max="7" width="13.5703125" style="11" bestFit="1" customWidth="1"/>
    <col min="8" max="9" width="13.5703125" style="11" customWidth="1"/>
    <col min="10" max="10" width="19.28515625" style="11" customWidth="1"/>
    <col min="11" max="16384" width="9.140625" style="8"/>
  </cols>
  <sheetData>
    <row r="1" spans="1:10" ht="25.5" customHeight="1" x14ac:dyDescent="0.25">
      <c r="A1" s="33" t="s">
        <v>55</v>
      </c>
      <c r="B1" s="33"/>
      <c r="C1" s="33"/>
      <c r="D1" s="33"/>
      <c r="E1" s="33"/>
      <c r="F1" s="33"/>
      <c r="G1" s="33"/>
      <c r="H1" s="33"/>
      <c r="I1" s="33"/>
      <c r="J1" s="33"/>
    </row>
    <row r="2" spans="1:10" s="16" customFormat="1" ht="47.25" x14ac:dyDescent="0.25">
      <c r="A2" s="19" t="s">
        <v>0</v>
      </c>
      <c r="B2" s="3" t="s">
        <v>28</v>
      </c>
      <c r="C2" s="3" t="s">
        <v>1</v>
      </c>
      <c r="D2" s="32" t="s">
        <v>5</v>
      </c>
      <c r="E2" s="32"/>
      <c r="F2" s="19" t="s">
        <v>58</v>
      </c>
      <c r="G2" s="19" t="s">
        <v>53</v>
      </c>
      <c r="H2" s="3" t="s">
        <v>54</v>
      </c>
      <c r="I2" s="3" t="s">
        <v>57</v>
      </c>
      <c r="J2" s="3" t="s">
        <v>56</v>
      </c>
    </row>
    <row r="3" spans="1:10" x14ac:dyDescent="0.25">
      <c r="A3" s="25">
        <v>1</v>
      </c>
      <c r="B3" s="23" t="s">
        <v>22</v>
      </c>
      <c r="C3" s="23" t="s">
        <v>2</v>
      </c>
      <c r="D3" s="4">
        <v>1</v>
      </c>
      <c r="E3" s="5" t="s">
        <v>3</v>
      </c>
      <c r="F3" s="7">
        <v>10</v>
      </c>
      <c r="G3" s="7">
        <v>10</v>
      </c>
      <c r="H3" s="20">
        <f>G3/F3</f>
        <v>1</v>
      </c>
      <c r="I3" s="6">
        <v>0.85</v>
      </c>
      <c r="J3" s="20">
        <f>H3/I3</f>
        <v>1.1764705882352942</v>
      </c>
    </row>
    <row r="4" spans="1:10" x14ac:dyDescent="0.25">
      <c r="A4" s="31"/>
      <c r="B4" s="30"/>
      <c r="C4" s="30"/>
      <c r="D4" s="4">
        <v>2</v>
      </c>
      <c r="E4" s="9" t="s">
        <v>7</v>
      </c>
      <c r="F4" s="4"/>
      <c r="G4" s="4"/>
      <c r="H4" s="4"/>
      <c r="I4" s="4"/>
      <c r="J4" s="4"/>
    </row>
    <row r="5" spans="1:10" x14ac:dyDescent="0.25">
      <c r="A5" s="31"/>
      <c r="B5" s="30"/>
      <c r="C5" s="30"/>
      <c r="D5" s="4">
        <v>3</v>
      </c>
      <c r="E5" s="9" t="s">
        <v>8</v>
      </c>
      <c r="F5" s="4"/>
      <c r="G5" s="4"/>
      <c r="H5" s="4"/>
      <c r="I5" s="4"/>
      <c r="J5" s="4"/>
    </row>
    <row r="6" spans="1:10" x14ac:dyDescent="0.25">
      <c r="A6" s="31"/>
      <c r="B6" s="30"/>
      <c r="C6" s="30"/>
      <c r="D6" s="4">
        <v>4</v>
      </c>
      <c r="E6" s="9" t="s">
        <v>9</v>
      </c>
      <c r="F6" s="4"/>
      <c r="G6" s="4"/>
      <c r="H6" s="4"/>
      <c r="I6" s="4"/>
      <c r="J6" s="4"/>
    </row>
    <row r="7" spans="1:10" x14ac:dyDescent="0.25">
      <c r="A7" s="31"/>
      <c r="B7" s="30"/>
      <c r="C7" s="30"/>
      <c r="D7" s="4">
        <v>5</v>
      </c>
      <c r="E7" s="9" t="s">
        <v>10</v>
      </c>
      <c r="F7" s="4"/>
      <c r="G7" s="4"/>
      <c r="H7" s="4"/>
      <c r="I7" s="4"/>
      <c r="J7" s="4"/>
    </row>
    <row r="8" spans="1:10" x14ac:dyDescent="0.25">
      <c r="A8" s="31"/>
      <c r="B8" s="30"/>
      <c r="C8" s="30"/>
      <c r="D8" s="4">
        <v>6</v>
      </c>
      <c r="E8" s="9" t="s">
        <v>11</v>
      </c>
      <c r="F8" s="4"/>
      <c r="G8" s="4"/>
      <c r="H8" s="4"/>
      <c r="I8" s="4"/>
      <c r="J8" s="4"/>
    </row>
    <row r="9" spans="1:10" x14ac:dyDescent="0.25">
      <c r="A9" s="31"/>
      <c r="B9" s="30"/>
      <c r="C9" s="30"/>
      <c r="D9" s="4">
        <v>7</v>
      </c>
      <c r="E9" s="9" t="s">
        <v>12</v>
      </c>
      <c r="F9" s="4"/>
      <c r="G9" s="4"/>
      <c r="H9" s="4"/>
      <c r="I9" s="4"/>
      <c r="J9" s="4"/>
    </row>
    <row r="10" spans="1:10" x14ac:dyDescent="0.25">
      <c r="A10" s="31"/>
      <c r="B10" s="30"/>
      <c r="C10" s="30"/>
      <c r="D10" s="4">
        <v>8</v>
      </c>
      <c r="E10" s="9" t="s">
        <v>13</v>
      </c>
      <c r="F10" s="4"/>
      <c r="G10" s="4"/>
      <c r="H10" s="4"/>
      <c r="I10" s="4"/>
      <c r="J10" s="4"/>
    </row>
    <row r="11" spans="1:10" x14ac:dyDescent="0.25">
      <c r="A11" s="31"/>
      <c r="B11" s="30"/>
      <c r="C11" s="30"/>
      <c r="D11" s="4">
        <v>9</v>
      </c>
      <c r="E11" s="9" t="s">
        <v>14</v>
      </c>
      <c r="F11" s="4"/>
      <c r="G11" s="4"/>
      <c r="H11" s="4"/>
      <c r="I11" s="4"/>
      <c r="J11" s="4"/>
    </row>
    <row r="12" spans="1:10" x14ac:dyDescent="0.25">
      <c r="A12" s="31"/>
      <c r="B12" s="30"/>
      <c r="C12" s="30"/>
      <c r="D12" s="4">
        <v>10</v>
      </c>
      <c r="E12" s="9" t="s">
        <v>15</v>
      </c>
      <c r="F12" s="4"/>
      <c r="G12" s="4"/>
      <c r="H12" s="4"/>
      <c r="I12" s="4"/>
      <c r="J12" s="4"/>
    </row>
    <row r="13" spans="1:10" x14ac:dyDescent="0.25">
      <c r="A13" s="31"/>
      <c r="B13" s="30"/>
      <c r="C13" s="30"/>
      <c r="D13" s="4">
        <v>11</v>
      </c>
      <c r="E13" s="9" t="s">
        <v>16</v>
      </c>
      <c r="F13" s="4"/>
      <c r="G13" s="4"/>
      <c r="H13" s="4"/>
      <c r="I13" s="4"/>
      <c r="J13" s="4"/>
    </row>
    <row r="14" spans="1:10" x14ac:dyDescent="0.25">
      <c r="A14" s="31"/>
      <c r="B14" s="30"/>
      <c r="C14" s="30"/>
      <c r="D14" s="4">
        <v>12</v>
      </c>
      <c r="E14" s="9" t="s">
        <v>17</v>
      </c>
      <c r="F14" s="4"/>
      <c r="G14" s="4"/>
      <c r="H14" s="4"/>
      <c r="I14" s="4"/>
      <c r="J14" s="4"/>
    </row>
    <row r="15" spans="1:10" x14ac:dyDescent="0.25">
      <c r="A15" s="31"/>
      <c r="B15" s="30"/>
      <c r="C15" s="30"/>
      <c r="D15" s="4">
        <v>13</v>
      </c>
      <c r="E15" s="9" t="s">
        <v>18</v>
      </c>
      <c r="F15" s="4"/>
      <c r="G15" s="4"/>
      <c r="H15" s="4"/>
      <c r="I15" s="4"/>
      <c r="J15" s="4"/>
    </row>
    <row r="16" spans="1:10" x14ac:dyDescent="0.25">
      <c r="A16" s="26"/>
      <c r="B16" s="24"/>
      <c r="C16" s="24"/>
      <c r="D16" s="4">
        <v>14</v>
      </c>
      <c r="E16" s="9" t="s">
        <v>19</v>
      </c>
      <c r="F16" s="4"/>
      <c r="G16" s="4"/>
      <c r="H16" s="4"/>
      <c r="I16" s="4"/>
      <c r="J16" s="4"/>
    </row>
    <row r="17" spans="1:10" ht="7.5" customHeight="1" x14ac:dyDescent="0.25">
      <c r="A17" s="4"/>
      <c r="B17" s="5"/>
      <c r="C17" s="5"/>
      <c r="D17" s="4"/>
      <c r="E17" s="9"/>
      <c r="F17" s="4"/>
      <c r="G17" s="4"/>
      <c r="H17" s="4"/>
      <c r="I17" s="4"/>
      <c r="J17" s="4"/>
    </row>
    <row r="18" spans="1:10" ht="35.25" customHeight="1" x14ac:dyDescent="0.25">
      <c r="A18" s="27" t="s">
        <v>59</v>
      </c>
      <c r="B18" s="28"/>
      <c r="C18" s="28"/>
      <c r="D18" s="28"/>
      <c r="E18" s="29"/>
      <c r="F18" s="19">
        <v>10</v>
      </c>
      <c r="G18" s="19">
        <f>SUM(G3:G17)</f>
        <v>10</v>
      </c>
      <c r="H18" s="22">
        <f>G18/F18</f>
        <v>1</v>
      </c>
      <c r="I18" s="17">
        <v>0.85</v>
      </c>
      <c r="J18" s="21">
        <f>H18/I18</f>
        <v>1.1764705882352942</v>
      </c>
    </row>
  </sheetData>
  <mergeCells count="6">
    <mergeCell ref="A18:E18"/>
    <mergeCell ref="A1:J1"/>
    <mergeCell ref="D2:E2"/>
    <mergeCell ref="A3:A16"/>
    <mergeCell ref="B3:B16"/>
    <mergeCell ref="C3:C16"/>
  </mergeCells>
  <pageMargins left="1.1023622047244095" right="0.47244094488188981" top="0.74803149606299213" bottom="0.74803149606299213" header="0.31496062992125984" footer="0.31496062992125984"/>
  <pageSetup paperSize="5" scale="9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Sheet1</vt:lpstr>
      <vt:lpstr>Januari 2023</vt:lpstr>
      <vt:lpstr>'Januari 2023'!Print_Titles</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Yudi Ade S</dc:creator>
  <cp:lastModifiedBy>Yudi Ade S</cp:lastModifiedBy>
  <cp:lastPrinted>2023-01-26T09:21:24Z</cp:lastPrinted>
  <dcterms:created xsi:type="dcterms:W3CDTF">2023-01-20T02:59:07Z</dcterms:created>
  <dcterms:modified xsi:type="dcterms:W3CDTF">2023-03-03T09:48:42Z</dcterms:modified>
</cp:coreProperties>
</file>