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110" yWindow="-110" windowWidth="19420" windowHeight="11020" firstSheet="1" activeTab="1"/>
  </bookViews>
  <sheets>
    <sheet name="Umum" sheetId="6" r:id="rId1"/>
    <sheet name="Format" sheetId="7" r:id="rId2"/>
    <sheet name="Data" sheetId="8" r:id="rId3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2" i="7" l="1"/>
  <c r="I29" i="7"/>
  <c r="I42" i="7" s="1"/>
  <c r="B25" i="7"/>
  <c r="I12" i="7"/>
  <c r="I14" i="7" l="1"/>
  <c r="I25" i="7" s="1"/>
</calcChain>
</file>

<file path=xl/sharedStrings.xml><?xml version="1.0" encoding="utf-8"?>
<sst xmlns="http://schemas.openxmlformats.org/spreadsheetml/2006/main" count="263" uniqueCount="114">
  <si>
    <t>ID</t>
  </si>
  <si>
    <t>CREATED_BY</t>
  </si>
  <si>
    <t>CREATED_DATE</t>
  </si>
  <si>
    <t>KODE_TAHUN_ANGGARAN</t>
  </si>
  <si>
    <t>NO_DOKUMEN</t>
  </si>
  <si>
    <t>TGL_DOKUMEN</t>
  </si>
  <si>
    <t>No</t>
  </si>
  <si>
    <t>NUMBER</t>
  </si>
  <si>
    <t>user yang meng-create data</t>
  </si>
  <si>
    <t>Tanggal create data</t>
  </si>
  <si>
    <t>TIMESTAMP</t>
  </si>
  <si>
    <t>KODE_BARANG</t>
  </si>
  <si>
    <t>Column Name</t>
  </si>
  <si>
    <t>Type</t>
  </si>
  <si>
    <t>Type Mod</t>
  </si>
  <si>
    <t>Not Null</t>
  </si>
  <si>
    <t>Default</t>
  </si>
  <si>
    <t>Comment</t>
  </si>
  <si>
    <t>VARCHAR2(50)</t>
  </si>
  <si>
    <t>[NULL]</t>
  </si>
  <si>
    <t>NUMBER(19,0)</t>
  </si>
  <si>
    <t>VARCHAR2(255)</t>
  </si>
  <si>
    <t>Tabel:</t>
  </si>
  <si>
    <t>KAMUS DATA DAN DATA SAMPEL</t>
  </si>
  <si>
    <t>tahun anggaran transaksi</t>
  </si>
  <si>
    <t>00402174/CC/32/30/06/2022</t>
  </si>
  <si>
    <t>ANDI BASKORO</t>
  </si>
  <si>
    <t>opr_321321_199001182012102001</t>
  </si>
  <si>
    <t>2022-06-28 00:00:00.000</t>
  </si>
  <si>
    <t>KODE_UAKPB</t>
  </si>
  <si>
    <t>DESKRIPSI_BARANG</t>
  </si>
  <si>
    <t>SATUAN</t>
  </si>
  <si>
    <t>Deskripsi Barang</t>
  </si>
  <si>
    <t>HVS</t>
  </si>
  <si>
    <t>RIM</t>
  </si>
  <si>
    <t>1010302001000001</t>
  </si>
  <si>
    <t>PER_T_BLU_TEMP</t>
  </si>
  <si>
    <t>KODE_JENIS_TRANSAKSI</t>
  </si>
  <si>
    <t>TGL_PEMBUKUAN</t>
  </si>
  <si>
    <t>NO_BUKTI</t>
  </si>
  <si>
    <t>Primary Key(PK), ID didapat dari sequeces oracle  SEQ_PER_BLU_TEMP</t>
  </si>
  <si>
    <t>Sampel Data</t>
  </si>
  <si>
    <t xml:space="preserve">kode uakpb </t>
  </si>
  <si>
    <t>Jenis Transaksi K01</t>
  </si>
  <si>
    <t>No Bukti Transaksi</t>
  </si>
  <si>
    <t>015090900537770000KD</t>
  </si>
  <si>
    <t>K01</t>
  </si>
  <si>
    <t>VARCHAR2(3)</t>
  </si>
  <si>
    <t>2022-06-28</t>
  </si>
  <si>
    <t>024040100415423002KD202100050K</t>
  </si>
  <si>
    <t>nomor dokumen transaksi, generate by sistem</t>
  </si>
  <si>
    <t>JUMLAH</t>
  </si>
  <si>
    <t>HARGA_SATUAN</t>
  </si>
  <si>
    <t>KETERANGAN</t>
  </si>
  <si>
    <t>Uraian/Keterangan</t>
  </si>
  <si>
    <t>PER_R_BLU_TEMP</t>
  </si>
  <si>
    <t>Kode Barang 16 Digit</t>
  </si>
  <si>
    <t>Jumlah Barang</t>
  </si>
  <si>
    <t xml:space="preserve">Harga Satuan </t>
  </si>
  <si>
    <t>KODE</t>
  </si>
  <si>
    <t>1010301010000001015090900537770000KD</t>
  </si>
  <si>
    <t>kode uakpb Induk</t>
  </si>
  <si>
    <t>KODE_SUBSUBKELOMPOK</t>
  </si>
  <si>
    <t>Kode SubsubKelompok 10 Digit</t>
  </si>
  <si>
    <t>1010302001</t>
  </si>
  <si>
    <t>Temp Table Transaksi BLU dan Referensi</t>
  </si>
  <si>
    <t>tanggal dokumen transaksi, 
format YYYY-MM-DD</t>
  </si>
  <si>
    <t>tgl Pembukuan
format YYYY-MM-DD</t>
  </si>
  <si>
    <t>VARCHAR2(4)</t>
  </si>
  <si>
    <t>NUMBER(10)</t>
  </si>
  <si>
    <t>PROCESS_FLAG</t>
  </si>
  <si>
    <t>ERROR_FLAG</t>
  </si>
  <si>
    <t>ERROR_DESC</t>
  </si>
  <si>
    <t>Error Flag</t>
  </si>
  <si>
    <t>Error Code</t>
  </si>
  <si>
    <t>Flag Sudah di Process atau Belum
0 New
1 Processed</t>
  </si>
  <si>
    <t>Primary Key(PK), ID didapat dari sequeces oracle  SEQ_PER_BLU_REF</t>
  </si>
  <si>
    <t>Kombinasi Kode Barang (16 Digit) dan Kode UAKPB Induk</t>
  </si>
  <si>
    <t>Interkoneksi Persediaan BLU - SAKTI</t>
  </si>
  <si>
    <t xml:space="preserve">Untuk Transaksi Pembelian interkoneksi Data mulai dari data BAST </t>
  </si>
  <si>
    <t>Nilai Barang Persediaan harus bulat (tidak boleh desimal)</t>
  </si>
  <si>
    <t>Kode Barang Persediaan harus Numeric 16 digit</t>
  </si>
  <si>
    <t>Kode UAKPB harus 20 digit sesuai dengan aturan kodifikasi UAKPB (BA-ES1-SATKER-PembantuSatker-JenisKewenangan)</t>
  </si>
  <si>
    <t>Referensi Persediaan harus ada sebelum data di Upload</t>
  </si>
  <si>
    <t>Proses Upload data untuk transaksi Pembelian beserta data BAST melalui modul Komitmen</t>
  </si>
  <si>
    <t>Proses Upload Referensi &amp; data untuk transaksi SELAIN Pembelian melalui modul Persediaan</t>
  </si>
  <si>
    <t>NAMA_FILE</t>
  </si>
  <si>
    <t>Nama File yg diupload</t>
  </si>
  <si>
    <t>KODE_UAKPB_TUJUAN</t>
  </si>
  <si>
    <t>kode uakpb Tujuan untuk TK</t>
  </si>
  <si>
    <t>015090900537780000KD</t>
  </si>
  <si>
    <t>RSUP Dr. Sardjito</t>
  </si>
  <si>
    <t>1010401001000777</t>
  </si>
  <si>
    <t>Xylocaine spray 10 %</t>
  </si>
  <si>
    <t>Botol</t>
  </si>
  <si>
    <t>2022-10-21 00:00:05.000</t>
  </si>
  <si>
    <t>1010401001</t>
  </si>
  <si>
    <t>RSUP Fatmawati</t>
  </si>
  <si>
    <t>4154320000000010001</t>
  </si>
  <si>
    <t>opr_415432_201604198602021038</t>
  </si>
  <si>
    <t>2023-01-31 20:00:05.00</t>
  </si>
  <si>
    <t>024040400415432001KD</t>
  </si>
  <si>
    <t>024040100415432001KD202300001K</t>
  </si>
  <si>
    <t>00001</t>
  </si>
  <si>
    <t>1010401999004207</t>
  </si>
  <si>
    <t>1010401001000777024040400415432000KD</t>
  </si>
  <si>
    <t>opr_415432_201511199009182509</t>
  </si>
  <si>
    <t>024040400415432000KD</t>
  </si>
  <si>
    <t>2013</t>
  </si>
  <si>
    <t>415432202301311000001</t>
  </si>
  <si>
    <t>RSP202301310001</t>
  </si>
  <si>
    <t>1010401006000761</t>
  </si>
  <si>
    <t>415432202301311000002</t>
  </si>
  <si>
    <t>RSP202301310002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</si>
</sst>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charset val="134"/>
      <scheme val="minor"/>
    </font>
    <font>
      <b/>
      <sz val="11"/>
      <color theme="4" tint="-0.499984740745262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sz val="1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5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2" applyFont="1" applyAlignment="1">
      <alignment horizontal="left"/>
    </xf>
    <xf numFmtId="0" fontId="2" fillId="0" borderId="0" xfId="2"/>
    <xf numFmtId="0" fontId="2" fillId="0" borderId="0" xfId="2" applyAlignment="1">
      <alignment horizontal="center" vertical="center"/>
    </xf>
    <xf numFmtId="0" fontId="2" fillId="0" borderId="0" xfId="2" applyAlignment="1">
      <alignment horizontal="center" vertical="top"/>
    </xf>
    <xf numFmtId="0" fontId="2" fillId="0" borderId="0" xfId="2" applyAlignment="1">
      <alignment vertical="top"/>
    </xf>
    <xf numFmtId="0" fontId="4" fillId="0" borderId="0" xfId="2" applyFont="1" applyAlignment="1">
      <alignment horizontal="center" vertical="top"/>
    </xf>
    <xf numFmtId="0" fontId="4" fillId="0" borderId="0" xfId="2" applyFont="1" applyAlignment="1">
      <alignment vertical="top"/>
    </xf>
    <xf numFmtId="0" fontId="2" fillId="4" borderId="1" xfId="2" applyFill="1" applyBorder="1" applyAlignment="1">
      <alignment horizontal="center" vertical="top"/>
    </xf>
    <xf numFmtId="0" fontId="2" fillId="3" borderId="1" xfId="2" applyFill="1" applyBorder="1" applyAlignment="1">
      <alignment horizontal="center" vertical="center"/>
    </xf>
    <xf numFmtId="0" fontId="2" fillId="0" borderId="1" xfId="2" applyBorder="1" applyAlignment="1">
      <alignment horizontal="center" vertical="top"/>
    </xf>
    <xf numFmtId="0" fontId="2" fillId="0" borderId="1" xfId="2" applyBorder="1" applyAlignment="1">
      <alignment vertical="top"/>
    </xf>
    <xf numFmtId="0" fontId="2" fillId="0" borderId="1" xfId="2" applyBorder="1" applyAlignment="1">
      <alignment horizontal="left" vertical="top" wrapText="1"/>
    </xf>
    <xf numFmtId="0" fontId="2" fillId="0" borderId="1" xfId="2" applyBorder="1" applyAlignment="1">
      <alignment horizontal="center" vertical="top" wrapText="1"/>
    </xf>
    <xf numFmtId="0" fontId="2" fillId="0" borderId="1" xfId="2" quotePrefix="1" applyBorder="1" applyAlignment="1">
      <alignment horizontal="center" vertical="center"/>
    </xf>
    <xf numFmtId="0" fontId="2" fillId="0" borderId="1" xfId="2" applyBorder="1" applyAlignment="1">
      <alignment horizontal="left" vertical="top"/>
    </xf>
    <xf numFmtId="0" fontId="6" fillId="0" borderId="1" xfId="3" applyFont="1" applyBorder="1" applyAlignment="1">
      <alignment vertical="top" wrapText="1"/>
    </xf>
    <xf numFmtId="0" fontId="2" fillId="0" borderId="1" xfId="2" applyBorder="1" applyAlignment="1">
      <alignment horizontal="center" vertical="center"/>
    </xf>
    <xf numFmtId="22" fontId="2" fillId="0" borderId="1" xfId="2" quotePrefix="1" applyNumberFormat="1" applyBorder="1" applyAlignment="1">
      <alignment horizontal="center" vertical="top" wrapText="1"/>
    </xf>
    <xf numFmtId="0" fontId="2" fillId="2" borderId="1" xfId="2" applyFill="1" applyBorder="1" applyAlignment="1">
      <alignment horizontal="left" vertical="top" wrapText="1"/>
    </xf>
    <xf numFmtId="14" fontId="2" fillId="0" borderId="1" xfId="2" quotePrefix="1" applyNumberFormat="1" applyBorder="1" applyAlignment="1">
      <alignment horizontal="center" vertical="center"/>
    </xf>
    <xf numFmtId="0" fontId="2" fillId="0" borderId="0" xfId="2" applyAlignment="1">
      <alignment vertical="top" wrapText="1"/>
    </xf>
    <xf numFmtId="0" fontId="2" fillId="0" borderId="0" xfId="2" applyAlignment="1">
      <alignment vertical="center" wrapText="1"/>
    </xf>
    <xf numFmtId="0" fontId="2" fillId="0" borderId="1" xfId="2" quotePrefix="1" applyBorder="1" applyAlignment="1">
      <alignment horizontal="center" vertical="top"/>
    </xf>
    <xf numFmtId="47" fontId="2" fillId="0" borderId="0" xfId="2" applyNumberFormat="1"/>
    <xf numFmtId="0" fontId="2" fillId="0" borderId="0" xfId="2" applyAlignment="1">
      <alignment horizontal="center"/>
    </xf>
    <xf numFmtId="0" fontId="0" fillId="0" borderId="0" xfId="0" applyFill="1" applyBorder="1"/>
    <xf numFmtId="0" fontId="7" fillId="0" borderId="0" xfId="0" applyFont="1" applyFill="1" applyBorder="1"/>
    <xf numFmtId="0" fontId="8" fillId="0" borderId="0" xfId="2" applyFont="1" applyFill="1" applyBorder="1" applyAlignment="1">
      <alignment vertical="top"/>
    </xf>
    <xf numFmtId="0" fontId="8" fillId="0" borderId="0" xfId="2" applyFont="1" applyFill="1" applyBorder="1" applyAlignment="1">
      <alignment horizontal="left" vertical="top"/>
    </xf>
    <xf numFmtId="0" fontId="8" fillId="0" borderId="0" xfId="0" applyFont="1" applyFill="1" applyBorder="1"/>
    <xf numFmtId="0" fontId="9" fillId="0" borderId="0" xfId="0" applyFont="1" applyFill="1" applyBorder="1"/>
    <xf numFmtId="0" fontId="0" fillId="0" borderId="1" xfId="2" quotePrefix="1" applyFont="1" applyBorder="1" applyAlignment="1">
      <alignment horizontal="center" vertical="center"/>
    </xf>
    <xf numFmtId="0" fontId="9" fillId="0" borderId="0" xfId="0" quotePrefix="1" applyFont="1" applyFill="1" applyBorder="1"/>
    <xf numFmtId="0" fontId="0" fillId="0" borderId="1" xfId="2" applyFont="1" applyBorder="1" applyAlignment="1">
      <alignment horizontal="center" vertical="center"/>
    </xf>
  </cellXfs>
  <cellStyles count="4">
    <cellStyle name="Normal" xfId="0" builtinId="0"/>
    <cellStyle name="Normal 2" xfId="1"/>
    <cellStyle name="Normal 2 2" xfId="3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H14" sqref="H14"/>
    </sheetView>
  </sheetViews>
  <sheetFormatPr defaultRowHeight="14.5"/>
  <cols>
    <col min="1" max="1" width="4.1796875" customWidth="1"/>
  </cols>
  <sheetData>
    <row r="1" spans="1:10">
      <c r="A1" t="s">
        <v>78</v>
      </c>
    </row>
    <row r="3" spans="1:10">
      <c r="A3">
        <v>1</v>
      </c>
      <c r="B3" t="s">
        <v>79</v>
      </c>
    </row>
    <row r="4" spans="1:10">
      <c r="A4">
        <v>2</v>
      </c>
      <c r="B4" t="s">
        <v>80</v>
      </c>
    </row>
    <row r="5" spans="1:10">
      <c r="A5">
        <v>3</v>
      </c>
      <c r="B5" t="s">
        <v>81</v>
      </c>
    </row>
    <row r="6" spans="1:10">
      <c r="A6">
        <v>4</v>
      </c>
      <c r="B6" t="s">
        <v>82</v>
      </c>
    </row>
    <row r="7" spans="1:10">
      <c r="A7">
        <v>5</v>
      </c>
      <c r="B7" t="s">
        <v>83</v>
      </c>
      <c r="J7" s="1"/>
    </row>
    <row r="8" spans="1:10">
      <c r="A8">
        <v>6</v>
      </c>
      <c r="B8" t="s">
        <v>84</v>
      </c>
    </row>
    <row r="9" spans="1:10">
      <c r="A9">
        <v>6</v>
      </c>
      <c r="B9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zoomScale="85" zoomScaleNormal="85" workbookViewId="0">
      <selection activeCell="A25" sqref="A25"/>
    </sheetView>
  </sheetViews>
  <sheetFormatPr defaultColWidth="9" defaultRowHeight="14.5"/>
  <cols>
    <col min="1" max="1" width="8.7265625" style="26" customWidth="1"/>
    <col min="2" max="2" width="23.453125" style="3" customWidth="1"/>
    <col min="3" max="3" width="14.26953125" style="3" customWidth="1"/>
    <col min="4" max="4" width="9.26953125" style="3" customWidth="1"/>
    <col min="5" max="5" width="9" style="3"/>
    <col min="6" max="6" width="10" style="3" customWidth="1"/>
    <col min="7" max="7" width="35.453125" style="3" customWidth="1"/>
    <col min="8" max="8" width="36.81640625" style="3" hidden="1" customWidth="1"/>
    <col min="9" max="9" width="42.26953125" style="4" customWidth="1"/>
    <col min="10" max="16384" width="9" style="3"/>
  </cols>
  <sheetData>
    <row r="1" spans="1:10">
      <c r="A1" s="2" t="s">
        <v>23</v>
      </c>
    </row>
    <row r="2" spans="1:10">
      <c r="A2" s="2" t="s">
        <v>65</v>
      </c>
    </row>
    <row r="3" spans="1:10">
      <c r="A3" s="5"/>
      <c r="B3" s="6"/>
      <c r="C3" s="6"/>
      <c r="D3" s="6"/>
      <c r="E3" s="6"/>
      <c r="F3" s="6"/>
      <c r="G3" s="6"/>
      <c r="H3" s="6"/>
    </row>
    <row r="4" spans="1:10">
      <c r="A4" s="7" t="s">
        <v>22</v>
      </c>
      <c r="B4" s="8" t="s">
        <v>36</v>
      </c>
      <c r="C4" s="6"/>
      <c r="D4" s="6"/>
      <c r="E4" s="6"/>
      <c r="F4" s="6"/>
      <c r="G4" s="6"/>
      <c r="H4" s="6"/>
    </row>
    <row r="5" spans="1:10">
      <c r="A5" s="9" t="s">
        <v>6</v>
      </c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9" t="s">
        <v>17</v>
      </c>
      <c r="H5" s="9" t="s">
        <v>41</v>
      </c>
      <c r="I5" s="10" t="s">
        <v>97</v>
      </c>
    </row>
    <row r="6" spans="1:10" ht="29">
      <c r="A6" s="11">
        <v>1</v>
      </c>
      <c r="B6" s="12" t="s">
        <v>0</v>
      </c>
      <c r="C6" s="12" t="s">
        <v>20</v>
      </c>
      <c r="D6" s="11" t="s">
        <v>19</v>
      </c>
      <c r="E6" s="11" t="b">
        <v>1</v>
      </c>
      <c r="F6" s="11" t="s">
        <v>19</v>
      </c>
      <c r="G6" s="13" t="s">
        <v>40</v>
      </c>
      <c r="H6" s="14">
        <v>10462</v>
      </c>
      <c r="I6" s="33" t="s">
        <v>98</v>
      </c>
    </row>
    <row r="7" spans="1:10">
      <c r="A7" s="11">
        <v>2</v>
      </c>
      <c r="B7" s="16" t="s">
        <v>1</v>
      </c>
      <c r="C7" s="12" t="s">
        <v>21</v>
      </c>
      <c r="D7" s="11" t="s">
        <v>19</v>
      </c>
      <c r="E7" s="11" t="b">
        <v>0</v>
      </c>
      <c r="F7" s="11" t="s">
        <v>19</v>
      </c>
      <c r="G7" s="17" t="s">
        <v>8</v>
      </c>
      <c r="H7" s="14" t="s">
        <v>27</v>
      </c>
      <c r="I7" s="35" t="s">
        <v>99</v>
      </c>
      <c r="J7" s="4"/>
    </row>
    <row r="8" spans="1:10">
      <c r="A8" s="11">
        <v>3</v>
      </c>
      <c r="B8" s="16" t="s">
        <v>2</v>
      </c>
      <c r="C8" s="12" t="s">
        <v>10</v>
      </c>
      <c r="D8" s="11" t="s">
        <v>19</v>
      </c>
      <c r="E8" s="11" t="b">
        <v>0</v>
      </c>
      <c r="F8" s="11" t="s">
        <v>19</v>
      </c>
      <c r="G8" s="17" t="s">
        <v>9</v>
      </c>
      <c r="H8" s="19" t="s">
        <v>28</v>
      </c>
      <c r="I8" s="33" t="s">
        <v>100</v>
      </c>
    </row>
    <row r="9" spans="1:10">
      <c r="A9" s="11">
        <v>4</v>
      </c>
      <c r="B9" s="12" t="s">
        <v>37</v>
      </c>
      <c r="C9" s="12" t="s">
        <v>47</v>
      </c>
      <c r="D9" s="11" t="s">
        <v>19</v>
      </c>
      <c r="E9" s="11" t="b">
        <v>1</v>
      </c>
      <c r="F9" s="11" t="s">
        <v>19</v>
      </c>
      <c r="G9" s="20" t="s">
        <v>43</v>
      </c>
      <c r="H9" s="14" t="s">
        <v>46</v>
      </c>
      <c r="I9" s="35" t="s">
        <v>46</v>
      </c>
    </row>
    <row r="10" spans="1:10">
      <c r="A10" s="11">
        <v>5</v>
      </c>
      <c r="B10" s="12" t="s">
        <v>29</v>
      </c>
      <c r="C10" s="12" t="s">
        <v>21</v>
      </c>
      <c r="D10" s="11" t="s">
        <v>19</v>
      </c>
      <c r="E10" s="11" t="b">
        <v>1</v>
      </c>
      <c r="F10" s="11" t="s">
        <v>19</v>
      </c>
      <c r="G10" s="13" t="s">
        <v>42</v>
      </c>
      <c r="H10" s="14" t="s">
        <v>45</v>
      </c>
      <c r="I10" s="35" t="s">
        <v>101</v>
      </c>
    </row>
    <row r="11" spans="1:10">
      <c r="A11" s="11">
        <v>6</v>
      </c>
      <c r="B11" s="12" t="s">
        <v>3</v>
      </c>
      <c r="C11" s="12" t="s">
        <v>68</v>
      </c>
      <c r="D11" s="11" t="s">
        <v>19</v>
      </c>
      <c r="E11" s="11" t="b">
        <v>1</v>
      </c>
      <c r="F11" s="11" t="s">
        <v>19</v>
      </c>
      <c r="G11" s="13" t="s">
        <v>24</v>
      </c>
      <c r="H11" s="14">
        <v>2022</v>
      </c>
      <c r="I11" s="18">
        <v>2023</v>
      </c>
    </row>
    <row r="12" spans="1:10" ht="29">
      <c r="A12" s="11">
        <v>7</v>
      </c>
      <c r="B12" s="12" t="s">
        <v>38</v>
      </c>
      <c r="C12" s="12" t="s">
        <v>21</v>
      </c>
      <c r="D12" s="11" t="s">
        <v>19</v>
      </c>
      <c r="E12" s="11" t="b">
        <v>1</v>
      </c>
      <c r="F12" s="11" t="s">
        <v>19</v>
      </c>
      <c r="G12" s="13" t="s">
        <v>67</v>
      </c>
      <c r="H12" s="19" t="s">
        <v>48</v>
      </c>
      <c r="I12" s="21" t="str">
        <f>I8</f>
        <v>2023-01-31 20:00:05.00</v>
      </c>
    </row>
    <row r="13" spans="1:10" ht="29">
      <c r="A13" s="11">
        <v>8</v>
      </c>
      <c r="B13" s="12" t="s">
        <v>4</v>
      </c>
      <c r="C13" s="12" t="s">
        <v>21</v>
      </c>
      <c r="D13" s="11" t="s">
        <v>19</v>
      </c>
      <c r="E13" s="11" t="b">
        <v>1</v>
      </c>
      <c r="F13" s="11" t="s">
        <v>19</v>
      </c>
      <c r="G13" s="13" t="s">
        <v>50</v>
      </c>
      <c r="H13" s="14" t="s">
        <v>49</v>
      </c>
      <c r="I13" s="18" t="s">
        <v>102</v>
      </c>
    </row>
    <row r="14" spans="1:10" ht="29">
      <c r="A14" s="11">
        <v>9</v>
      </c>
      <c r="B14" s="12" t="s">
        <v>5</v>
      </c>
      <c r="C14" s="12" t="s">
        <v>21</v>
      </c>
      <c r="D14" s="11" t="s">
        <v>19</v>
      </c>
      <c r="E14" s="11" t="b">
        <v>1</v>
      </c>
      <c r="F14" s="11" t="s">
        <v>19</v>
      </c>
      <c r="G14" s="13" t="s">
        <v>66</v>
      </c>
      <c r="H14" s="19" t="s">
        <v>48</v>
      </c>
      <c r="I14" s="21" t="str">
        <f>I12</f>
        <v>2023-01-31 20:00:05.00</v>
      </c>
    </row>
    <row r="15" spans="1:10">
      <c r="A15" s="11">
        <v>10</v>
      </c>
      <c r="B15" s="12" t="s">
        <v>39</v>
      </c>
      <c r="C15" s="12" t="s">
        <v>21</v>
      </c>
      <c r="D15" s="11" t="s">
        <v>19</v>
      </c>
      <c r="E15" s="11" t="b">
        <v>1</v>
      </c>
      <c r="F15" s="11" t="s">
        <v>19</v>
      </c>
      <c r="G15" s="13" t="s">
        <v>44</v>
      </c>
      <c r="H15" s="14" t="s">
        <v>25</v>
      </c>
      <c r="I15" s="15" t="s">
        <v>103</v>
      </c>
    </row>
    <row r="16" spans="1:10">
      <c r="A16" s="11">
        <v>11</v>
      </c>
      <c r="B16" s="12" t="s">
        <v>11</v>
      </c>
      <c r="C16" s="12" t="s">
        <v>21</v>
      </c>
      <c r="D16" s="11" t="s">
        <v>19</v>
      </c>
      <c r="E16" s="11" t="b">
        <v>1</v>
      </c>
      <c r="F16" s="11" t="s">
        <v>19</v>
      </c>
      <c r="G16" s="13" t="s">
        <v>56</v>
      </c>
      <c r="H16" s="14" t="s">
        <v>26</v>
      </c>
      <c r="I16" s="15" t="s">
        <v>104</v>
      </c>
    </row>
    <row r="17" spans="1:10">
      <c r="A17" s="11">
        <v>12</v>
      </c>
      <c r="B17" s="12" t="s">
        <v>51</v>
      </c>
      <c r="C17" s="12" t="s">
        <v>69</v>
      </c>
      <c r="D17" s="11" t="s">
        <v>19</v>
      </c>
      <c r="E17" s="11" t="b">
        <v>1</v>
      </c>
      <c r="F17" s="11">
        <v>0</v>
      </c>
      <c r="G17" s="13" t="s">
        <v>57</v>
      </c>
      <c r="H17" s="14">
        <v>77764</v>
      </c>
      <c r="I17" s="18">
        <v>10</v>
      </c>
    </row>
    <row r="18" spans="1:10">
      <c r="A18" s="11">
        <v>13</v>
      </c>
      <c r="B18" s="12" t="s">
        <v>52</v>
      </c>
      <c r="C18" s="12" t="s">
        <v>20</v>
      </c>
      <c r="D18" s="11" t="s">
        <v>19</v>
      </c>
      <c r="E18" s="11" t="b">
        <v>1</v>
      </c>
      <c r="F18" s="11">
        <v>0</v>
      </c>
      <c r="G18" s="13" t="s">
        <v>58</v>
      </c>
      <c r="H18" s="14">
        <v>13061000</v>
      </c>
      <c r="I18" s="18">
        <v>0</v>
      </c>
    </row>
    <row r="19" spans="1:10">
      <c r="A19" s="11">
        <v>14</v>
      </c>
      <c r="B19" s="12" t="s">
        <v>53</v>
      </c>
      <c r="C19" s="12" t="s">
        <v>21</v>
      </c>
      <c r="D19" s="11" t="s">
        <v>19</v>
      </c>
      <c r="E19" s="11" t="b">
        <v>0</v>
      </c>
      <c r="F19" s="11" t="s">
        <v>19</v>
      </c>
      <c r="G19" s="13" t="s">
        <v>54</v>
      </c>
      <c r="H19" s="14"/>
      <c r="I19" s="18"/>
    </row>
    <row r="20" spans="1:10" ht="43.5">
      <c r="A20" s="11">
        <v>15</v>
      </c>
      <c r="B20" s="12" t="s">
        <v>70</v>
      </c>
      <c r="C20" s="12" t="s">
        <v>7</v>
      </c>
      <c r="D20" s="11" t="s">
        <v>19</v>
      </c>
      <c r="E20" s="11" t="b">
        <v>1</v>
      </c>
      <c r="F20" s="11">
        <v>0</v>
      </c>
      <c r="G20" s="13" t="s">
        <v>75</v>
      </c>
      <c r="H20" s="14"/>
      <c r="I20" s="18"/>
    </row>
    <row r="21" spans="1:10">
      <c r="A21" s="11">
        <v>16</v>
      </c>
      <c r="B21" s="12" t="s">
        <v>71</v>
      </c>
      <c r="C21" s="12" t="s">
        <v>21</v>
      </c>
      <c r="D21" s="11" t="s">
        <v>19</v>
      </c>
      <c r="E21" s="11" t="b">
        <v>0</v>
      </c>
      <c r="F21" s="11" t="s">
        <v>19</v>
      </c>
      <c r="G21" s="13" t="s">
        <v>73</v>
      </c>
      <c r="H21" s="14"/>
      <c r="I21" s="18"/>
    </row>
    <row r="22" spans="1:10">
      <c r="A22" s="11">
        <v>17</v>
      </c>
      <c r="B22" s="12" t="s">
        <v>72</v>
      </c>
      <c r="C22" s="12" t="s">
        <v>21</v>
      </c>
      <c r="D22" s="11" t="s">
        <v>19</v>
      </c>
      <c r="E22" s="11" t="b">
        <v>0</v>
      </c>
      <c r="F22" s="11" t="s">
        <v>19</v>
      </c>
      <c r="G22" s="13" t="s">
        <v>74</v>
      </c>
      <c r="H22" s="14"/>
      <c r="I22" s="18"/>
    </row>
    <row r="23" spans="1:10">
      <c r="A23" s="11">
        <v>18</v>
      </c>
      <c r="B23" s="12" t="s">
        <v>86</v>
      </c>
      <c r="C23" s="12" t="s">
        <v>21</v>
      </c>
      <c r="D23" s="11" t="s">
        <v>19</v>
      </c>
      <c r="E23" s="11" t="b">
        <v>0</v>
      </c>
      <c r="F23" s="11" t="s">
        <v>19</v>
      </c>
      <c r="G23" s="13" t="s">
        <v>87</v>
      </c>
      <c r="H23" s="14"/>
      <c r="I23" s="18"/>
    </row>
    <row r="24" spans="1:10">
      <c r="A24" s="11">
        <v>19</v>
      </c>
      <c r="B24" s="12" t="s">
        <v>88</v>
      </c>
      <c r="C24" s="12" t="s">
        <v>21</v>
      </c>
      <c r="D24" s="11" t="s">
        <v>19</v>
      </c>
      <c r="E24" s="11" t="b">
        <v>1</v>
      </c>
      <c r="F24" s="11" t="s">
        <v>19</v>
      </c>
      <c r="G24" s="13" t="s">
        <v>89</v>
      </c>
      <c r="H24" s="14" t="s">
        <v>90</v>
      </c>
      <c r="I24" s="18"/>
    </row>
    <row r="25" spans="1:10">
      <c r="A25" s="5"/>
      <c r="B25" s="6" t="str">
        <f>B6&amp;";"&amp;B7&amp;";"&amp;B8&amp;";"&amp;B9&amp;";"&amp;B10&amp;";"&amp;B11&amp;";"&amp;B12&amp;";"&amp;B13&amp;";"&amp;B14&amp;";"&amp;B15&amp;";"&amp;B16&amp;";"&amp;B17&amp;";"&amp;B18&amp;";"&amp;B19&amp;";"&amp;B20&amp;";"&amp;B21&amp;";"&amp;B22&amp;";"&amp;B23&amp;";"&amp;B24</f>
        <v>ID;CREATED_BY;CREATED_DATE;KODE_JENIS_TRANSAKSI;KODE_UAKPB;KODE_TAHUN_ANGGARAN;TGL_PEMBUKUAN;NO_DOKUMEN;TGL_DOKUMEN;NO_BUKTI;KODE_BARANG;JUMLAH;HARGA_SATUAN;KETERANGAN;PROCESS_FLAG;ERROR_FLAG;ERROR_DESC;NAMA_FILE;KODE_UAKPB_TUJUAN</v>
      </c>
      <c r="C25" s="6"/>
      <c r="D25" s="6"/>
      <c r="E25" s="6"/>
      <c r="F25" s="6"/>
      <c r="G25" s="22"/>
      <c r="H25" s="23"/>
      <c r="I25" s="6" t="str">
        <f>I6&amp;";"&amp;I7&amp;";"&amp;I8&amp;";"&amp;I9&amp;";"&amp;I10&amp;";"&amp;I11&amp;";"&amp;I12&amp;";"&amp;I13&amp;";"&amp;I14&amp;";"&amp;I15&amp;";"&amp;I16&amp;";"&amp;I17&amp;";"&amp;I18&amp;";"&amp;I19&amp;";"&amp;I20&amp;";"&amp;I21&amp;";"&amp;I22&amp;";"&amp;I23&amp;";"&amp;I24</f>
        <v>4154320000000010001;opr_415432_201604198602021038;2023-01-31 20:00:05.00;K01;024040400415432001KD;2023;2023-01-31 20:00:05.00;024040100415432001KD202300001K;2023-01-31 20:00:05.00;00001;1010401999004207;10;0;;;;;;</v>
      </c>
      <c r="J25" s="6"/>
    </row>
    <row r="26" spans="1:10">
      <c r="A26" s="5"/>
      <c r="B26" s="6"/>
      <c r="C26" s="6"/>
      <c r="D26" s="6"/>
      <c r="E26" s="6"/>
      <c r="F26" s="6"/>
      <c r="G26" s="22"/>
      <c r="H26" s="22"/>
    </row>
    <row r="27" spans="1:10">
      <c r="A27" s="7" t="s">
        <v>22</v>
      </c>
      <c r="B27" s="8" t="s">
        <v>55</v>
      </c>
      <c r="C27" s="6"/>
      <c r="D27" s="6"/>
      <c r="E27" s="6"/>
      <c r="F27" s="6"/>
      <c r="G27" s="6"/>
      <c r="H27" s="6"/>
    </row>
    <row r="28" spans="1:10">
      <c r="A28" s="9" t="s">
        <v>6</v>
      </c>
      <c r="B28" s="9" t="s">
        <v>12</v>
      </c>
      <c r="C28" s="9" t="s">
        <v>13</v>
      </c>
      <c r="D28" s="9" t="s">
        <v>14</v>
      </c>
      <c r="E28" s="9" t="s">
        <v>15</v>
      </c>
      <c r="F28" s="9" t="s">
        <v>16</v>
      </c>
      <c r="G28" s="9" t="s">
        <v>17</v>
      </c>
      <c r="H28" s="9" t="s">
        <v>41</v>
      </c>
      <c r="I28" s="10" t="s">
        <v>91</v>
      </c>
    </row>
    <row r="29" spans="1:10" ht="29">
      <c r="A29" s="11">
        <v>1</v>
      </c>
      <c r="B29" s="12" t="s">
        <v>0</v>
      </c>
      <c r="C29" s="12" t="s">
        <v>20</v>
      </c>
      <c r="D29" s="11" t="s">
        <v>19</v>
      </c>
      <c r="E29" s="11" t="b">
        <v>1</v>
      </c>
      <c r="F29" s="11" t="s">
        <v>19</v>
      </c>
      <c r="G29" s="13" t="s">
        <v>76</v>
      </c>
      <c r="H29" s="14">
        <v>10462</v>
      </c>
      <c r="I29" s="15" t="str">
        <f>I6</f>
        <v>4154320000000010001</v>
      </c>
    </row>
    <row r="30" spans="1:10" ht="29">
      <c r="A30" s="11">
        <v>2</v>
      </c>
      <c r="B30" s="12" t="s">
        <v>59</v>
      </c>
      <c r="C30" s="12" t="s">
        <v>21</v>
      </c>
      <c r="D30" s="11" t="s">
        <v>19</v>
      </c>
      <c r="E30" s="11" t="b">
        <v>1</v>
      </c>
      <c r="F30" s="11" t="s">
        <v>19</v>
      </c>
      <c r="G30" s="13" t="s">
        <v>77</v>
      </c>
      <c r="H30" s="14" t="s">
        <v>60</v>
      </c>
      <c r="I30" s="15" t="s">
        <v>105</v>
      </c>
    </row>
    <row r="31" spans="1:10">
      <c r="A31" s="11">
        <v>3</v>
      </c>
      <c r="B31" s="16" t="s">
        <v>1</v>
      </c>
      <c r="C31" s="12" t="s">
        <v>18</v>
      </c>
      <c r="D31" s="11" t="s">
        <v>19</v>
      </c>
      <c r="E31" s="11" t="b">
        <v>0</v>
      </c>
      <c r="F31" s="11" t="s">
        <v>19</v>
      </c>
      <c r="G31" s="17" t="s">
        <v>8</v>
      </c>
      <c r="H31" s="14" t="s">
        <v>27</v>
      </c>
      <c r="I31" s="18" t="s">
        <v>106</v>
      </c>
    </row>
    <row r="32" spans="1:10">
      <c r="A32" s="11">
        <v>4</v>
      </c>
      <c r="B32" s="16" t="s">
        <v>2</v>
      </c>
      <c r="C32" s="12" t="s">
        <v>10</v>
      </c>
      <c r="D32" s="11" t="s">
        <v>19</v>
      </c>
      <c r="E32" s="11" t="b">
        <v>0</v>
      </c>
      <c r="F32" s="11" t="s">
        <v>19</v>
      </c>
      <c r="G32" s="17" t="s">
        <v>9</v>
      </c>
      <c r="H32" s="19" t="s">
        <v>28</v>
      </c>
      <c r="I32" s="18" t="s">
        <v>95</v>
      </c>
    </row>
    <row r="33" spans="1:10">
      <c r="A33" s="11">
        <v>5</v>
      </c>
      <c r="B33" s="12" t="s">
        <v>29</v>
      </c>
      <c r="C33" s="12" t="s">
        <v>21</v>
      </c>
      <c r="D33" s="11" t="s">
        <v>19</v>
      </c>
      <c r="E33" s="11" t="b">
        <v>1</v>
      </c>
      <c r="F33" s="11" t="s">
        <v>19</v>
      </c>
      <c r="G33" s="13" t="s">
        <v>61</v>
      </c>
      <c r="H33" s="14" t="s">
        <v>45</v>
      </c>
      <c r="I33" s="18" t="s">
        <v>107</v>
      </c>
    </row>
    <row r="34" spans="1:10">
      <c r="A34" s="11">
        <v>6</v>
      </c>
      <c r="B34" s="12" t="s">
        <v>62</v>
      </c>
      <c r="C34" s="12" t="s">
        <v>21</v>
      </c>
      <c r="D34" s="11" t="s">
        <v>19</v>
      </c>
      <c r="E34" s="11" t="b">
        <v>1</v>
      </c>
      <c r="F34" s="11" t="s">
        <v>19</v>
      </c>
      <c r="G34" s="13" t="s">
        <v>63</v>
      </c>
      <c r="H34" s="24" t="s">
        <v>64</v>
      </c>
      <c r="I34" s="15" t="s">
        <v>96</v>
      </c>
    </row>
    <row r="35" spans="1:10">
      <c r="A35" s="11">
        <v>7</v>
      </c>
      <c r="B35" s="12" t="s">
        <v>11</v>
      </c>
      <c r="C35" s="12" t="s">
        <v>21</v>
      </c>
      <c r="D35" s="11" t="s">
        <v>19</v>
      </c>
      <c r="E35" s="11" t="b">
        <v>1</v>
      </c>
      <c r="F35" s="11" t="s">
        <v>19</v>
      </c>
      <c r="G35" s="13" t="s">
        <v>56</v>
      </c>
      <c r="H35" s="24" t="s">
        <v>35</v>
      </c>
      <c r="I35" s="15" t="s">
        <v>92</v>
      </c>
    </row>
    <row r="36" spans="1:10">
      <c r="A36" s="11">
        <v>8</v>
      </c>
      <c r="B36" s="12" t="s">
        <v>30</v>
      </c>
      <c r="C36" s="12" t="s">
        <v>21</v>
      </c>
      <c r="D36" s="11" t="s">
        <v>19</v>
      </c>
      <c r="E36" s="11" t="b">
        <v>1</v>
      </c>
      <c r="F36" s="11" t="s">
        <v>19</v>
      </c>
      <c r="G36" s="13" t="s">
        <v>32</v>
      </c>
      <c r="H36" s="14" t="s">
        <v>33</v>
      </c>
      <c r="I36" s="18" t="s">
        <v>93</v>
      </c>
    </row>
    <row r="37" spans="1:10">
      <c r="A37" s="11">
        <v>9</v>
      </c>
      <c r="B37" s="12" t="s">
        <v>31</v>
      </c>
      <c r="C37" s="12" t="s">
        <v>21</v>
      </c>
      <c r="D37" s="11" t="s">
        <v>19</v>
      </c>
      <c r="E37" s="11" t="b">
        <v>1</v>
      </c>
      <c r="F37" s="11" t="s">
        <v>19</v>
      </c>
      <c r="G37" s="13" t="s">
        <v>24</v>
      </c>
      <c r="H37" s="14" t="s">
        <v>34</v>
      </c>
      <c r="I37" s="18" t="s">
        <v>94</v>
      </c>
    </row>
    <row r="38" spans="1:10" ht="43.5">
      <c r="A38" s="11">
        <v>10</v>
      </c>
      <c r="B38" s="12" t="s">
        <v>70</v>
      </c>
      <c r="C38" s="12" t="s">
        <v>7</v>
      </c>
      <c r="D38" s="11" t="s">
        <v>19</v>
      </c>
      <c r="E38" s="11" t="b">
        <v>1</v>
      </c>
      <c r="F38" s="11">
        <v>0</v>
      </c>
      <c r="G38" s="13" t="s">
        <v>75</v>
      </c>
      <c r="H38" s="14"/>
      <c r="I38" s="18"/>
    </row>
    <row r="39" spans="1:10">
      <c r="A39" s="11">
        <v>11</v>
      </c>
      <c r="B39" s="12" t="s">
        <v>71</v>
      </c>
      <c r="C39" s="12" t="s">
        <v>21</v>
      </c>
      <c r="D39" s="11" t="s">
        <v>19</v>
      </c>
      <c r="E39" s="11" t="b">
        <v>0</v>
      </c>
      <c r="F39" s="11" t="s">
        <v>19</v>
      </c>
      <c r="G39" s="13" t="s">
        <v>73</v>
      </c>
      <c r="H39" s="14"/>
      <c r="I39" s="18"/>
    </row>
    <row r="40" spans="1:10">
      <c r="A40" s="11">
        <v>12</v>
      </c>
      <c r="B40" s="12" t="s">
        <v>72</v>
      </c>
      <c r="C40" s="12" t="s">
        <v>21</v>
      </c>
      <c r="D40" s="11" t="s">
        <v>19</v>
      </c>
      <c r="E40" s="11" t="b">
        <v>0</v>
      </c>
      <c r="F40" s="11" t="s">
        <v>19</v>
      </c>
      <c r="G40" s="13" t="s">
        <v>74</v>
      </c>
      <c r="H40" s="14"/>
      <c r="I40" s="18"/>
    </row>
    <row r="41" spans="1:10">
      <c r="A41" s="11">
        <v>13</v>
      </c>
      <c r="B41" s="12" t="s">
        <v>86</v>
      </c>
      <c r="C41" s="12" t="s">
        <v>21</v>
      </c>
      <c r="D41" s="11" t="s">
        <v>19</v>
      </c>
      <c r="E41" s="11" t="b">
        <v>0</v>
      </c>
      <c r="F41" s="11" t="s">
        <v>19</v>
      </c>
      <c r="G41" s="13" t="s">
        <v>87</v>
      </c>
      <c r="H41" s="14"/>
      <c r="I41" s="18"/>
    </row>
    <row r="42" spans="1:10">
      <c r="A42" s="5"/>
      <c r="B42" s="6" t="str">
        <f>B29&amp;";"&amp;B30&amp;";"&amp;B31&amp;";"&amp;B32&amp;";"&amp;B33&amp;";"&amp;B34&amp;";"&amp;B35&amp;";"&amp;B36&amp;";"&amp;B37&amp;";"&amp;B38&amp;";"&amp;B39&amp;";"&amp;B40&amp;";"&amp;B41</f>
        <v>ID;KODE;CREATED_BY;CREATED_DATE;KODE_UAKPB;KODE_SUBSUBKELOMPOK;KODE_BARANG;DESKRIPSI_BARANG;SATUAN;PROCESS_FLAG;ERROR_FLAG;ERROR_DESC;NAMA_FILE</v>
      </c>
      <c r="C42" s="6"/>
      <c r="D42" s="6"/>
      <c r="E42" s="6"/>
      <c r="F42" s="6"/>
      <c r="G42" s="22"/>
      <c r="H42" s="23"/>
      <c r="I42" s="6" t="str">
        <f>I29&amp;";"&amp;I30&amp;";"&amp;I31&amp;";"&amp;I32&amp;";"&amp;I33&amp;";"&amp;I34&amp;";"&amp;I35&amp;";"&amp;I36&amp;";"&amp;I37&amp;";"&amp;I38&amp;";"&amp;I39&amp;";"&amp;I40&amp;";"&amp;I41</f>
        <v>4154320000000010001;1010401001000777024040400415432000KD;opr_415432_201511199009182509;2022-10-21 00:00:05.000;024040400415432000KD;1010401001;1010401001000777;Xylocaine spray 10 %;Botol;;;;</v>
      </c>
      <c r="J42" s="6"/>
    </row>
    <row r="43" spans="1:10">
      <c r="A43" s="3"/>
    </row>
    <row r="44" spans="1:10">
      <c r="A44" s="3"/>
    </row>
    <row r="45" spans="1:10">
      <c r="A45" s="3"/>
    </row>
    <row r="46" spans="1:10">
      <c r="A46" s="3"/>
    </row>
    <row r="47" spans="1:10">
      <c r="A47" s="3"/>
    </row>
    <row r="48" spans="1:10">
      <c r="A48" s="25"/>
    </row>
    <row r="49" spans="1:1">
      <c r="A49" s="3"/>
    </row>
    <row r="50" spans="1:1">
      <c r="A50" s="3"/>
    </row>
    <row r="51" spans="1:1">
      <c r="A51" s="25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4"/>
  <sheetViews>
    <sheetView showGridLines="0" workbookViewId="0">
      <selection activeCell="A3" sqref="A3"/>
    </sheetView>
  </sheetViews>
  <sheetFormatPr defaultRowHeight="14.5"/>
  <cols>
    <col min="1" max="1" width="8.7265625" style="27"/>
    <col min="2" max="2" width="20.7265625" style="32" customWidth="1"/>
    <col min="3" max="3" width="26.36328125" style="32" customWidth="1"/>
    <col min="4" max="4" width="15.36328125" style="32" bestFit="1" customWidth="1"/>
    <col min="5" max="5" width="23.453125" style="32" bestFit="1" customWidth="1"/>
    <col min="6" max="6" width="17.54296875" style="32" bestFit="1" customWidth="1"/>
    <col min="7" max="7" width="26.1796875" style="32" bestFit="1" customWidth="1"/>
    <col min="8" max="8" width="17.7265625" style="32" bestFit="1" customWidth="1"/>
    <col min="9" max="9" width="14.81640625" style="32" bestFit="1" customWidth="1"/>
    <col min="10" max="10" width="15.26953125" style="32" bestFit="1" customWidth="1"/>
    <col min="11" max="11" width="10.26953125" style="32" bestFit="1" customWidth="1"/>
    <col min="12" max="12" width="15.08984375" style="32" bestFit="1" customWidth="1"/>
    <col min="13" max="13" width="8.54296875" style="32" bestFit="1" customWidth="1"/>
    <col min="14" max="14" width="16.453125" style="32" bestFit="1" customWidth="1"/>
    <col min="15" max="15" width="13.6328125" style="32" bestFit="1" customWidth="1"/>
    <col min="16" max="16" width="14.81640625" style="32" bestFit="1" customWidth="1"/>
    <col min="17" max="18" width="13" style="32" bestFit="1" customWidth="1"/>
    <col min="19" max="19" width="11.54296875" style="32" bestFit="1" customWidth="1"/>
    <col min="20" max="20" width="22.26953125" style="32" bestFit="1" customWidth="1"/>
    <col min="21" max="22" width="8.7265625" style="32"/>
    <col min="23" max="16384" width="8.7265625" style="27"/>
  </cols>
  <sheetData>
    <row r="2" spans="2:22" s="28" customFormat="1" ht="15.5">
      <c r="B2" s="29" t="s">
        <v>0</v>
      </c>
      <c r="C2" s="30" t="s">
        <v>1</v>
      </c>
      <c r="D2" s="30" t="s">
        <v>2</v>
      </c>
      <c r="E2" s="29" t="s">
        <v>37</v>
      </c>
      <c r="F2" s="29" t="s">
        <v>29</v>
      </c>
      <c r="G2" s="29" t="s">
        <v>3</v>
      </c>
      <c r="H2" s="29" t="s">
        <v>38</v>
      </c>
      <c r="I2" s="29" t="s">
        <v>4</v>
      </c>
      <c r="J2" s="29" t="s">
        <v>5</v>
      </c>
      <c r="K2" s="29" t="s">
        <v>39</v>
      </c>
      <c r="L2" s="29" t="s">
        <v>11</v>
      </c>
      <c r="M2" s="29" t="s">
        <v>51</v>
      </c>
      <c r="N2" s="29" t="s">
        <v>52</v>
      </c>
      <c r="O2" s="29" t="s">
        <v>53</v>
      </c>
      <c r="P2" s="29" t="s">
        <v>70</v>
      </c>
      <c r="Q2" s="29" t="s">
        <v>71</v>
      </c>
      <c r="R2" s="29" t="s">
        <v>72</v>
      </c>
      <c r="S2" s="29" t="s">
        <v>86</v>
      </c>
      <c r="T2" s="29" t="s">
        <v>88</v>
      </c>
      <c r="U2" s="31"/>
      <c r="V2" s="31"/>
    </row>
    <row r="3" spans="2:22">
      <c r="B3" s="34" t="s">
        <v>109</v>
      </c>
      <c r="C3" s="34" t="s">
        <v>99</v>
      </c>
      <c r="D3" s="34" t="s">
        <v>100</v>
      </c>
      <c r="E3" s="34" t="s">
        <v>46</v>
      </c>
      <c r="F3" s="34" t="s">
        <v>101</v>
      </c>
      <c r="G3" s="34" t="s">
        <v>108</v>
      </c>
      <c r="H3" s="34" t="s">
        <v>100</v>
      </c>
      <c r="I3" s="34" t="s">
        <v>110</v>
      </c>
      <c r="J3" s="34" t="s">
        <v>100</v>
      </c>
      <c r="K3" s="34" t="s">
        <v>110</v>
      </c>
      <c r="L3" s="34" t="s">
        <v>104</v>
      </c>
      <c r="M3" s="32">
        <v>73</v>
      </c>
      <c r="N3" s="32">
        <v>0</v>
      </c>
      <c r="P3" s="32">
        <v>0</v>
      </c>
    </row>
    <row r="4" spans="2:22">
      <c r="B4" s="34" t="s">
        <v>112</v>
      </c>
      <c r="C4" s="34" t="s">
        <v>99</v>
      </c>
      <c r="D4" s="34" t="s">
        <v>100</v>
      </c>
      <c r="E4" s="34" t="s">
        <v>46</v>
      </c>
      <c r="F4" s="34" t="s">
        <v>101</v>
      </c>
      <c r="G4" s="34" t="s">
        <v>108</v>
      </c>
      <c r="H4" s="34" t="s">
        <v>100</v>
      </c>
      <c r="I4" s="34" t="s">
        <v>113</v>
      </c>
      <c r="J4" s="34" t="s">
        <v>100</v>
      </c>
      <c r="K4" s="34" t="s">
        <v>113</v>
      </c>
      <c r="L4" s="34" t="s">
        <v>111</v>
      </c>
      <c r="M4" s="32">
        <v>34</v>
      </c>
      <c r="N4" s="32">
        <v>0</v>
      </c>
      <c r="P4" s="3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Umum</vt:lpstr>
      <vt:lpstr>Format</vt:lpstr>
      <vt:lpstr>Data</vt:lpstr>
    </vt:vector>
  </TitlesOfParts>
  <Company>sitp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fachrimunand</dc:creator>
  <cp:lastModifiedBy>sapto sisworo</cp:lastModifiedBy>
  <dcterms:created xsi:type="dcterms:W3CDTF">2022-07-08T01:36:27Z</dcterms:created>
  <dcterms:modified xsi:type="dcterms:W3CDTF">2023-03-30T08:22:47Z</dcterms:modified>
</cp:coreProperties>
</file>