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MU BARU\"/>
    </mc:Choice>
  </mc:AlternateContent>
  <xr:revisionPtr revIDLastSave="0" documentId="13_ncr:1_{C40CE1FB-7C1A-4565-BDDB-7CBBEBAC078C}" xr6:coauthVersionLast="47" xr6:coauthVersionMax="47" xr10:uidLastSave="{00000000-0000-0000-0000-000000000000}"/>
  <bookViews>
    <workbookView xWindow="-110" yWindow="-110" windowWidth="19420" windowHeight="10420" xr2:uid="{3B46568F-7C9B-4F94-B33E-43D4FF70D337}"/>
  </bookViews>
  <sheets>
    <sheet name="Pelaporan Data" sheetId="1" r:id="rId1"/>
    <sheet name="Lookup" sheetId="2" r:id="rId2"/>
  </sheets>
  <definedNames>
    <definedName name="_xlnm._FilterDatabase" localSheetId="1" hidden="1">Lookup!$B$4:$N$50</definedName>
    <definedName name="_xlnm._FilterDatabase" localSheetId="0" hidden="1">'Pelaporan Data'!$A$10:$N$834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N477" i="1" l="1"/>
  <c r="N63" i="1"/>
  <c r="N430" i="1"/>
  <c r="N266" i="1"/>
  <c r="N297" i="1"/>
  <c r="N682" i="1"/>
  <c r="N676" i="1"/>
  <c r="N498" i="1"/>
  <c r="N471" i="1"/>
  <c r="N486" i="1"/>
  <c r="N16" i="1"/>
  <c r="N402" i="1"/>
  <c r="N389" i="1"/>
  <c r="N161" i="1"/>
  <c r="N168" i="1"/>
  <c r="N449" i="1"/>
  <c r="N499" i="1"/>
  <c r="N415" i="1"/>
  <c r="N178" i="1"/>
  <c r="N121" i="1"/>
  <c r="N142" i="1"/>
  <c r="N118" i="1"/>
  <c r="N633" i="1"/>
  <c r="N644" i="1"/>
  <c r="N630" i="1"/>
  <c r="N345" i="1"/>
  <c r="N379" i="1"/>
  <c r="N473" i="1"/>
  <c r="N476" i="1"/>
  <c r="N585" i="1"/>
  <c r="N201" i="1"/>
  <c r="N317" i="1"/>
  <c r="N80" i="1"/>
  <c r="N519" i="1"/>
  <c r="N558" i="1"/>
  <c r="N674" i="1"/>
  <c r="N696" i="1"/>
  <c r="N688" i="1"/>
  <c r="N679" i="1"/>
  <c r="N692" i="1"/>
  <c r="N684" i="1"/>
  <c r="N103" i="1"/>
  <c r="N112" i="1"/>
  <c r="N641" i="1"/>
  <c r="N596" i="1"/>
  <c r="N346" i="1"/>
  <c r="N333" i="1"/>
  <c r="N237" i="1"/>
  <c r="N665" i="1"/>
  <c r="N260" i="1"/>
  <c r="N517" i="1"/>
  <c r="N303" i="1"/>
  <c r="N697" i="1"/>
  <c r="N689" i="1"/>
  <c r="N680" i="1"/>
  <c r="N675" i="1"/>
  <c r="N693" i="1"/>
  <c r="N685" i="1"/>
  <c r="N167" i="1"/>
  <c r="N100" i="1"/>
  <c r="N96" i="1"/>
  <c r="N626" i="1"/>
  <c r="N639" i="1"/>
  <c r="N313" i="1"/>
  <c r="N377" i="1"/>
  <c r="N53" i="1"/>
  <c r="N393" i="1"/>
  <c r="N261" i="1"/>
  <c r="N532" i="1"/>
  <c r="N304" i="1"/>
  <c r="N690" i="1"/>
  <c r="N681" i="1"/>
  <c r="N694" i="1"/>
  <c r="N686" i="1"/>
  <c r="N609" i="1"/>
  <c r="N334" i="1"/>
  <c r="N34" i="1"/>
  <c r="N417" i="1"/>
  <c r="N403" i="1"/>
  <c r="N246" i="1"/>
  <c r="N279" i="1"/>
  <c r="N247" i="1"/>
  <c r="N259" i="1"/>
  <c r="N512" i="1"/>
  <c r="N518" i="1"/>
  <c r="N298" i="1"/>
  <c r="N695" i="1"/>
  <c r="N687" i="1"/>
  <c r="N691" i="1"/>
  <c r="N683" i="1"/>
  <c r="N678" i="1"/>
  <c r="N677" i="1"/>
  <c r="N400" i="1"/>
  <c r="N401" i="1"/>
  <c r="N636" i="1"/>
  <c r="N651" i="1"/>
  <c r="N273" i="1"/>
  <c r="N48" i="1"/>
  <c r="N383" i="1"/>
  <c r="N310" i="1"/>
  <c r="N525" i="1"/>
  <c r="N223" i="1"/>
  <c r="N642" i="1"/>
  <c r="N399" i="1"/>
  <c r="N307" i="1"/>
  <c r="N134" i="1"/>
  <c r="N231" i="1"/>
  <c r="N59" i="1"/>
  <c r="N171" i="1"/>
  <c r="N160" i="1"/>
  <c r="N597" i="1"/>
  <c r="N433" i="1"/>
  <c r="N46" i="1"/>
  <c r="N291" i="1"/>
  <c r="N484" i="1"/>
  <c r="N398" i="1"/>
  <c r="N323" i="1"/>
  <c r="N458" i="1"/>
  <c r="N270" i="1"/>
  <c r="N524" i="1"/>
  <c r="N49" i="1"/>
  <c r="N244" i="1"/>
  <c r="N188" i="1"/>
  <c r="N622" i="1"/>
  <c r="N446" i="1"/>
  <c r="N335" i="1"/>
  <c r="N276" i="1"/>
  <c r="N424" i="1"/>
  <c r="N627" i="1"/>
  <c r="N176" i="1"/>
  <c r="N412" i="1"/>
  <c r="N219" i="1"/>
  <c r="N216" i="1"/>
  <c r="N605" i="1"/>
  <c r="N381" i="1"/>
  <c r="N349" i="1"/>
  <c r="N374" i="1"/>
  <c r="N144" i="1"/>
  <c r="N135" i="1"/>
  <c r="N288" i="1"/>
  <c r="N619" i="1"/>
  <c r="N559" i="1"/>
  <c r="N75" i="1"/>
  <c r="N88" i="1"/>
  <c r="N281" i="1"/>
  <c r="N671" i="1"/>
  <c r="N190" i="1"/>
  <c r="N113" i="1"/>
  <c r="N189" i="1"/>
  <c r="N82" i="1"/>
  <c r="N67" i="1"/>
  <c r="N664" i="1"/>
  <c r="N141" i="1"/>
  <c r="N65" i="1"/>
  <c r="N284" i="1"/>
  <c r="N147" i="1"/>
  <c r="N11" i="1"/>
  <c r="N386" i="1"/>
  <c r="N203" i="1"/>
  <c r="N93" i="1"/>
  <c r="N591" i="1"/>
  <c r="N172" i="1"/>
  <c r="N119" i="1"/>
  <c r="N198" i="1"/>
  <c r="N209" i="1"/>
  <c r="N654" i="1"/>
  <c r="N371" i="1"/>
  <c r="N623" i="1"/>
  <c r="N562" i="1"/>
  <c r="N509" i="1"/>
  <c r="N526" i="1"/>
  <c r="N132" i="1"/>
  <c r="N71" i="1"/>
  <c r="N653" i="1"/>
  <c r="N324" i="1"/>
  <c r="N230" i="1"/>
  <c r="N330" i="1"/>
  <c r="N375" i="1"/>
  <c r="N413" i="1"/>
  <c r="N428" i="1"/>
  <c r="N347" i="1"/>
  <c r="N491" i="1"/>
  <c r="N14" i="1"/>
  <c r="N437" i="1"/>
  <c r="N549" i="1"/>
  <c r="N294" i="1"/>
  <c r="N666" i="1"/>
  <c r="N481" i="1"/>
  <c r="N607" i="1"/>
  <c r="N620" i="1"/>
  <c r="N183" i="1"/>
  <c r="N289" i="1"/>
  <c r="N459" i="1"/>
  <c r="N130" i="1"/>
  <c r="N382" i="1"/>
  <c r="N343" i="1"/>
  <c r="N193" i="1"/>
  <c r="N60" i="1"/>
  <c r="N145" i="1"/>
  <c r="N21" i="1"/>
  <c r="N84" i="1"/>
  <c r="N493" i="1"/>
  <c r="N241" i="1"/>
  <c r="N457" i="1"/>
  <c r="N515" i="1"/>
  <c r="N465" i="1"/>
  <c r="N225" i="1"/>
  <c r="N86" i="1"/>
  <c r="N321" i="1"/>
  <c r="N76" i="1"/>
  <c r="N55" i="1"/>
  <c r="N83" i="1"/>
  <c r="N408" i="1"/>
  <c r="N650" i="1"/>
  <c r="N179" i="1"/>
  <c r="N66" i="1"/>
  <c r="N31" i="1"/>
  <c r="N38" i="1"/>
  <c r="N278" i="1"/>
  <c r="N488" i="1"/>
  <c r="N629" i="1"/>
  <c r="N127" i="1"/>
  <c r="N647" i="1"/>
  <c r="N68" i="1"/>
  <c r="N521" i="1"/>
  <c r="N57" i="1"/>
  <c r="N396" i="1"/>
  <c r="N94" i="1"/>
  <c r="N109" i="1"/>
  <c r="N165" i="1"/>
  <c r="N545" i="1"/>
  <c r="N369" i="1"/>
  <c r="N97" i="1"/>
  <c r="N254" i="1"/>
  <c r="N613" i="1"/>
  <c r="N275" i="1"/>
  <c r="N410" i="1"/>
  <c r="N508" i="1"/>
  <c r="N115" i="1"/>
  <c r="N243" i="1"/>
  <c r="N594" i="1"/>
  <c r="N251" i="1"/>
  <c r="N404" i="1"/>
  <c r="N497" i="1"/>
  <c r="N325" i="1"/>
  <c r="N354" i="1"/>
  <c r="N432" i="1"/>
  <c r="N657" i="1"/>
  <c r="N301" i="1"/>
  <c r="N510" i="1"/>
  <c r="N554" i="1"/>
  <c r="N253" i="1"/>
  <c r="N125" i="1"/>
  <c r="N123" i="1"/>
  <c r="N602" i="1"/>
  <c r="N429" i="1"/>
  <c r="N579" i="1"/>
  <c r="N568" i="1"/>
  <c r="N601" i="1"/>
  <c r="N29" i="1"/>
  <c r="N357" i="1"/>
  <c r="N595" i="1"/>
  <c r="N365" i="1"/>
  <c r="N530" i="1"/>
  <c r="N464" i="1"/>
  <c r="N658" i="1"/>
  <c r="N43" i="1"/>
  <c r="N133" i="1"/>
  <c r="N560" i="1"/>
  <c r="N575" i="1"/>
  <c r="N319" i="1"/>
  <c r="N364" i="1"/>
  <c r="N295" i="1"/>
  <c r="N107" i="1"/>
  <c r="N454" i="1"/>
  <c r="N567" i="1"/>
  <c r="N387" i="1"/>
  <c r="N468" i="1"/>
  <c r="N30" i="1"/>
  <c r="N162" i="1"/>
  <c r="N423" i="1"/>
  <c r="N236" i="1"/>
  <c r="N221" i="1"/>
  <c r="N610" i="1"/>
  <c r="N341" i="1"/>
  <c r="N99" i="1"/>
  <c r="N436" i="1"/>
  <c r="N434" i="1"/>
  <c r="N563" i="1"/>
  <c r="N442" i="1"/>
  <c r="N462" i="1"/>
  <c r="N483" i="1"/>
  <c r="N547" i="1"/>
  <c r="N271" i="1"/>
  <c r="N479" i="1"/>
  <c r="N444" i="1"/>
  <c r="N361" i="1"/>
  <c r="N604" i="1"/>
  <c r="N504" i="1"/>
  <c r="N534" i="1"/>
  <c r="N326" i="1"/>
  <c r="N77" i="1"/>
  <c r="N61" i="1"/>
  <c r="N418" i="1"/>
  <c r="N146" i="1"/>
  <c r="N194" i="1"/>
  <c r="N222" i="1"/>
  <c r="N624" i="1"/>
  <c r="N353" i="1"/>
  <c r="N546" i="1"/>
  <c r="N431" i="1"/>
  <c r="N490" i="1"/>
  <c r="N555" i="1"/>
  <c r="N191" i="1"/>
  <c r="N311" i="1"/>
  <c r="N267" i="1"/>
  <c r="N32" i="1"/>
  <c r="N110" i="1"/>
  <c r="N588" i="1"/>
  <c r="N557" i="1"/>
  <c r="N187" i="1"/>
  <c r="N314" i="1"/>
  <c r="N447" i="1"/>
  <c r="N175" i="1"/>
  <c r="N214" i="1"/>
  <c r="N23" i="1"/>
  <c r="N342" i="1"/>
  <c r="N338" i="1"/>
  <c r="N355" i="1"/>
  <c r="N164" i="1"/>
  <c r="N296" i="1"/>
  <c r="N661" i="1"/>
  <c r="N358" i="1"/>
  <c r="N41" i="1"/>
  <c r="N478" i="1"/>
  <c r="N262" i="1"/>
  <c r="N569" i="1"/>
  <c r="N376" i="1"/>
  <c r="N582" i="1"/>
  <c r="N234" i="1"/>
  <c r="N200" i="1"/>
  <c r="N485" i="1"/>
  <c r="N153" i="1"/>
  <c r="N320" i="1"/>
  <c r="N148" i="1"/>
  <c r="N240" i="1"/>
  <c r="N285" i="1"/>
  <c r="N101" i="1"/>
  <c r="N139" i="1"/>
  <c r="N416" i="1"/>
  <c r="N603" i="1"/>
  <c r="N470" i="1"/>
  <c r="N181" i="1"/>
  <c r="N409" i="1"/>
  <c r="N39" i="1"/>
  <c r="N185" i="1"/>
  <c r="N180" i="1"/>
  <c r="N126" i="1"/>
  <c r="N451" i="1"/>
  <c r="N205" i="1"/>
  <c r="N35" i="1"/>
  <c r="N583" i="1"/>
  <c r="N350" i="1"/>
  <c r="N670" i="1"/>
  <c r="N522" i="1"/>
  <c r="N58" i="1"/>
  <c r="N561" i="1"/>
  <c r="N128" i="1"/>
  <c r="N580" i="1"/>
  <c r="N656" i="1"/>
  <c r="N570" i="1"/>
  <c r="N359" i="1"/>
  <c r="N648" i="1"/>
  <c r="N282" i="1"/>
  <c r="N206" i="1"/>
  <c r="N405" i="1"/>
  <c r="N217" i="1"/>
  <c r="N394" i="1"/>
  <c r="N202" i="1"/>
  <c r="N149" i="1"/>
  <c r="N673" i="1"/>
  <c r="N441" i="1"/>
  <c r="N104" i="1"/>
  <c r="N233" i="1"/>
  <c r="N638" i="1"/>
  <c r="N12" i="1"/>
  <c r="N503" i="1"/>
  <c r="N668" i="1"/>
  <c r="N373" i="1"/>
  <c r="N339" i="1"/>
  <c r="N550" i="1"/>
  <c r="N616" i="1"/>
  <c r="N663" i="1"/>
  <c r="N372" i="1"/>
  <c r="N643" i="1"/>
  <c r="N625" i="1"/>
  <c r="N228" i="1"/>
  <c r="N331" i="1"/>
  <c r="N218" i="1"/>
  <c r="N351" i="1"/>
  <c r="N584" i="1"/>
  <c r="N586" i="1"/>
  <c r="N27" i="1"/>
  <c r="N166" i="1"/>
  <c r="N25" i="1"/>
  <c r="N62" i="1"/>
  <c r="N467" i="1"/>
  <c r="N544" i="1"/>
  <c r="N329" i="1"/>
  <c r="N435" i="1"/>
  <c r="N299" i="1"/>
  <c r="N150" i="1"/>
  <c r="N628" i="1"/>
  <c r="N151" i="1"/>
  <c r="N388" i="1"/>
  <c r="N390" i="1"/>
  <c r="N274" i="1"/>
  <c r="N305" i="1"/>
  <c r="N637" i="1"/>
  <c r="N192" i="1"/>
  <c r="N566" i="1"/>
  <c r="N98" i="1"/>
  <c r="N455" i="1"/>
  <c r="N411" i="1"/>
  <c r="N577" i="1"/>
  <c r="N78" i="1"/>
  <c r="N419" i="1"/>
  <c r="N196" i="1"/>
  <c r="N536" i="1"/>
  <c r="N448" i="1"/>
  <c r="N156" i="1"/>
  <c r="N453" i="1"/>
  <c r="N529" i="1"/>
  <c r="N239" i="1"/>
  <c r="N421" i="1"/>
  <c r="N520" i="1"/>
  <c r="N265" i="1"/>
  <c r="N617" i="1"/>
  <c r="N212" i="1"/>
  <c r="N215" i="1"/>
  <c r="N572" i="1"/>
  <c r="N227" i="1"/>
  <c r="N280" i="1"/>
  <c r="N52" i="1"/>
  <c r="N283" i="1"/>
  <c r="N268" i="1"/>
  <c r="N495" i="1"/>
  <c r="N662" i="1"/>
  <c r="N300" i="1"/>
  <c r="N122" i="1"/>
  <c r="N632" i="1"/>
  <c r="N50" i="1"/>
  <c r="N618" i="1"/>
  <c r="N531" i="1"/>
  <c r="N208" i="1"/>
  <c r="N89" i="1"/>
  <c r="N169" i="1"/>
  <c r="N159" i="1"/>
  <c r="N501" i="1"/>
  <c r="N461" i="1"/>
  <c r="N543" i="1"/>
  <c r="N631" i="1"/>
  <c r="N489" i="1"/>
  <c r="N407" i="1"/>
  <c r="N440" i="1"/>
  <c r="N452" i="1"/>
  <c r="N18" i="1"/>
  <c r="N211" i="1"/>
  <c r="N54" i="1"/>
  <c r="N336" i="1"/>
  <c r="N445" i="1"/>
  <c r="N257" i="1"/>
  <c r="N615" i="1"/>
  <c r="N344" i="1"/>
  <c r="N528" i="1"/>
  <c r="N574" i="1"/>
  <c r="N337" i="1"/>
  <c r="N395" i="1"/>
  <c r="N589" i="1"/>
  <c r="N460" i="1"/>
  <c r="N232" i="1"/>
  <c r="N443" i="1"/>
  <c r="N17" i="1"/>
  <c r="N318" i="1"/>
  <c r="N500" i="1"/>
  <c r="N606" i="1"/>
  <c r="N45" i="1"/>
  <c r="N111" i="1"/>
  <c r="N255" i="1"/>
  <c r="N92" i="1"/>
  <c r="N511" i="1"/>
  <c r="N391" i="1"/>
  <c r="N649" i="1"/>
  <c r="N74" i="1"/>
  <c r="N40" i="1"/>
  <c r="N502" i="1"/>
  <c r="N245" i="1"/>
  <c r="N36" i="1"/>
  <c r="N20" i="1"/>
  <c r="N608" i="1"/>
  <c r="N592" i="1"/>
  <c r="N73" i="1"/>
  <c r="N105" i="1"/>
  <c r="N366" i="1"/>
  <c r="N106" i="1"/>
  <c r="N182" i="1"/>
  <c r="N287" i="1"/>
  <c r="N573" i="1"/>
  <c r="N384" i="1"/>
  <c r="N33" i="1"/>
  <c r="N370" i="1"/>
  <c r="N224" i="1"/>
  <c r="N269" i="1"/>
  <c r="N263" i="1"/>
  <c r="N154" i="1"/>
  <c r="N553" i="1"/>
  <c r="N120" i="1"/>
  <c r="N598" i="1"/>
  <c r="N186" i="1"/>
  <c r="N514" i="1"/>
  <c r="N116" i="1"/>
  <c r="N348" i="1"/>
  <c r="N340" i="1"/>
  <c r="N422" i="1"/>
  <c r="N174" i="1"/>
  <c r="N195" i="1"/>
  <c r="N611" i="1"/>
  <c r="N220" i="1"/>
  <c r="N368" i="1"/>
  <c r="N316" i="1"/>
  <c r="N667" i="1"/>
  <c r="N427" i="1"/>
  <c r="N64" i="1"/>
  <c r="N249" i="1"/>
  <c r="N72" i="1"/>
  <c r="N426" i="1"/>
  <c r="N463" i="1"/>
  <c r="N360" i="1"/>
  <c r="N158" i="1"/>
  <c r="N420" i="1"/>
  <c r="N539" i="1"/>
  <c r="N385" i="1"/>
  <c r="N576" i="1"/>
  <c r="N406" i="1"/>
  <c r="N362" i="1"/>
  <c r="N155" i="1"/>
  <c r="N184" i="1"/>
  <c r="N226" i="1"/>
  <c r="N540" i="1"/>
  <c r="N660" i="1"/>
  <c r="N322" i="1"/>
  <c r="N480" i="1"/>
  <c r="N600" i="1"/>
  <c r="N659" i="1"/>
  <c r="N542" i="1"/>
  <c r="N475" i="1"/>
  <c r="N315" i="1"/>
  <c r="N37" i="1"/>
  <c r="N210" i="1"/>
  <c r="N102" i="1"/>
  <c r="N22" i="1"/>
  <c r="N81" i="1"/>
  <c r="N571" i="1"/>
  <c r="N250" i="1"/>
  <c r="N551" i="1"/>
  <c r="N640" i="1"/>
  <c r="N238" i="1"/>
  <c r="N199" i="1"/>
  <c r="N256" i="1"/>
  <c r="N131" i="1"/>
  <c r="N581" i="1"/>
  <c r="N578" i="1"/>
  <c r="N137" i="1"/>
  <c r="N378" i="1"/>
  <c r="N552" i="1"/>
  <c r="N293" i="1"/>
  <c r="N24" i="1"/>
  <c r="N117" i="1"/>
  <c r="N599" i="1"/>
  <c r="N264" i="1"/>
  <c r="N197" i="1"/>
  <c r="N506" i="1"/>
  <c r="N42" i="1"/>
  <c r="N523" i="1"/>
  <c r="N44" i="1"/>
  <c r="N332" i="1"/>
  <c r="N229" i="1"/>
  <c r="N207" i="1"/>
  <c r="N327" i="1"/>
  <c r="N140" i="1"/>
  <c r="N456" i="1"/>
  <c r="N252" i="1"/>
  <c r="N28" i="1"/>
  <c r="N143" i="1"/>
  <c r="N537" i="1"/>
  <c r="N414" i="1"/>
  <c r="N56" i="1"/>
  <c r="N380" i="1"/>
  <c r="N496" i="1"/>
  <c r="N474" i="1"/>
  <c r="N548" i="1"/>
  <c r="N26" i="1"/>
  <c r="N612" i="1"/>
  <c r="N235" i="1"/>
  <c r="N533" i="1"/>
  <c r="N309" i="1"/>
  <c r="N306" i="1"/>
  <c r="N163" i="1"/>
  <c r="N541" i="1"/>
  <c r="N494" i="1"/>
  <c r="N527" i="1"/>
  <c r="N425" i="1"/>
  <c r="N47" i="1"/>
  <c r="N538" i="1"/>
  <c r="N173" i="1"/>
  <c r="N635" i="1"/>
  <c r="N652" i="1"/>
  <c r="N363" i="1"/>
  <c r="N564" i="1"/>
  <c r="N397" i="1"/>
  <c r="N302" i="1"/>
  <c r="N669" i="1"/>
  <c r="N590" i="1"/>
  <c r="N272" i="1"/>
  <c r="N556" i="1"/>
  <c r="N91" i="1"/>
  <c r="N69" i="1"/>
  <c r="N438" i="1"/>
  <c r="N505" i="1"/>
  <c r="N513" i="1"/>
  <c r="N204" i="1"/>
  <c r="N85" i="1"/>
  <c r="N286" i="1"/>
  <c r="N655" i="1"/>
  <c r="N87" i="1"/>
  <c r="N129" i="1"/>
  <c r="N70" i="1"/>
  <c r="N138" i="1"/>
  <c r="N79" i="1"/>
  <c r="N352" i="1"/>
  <c r="N634" i="1"/>
  <c r="N248" i="1"/>
  <c r="N645" i="1"/>
  <c r="N614" i="1"/>
  <c r="N487" i="1"/>
  <c r="N242" i="1"/>
  <c r="N593" i="1"/>
  <c r="N108" i="1"/>
  <c r="N328" i="1"/>
  <c r="N507" i="1"/>
  <c r="N466" i="1"/>
  <c r="N565" i="1"/>
  <c r="N535" i="1"/>
  <c r="N258" i="1"/>
  <c r="N19" i="1"/>
  <c r="N213" i="1"/>
  <c r="N51" i="1"/>
  <c r="N290" i="1"/>
  <c r="N472" i="1"/>
  <c r="N177" i="1"/>
  <c r="N439" i="1"/>
  <c r="N392" i="1"/>
  <c r="N356" i="1"/>
  <c r="N277" i="1"/>
  <c r="N90" i="1"/>
  <c r="N587" i="1"/>
  <c r="N95" i="1"/>
  <c r="N312" i="1"/>
  <c r="N516" i="1"/>
  <c r="N13" i="1"/>
  <c r="N450" i="1"/>
  <c r="N308" i="1"/>
  <c r="N292" i="1"/>
  <c r="N482" i="1"/>
  <c r="N672" i="1"/>
  <c r="N152" i="1"/>
  <c r="N15" i="1"/>
  <c r="N367" i="1"/>
  <c r="N469" i="1"/>
  <c r="N492" i="1"/>
  <c r="N136" i="1"/>
  <c r="N621" i="1"/>
  <c r="N157" i="1"/>
  <c r="N124" i="1"/>
  <c r="N170" i="1"/>
  <c r="N114" i="1"/>
  <c r="N646" i="1" l="1"/>
  <c r="F7" i="1"/>
  <c r="F6" i="1"/>
</calcChain>
</file>

<file path=xl/sharedStrings.xml><?xml version="1.0" encoding="utf-8"?>
<sst xmlns="http://schemas.openxmlformats.org/spreadsheetml/2006/main" count="2978" uniqueCount="627">
  <si>
    <t>Worksheet Pelaporan Remunerasi Dokter Spesialis</t>
  </si>
  <si>
    <t>Lookup Data</t>
  </si>
  <si>
    <t>Bulan Pelaporan</t>
  </si>
  <si>
    <t>Januari 2023</t>
  </si>
  <si>
    <t>Februari 2023</t>
  </si>
  <si>
    <t>Maret 2023</t>
  </si>
  <si>
    <t>April 2023</t>
  </si>
  <si>
    <t>Mei 2023</t>
  </si>
  <si>
    <t>Juni 2023</t>
  </si>
  <si>
    <t>Juli 2023</t>
  </si>
  <si>
    <t>Agustus 2023</t>
  </si>
  <si>
    <t>September 2023</t>
  </si>
  <si>
    <t>Oktober 2023</t>
  </si>
  <si>
    <t>November 2023</t>
  </si>
  <si>
    <t>Desember 2023</t>
  </si>
  <si>
    <t>No</t>
  </si>
  <si>
    <t>NIK Dokter</t>
  </si>
  <si>
    <t>Nama Dokter</t>
  </si>
  <si>
    <t>Jenis Kegiatan</t>
  </si>
  <si>
    <t>Tindakan</t>
  </si>
  <si>
    <t>Intensif</t>
  </si>
  <si>
    <t>Penunjang</t>
  </si>
  <si>
    <t>Rawat Jalan</t>
  </si>
  <si>
    <t>Penjamin</t>
  </si>
  <si>
    <t>BPJS</t>
  </si>
  <si>
    <t>Non BPJS Reguler</t>
  </si>
  <si>
    <t>Non BPJS Eksekutif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</si>
  <si>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</si>
  <si>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</si>
  <si>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</si>
  <si>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</si>
  <si>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</si>
  <si>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</si>
  <si>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</si>
  <si>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Nama Rumah Sakit</t>
  </si>
  <si>
    <t>RS Umum Pusat H. Adam Malik</t>
  </si>
  <si>
    <t>RSUP Dr. M. Djamil</t>
  </si>
  <si>
    <t>RS Otak DR. Drs. M. Hatta Bukittinggi</t>
  </si>
  <si>
    <t>RS Umum Pusat Dr. Rivai Abdullah</t>
  </si>
  <si>
    <t>RS Umum Pusat Dr. Mohammad Hoesin Palembang</t>
  </si>
  <si>
    <t>RSUP Fatmawati</t>
  </si>
  <si>
    <t>RSUP Persahabatan</t>
  </si>
  <si>
    <t>RS Pusat Otak Nasional Prof DR. dr. Mahar Mardjono</t>
  </si>
  <si>
    <t>RSDC Wisma Haji A (RS Kanker Dharmais)</t>
  </si>
  <si>
    <t>RS Ketergantungan Obat</t>
  </si>
  <si>
    <t>RSDC Wisma Haji B (RSJP Harapan Kita)</t>
  </si>
  <si>
    <t>RSDC Wisma Haji C (RS Pusat Otak Nasional)</t>
  </si>
  <si>
    <t>RSDC Wisma Haji D (RS Jiwa Dr. H. Marzoeki Mahdi)</t>
  </si>
  <si>
    <t>RSUPN Dr. Cipto Mangunkusumo</t>
  </si>
  <si>
    <t>RS Jiwa Dr. Soeharto Heerjan</t>
  </si>
  <si>
    <t>RS Kanker Dharmais</t>
  </si>
  <si>
    <t>RS Anak dan Bunda Harapan Kita</t>
  </si>
  <si>
    <t>RS Jantung dan Pembuluh Darah Harapan Kita</t>
  </si>
  <si>
    <t>RS Penyakit Infeksi Prof. Dr. Sulianti Saroso</t>
  </si>
  <si>
    <t>RS Paru Dr. M. Goenawan Partowidigdo</t>
  </si>
  <si>
    <t>RS Jiwa dr. H. Marzoeki Mahdi</t>
  </si>
  <si>
    <t>RS Umum Pusat Dr. Hasan Sadikin</t>
  </si>
  <si>
    <t>RS Khusus Mata Cicendo</t>
  </si>
  <si>
    <t>RS Paru Dr. H. A. Rotinsulu</t>
  </si>
  <si>
    <t>RS Umum Pusat Dr. Soeradji Tirtonegoro</t>
  </si>
  <si>
    <t>RS Orthopedi Prof. Dr. R. Soeharso</t>
  </si>
  <si>
    <t>RS Jiwa Prof. Dr. Soerojo</t>
  </si>
  <si>
    <t>RS Umum Pusat Surakarta</t>
  </si>
  <si>
    <t>RS Paru Dr. Ario Wirawan</t>
  </si>
  <si>
    <t>RS Umum Pusat Dr. Kariadi</t>
  </si>
  <si>
    <t>RSUP Dr. Sardjito</t>
  </si>
  <si>
    <t>RS Jiwa Dr. Radjiman Wediodiningrat Lawang</t>
  </si>
  <si>
    <t>RSUP Dr. Sitanala Tangerang</t>
  </si>
  <si>
    <t>RSUP Prof. Dr. I.G.N.G. Ngoerah</t>
  </si>
  <si>
    <t>RS Umum Pusat dr. Ben Mboi</t>
  </si>
  <si>
    <t>RSU Ratatotok Buyat</t>
  </si>
  <si>
    <t>RSUP Prof. Dr. R. D. Kandou</t>
  </si>
  <si>
    <t>RS Mata Makassar</t>
  </si>
  <si>
    <t>RS Dr. Tadjuddin Chalid, MPH</t>
  </si>
  <si>
    <t>Balai Besar Kesehatan Paru Masyarakat Makassar</t>
  </si>
  <si>
    <t>RSUP Dr. Wahidin Sudirohusodo</t>
  </si>
  <si>
    <t>RS Umum Pusat Dr. Johannes Leimena Ambon</t>
  </si>
  <si>
    <t>Kode Rumah Sakit</t>
  </si>
  <si>
    <t>1275655</t>
  </si>
  <si>
    <t>1371010</t>
  </si>
  <si>
    <t>1375036</t>
  </si>
  <si>
    <t>1671072</t>
  </si>
  <si>
    <t>1671013</t>
  </si>
  <si>
    <t>3171012</t>
  </si>
  <si>
    <t>3172013</t>
  </si>
  <si>
    <t>3172749</t>
  </si>
  <si>
    <t>3172900S</t>
  </si>
  <si>
    <t>3171435</t>
  </si>
  <si>
    <t>3172901S</t>
  </si>
  <si>
    <t>3172902S</t>
  </si>
  <si>
    <t>3172903S</t>
  </si>
  <si>
    <t>3173014</t>
  </si>
  <si>
    <t>3174041</t>
  </si>
  <si>
    <t>3174063</t>
  </si>
  <si>
    <t>3174260</t>
  </si>
  <si>
    <t>3174282</t>
  </si>
  <si>
    <t>3175064</t>
  </si>
  <si>
    <t>3201024</t>
  </si>
  <si>
    <t>3271046</t>
  </si>
  <si>
    <t>3273015</t>
  </si>
  <si>
    <t>3273191</t>
  </si>
  <si>
    <t>3273201</t>
  </si>
  <si>
    <t>3310015</t>
  </si>
  <si>
    <t>3372063</t>
  </si>
  <si>
    <t>3371040</t>
  </si>
  <si>
    <t>3372201</t>
  </si>
  <si>
    <t>3373042</t>
  </si>
  <si>
    <t>3374010</t>
  </si>
  <si>
    <t>3404015</t>
  </si>
  <si>
    <t>3507026</t>
  </si>
  <si>
    <t>3671032</t>
  </si>
  <si>
    <t>5171016</t>
  </si>
  <si>
    <t>5303056</t>
  </si>
  <si>
    <t>7109028</t>
  </si>
  <si>
    <t>7171013</t>
  </si>
  <si>
    <t>7371436</t>
  </si>
  <si>
    <t>7371314</t>
  </si>
  <si>
    <t>7371121</t>
  </si>
  <si>
    <t>7371325</t>
  </si>
  <si>
    <t>7371435</t>
  </si>
  <si>
    <t>8171123</t>
  </si>
  <si>
    <t>Tipe Rumah Sakit</t>
  </si>
  <si>
    <t>Rumah Sakit Umum</t>
  </si>
  <si>
    <t>Rumah Sakit Khusus Stroke</t>
  </si>
  <si>
    <t>Rumah Sakit Khusus Otak</t>
  </si>
  <si>
    <t>RS Darurat dan Lapangan</t>
  </si>
  <si>
    <t>Rumah Sakit Ketergantungan Obat</t>
  </si>
  <si>
    <t>Rumah Sakit Khusus Jiwa</t>
  </si>
  <si>
    <t>Rumah Sakit Khusus Kanker</t>
  </si>
  <si>
    <t>Rumah Sakit Khusus Ibu dan Anak</t>
  </si>
  <si>
    <t>Rumah Sakit Khusus Jantung</t>
  </si>
  <si>
    <t>Rumah Sakit Khusus Infeksi</t>
  </si>
  <si>
    <t>Rumah Sakit Khusus Paru</t>
  </si>
  <si>
    <t>Rumah Sakit Khusus Mata</t>
  </si>
  <si>
    <t>Rumah Sakit Khusus Orthopedi</t>
  </si>
  <si>
    <t>Kode Rumah Sakit (Jangan di input Manual, Otomatis Terisi) :</t>
  </si>
  <si>
    <t>Periode Pelaporan (Silahkan Pilih dari Dropdown) :</t>
  </si>
  <si>
    <t>Nama Rumah Sakit (Silahkan Pilih dari Dropdown) :</t>
  </si>
  <si>
    <t>Tipe Rumah Sakit (Jangan di input Manual, Otomatis Terisi) :</t>
  </si>
  <si>
    <t>Pilih di kotak ini</t>
  </si>
  <si>
    <t>Otomatis terisi</t>
  </si>
  <si>
    <t>Jenis Kegiatan (Silahkan Pilih dari Dropdown)</t>
  </si>
  <si>
    <t>Capaian Layanan (Otomatis terisi)</t>
  </si>
  <si>
    <t>Kelompok Staf Medis</t>
  </si>
  <si>
    <t>Dokter Spesialis Rehabilitasi Medik (Sp.RM)</t>
  </si>
  <si>
    <t>Dokter Spesialis Ofthalmologi</t>
  </si>
  <si>
    <t>Dokter Spesialis Penyakit Dalam (Sp.PD)</t>
  </si>
  <si>
    <t>Dokter Spesialis Obstetri &amp; Ginekologi (Sp.OG)</t>
  </si>
  <si>
    <t>Dokter Spesialis Anak (Sp.A)</t>
  </si>
  <si>
    <t>Dokter Spesialis Bedah (Sp.B)</t>
  </si>
  <si>
    <t>Dokter Spesialis Radiologi (Sp.Rad)</t>
  </si>
  <si>
    <t>Dokter Spesialis Anastesiologi (Sp.An)</t>
  </si>
  <si>
    <t>Dokter Spesialis Patologi Klinik (SP.PK)</t>
  </si>
  <si>
    <t>Dokter Spesialis Patologi Anatomi (Sp.PA)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</si>
  <si>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</si>
  <si>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</si>
  <si>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</si>
  <si>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</si>
  <si>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</si>
  <si>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</si>
  <si>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</si>
  <si>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</si>
  <si>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</si>
  <si>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Neorologi/Saraf (Sp.S)</t>
  </si>
  <si>
    <t>Dokter Spesialis Orthopedi &amp; Traumatologi (Sp.OT)</t>
  </si>
  <si>
    <t>Dokter Spesialis Paru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</si>
  <si>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</si>
  <si>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</si>
  <si>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</si>
  <si>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</si>
  <si>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</si>
  <si>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</si>
  <si>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</si>
  <si>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</si>
  <si>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</si>
  <si>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</si>
  <si>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</si>
  <si>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</si>
  <si>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</si>
  <si>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</si>
  <si>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</si>
  <si>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</si>
  <si>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</si>
  <si>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</si>
  <si>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</si>
  <si>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Lainnya yang belum tercantum</t>
  </si>
  <si>
    <t>Dokter Spesialis Radioterapi</t>
  </si>
  <si>
    <t>Dokter Spesialis Anastesi - Konsultan Neuro Anastesi (AN-KNA)</t>
  </si>
  <si>
    <t>Dokter Spesialis Bedah Konsultan Vaskuler (Sp. B Vaskular)</t>
  </si>
  <si>
    <t>Kelompok Staf Medis (Silahkan Pilih dari Dropdown)</t>
  </si>
  <si>
    <t>Visitase</t>
  </si>
  <si>
    <t>Visitase Berdasarkan Jumlah Pasien</t>
  </si>
  <si>
    <t>3174072609690004</t>
  </si>
  <si>
    <t>3174062708610002</t>
  </si>
  <si>
    <t>3174062301590001</t>
  </si>
  <si>
    <t>3175032002750005</t>
  </si>
  <si>
    <t>3175096804770001</t>
  </si>
  <si>
    <t>3175032701760006</t>
  </si>
  <si>
    <t>3173021209580002</t>
  </si>
  <si>
    <t>3174040806670010</t>
  </si>
  <si>
    <t>3175021807700006</t>
  </si>
  <si>
    <t>3275082107620011</t>
  </si>
  <si>
    <t>3174060708720008</t>
  </si>
  <si>
    <t>3175021508660004</t>
  </si>
  <si>
    <t>3174054101650022</t>
  </si>
  <si>
    <t>3174064205580001</t>
  </si>
  <si>
    <t>3171071812600002</t>
  </si>
  <si>
    <t>3275102307640003</t>
  </si>
  <si>
    <t>3174061110670004</t>
  </si>
  <si>
    <t>3276041105600002</t>
  </si>
  <si>
    <t>3175023003800008</t>
  </si>
  <si>
    <t>3174072606750003</t>
  </si>
  <si>
    <t>3171042608800003</t>
  </si>
  <si>
    <t>3175040704760008</t>
  </si>
  <si>
    <t>3172011002831002</t>
  </si>
  <si>
    <t>3174056106800005</t>
  </si>
  <si>
    <t>3276106401640004</t>
  </si>
  <si>
    <t>3171062711650005</t>
  </si>
  <si>
    <t>3174042712650001</t>
  </si>
  <si>
    <t>3674016009670002</t>
  </si>
  <si>
    <t>3174080201630005</t>
  </si>
  <si>
    <t>3174082111630008</t>
  </si>
  <si>
    <t>3174091011580006</t>
  </si>
  <si>
    <t>3174094910790003</t>
  </si>
  <si>
    <t>3174084508630003</t>
  </si>
  <si>
    <t>3276040504610003</t>
  </si>
  <si>
    <t>3674053010600002</t>
  </si>
  <si>
    <t>3174046708660002</t>
  </si>
  <si>
    <t>3175040909750003</t>
  </si>
  <si>
    <t>3275031109790026</t>
  </si>
  <si>
    <t>3171051102620003</t>
  </si>
  <si>
    <t>3174041004680004</t>
  </si>
  <si>
    <t>3174062112780003</t>
  </si>
  <si>
    <t>3674034504770002</t>
  </si>
  <si>
    <t>3174067007660002</t>
  </si>
  <si>
    <t>3171016003760003</t>
  </si>
  <si>
    <t>3276041402780004</t>
  </si>
  <si>
    <t>3174063003740002</t>
  </si>
  <si>
    <t>3174022907760001</t>
  </si>
  <si>
    <t>3674034204720007</t>
  </si>
  <si>
    <t>3174071504790009</t>
  </si>
  <si>
    <t>3174024711790001</t>
  </si>
  <si>
    <t>3201075205770011</t>
  </si>
  <si>
    <t>3276061909700002</t>
  </si>
  <si>
    <t>3174054409630003</t>
  </si>
  <si>
    <t>3275101309740002</t>
  </si>
  <si>
    <t>3275027105660005</t>
  </si>
  <si>
    <t>3174065302630004</t>
  </si>
  <si>
    <t>3174032401610003</t>
  </si>
  <si>
    <t>3173087112730020</t>
  </si>
  <si>
    <t>3175025706630006</t>
  </si>
  <si>
    <t>3171081605650003</t>
  </si>
  <si>
    <t>3174064704580004</t>
  </si>
  <si>
    <t>3674011404660001</t>
  </si>
  <si>
    <t>3271040603600005</t>
  </si>
  <si>
    <t>3173052912670006</t>
  </si>
  <si>
    <t>3276040410780005</t>
  </si>
  <si>
    <t>3175074507790003</t>
  </si>
  <si>
    <t>3174076908760001</t>
  </si>
  <si>
    <t>3175021510750010</t>
  </si>
  <si>
    <t>2171036504669002</t>
  </si>
  <si>
    <t>3175026407710007</t>
  </si>
  <si>
    <t>3276092708600004</t>
  </si>
  <si>
    <t>3172021901790003</t>
  </si>
  <si>
    <t>3175032211710001</t>
  </si>
  <si>
    <t>3174075604580002</t>
  </si>
  <si>
    <t>3276025501630014</t>
  </si>
  <si>
    <t>3174076511580003</t>
  </si>
  <si>
    <t>3174104203580001</t>
  </si>
  <si>
    <t>3174065002670002</t>
  </si>
  <si>
    <t>3171074208640003</t>
  </si>
  <si>
    <t>3174064402720002</t>
  </si>
  <si>
    <t>3674054610600004</t>
  </si>
  <si>
    <t>3273110908840002</t>
  </si>
  <si>
    <t>3174011507740012</t>
  </si>
  <si>
    <t>3175101701750004</t>
  </si>
  <si>
    <t>3171042303750003</t>
  </si>
  <si>
    <t>3172026703780010</t>
  </si>
  <si>
    <t>3275042404620019</t>
  </si>
  <si>
    <t>3174065003670003</t>
  </si>
  <si>
    <t>3174015806640002</t>
  </si>
  <si>
    <t>3276045202690003</t>
  </si>
  <si>
    <t>3674046705600001</t>
  </si>
  <si>
    <t>3174011508870009</t>
  </si>
  <si>
    <t>3174062310860008</t>
  </si>
  <si>
    <t>3671121704810003</t>
  </si>
  <si>
    <t>3173061608850001</t>
  </si>
  <si>
    <t>3172062904870001</t>
  </si>
  <si>
    <t>3278020209780003</t>
  </si>
  <si>
    <t>3173054504850010</t>
  </si>
  <si>
    <t>3175101001860002</t>
  </si>
  <si>
    <t>3175055204810010</t>
  </si>
  <si>
    <t>3674050306820004</t>
  </si>
  <si>
    <t>3275022608830021</t>
  </si>
  <si>
    <t>5171034509820001</t>
  </si>
  <si>
    <t>3674031201780012</t>
  </si>
  <si>
    <t>3173051606740002</t>
  </si>
  <si>
    <t>3173071405800008</t>
  </si>
  <si>
    <t>1171023001710001</t>
  </si>
  <si>
    <t>3674050505850015</t>
  </si>
  <si>
    <t>3671095208830002</t>
  </si>
  <si>
    <t>3173082811790003</t>
  </si>
  <si>
    <t>2171030312869003</t>
  </si>
  <si>
    <t>3174040110890001</t>
  </si>
  <si>
    <t>3175044606770010</t>
  </si>
  <si>
    <t>3175031002850005</t>
  </si>
  <si>
    <t>3174066301890006</t>
  </si>
  <si>
    <t>3172042602670001</t>
  </si>
  <si>
    <t>3174061510670005</t>
  </si>
  <si>
    <t>3674065008650004</t>
  </si>
  <si>
    <t>3674066806610006</t>
  </si>
  <si>
    <t>3302110601820005</t>
  </si>
  <si>
    <t>3573026012800005</t>
  </si>
  <si>
    <t>3175016903750008</t>
  </si>
  <si>
    <t>3172066306830003</t>
  </si>
  <si>
    <t>3174081504610011</t>
  </si>
  <si>
    <t>3175035204800007</t>
  </si>
  <si>
    <t>3172026203800010</t>
  </si>
  <si>
    <t>3173050302750013</t>
  </si>
  <si>
    <t>3276014803620004</t>
  </si>
  <si>
    <t>3174075704620001</t>
  </si>
  <si>
    <t>3174045810730003</t>
  </si>
  <si>
    <t>3171075912641002</t>
  </si>
  <si>
    <t>3674055206590003</t>
  </si>
  <si>
    <t>3276050710620005</t>
  </si>
  <si>
    <t>3175104905640004</t>
  </si>
  <si>
    <t>3174097008590002</t>
  </si>
  <si>
    <t>3175024310770004</t>
  </si>
  <si>
    <t>3171050106740007</t>
  </si>
  <si>
    <t>3674014906780001</t>
  </si>
  <si>
    <t>3175064710760015</t>
  </si>
  <si>
    <t>7105186304860002</t>
  </si>
  <si>
    <t>3174065809700001</t>
  </si>
  <si>
    <t>3175015211820010</t>
  </si>
  <si>
    <t>3276024803720002</t>
  </si>
  <si>
    <t>2171091104830001</t>
  </si>
  <si>
    <t>3318105302860004</t>
  </si>
  <si>
    <t>1271174710770001</t>
  </si>
  <si>
    <t>7471055107690003</t>
  </si>
  <si>
    <t>3173084901810004</t>
  </si>
  <si>
    <t>3171070905800006</t>
  </si>
  <si>
    <t>3276096002700001</t>
  </si>
  <si>
    <t>3275081305840023</t>
  </si>
  <si>
    <t>3174014501740001</t>
  </si>
  <si>
    <t>3174052901850005</t>
  </si>
  <si>
    <t>3175096202850014</t>
  </si>
  <si>
    <t>3174066608600002</t>
  </si>
  <si>
    <t>3175075712851001</t>
  </si>
  <si>
    <t>3674054412750003</t>
  </si>
  <si>
    <t>3276055210680009</t>
  </si>
  <si>
    <t>3174044204780008</t>
  </si>
  <si>
    <t>3275036108860006</t>
  </si>
  <si>
    <t>3276046904870004</t>
  </si>
  <si>
    <t>3174054212780002</t>
  </si>
  <si>
    <t>3674075603831001</t>
  </si>
  <si>
    <t>7209055903850001</t>
  </si>
  <si>
    <t>3573035905800007</t>
  </si>
  <si>
    <t>3276110904840001</t>
  </si>
  <si>
    <t>3674055507840001</t>
  </si>
  <si>
    <t>3674045509840001</t>
  </si>
  <si>
    <t>3276095712760001</t>
  </si>
  <si>
    <t>3573051406840008</t>
  </si>
  <si>
    <t>3174067004810013</t>
  </si>
  <si>
    <t>3171085804830005</t>
  </si>
  <si>
    <t>3173082007860005</t>
  </si>
  <si>
    <t>3172032110850012</t>
  </si>
  <si>
    <t>3275012903880015</t>
  </si>
  <si>
    <t>3175061006840016</t>
  </si>
  <si>
    <t>3201305709850004</t>
  </si>
  <si>
    <t>3174015904800001</t>
  </si>
  <si>
    <t>3174046611840011</t>
  </si>
  <si>
    <t>3603172109830003</t>
  </si>
  <si>
    <t>3174076911670002</t>
  </si>
  <si>
    <t>1171020707810009</t>
  </si>
  <si>
    <t>3276064905780007</t>
  </si>
  <si>
    <t>3174051411660007</t>
  </si>
  <si>
    <t>7571032306770002</t>
  </si>
  <si>
    <t>7371135110730003</t>
  </si>
  <si>
    <t>7171095001770052</t>
  </si>
  <si>
    <t>3276045502780005</t>
  </si>
  <si>
    <t>3175046302800007</t>
  </si>
  <si>
    <t>1472034206870002</t>
  </si>
  <si>
    <t>3275022811660005</t>
  </si>
  <si>
    <t>3174046810850004</t>
  </si>
  <si>
    <t>7371072104910010</t>
  </si>
  <si>
    <t>3174030312570003</t>
  </si>
  <si>
    <t>3174032211900002</t>
  </si>
  <si>
    <t>3174055601880001</t>
  </si>
  <si>
    <t>3674021201610002</t>
  </si>
  <si>
    <t>3175072404880015</t>
  </si>
  <si>
    <t>3275026309890028</t>
  </si>
  <si>
    <t>3175020406860011</t>
  </si>
  <si>
    <t>3174066809570001</t>
  </si>
  <si>
    <t>1371110212900003</t>
  </si>
  <si>
    <t>3671055102890005</t>
  </si>
  <si>
    <t>3175040609880007</t>
  </si>
  <si>
    <t>3173054903870004</t>
  </si>
  <si>
    <t>3174065403570001</t>
  </si>
  <si>
    <t>3175045602860001</t>
  </si>
  <si>
    <t>3201265510870005</t>
  </si>
  <si>
    <t>3171060612880004</t>
  </si>
  <si>
    <t>dr. Refni Muslim, Sp.Rad (K)</t>
  </si>
  <si>
    <t>dr. Toni Agus Setiono, Sp.B</t>
  </si>
  <si>
    <t>dr. Ida Ayu Made Kshanti Dharma Paramita, Sp.PD, KEMD, FINASIM</t>
  </si>
  <si>
    <t>dr. Dyah Sri Puspitaningsih, Sp.Rad (K)</t>
  </si>
  <si>
    <t>dr. Nanny Rachmat, Sp.M</t>
  </si>
  <si>
    <t>dr. Enos Hagogoan Siburian, Sp.B(K) Onk</t>
  </si>
  <si>
    <t>dr. Ahmad Asroruddin Makshoem, Sp.BU</t>
  </si>
  <si>
    <t>dr. Nursanti Subakir A.M, Sp.Rad (K)</t>
  </si>
  <si>
    <t>Dr. dr. Luthfi Gatam, Sp.OT, K-Spine</t>
  </si>
  <si>
    <t>dr. Pauline Endang Praptini Danu Subroto, Sp.G.K</t>
  </si>
  <si>
    <t>dr. Anti Dharmayanti, Sp.PK (K)</t>
  </si>
  <si>
    <t>drg. Didi Mardian, Sp.B.M</t>
  </si>
  <si>
    <t>dr. Mei Lestari Harahap, Sp.J.P,(K), FIHA</t>
  </si>
  <si>
    <t>dr. Yani Damayanti, Sp.K.F.R</t>
  </si>
  <si>
    <t>drg. Itja Risanti, Sp.K.G</t>
  </si>
  <si>
    <t>dr. Muhammad Abduh, Sp.T.H.T.K.L</t>
  </si>
  <si>
    <t>dr. Dewi Lestarini, Sp.KK, MARS</t>
  </si>
  <si>
    <t>dr. Eka Swabhawa Uttama, Sp.B</t>
  </si>
  <si>
    <t>dr. Pribadyo, Sp.M (K), MPH</t>
  </si>
  <si>
    <t>dr. Achyar, Sp.J.P,(K),FIHA</t>
  </si>
  <si>
    <t>dr. Bambang Budiarto, Sp.B</t>
  </si>
  <si>
    <t>dr. Fachrul Razy, Sp.PD (K)</t>
  </si>
  <si>
    <t>dr. Yuniarti, Sp.N</t>
  </si>
  <si>
    <t>Dr. dr. Ludwig Andribert Powantia Pontoh, Sp.OT, K-Knee</t>
  </si>
  <si>
    <t>dr. Ramadhana Effendy, Sp.B</t>
  </si>
  <si>
    <t>dr. Andriani, Sp.F.M</t>
  </si>
  <si>
    <t>drg. Mirnawaty, Sp.Ort</t>
  </si>
  <si>
    <t>dr. Tumpal Yansen Sihombing, Sp.A</t>
  </si>
  <si>
    <t>dr. Agus Surur As'adi, Sp.OG, K-Fer</t>
  </si>
  <si>
    <t>dr. I Ketut Sukarata, Sp.KK</t>
  </si>
  <si>
    <t>dr. Y. Hari Haksanto, Sp.An</t>
  </si>
  <si>
    <t>dr. Media Suprihatin, Sp.Rad (K)</t>
  </si>
  <si>
    <t>dr. Pratiwi Andayani, Sp.A(K)</t>
  </si>
  <si>
    <t>dr. Rini Pramesti, Sp.J.P (K)</t>
  </si>
  <si>
    <t>dr. Audy Budiarty, Sp.BP-RE(K)</t>
  </si>
  <si>
    <t>dr. Nuraini Irma Susanti, Sp.A(K)</t>
  </si>
  <si>
    <t>dr. Aditomo Widarso, Sp.B, Subsp. BD (K)</t>
  </si>
  <si>
    <t>dr. Nella Abdullah, Sp.An (K), MARS</t>
  </si>
  <si>
    <t>dr. Yufanti Sujudi, Sp.KK</t>
  </si>
  <si>
    <t>dr. Maryatul Choirah, Sp.K.J</t>
  </si>
  <si>
    <t>dr. Mochammad Evodia Slamet Rahardjo, Sp.B.S</t>
  </si>
  <si>
    <t>dr. Dwi Syanthi Andriasari, Sp.P</t>
  </si>
  <si>
    <t>drg. Silvy Daniel, Sp.Ort</t>
  </si>
  <si>
    <t>dr. Kemala Dewi, Sp.M (K)</t>
  </si>
  <si>
    <t>dr. Edi Mulyana, Sp.PD, K-GEH, FINASIM</t>
  </si>
  <si>
    <t>dr. Hastari Soekardi, Sp.S</t>
  </si>
  <si>
    <t>dr. R. Bambang Hariyanto, Sp.An</t>
  </si>
  <si>
    <t>dr. R. Devy Siahaan, Sp.An, KIC</t>
  </si>
  <si>
    <t>dr. Ifael Yerosias Mauleti, Sp.PD (K), FINASIM</t>
  </si>
  <si>
    <t>dr. Neza Puspita, Sp.OG</t>
  </si>
  <si>
    <t>Dr. dr. Debbie Latupeirissa, Sp.A(K)</t>
  </si>
  <si>
    <t>dr. Eva Roria Silalahi, Sp.OG(K)</t>
  </si>
  <si>
    <t>dr. Sylahuddin, Sp.OG, K-Onk</t>
  </si>
  <si>
    <t>dr. Elida Sari Siburian, Sp.BP-RE(K)</t>
  </si>
  <si>
    <t>drg. R. Toto Wibowo Noorcahyo, Sp.Pros</t>
  </si>
  <si>
    <t>dr. Amrizal Umran, Sp.U (K)</t>
  </si>
  <si>
    <t>dr. Utami Purbasari, Sp.Rad (K)</t>
  </si>
  <si>
    <t>dr. Mochammading, Sp.A (K)</t>
  </si>
  <si>
    <t>dr. Ika Sri Nurtantri, Sp.K.J</t>
  </si>
  <si>
    <t>dr. Nanok Edi Susilo, Sp.B, Sp.BA (K)</t>
  </si>
  <si>
    <t>dr. Susana Elizabeth Rincap, Sp.An</t>
  </si>
  <si>
    <t>dr. Mohamad Tiya Romli, Sp.B.S</t>
  </si>
  <si>
    <t>dr. Arfan Mappalilu, Sp.S</t>
  </si>
  <si>
    <t>drg. Fitriany Darwis, Sp.PM, MSc. PH</t>
  </si>
  <si>
    <t>dr. Andi Taqwa, Sp.An</t>
  </si>
  <si>
    <t>dr. Witra Irfan, Sp.B (K) V</t>
  </si>
  <si>
    <t>dr. Bonita Prawirodihardjo, Sp.PA, M. Kes</t>
  </si>
  <si>
    <t>dr. Rena Amelia Sjam, Sp.K.J</t>
  </si>
  <si>
    <t>dr. Ika Yulieta Margaretha. P, Sp.S</t>
  </si>
  <si>
    <t>dr. Didik Librianto, Sp.OT, K-Spine</t>
  </si>
  <si>
    <t>dr. Rianita, M.Gizi, Sp.G.K</t>
  </si>
  <si>
    <t>dr. Santi Sumihar Rumondang Parhusip, Sp.PD, FINASIM</t>
  </si>
  <si>
    <t>dr. Rofi Yuldi Saunar, Sp.B, Subsp. BD (K)</t>
  </si>
  <si>
    <t>dr. Esti Widorini, Sp.K.F.R (K)</t>
  </si>
  <si>
    <t>dr. Zainal Adhim, Sp.T.H.T.K.L(K), Ph.D</t>
  </si>
  <si>
    <t>dr. Brevitra Janesa Bismedi, Sp.BP</t>
  </si>
  <si>
    <t>dr. Heditya Damayanti Isbagio, Sp.T.H.T.K.L</t>
  </si>
  <si>
    <t>dr. Vicky Riyadi, Sp.T.H.T.K.L(K)</t>
  </si>
  <si>
    <t>dr. Eka Nurfitri, Sp.A</t>
  </si>
  <si>
    <t>dr. Wini Widiani, Sp.K.F.R (K)</t>
  </si>
  <si>
    <t>dr. Shirley Anggraini Tunggadewi, Sp.OG (K), M.Kes</t>
  </si>
  <si>
    <t>dr. Harjo Saksomo Bajuadji, Sp.OG(K)</t>
  </si>
  <si>
    <t>dr. Ratri Saumi, M.Kes, Sp.G.K</t>
  </si>
  <si>
    <t>drg. Rindaputri Daulay, Sp.K.G.A</t>
  </si>
  <si>
    <t>dr. Diah Retno Widowati, Sp.J.P (K), FIHA</t>
  </si>
  <si>
    <t>dr. Ratih Pahlesia, Sp.P</t>
  </si>
  <si>
    <t>dr. Moh. Luky Satria Syahbana Marwali, Sp.OG, K-Fer</t>
  </si>
  <si>
    <t>dr. Jaya Ariheryanto Effendi, Sp.A (K)</t>
  </si>
  <si>
    <t>dr. Achmad Faisal, Sp.B.T.KV (K), FECTS, FIHA</t>
  </si>
  <si>
    <t>dr. Bina Akura, Sp.A (K)</t>
  </si>
  <si>
    <t>dr. Dany K Ramdhan, Sp.B.S</t>
  </si>
  <si>
    <t>Dr. dr. Bobby Setiadi Dharmawan, Sp.A</t>
  </si>
  <si>
    <t>dr. Fachrisal, Sp.OT, K-Spine</t>
  </si>
  <si>
    <t>Dr. dr. Dedy Rahmat, Sp.A</t>
  </si>
  <si>
    <t>dr. Diah Ari Safitri, Sp.PD, K-HOM, FINASIM</t>
  </si>
  <si>
    <t>dr. Faisal Mi'raj, Sp.OT (K)</t>
  </si>
  <si>
    <t>dr. M. Yadi Permana, Sp.B (K) Onk</t>
  </si>
  <si>
    <t>dr. Syamsu Hudaya, Sp.U (K)</t>
  </si>
  <si>
    <t>dr. Devi Arofah Mumtazah, Sp.KK</t>
  </si>
  <si>
    <t>dr. Arief Wibisono, Sp.B (K) Onk</t>
  </si>
  <si>
    <t>dr. Fara Vitantri Diah Candrani, Sp.OG, K-Onk</t>
  </si>
  <si>
    <t>dr. Jamot Silitonga, Sp.OT (K)</t>
  </si>
  <si>
    <t>dr. Reza Tigor Manurung, Sp.OG (K)</t>
  </si>
  <si>
    <t>dr. Rugun Maria E. Tobing, Sp.B.T.KV</t>
  </si>
  <si>
    <t>dr. Purnama Fitri, Sp.A.(K)</t>
  </si>
  <si>
    <t>dr. Pakasi Ronald Efraim, Sp.K.F.R (K)</t>
  </si>
  <si>
    <t>dr. Detrianae,Sp.J.P</t>
  </si>
  <si>
    <t>dr. Astri Diah Anandita , Sp.OG (K)</t>
  </si>
  <si>
    <t>dr. Vera Irawany, Sp.An, KIC</t>
  </si>
  <si>
    <t>dr. Diana Rosalina, Sp.T.H.T.K.L(K)</t>
  </si>
  <si>
    <t>dr. Widyastuti, Sp.OG</t>
  </si>
  <si>
    <t>drg. Rahma Rawadisukma Cono, M.Kes, Sp.Pros</t>
  </si>
  <si>
    <t>Dr. dr. Lanny Christine Gultom, Sp.A (K)</t>
  </si>
  <si>
    <t>dr. Fitriani Nasution, Sp.S</t>
  </si>
  <si>
    <t>dr. Yanuar Kusendarto, Sp.An</t>
  </si>
  <si>
    <t>dr. Malvin Emeraldi, Sp.OG, K-Fer</t>
  </si>
  <si>
    <t>dr. Erlina, Sp.PA</t>
  </si>
  <si>
    <t>dr. Nila Kusumasari, Sp.A.(K)</t>
  </si>
  <si>
    <t>dr. Arie Sulistyowati, Sp.A, M.Sc</t>
  </si>
  <si>
    <t>drg. Nur Rahma Prihantini, Sp.Perio</t>
  </si>
  <si>
    <t>dr. Nadia Dwi Insani, Sp.A (K)</t>
  </si>
  <si>
    <t>dr. Ade Rohmana, Sp.An</t>
  </si>
  <si>
    <t>dr. Badarsyah, Sp.An</t>
  </si>
  <si>
    <t>dr. Dian Pitawati, Sp.K.J</t>
  </si>
  <si>
    <t>dr. Yonas Immanuel Hutasoit, Sp.U (K)</t>
  </si>
  <si>
    <t>dr. Rully Ferdiansyah, Sp.T.H.T.K.L(K)</t>
  </si>
  <si>
    <t>dr. Eko Hadi Waluyojati, Sp.M</t>
  </si>
  <si>
    <t>dr. Retty Widiastuti Sri Hendarniarty, Sp.An</t>
  </si>
  <si>
    <t>dr. Mursid Fadli, Sp.B(K)V</t>
  </si>
  <si>
    <t>dr. Asri Dwi Rachmawati, Sp.B, Sp.B.A</t>
  </si>
  <si>
    <t>dr. Novita Eka Sukma Putri, Sp.M (K)</t>
  </si>
  <si>
    <t>dr. Aditya Rangga Putera, Sp.OG</t>
  </si>
  <si>
    <t>dr. Sarwanti, Sp.PA, MARS</t>
  </si>
  <si>
    <t>dr. Martha Iskandar, Sp.PD (K), FINASIM</t>
  </si>
  <si>
    <t>dr. Dimas Radithya Boedijono, Sp.OT (K)</t>
  </si>
  <si>
    <t>dr. Marina Epriliawati, Sp.PD, KEMD, FINASIM</t>
  </si>
  <si>
    <t>dr. Giri Aji, Sp.PD, FINASIM</t>
  </si>
  <si>
    <t>dr. Adianto Nugroho, Sp.B, Subsp. BD (K)</t>
  </si>
  <si>
    <t>dr. Ira Rahma Hidayati, Sp.Rad</t>
  </si>
  <si>
    <t>dr. Agatha Citrawati Anom, M.Si.Med, Sp.An</t>
  </si>
  <si>
    <t>dr. Iman Widya Aminata, Sp.OT(K)</t>
  </si>
  <si>
    <t>dr. Siti Irma Mashitah, Sp.J.P (K), FIHA</t>
  </si>
  <si>
    <t>dr. Maysam Irawati, Sp.S</t>
  </si>
  <si>
    <t>Dr. Ferawati, Sp.An</t>
  </si>
  <si>
    <t>dr. Muhammad Wahyudi, Sp.OT (K)</t>
  </si>
  <si>
    <t>dr. Lita Dwi Suryani, Sp.J.P</t>
  </si>
  <si>
    <t>drg. Ilham Ramadhan, Sp.BM</t>
  </si>
  <si>
    <t>dr. Budi Ario Tejo, Sp.J.P(K)</t>
  </si>
  <si>
    <t>dr. Ni Made Supradnyawati, Sp.An</t>
  </si>
  <si>
    <t>dr. Sharon Loraine Samuel, Sp.K.F.R (K)</t>
  </si>
  <si>
    <t>dr. Phedy, Sp.OT (K)</t>
  </si>
  <si>
    <t>dr. Ukuh Tri Anjarsari, Sp.KJ</t>
  </si>
  <si>
    <t>dr. Anggraini Permata Sari, Sp.PD, FINASIM</t>
  </si>
  <si>
    <t>dr. Elizabeth Yasmine Wardoyo, Sp.PD (K), FINASIM</t>
  </si>
  <si>
    <t>dr. Flora Agustina, Sp.B, Sp.B.A</t>
  </si>
  <si>
    <t>dr. Muhammad Azhari Taufik, Sp.An, KIC</t>
  </si>
  <si>
    <t>dr. Kris Chandra Satria, Sp.An</t>
  </si>
  <si>
    <t>dr. Ahmad Sulaiman Alwahdy, Sp.S</t>
  </si>
  <si>
    <t>dr. Andri, Sp.P</t>
  </si>
  <si>
    <t>dr. Nikko Darnindro, Sp.PD, FINASIM</t>
  </si>
  <si>
    <t>dr. Fadhli Ramadhan, Sp.J.P</t>
  </si>
  <si>
    <t>dr. Andriani Putri Bestari, Sp.S</t>
  </si>
  <si>
    <t>dr. Agus Hadi Sihabudin, Sp.B.S</t>
  </si>
  <si>
    <t>dr. Sri Wahyu Evianti, Sp.N</t>
  </si>
  <si>
    <t>dr. Retno Sawitri, Sp.F.M</t>
  </si>
  <si>
    <t>dr. Yuri Feharsal, Sp.OG</t>
  </si>
  <si>
    <t>Dr. Silmi Kaffah, Sp.P</t>
  </si>
  <si>
    <t>dr. Shynta Dewiyana Hantogo, Sp.K.F.R</t>
  </si>
  <si>
    <t>dr. Apriliana Ratnaningrum, Sp.An</t>
  </si>
  <si>
    <t>dr. Caesar Khairul Wallad, Sp.U</t>
  </si>
  <si>
    <t>dr. Oryza Satria, Sp.OT (K)</t>
  </si>
  <si>
    <t>dr. Radhiyatam Mardhiyah, Sp.PD</t>
  </si>
  <si>
    <t>dr. Jerry Nasarudin, Sp.PD, FINASIM</t>
  </si>
  <si>
    <t>drg. Tika Prana Pramita, Sp.K.G</t>
  </si>
  <si>
    <t>dr. Dimas Kusnugroho Bonardo Pardede, Sp.An</t>
  </si>
  <si>
    <t>dr. Westri Elfilia Arthanti, Sp.Rad (K)</t>
  </si>
  <si>
    <t>dr. Christa Adriane Tenges, Sp.K.F.R (K)</t>
  </si>
  <si>
    <t>dr. Aryan Yohanes, Sp.PD, FINASIM</t>
  </si>
  <si>
    <t>dr. Fatimah Hidayati, Sp.A</t>
  </si>
  <si>
    <t>Dr. Irfan Deliandra, Sp.OG</t>
  </si>
  <si>
    <t>dr. Ramadina Karunia Algamar, Sp.A</t>
  </si>
  <si>
    <t>dr. Lusiya Ningsih S, Sp.M.K</t>
  </si>
  <si>
    <t>dr. Widya Trianita Suwatri, Sp.BTKV</t>
  </si>
  <si>
    <t>dr. Krishna Adi Wibisana, Sp.PD, FINASIM</t>
  </si>
  <si>
    <t>dr. Jimmy Sakti Nanda Berguna, Sp.OG</t>
  </si>
  <si>
    <t>dr. Muhammad Ikhsan Mokoagow, Sp.PD, KEMD, M.Med, Sci, FINASIM</t>
  </si>
  <si>
    <t>dr. Rahmah Safitri Meutia, Sp.PD, FINASIM</t>
  </si>
  <si>
    <t>dr. I Gusti Ngurah Akwila Dwi Yundha, Sp.An</t>
  </si>
  <si>
    <t>Dr. Dieby Adrisyel, Sp.Rad (K)</t>
  </si>
  <si>
    <t>Dr. Rezadi Satya Wardhana, Sp.P</t>
  </si>
  <si>
    <t>dr. Asrafi Rizki Gatam, Sp.OT</t>
  </si>
  <si>
    <t>dr. Yoshi Pratama Djaja, Sp.OT</t>
  </si>
  <si>
    <t>dr. Anggaditya Putra, Sp.OT</t>
  </si>
  <si>
    <t>dr. Fatia Permata Sari, Sp.T.H.T</t>
  </si>
  <si>
    <t>dr. Satria Dipo Putra Asmoro, Sp.THT-KL</t>
  </si>
  <si>
    <t>dr. Ihsan, Sp.An</t>
  </si>
  <si>
    <t>dr. Krisna, Sp.Rad</t>
  </si>
  <si>
    <t>dr. Margaretha Gunawan, Sp.An</t>
  </si>
  <si>
    <t>dr. Anak Agung Arie Widyastuti, Sp.PD</t>
  </si>
  <si>
    <t>dr. Deddy Ria Saputra, Sp.A (K)</t>
  </si>
  <si>
    <t>dr. Sara Ester Triatmoko, Sp.BP-RE(K)</t>
  </si>
  <si>
    <t>dr. Farissa Luthfia, Sp.PD</t>
  </si>
  <si>
    <t>dr. Jeshika Febi Kusumawati, Sp.A</t>
  </si>
  <si>
    <t>dr. Choirurrizqi, Sp.OG</t>
  </si>
  <si>
    <t>dr. Rany Ayu Puspitasari, Sp.OG</t>
  </si>
  <si>
    <t>dr. Rakhmawaty Zain, Sp.PA</t>
  </si>
  <si>
    <t>dr. Irvan Desrizal, Sp.OG</t>
  </si>
  <si>
    <t>dr. Claudia Hartomuljono, Sp.M</t>
  </si>
  <si>
    <t>dr. Indriati M.S Tobing, Sp.K.F.R (K)</t>
  </si>
  <si>
    <t>dr. Calvin Kurnia Mulyadi, Sp.PD, MM</t>
  </si>
  <si>
    <t>dr. Fadhil Pratama Apriansyah, Sp.JP</t>
  </si>
  <si>
    <t>Dr. dr. Chamim, Sp.OG, K-Onk</t>
  </si>
  <si>
    <t>dr. Yulia Miftahul Janna, Sp.M</t>
  </si>
  <si>
    <t>dr. Elly Watty, Sp.PK</t>
  </si>
  <si>
    <t>dr. Lidya Utami, Sp.PK (K)</t>
  </si>
  <si>
    <t>dr. Luci Liana, Sp.PK</t>
  </si>
  <si>
    <t>dr. Veronica Fridawati, Sp.PK (K)</t>
  </si>
  <si>
    <t>3674071003580002</t>
  </si>
  <si>
    <t>3201024806870003</t>
  </si>
  <si>
    <t>3174051112760003</t>
  </si>
  <si>
    <t>3175024407860004</t>
  </si>
  <si>
    <t>3175034305580006</t>
  </si>
  <si>
    <t>3175054812790002</t>
  </si>
  <si>
    <t>3172056908600004</t>
  </si>
  <si>
    <t>3175104402580007</t>
  </si>
  <si>
    <t xml:space="preserve">Dokter Gigi Spesialis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</si>
</sst>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/>
    <xf numFmtId="0" fontId="0" fillId="2" borderId="1" xfId="0" applyFill="1" applyBorder="1"/>
    <xf numFmtId="0" fontId="0" fillId="3" borderId="1" xfId="0" applyFill="1" applyBorder="1"/>
    <xf numFmtId="0" fontId="5" fillId="0" borderId="0" xfId="0" applyFont="1"/>
    <xf numFmtId="9" fontId="0" fillId="3" borderId="1" xfId="1" applyFont="1" applyFill="1" applyBorder="1"/>
    <xf numFmtId="49" fontId="0" fillId="0" borderId="0" xfId="0" applyNumberFormat="1"/>
    <xf numFmtId="164" fontId="0" fillId="0" borderId="1" xfId="2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3B4-A21A-40CF-9F05-4553DE94AF71}">
  <dimension ref="B2:N697"/>
  <sheetViews>
    <sheetView showGridLines="0" tabSelected="1" topLeftCell="A2" workbookViewId="0">
      <pane xSplit="4" ySplit="9" topLeftCell="E11" activePane="bottomRight" state="frozen"/>
      <selection activeCell="A2" sqref="A2"/>
      <selection pane="topRight" activeCell="E2" sqref="E2"/>
      <selection pane="bottomLeft" activeCell="A11" sqref="A11"/>
      <selection pane="bottomRight" activeCell="E11" sqref="E11"/>
    </sheetView>
  </sheetViews>
  <sheetFormatPr defaultRowHeight="14.5" x14ac:dyDescent="0.35"/>
  <cols>
    <col min="1" max="1" width="2.26953125" customWidth="1"/>
    <col min="2" max="2" width="5.1796875" customWidth="1"/>
    <col min="3" max="3" width="17" bestFit="1" customWidth="1"/>
    <col min="4" max="4" width="38.08984375" bestFit="1" customWidth="1"/>
    <col min="5" max="5" width="48.453125" bestFit="1" customWidth="1"/>
    <col min="6" max="6" width="46.26953125" customWidth="1"/>
    <col min="7" max="7" width="26.7265625" bestFit="1" customWidth="1"/>
    <col min="8" max="8" width="26.81640625" customWidth="1"/>
    <col min="9" max="9" width="38.54296875" customWidth="1"/>
    <col min="10" max="10" width="38.7265625" customWidth="1"/>
    <col min="11" max="11" width="39.81640625" customWidth="1"/>
    <col min="12" max="12" width="40" customWidth="1"/>
    <col min="13" max="13" width="18.81640625" bestFit="1" customWidth="1"/>
    <col min="14" max="14" width="31.26953125" bestFit="1" customWidth="1"/>
    <col min="15" max="15" width="9.1796875" customWidth="1"/>
  </cols>
  <sheetData>
    <row r="2" spans="2:14" ht="21" x14ac:dyDescent="0.5">
      <c r="B2" s="7" t="s">
        <v>0</v>
      </c>
    </row>
    <row r="3" spans="2:14" x14ac:dyDescent="0.35">
      <c r="B3" s="1" t="s">
        <v>136</v>
      </c>
      <c r="F3" s="8" t="s">
        <v>3</v>
      </c>
      <c r="G3" s="10" t="s">
        <v>139</v>
      </c>
    </row>
    <row r="5" spans="2:14" x14ac:dyDescent="0.35">
      <c r="B5" s="1" t="s">
        <v>137</v>
      </c>
      <c r="F5" s="8" t="s">
        <v>40</v>
      </c>
      <c r="G5" s="10" t="s">
        <v>139</v>
      </c>
    </row>
    <row r="6" spans="2:14" x14ac:dyDescent="0.35">
      <c r="B6" s="1" t="s">
        <v>135</v>
      </c>
      <c r="F6" s="9" t="str">
        <f>IFERROR(VLOOKUP(F5, Lookup!J5:L48, 3, FALSE), "")</f>
        <v>3171012</v>
      </c>
      <c r="G6" s="10" t="s">
        <v>140</v>
      </c>
    </row>
    <row r="7" spans="2:14" x14ac:dyDescent="0.35">
      <c r="B7" s="1" t="s">
        <v>138</v>
      </c>
      <c r="F7" s="9" t="str">
        <f>IFERROR(VLOOKUP(F5, Lookup!J5:N48, 5, FALSE), "")</f>
        <v>Rumah Sakit Umum</v>
      </c>
      <c r="G7" s="10" t="s">
        <v>140</v>
      </c>
    </row>
    <row r="8" spans="2:14" x14ac:dyDescent="0.35">
      <c r="B8" s="1"/>
    </row>
    <row r="9" spans="2:14" x14ac:dyDescent="0.35">
      <c r="G9" s="14" t="s">
        <v>24</v>
      </c>
      <c r="H9" s="14"/>
      <c r="I9" s="15" t="s">
        <v>25</v>
      </c>
      <c r="J9" s="16"/>
      <c r="K9" s="14" t="s">
        <v>26</v>
      </c>
      <c r="L9" s="14"/>
    </row>
    <row r="10" spans="2:14" x14ac:dyDescent="0.35">
      <c r="B10" s="5" t="s">
        <v>15</v>
      </c>
      <c r="C10" s="5" t="s">
        <v>16</v>
      </c>
      <c r="D10" s="5" t="s">
        <v>17</v>
      </c>
      <c r="E10" s="5" t="s">
        <v>189</v>
      </c>
      <c r="F10" s="5" t="s">
        <v>141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  <c r="N10" s="5" t="s">
        <v>142</v>
      </c>
    </row>
    <row r="11" spans="2:14" x14ac:dyDescent="0.35">
      <c r="B11" s="4">
        <v>1</v>
      </c>
      <c r="C11" s="3" t="s">
        <v>288</v>
      </c>
      <c r="D11" s="4" t="s">
        <v>522</v>
      </c>
      <c r="E11" s="8" t="s">
        <v>151</v>
      </c>
      <c r="F11" s="8" t="s">
        <v>20</v>
      </c>
      <c r="G11" s="13">
        <v>19</v>
      </c>
      <c r="H11" s="13">
        <v>6676500</v>
      </c>
      <c r="I11" s="13">
        <v>24</v>
      </c>
      <c r="J11" s="13">
        <v>6398500</v>
      </c>
      <c r="K11" s="13">
        <v>0</v>
      </c>
      <c r="L11" s="13">
        <v>0</v>
      </c>
      <c r="M11" s="4"/>
      <c r="N11" s="11">
        <f t="shared" ref="N11:N74" si="0">IFERROR((G11/M11)*100%, 0)</f>
        <v>0</v>
      </c>
    </row>
    <row r="12" spans="2:14" x14ac:dyDescent="0.35">
      <c r="B12" s="4">
        <f>B11+1</f>
        <v>2</v>
      </c>
      <c r="C12" s="3" t="s">
        <v>288</v>
      </c>
      <c r="D12" s="4" t="s">
        <v>522</v>
      </c>
      <c r="E12" s="8" t="s">
        <v>151</v>
      </c>
      <c r="F12" s="8" t="s">
        <v>21</v>
      </c>
      <c r="G12" s="13">
        <v>2</v>
      </c>
      <c r="H12" s="13">
        <v>898000</v>
      </c>
      <c r="I12" s="13">
        <v>0</v>
      </c>
      <c r="J12" s="13">
        <v>0</v>
      </c>
      <c r="K12" s="13">
        <v>0</v>
      </c>
      <c r="L12" s="13">
        <v>0</v>
      </c>
      <c r="M12" s="4"/>
      <c r="N12" s="11">
        <f t="shared" si="0"/>
        <v>0</v>
      </c>
    </row>
    <row r="13" spans="2:14" x14ac:dyDescent="0.35">
      <c r="B13" s="4">
        <f t="shared" ref="B13:B76" si="1">B12+1</f>
        <v>3</v>
      </c>
      <c r="C13" s="3" t="s">
        <v>288</v>
      </c>
      <c r="D13" s="4" t="s">
        <v>522</v>
      </c>
      <c r="E13" s="8" t="s">
        <v>151</v>
      </c>
      <c r="F13" s="8" t="s">
        <v>22</v>
      </c>
      <c r="G13" s="13">
        <v>244</v>
      </c>
      <c r="H13" s="13">
        <v>65928000</v>
      </c>
      <c r="I13" s="13">
        <v>9</v>
      </c>
      <c r="J13" s="13">
        <v>644000</v>
      </c>
      <c r="K13" s="13">
        <v>47</v>
      </c>
      <c r="L13" s="13">
        <v>11640000</v>
      </c>
      <c r="M13" s="4"/>
      <c r="N13" s="11">
        <f t="shared" si="0"/>
        <v>0</v>
      </c>
    </row>
    <row r="14" spans="2:14" x14ac:dyDescent="0.35">
      <c r="B14" s="4">
        <f t="shared" si="1"/>
        <v>4</v>
      </c>
      <c r="C14" s="3" t="s">
        <v>288</v>
      </c>
      <c r="D14" s="4" t="s">
        <v>522</v>
      </c>
      <c r="E14" s="8" t="s">
        <v>151</v>
      </c>
      <c r="F14" s="8" t="s">
        <v>19</v>
      </c>
      <c r="G14" s="13">
        <v>40</v>
      </c>
      <c r="H14" s="13">
        <v>338434000</v>
      </c>
      <c r="I14" s="13">
        <v>0</v>
      </c>
      <c r="J14" s="13">
        <v>0</v>
      </c>
      <c r="K14" s="13">
        <v>3</v>
      </c>
      <c r="L14" s="13">
        <v>54175000</v>
      </c>
      <c r="M14" s="4"/>
      <c r="N14" s="11">
        <f t="shared" si="0"/>
        <v>0</v>
      </c>
    </row>
    <row r="15" spans="2:14" x14ac:dyDescent="0.35">
      <c r="B15" s="4">
        <f t="shared" si="1"/>
        <v>5</v>
      </c>
      <c r="C15" s="3" t="s">
        <v>288</v>
      </c>
      <c r="D15" s="4" t="s">
        <v>522</v>
      </c>
      <c r="E15" s="8" t="s">
        <v>151</v>
      </c>
      <c r="F15" s="8" t="s">
        <v>190</v>
      </c>
      <c r="G15" s="13">
        <v>3</v>
      </c>
      <c r="H15" s="13">
        <v>445000</v>
      </c>
      <c r="I15" s="13">
        <v>0</v>
      </c>
      <c r="J15" s="13">
        <v>0</v>
      </c>
      <c r="K15" s="13">
        <v>0</v>
      </c>
      <c r="L15" s="13">
        <v>0</v>
      </c>
      <c r="M15" s="4"/>
      <c r="N15" s="11">
        <f t="shared" si="0"/>
        <v>0</v>
      </c>
    </row>
    <row r="16" spans="2:14" x14ac:dyDescent="0.35">
      <c r="B16" s="4">
        <f t="shared" si="1"/>
        <v>6</v>
      </c>
      <c r="C16" s="3" t="s">
        <v>215</v>
      </c>
      <c r="D16" s="4" t="s">
        <v>540</v>
      </c>
      <c r="E16" s="8" t="s">
        <v>151</v>
      </c>
      <c r="F16" s="8" t="s">
        <v>22</v>
      </c>
      <c r="G16" s="13">
        <v>0</v>
      </c>
      <c r="H16" s="13">
        <v>0</v>
      </c>
      <c r="I16" s="13">
        <v>0</v>
      </c>
      <c r="J16" s="13">
        <v>0</v>
      </c>
      <c r="K16" s="13">
        <v>1</v>
      </c>
      <c r="L16" s="13">
        <v>250000</v>
      </c>
      <c r="M16" s="4"/>
      <c r="N16" s="11">
        <f t="shared" si="0"/>
        <v>0</v>
      </c>
    </row>
    <row r="17" spans="2:14" x14ac:dyDescent="0.35">
      <c r="B17" s="4">
        <f t="shared" si="1"/>
        <v>7</v>
      </c>
      <c r="C17" s="3" t="s">
        <v>215</v>
      </c>
      <c r="D17" s="4" t="s">
        <v>540</v>
      </c>
      <c r="E17" s="8" t="s">
        <v>151</v>
      </c>
      <c r="F17" s="8" t="s">
        <v>19</v>
      </c>
      <c r="G17" s="13">
        <v>42</v>
      </c>
      <c r="H17" s="13">
        <v>409203000</v>
      </c>
      <c r="I17" s="13">
        <v>1</v>
      </c>
      <c r="J17" s="13">
        <v>8800000</v>
      </c>
      <c r="K17" s="13">
        <v>1</v>
      </c>
      <c r="L17" s="13">
        <v>24960000</v>
      </c>
      <c r="M17" s="4"/>
      <c r="N17" s="11">
        <f t="shared" si="0"/>
        <v>0</v>
      </c>
    </row>
    <row r="18" spans="2:14" x14ac:dyDescent="0.35">
      <c r="B18" s="4">
        <f t="shared" si="1"/>
        <v>8</v>
      </c>
      <c r="C18" s="3" t="s">
        <v>255</v>
      </c>
      <c r="D18" s="4" t="s">
        <v>465</v>
      </c>
      <c r="E18" s="8" t="s">
        <v>151</v>
      </c>
      <c r="F18" s="8" t="s">
        <v>20</v>
      </c>
      <c r="G18" s="13">
        <v>2</v>
      </c>
      <c r="H18" s="13">
        <v>300000</v>
      </c>
      <c r="I18" s="13">
        <v>0</v>
      </c>
      <c r="J18" s="13">
        <v>0</v>
      </c>
      <c r="K18" s="13">
        <v>0</v>
      </c>
      <c r="L18" s="13">
        <v>0</v>
      </c>
      <c r="M18" s="4"/>
      <c r="N18" s="11">
        <f t="shared" si="0"/>
        <v>0</v>
      </c>
    </row>
    <row r="19" spans="2:14" x14ac:dyDescent="0.35">
      <c r="B19" s="4">
        <f t="shared" si="1"/>
        <v>9</v>
      </c>
      <c r="C19" s="3" t="s">
        <v>255</v>
      </c>
      <c r="D19" s="4" t="s">
        <v>465</v>
      </c>
      <c r="E19" s="8" t="s">
        <v>151</v>
      </c>
      <c r="F19" s="8" t="s">
        <v>21</v>
      </c>
      <c r="G19" s="13">
        <v>1</v>
      </c>
      <c r="H19" s="13">
        <v>449000</v>
      </c>
      <c r="I19" s="13">
        <v>0</v>
      </c>
      <c r="J19" s="13">
        <v>0</v>
      </c>
      <c r="K19" s="13">
        <v>0</v>
      </c>
      <c r="L19" s="13">
        <v>0</v>
      </c>
      <c r="M19" s="4"/>
      <c r="N19" s="11">
        <f t="shared" si="0"/>
        <v>0</v>
      </c>
    </row>
    <row r="20" spans="2:14" x14ac:dyDescent="0.35">
      <c r="B20" s="4">
        <f t="shared" si="1"/>
        <v>10</v>
      </c>
      <c r="C20" s="3" t="s">
        <v>255</v>
      </c>
      <c r="D20" s="4" t="s">
        <v>465</v>
      </c>
      <c r="E20" s="8" t="s">
        <v>151</v>
      </c>
      <c r="F20" s="8" t="s">
        <v>22</v>
      </c>
      <c r="G20" s="13">
        <v>62</v>
      </c>
      <c r="H20" s="13">
        <v>89840000</v>
      </c>
      <c r="I20" s="13">
        <v>3</v>
      </c>
      <c r="J20" s="13">
        <v>330000</v>
      </c>
      <c r="K20" s="13">
        <v>18</v>
      </c>
      <c r="L20" s="13">
        <v>4500000</v>
      </c>
      <c r="M20" s="4"/>
      <c r="N20" s="11">
        <f t="shared" si="0"/>
        <v>0</v>
      </c>
    </row>
    <row r="21" spans="2:14" x14ac:dyDescent="0.35">
      <c r="B21" s="4">
        <f t="shared" si="1"/>
        <v>11</v>
      </c>
      <c r="C21" s="3" t="s">
        <v>255</v>
      </c>
      <c r="D21" s="4" t="s">
        <v>465</v>
      </c>
      <c r="E21" s="8" t="s">
        <v>151</v>
      </c>
      <c r="F21" s="8" t="s">
        <v>19</v>
      </c>
      <c r="G21" s="13">
        <v>60</v>
      </c>
      <c r="H21" s="13">
        <v>698750000</v>
      </c>
      <c r="I21" s="13">
        <v>3</v>
      </c>
      <c r="J21" s="13">
        <v>20500000</v>
      </c>
      <c r="K21" s="13">
        <v>7</v>
      </c>
      <c r="L21" s="13">
        <v>136530000</v>
      </c>
      <c r="M21" s="4"/>
      <c r="N21" s="11">
        <f t="shared" si="0"/>
        <v>0</v>
      </c>
    </row>
    <row r="22" spans="2:14" x14ac:dyDescent="0.35">
      <c r="B22" s="4">
        <f t="shared" si="1"/>
        <v>12</v>
      </c>
      <c r="C22" s="3" t="s">
        <v>255</v>
      </c>
      <c r="D22" s="4" t="s">
        <v>465</v>
      </c>
      <c r="E22" s="8" t="s">
        <v>151</v>
      </c>
      <c r="F22" s="8" t="s">
        <v>190</v>
      </c>
      <c r="G22" s="13">
        <v>1</v>
      </c>
      <c r="H22" s="13">
        <v>125000</v>
      </c>
      <c r="I22" s="13">
        <v>0</v>
      </c>
      <c r="J22" s="13">
        <v>0</v>
      </c>
      <c r="K22" s="13">
        <v>0</v>
      </c>
      <c r="L22" s="13">
        <v>0</v>
      </c>
      <c r="M22" s="4"/>
      <c r="N22" s="11">
        <f t="shared" si="0"/>
        <v>0</v>
      </c>
    </row>
    <row r="23" spans="2:14" x14ac:dyDescent="0.35">
      <c r="B23" s="4">
        <f t="shared" si="1"/>
        <v>13</v>
      </c>
      <c r="C23" s="3" t="s">
        <v>289</v>
      </c>
      <c r="D23" s="4" t="s">
        <v>569</v>
      </c>
      <c r="E23" s="8" t="s">
        <v>151</v>
      </c>
      <c r="F23" s="8" t="s">
        <v>20</v>
      </c>
      <c r="G23" s="13">
        <v>30</v>
      </c>
      <c r="H23" s="13">
        <v>29873000</v>
      </c>
      <c r="I23" s="13">
        <v>38</v>
      </c>
      <c r="J23" s="13">
        <v>105648000</v>
      </c>
      <c r="K23" s="13">
        <v>0</v>
      </c>
      <c r="L23" s="13">
        <v>0</v>
      </c>
      <c r="M23" s="4"/>
      <c r="N23" s="11">
        <f t="shared" si="0"/>
        <v>0</v>
      </c>
    </row>
    <row r="24" spans="2:14" x14ac:dyDescent="0.35">
      <c r="B24" s="4">
        <f t="shared" si="1"/>
        <v>14</v>
      </c>
      <c r="C24" s="3" t="s">
        <v>289</v>
      </c>
      <c r="D24" s="4" t="s">
        <v>569</v>
      </c>
      <c r="E24" s="8" t="s">
        <v>151</v>
      </c>
      <c r="F24" s="8" t="s">
        <v>22</v>
      </c>
      <c r="G24" s="13">
        <v>1</v>
      </c>
      <c r="H24" s="13">
        <v>140000</v>
      </c>
      <c r="I24" s="13">
        <v>1</v>
      </c>
      <c r="J24" s="13">
        <v>44000</v>
      </c>
      <c r="K24" s="13">
        <v>0</v>
      </c>
      <c r="L24" s="13">
        <v>0</v>
      </c>
      <c r="M24" s="4"/>
      <c r="N24" s="11">
        <f t="shared" si="0"/>
        <v>0</v>
      </c>
    </row>
    <row r="25" spans="2:14" x14ac:dyDescent="0.35">
      <c r="B25" s="4">
        <f t="shared" si="1"/>
        <v>15</v>
      </c>
      <c r="C25" s="3" t="s">
        <v>289</v>
      </c>
      <c r="D25" s="4" t="s">
        <v>569</v>
      </c>
      <c r="E25" s="8" t="s">
        <v>151</v>
      </c>
      <c r="F25" s="8" t="s">
        <v>19</v>
      </c>
      <c r="G25" s="13">
        <v>29</v>
      </c>
      <c r="H25" s="13">
        <v>208107500</v>
      </c>
      <c r="I25" s="13">
        <v>2</v>
      </c>
      <c r="J25" s="13">
        <v>15751500</v>
      </c>
      <c r="K25" s="13">
        <v>4</v>
      </c>
      <c r="L25" s="13">
        <v>93249000</v>
      </c>
      <c r="M25" s="4"/>
      <c r="N25" s="11">
        <f t="shared" si="0"/>
        <v>0</v>
      </c>
    </row>
    <row r="26" spans="2:14" x14ac:dyDescent="0.35">
      <c r="B26" s="4">
        <f t="shared" si="1"/>
        <v>16</v>
      </c>
      <c r="C26" s="3" t="s">
        <v>289</v>
      </c>
      <c r="D26" s="4" t="s">
        <v>569</v>
      </c>
      <c r="E26" s="8" t="s">
        <v>151</v>
      </c>
      <c r="F26" s="8" t="s">
        <v>190</v>
      </c>
      <c r="G26" s="13">
        <v>0</v>
      </c>
      <c r="H26" s="13">
        <v>0</v>
      </c>
      <c r="I26" s="13">
        <v>1</v>
      </c>
      <c r="J26" s="13">
        <v>175000</v>
      </c>
      <c r="K26" s="13">
        <v>0</v>
      </c>
      <c r="L26" s="13">
        <v>0</v>
      </c>
      <c r="M26" s="4"/>
      <c r="N26" s="11">
        <f t="shared" si="0"/>
        <v>0</v>
      </c>
    </row>
    <row r="27" spans="2:14" x14ac:dyDescent="0.35">
      <c r="B27" s="4">
        <f t="shared" si="1"/>
        <v>17</v>
      </c>
      <c r="C27" s="3" t="s">
        <v>256</v>
      </c>
      <c r="D27" s="4" t="s">
        <v>523</v>
      </c>
      <c r="E27" s="8" t="s">
        <v>151</v>
      </c>
      <c r="F27" s="8" t="s">
        <v>22</v>
      </c>
      <c r="G27" s="13">
        <v>9</v>
      </c>
      <c r="H27" s="13">
        <v>1195000</v>
      </c>
      <c r="I27" s="13">
        <v>1</v>
      </c>
      <c r="J27" s="13">
        <v>140000</v>
      </c>
      <c r="K27" s="13">
        <v>0</v>
      </c>
      <c r="L27" s="13">
        <v>0</v>
      </c>
      <c r="M27" s="4"/>
      <c r="N27" s="11">
        <f t="shared" si="0"/>
        <v>0</v>
      </c>
    </row>
    <row r="28" spans="2:14" x14ac:dyDescent="0.35">
      <c r="B28" s="4">
        <f t="shared" si="1"/>
        <v>18</v>
      </c>
      <c r="C28" s="3" t="s">
        <v>256</v>
      </c>
      <c r="D28" s="4" t="s">
        <v>523</v>
      </c>
      <c r="E28" s="8" t="s">
        <v>151</v>
      </c>
      <c r="F28" s="8" t="s">
        <v>19</v>
      </c>
      <c r="G28" s="13">
        <v>86</v>
      </c>
      <c r="H28" s="13">
        <v>774097500</v>
      </c>
      <c r="I28" s="13">
        <v>5</v>
      </c>
      <c r="J28" s="13">
        <v>75162000</v>
      </c>
      <c r="K28" s="13">
        <v>6</v>
      </c>
      <c r="L28" s="13">
        <v>120892000</v>
      </c>
      <c r="M28" s="4"/>
      <c r="N28" s="11">
        <f t="shared" si="0"/>
        <v>0</v>
      </c>
    </row>
    <row r="29" spans="2:14" x14ac:dyDescent="0.35">
      <c r="B29" s="4">
        <f t="shared" si="1"/>
        <v>19</v>
      </c>
      <c r="C29" s="3" t="s">
        <v>256</v>
      </c>
      <c r="D29" s="4" t="s">
        <v>523</v>
      </c>
      <c r="E29" s="8" t="s">
        <v>151</v>
      </c>
      <c r="F29" s="8" t="s">
        <v>190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4"/>
      <c r="N29" s="11">
        <f t="shared" si="0"/>
        <v>0</v>
      </c>
    </row>
    <row r="30" spans="2:14" x14ac:dyDescent="0.35">
      <c r="B30" s="4">
        <f t="shared" si="1"/>
        <v>20</v>
      </c>
      <c r="C30" s="3" t="s">
        <v>290</v>
      </c>
      <c r="D30" s="4" t="s">
        <v>575</v>
      </c>
      <c r="E30" s="8" t="s">
        <v>151</v>
      </c>
      <c r="F30" s="8" t="s">
        <v>20</v>
      </c>
      <c r="G30" s="13">
        <v>191</v>
      </c>
      <c r="H30" s="13">
        <v>33136500</v>
      </c>
      <c r="I30" s="13">
        <v>32</v>
      </c>
      <c r="J30" s="13">
        <v>5368000</v>
      </c>
      <c r="K30" s="13">
        <v>5</v>
      </c>
      <c r="L30" s="13">
        <v>800000</v>
      </c>
      <c r="M30" s="4"/>
      <c r="N30" s="11">
        <f t="shared" si="0"/>
        <v>0</v>
      </c>
    </row>
    <row r="31" spans="2:14" x14ac:dyDescent="0.35">
      <c r="B31" s="4">
        <f t="shared" si="1"/>
        <v>21</v>
      </c>
      <c r="C31" s="3" t="s">
        <v>290</v>
      </c>
      <c r="D31" s="4" t="s">
        <v>575</v>
      </c>
      <c r="E31" s="8" t="s">
        <v>151</v>
      </c>
      <c r="F31" s="8" t="s">
        <v>21</v>
      </c>
      <c r="G31" s="13">
        <v>15</v>
      </c>
      <c r="H31" s="13">
        <v>26989000</v>
      </c>
      <c r="I31" s="13">
        <v>0</v>
      </c>
      <c r="J31" s="13">
        <v>0</v>
      </c>
      <c r="K31" s="13">
        <v>0</v>
      </c>
      <c r="L31" s="13">
        <v>0</v>
      </c>
      <c r="M31" s="4"/>
      <c r="N31" s="11">
        <f t="shared" si="0"/>
        <v>0</v>
      </c>
    </row>
    <row r="32" spans="2:14" x14ac:dyDescent="0.35">
      <c r="B32" s="4">
        <f t="shared" si="1"/>
        <v>22</v>
      </c>
      <c r="C32" s="3" t="s">
        <v>290</v>
      </c>
      <c r="D32" s="4" t="s">
        <v>575</v>
      </c>
      <c r="E32" s="8" t="s">
        <v>151</v>
      </c>
      <c r="F32" s="8" t="s">
        <v>22</v>
      </c>
      <c r="G32" s="13">
        <v>170</v>
      </c>
      <c r="H32" s="13">
        <v>19257800</v>
      </c>
      <c r="I32" s="13">
        <v>6</v>
      </c>
      <c r="J32" s="13">
        <v>549000</v>
      </c>
      <c r="K32" s="13">
        <v>12</v>
      </c>
      <c r="L32" s="13">
        <v>3000000</v>
      </c>
      <c r="M32" s="4"/>
      <c r="N32" s="11">
        <f t="shared" si="0"/>
        <v>0</v>
      </c>
    </row>
    <row r="33" spans="2:14" x14ac:dyDescent="0.35">
      <c r="B33" s="4">
        <f t="shared" si="1"/>
        <v>23</v>
      </c>
      <c r="C33" s="3" t="s">
        <v>290</v>
      </c>
      <c r="D33" s="4" t="s">
        <v>575</v>
      </c>
      <c r="E33" s="8" t="s">
        <v>151</v>
      </c>
      <c r="F33" s="8" t="s">
        <v>19</v>
      </c>
      <c r="G33" s="13">
        <v>23</v>
      </c>
      <c r="H33" s="13">
        <v>170704500</v>
      </c>
      <c r="I33" s="13">
        <v>3</v>
      </c>
      <c r="J33" s="13">
        <v>12501500</v>
      </c>
      <c r="K33" s="13">
        <v>3</v>
      </c>
      <c r="L33" s="13">
        <v>43590000</v>
      </c>
      <c r="M33" s="4"/>
      <c r="N33" s="11">
        <f t="shared" si="0"/>
        <v>0</v>
      </c>
    </row>
    <row r="34" spans="2:14" x14ac:dyDescent="0.35">
      <c r="B34" s="4">
        <f t="shared" si="1"/>
        <v>24</v>
      </c>
      <c r="C34" s="3" t="s">
        <v>290</v>
      </c>
      <c r="D34" s="4" t="s">
        <v>575</v>
      </c>
      <c r="E34" s="8" t="s">
        <v>151</v>
      </c>
      <c r="F34" s="8" t="s">
        <v>190</v>
      </c>
      <c r="G34" s="13">
        <v>124</v>
      </c>
      <c r="H34" s="13">
        <v>19820000</v>
      </c>
      <c r="I34" s="13">
        <v>9</v>
      </c>
      <c r="J34" s="13">
        <v>1440000</v>
      </c>
      <c r="K34" s="13">
        <v>1</v>
      </c>
      <c r="L34" s="13">
        <v>160000</v>
      </c>
      <c r="M34" s="4"/>
      <c r="N34" s="11">
        <f t="shared" si="0"/>
        <v>0</v>
      </c>
    </row>
    <row r="35" spans="2:14" x14ac:dyDescent="0.35">
      <c r="B35" s="4">
        <f t="shared" si="1"/>
        <v>25</v>
      </c>
      <c r="C35" s="3" t="s">
        <v>291</v>
      </c>
      <c r="D35" s="4" t="s">
        <v>544</v>
      </c>
      <c r="E35" s="8" t="s">
        <v>151</v>
      </c>
      <c r="F35" s="8" t="s">
        <v>20</v>
      </c>
      <c r="G35" s="13">
        <v>14</v>
      </c>
      <c r="H35" s="13">
        <v>7459000</v>
      </c>
      <c r="I35" s="13">
        <v>1</v>
      </c>
      <c r="J35" s="13">
        <v>175000</v>
      </c>
      <c r="K35" s="13">
        <v>0</v>
      </c>
      <c r="L35" s="13">
        <v>0</v>
      </c>
      <c r="M35" s="4"/>
      <c r="N35" s="11">
        <f t="shared" si="0"/>
        <v>0</v>
      </c>
    </row>
    <row r="36" spans="2:14" x14ac:dyDescent="0.35">
      <c r="B36" s="4">
        <f t="shared" si="1"/>
        <v>26</v>
      </c>
      <c r="C36" s="3" t="s">
        <v>291</v>
      </c>
      <c r="D36" s="4" t="s">
        <v>544</v>
      </c>
      <c r="E36" s="8" t="s">
        <v>151</v>
      </c>
      <c r="F36" s="8" t="s">
        <v>21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4"/>
      <c r="N36" s="11">
        <f t="shared" si="0"/>
        <v>0</v>
      </c>
    </row>
    <row r="37" spans="2:14" x14ac:dyDescent="0.35">
      <c r="B37" s="4">
        <f t="shared" si="1"/>
        <v>27</v>
      </c>
      <c r="C37" s="3" t="s">
        <v>291</v>
      </c>
      <c r="D37" s="4" t="s">
        <v>544</v>
      </c>
      <c r="E37" s="8" t="s">
        <v>151</v>
      </c>
      <c r="F37" s="8" t="s">
        <v>22</v>
      </c>
      <c r="G37" s="13">
        <v>172</v>
      </c>
      <c r="H37" s="13">
        <v>346605000</v>
      </c>
      <c r="I37" s="13">
        <v>5</v>
      </c>
      <c r="J37" s="13">
        <v>375000</v>
      </c>
      <c r="K37" s="13">
        <v>6</v>
      </c>
      <c r="L37" s="13">
        <v>1550000</v>
      </c>
      <c r="M37" s="4"/>
      <c r="N37" s="11">
        <f t="shared" si="0"/>
        <v>0</v>
      </c>
    </row>
    <row r="38" spans="2:14" x14ac:dyDescent="0.35">
      <c r="B38" s="4">
        <f t="shared" si="1"/>
        <v>28</v>
      </c>
      <c r="C38" s="3" t="s">
        <v>291</v>
      </c>
      <c r="D38" s="4" t="s">
        <v>544</v>
      </c>
      <c r="E38" s="8" t="s">
        <v>151</v>
      </c>
      <c r="F38" s="8" t="s">
        <v>19</v>
      </c>
      <c r="G38" s="13">
        <v>42</v>
      </c>
      <c r="H38" s="13">
        <v>408207500</v>
      </c>
      <c r="I38" s="13">
        <v>1</v>
      </c>
      <c r="J38" s="13">
        <v>15000000</v>
      </c>
      <c r="K38" s="13">
        <v>3</v>
      </c>
      <c r="L38" s="13">
        <v>72545000</v>
      </c>
      <c r="M38" s="4"/>
      <c r="N38" s="11">
        <f t="shared" si="0"/>
        <v>0</v>
      </c>
    </row>
    <row r="39" spans="2:14" x14ac:dyDescent="0.35">
      <c r="B39" s="4">
        <f t="shared" si="1"/>
        <v>29</v>
      </c>
      <c r="C39" s="3" t="s">
        <v>291</v>
      </c>
      <c r="D39" s="4" t="s">
        <v>544</v>
      </c>
      <c r="E39" s="8" t="s">
        <v>151</v>
      </c>
      <c r="F39" s="8" t="s">
        <v>190</v>
      </c>
      <c r="G39" s="13">
        <v>0</v>
      </c>
      <c r="H39" s="13">
        <v>0</v>
      </c>
      <c r="I39" s="13">
        <v>1</v>
      </c>
      <c r="J39" s="13">
        <v>140000</v>
      </c>
      <c r="K39" s="13">
        <v>0</v>
      </c>
      <c r="L39" s="13">
        <v>0</v>
      </c>
      <c r="M39" s="4"/>
      <c r="N39" s="11">
        <f t="shared" si="0"/>
        <v>0</v>
      </c>
    </row>
    <row r="40" spans="2:14" x14ac:dyDescent="0.35">
      <c r="B40" s="4">
        <f t="shared" si="1"/>
        <v>30</v>
      </c>
      <c r="C40" s="3" t="s">
        <v>292</v>
      </c>
      <c r="D40" s="4" t="s">
        <v>588</v>
      </c>
      <c r="E40" s="8" t="s">
        <v>151</v>
      </c>
      <c r="F40" s="8" t="s">
        <v>20</v>
      </c>
      <c r="G40" s="13">
        <v>4</v>
      </c>
      <c r="H40" s="13">
        <v>700000</v>
      </c>
      <c r="I40" s="13">
        <v>9</v>
      </c>
      <c r="J40" s="13">
        <v>3125000</v>
      </c>
      <c r="K40" s="13">
        <v>1</v>
      </c>
      <c r="L40" s="13">
        <v>160000</v>
      </c>
      <c r="M40" s="4"/>
      <c r="N40" s="11">
        <f t="shared" si="0"/>
        <v>0</v>
      </c>
    </row>
    <row r="41" spans="2:14" x14ac:dyDescent="0.35">
      <c r="B41" s="4">
        <f t="shared" si="1"/>
        <v>31</v>
      </c>
      <c r="C41" s="3" t="s">
        <v>292</v>
      </c>
      <c r="D41" s="4" t="s">
        <v>588</v>
      </c>
      <c r="E41" s="8" t="s">
        <v>151</v>
      </c>
      <c r="F41" s="8" t="s">
        <v>21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4"/>
      <c r="N41" s="11">
        <f t="shared" si="0"/>
        <v>0</v>
      </c>
    </row>
    <row r="42" spans="2:14" x14ac:dyDescent="0.35">
      <c r="B42" s="4">
        <f t="shared" si="1"/>
        <v>32</v>
      </c>
      <c r="C42" s="3" t="s">
        <v>292</v>
      </c>
      <c r="D42" s="4" t="s">
        <v>588</v>
      </c>
      <c r="E42" s="8" t="s">
        <v>151</v>
      </c>
      <c r="F42" s="8" t="s">
        <v>22</v>
      </c>
      <c r="G42" s="13">
        <v>7</v>
      </c>
      <c r="H42" s="13">
        <v>1025000</v>
      </c>
      <c r="I42" s="13">
        <v>1</v>
      </c>
      <c r="J42" s="13">
        <v>140000</v>
      </c>
      <c r="K42" s="13">
        <v>5</v>
      </c>
      <c r="L42" s="13">
        <v>1250000</v>
      </c>
      <c r="M42" s="4"/>
      <c r="N42" s="11">
        <f t="shared" si="0"/>
        <v>0</v>
      </c>
    </row>
    <row r="43" spans="2:14" x14ac:dyDescent="0.35">
      <c r="B43" s="4">
        <f t="shared" si="1"/>
        <v>33</v>
      </c>
      <c r="C43" s="3" t="s">
        <v>292</v>
      </c>
      <c r="D43" s="4" t="s">
        <v>588</v>
      </c>
      <c r="E43" s="8" t="s">
        <v>151</v>
      </c>
      <c r="F43" s="8" t="s">
        <v>19</v>
      </c>
      <c r="G43" s="13">
        <v>86</v>
      </c>
      <c r="H43" s="13">
        <v>711236000</v>
      </c>
      <c r="I43" s="13">
        <v>7</v>
      </c>
      <c r="J43" s="13">
        <v>48818500</v>
      </c>
      <c r="K43" s="13">
        <v>7</v>
      </c>
      <c r="L43" s="13">
        <v>125407000</v>
      </c>
      <c r="M43" s="4"/>
      <c r="N43" s="11">
        <f t="shared" si="0"/>
        <v>0</v>
      </c>
    </row>
    <row r="44" spans="2:14" x14ac:dyDescent="0.35">
      <c r="B44" s="4">
        <f t="shared" si="1"/>
        <v>34</v>
      </c>
      <c r="C44" s="3" t="s">
        <v>292</v>
      </c>
      <c r="D44" s="4" t="s">
        <v>588</v>
      </c>
      <c r="E44" s="8" t="s">
        <v>151</v>
      </c>
      <c r="F44" s="8" t="s">
        <v>190</v>
      </c>
      <c r="G44" s="13">
        <v>9</v>
      </c>
      <c r="H44" s="13">
        <v>1125000</v>
      </c>
      <c r="I44" s="13">
        <v>0</v>
      </c>
      <c r="J44" s="13">
        <v>0</v>
      </c>
      <c r="K44" s="13">
        <v>1</v>
      </c>
      <c r="L44" s="13">
        <v>125000</v>
      </c>
      <c r="M44" s="4"/>
      <c r="N44" s="11">
        <f t="shared" si="0"/>
        <v>0</v>
      </c>
    </row>
    <row r="45" spans="2:14" x14ac:dyDescent="0.35">
      <c r="B45" s="4">
        <f t="shared" si="1"/>
        <v>35</v>
      </c>
      <c r="C45" s="3" t="s">
        <v>391</v>
      </c>
      <c r="D45" s="4" t="s">
        <v>596</v>
      </c>
      <c r="E45" s="8" t="s">
        <v>151</v>
      </c>
      <c r="F45" s="8" t="s">
        <v>20</v>
      </c>
      <c r="G45" s="13">
        <v>11</v>
      </c>
      <c r="H45" s="13">
        <v>3659500</v>
      </c>
      <c r="I45" s="13">
        <v>20</v>
      </c>
      <c r="J45" s="13">
        <v>3701000</v>
      </c>
      <c r="K45" s="13">
        <v>0</v>
      </c>
      <c r="L45" s="13">
        <v>0</v>
      </c>
      <c r="M45" s="4"/>
      <c r="N45" s="11">
        <f t="shared" si="0"/>
        <v>0</v>
      </c>
    </row>
    <row r="46" spans="2:14" x14ac:dyDescent="0.35">
      <c r="B46" s="4">
        <f t="shared" si="1"/>
        <v>36</v>
      </c>
      <c r="C46" s="3" t="s">
        <v>391</v>
      </c>
      <c r="D46" s="4" t="s">
        <v>596</v>
      </c>
      <c r="E46" s="8" t="s">
        <v>151</v>
      </c>
      <c r="F46" s="8" t="s">
        <v>21</v>
      </c>
      <c r="G46" s="13">
        <v>1</v>
      </c>
      <c r="H46" s="13">
        <v>449000</v>
      </c>
      <c r="I46" s="13">
        <v>0</v>
      </c>
      <c r="J46" s="13">
        <v>0</v>
      </c>
      <c r="K46" s="13">
        <v>0</v>
      </c>
      <c r="L46" s="13">
        <v>0</v>
      </c>
      <c r="M46" s="4"/>
      <c r="N46" s="11">
        <f t="shared" si="0"/>
        <v>0</v>
      </c>
    </row>
    <row r="47" spans="2:14" x14ac:dyDescent="0.35">
      <c r="B47" s="4">
        <f t="shared" si="1"/>
        <v>37</v>
      </c>
      <c r="C47" s="3" t="s">
        <v>391</v>
      </c>
      <c r="D47" s="4" t="s">
        <v>596</v>
      </c>
      <c r="E47" s="8" t="s">
        <v>151</v>
      </c>
      <c r="F47" s="8" t="s">
        <v>22</v>
      </c>
      <c r="G47" s="13">
        <v>135</v>
      </c>
      <c r="H47" s="13">
        <v>118375000</v>
      </c>
      <c r="I47" s="13">
        <v>6</v>
      </c>
      <c r="J47" s="13">
        <v>645000</v>
      </c>
      <c r="K47" s="13">
        <v>26</v>
      </c>
      <c r="L47" s="13">
        <v>6500000</v>
      </c>
      <c r="M47" s="4"/>
      <c r="N47" s="11">
        <f t="shared" si="0"/>
        <v>0</v>
      </c>
    </row>
    <row r="48" spans="2:14" x14ac:dyDescent="0.35">
      <c r="B48" s="4">
        <f t="shared" si="1"/>
        <v>38</v>
      </c>
      <c r="C48" s="3" t="s">
        <v>391</v>
      </c>
      <c r="D48" s="4" t="s">
        <v>596</v>
      </c>
      <c r="E48" s="8" t="s">
        <v>151</v>
      </c>
      <c r="F48" s="8" t="s">
        <v>19</v>
      </c>
      <c r="G48" s="13">
        <v>45</v>
      </c>
      <c r="H48" s="13">
        <v>345776000</v>
      </c>
      <c r="I48" s="13">
        <v>5</v>
      </c>
      <c r="J48" s="13">
        <v>48750000</v>
      </c>
      <c r="K48" s="13">
        <v>3</v>
      </c>
      <c r="L48" s="13">
        <v>65880000</v>
      </c>
      <c r="M48" s="4"/>
      <c r="N48" s="11">
        <f t="shared" si="0"/>
        <v>0</v>
      </c>
    </row>
    <row r="49" spans="2:14" x14ac:dyDescent="0.35">
      <c r="B49" s="4">
        <f t="shared" si="1"/>
        <v>39</v>
      </c>
      <c r="C49" s="3" t="s">
        <v>391</v>
      </c>
      <c r="D49" s="4" t="s">
        <v>596</v>
      </c>
      <c r="E49" s="8" t="s">
        <v>151</v>
      </c>
      <c r="F49" s="8" t="s">
        <v>190</v>
      </c>
      <c r="G49" s="13">
        <v>7</v>
      </c>
      <c r="H49" s="13">
        <v>1120000</v>
      </c>
      <c r="I49" s="13">
        <v>1</v>
      </c>
      <c r="J49" s="13">
        <v>160000</v>
      </c>
      <c r="K49" s="13">
        <v>0</v>
      </c>
      <c r="L49" s="13">
        <v>0</v>
      </c>
      <c r="M49" s="4"/>
      <c r="N49" s="11">
        <f t="shared" si="0"/>
        <v>0</v>
      </c>
    </row>
    <row r="50" spans="2:14" x14ac:dyDescent="0.35">
      <c r="B50" s="4">
        <f t="shared" si="1"/>
        <v>40</v>
      </c>
      <c r="C50" s="3" t="s">
        <v>371</v>
      </c>
      <c r="D50" s="4" t="s">
        <v>557</v>
      </c>
      <c r="E50" s="8" t="s">
        <v>151</v>
      </c>
      <c r="F50" s="8" t="s">
        <v>20</v>
      </c>
      <c r="G50" s="13">
        <v>1</v>
      </c>
      <c r="H50" s="13">
        <v>751500</v>
      </c>
      <c r="I50" s="13">
        <v>0</v>
      </c>
      <c r="J50" s="13">
        <v>0</v>
      </c>
      <c r="K50" s="13">
        <v>0</v>
      </c>
      <c r="L50" s="13">
        <v>0</v>
      </c>
      <c r="M50" s="4"/>
      <c r="N50" s="11">
        <f t="shared" si="0"/>
        <v>0</v>
      </c>
    </row>
    <row r="51" spans="2:14" x14ac:dyDescent="0.35">
      <c r="B51" s="4">
        <f t="shared" si="1"/>
        <v>41</v>
      </c>
      <c r="C51" s="3" t="s">
        <v>371</v>
      </c>
      <c r="D51" s="4" t="s">
        <v>557</v>
      </c>
      <c r="E51" s="8" t="s">
        <v>151</v>
      </c>
      <c r="F51" s="8" t="s">
        <v>21</v>
      </c>
      <c r="G51" s="13">
        <v>2</v>
      </c>
      <c r="H51" s="13">
        <v>946000</v>
      </c>
      <c r="I51" s="13">
        <v>0</v>
      </c>
      <c r="J51" s="13">
        <v>0</v>
      </c>
      <c r="K51" s="13">
        <v>0</v>
      </c>
      <c r="L51" s="13">
        <v>0</v>
      </c>
      <c r="M51" s="4"/>
      <c r="N51" s="11">
        <f t="shared" si="0"/>
        <v>0</v>
      </c>
    </row>
    <row r="52" spans="2:14" x14ac:dyDescent="0.35">
      <c r="B52" s="4">
        <f t="shared" si="1"/>
        <v>42</v>
      </c>
      <c r="C52" s="3" t="s">
        <v>371</v>
      </c>
      <c r="D52" s="4" t="s">
        <v>557</v>
      </c>
      <c r="E52" s="8" t="s">
        <v>151</v>
      </c>
      <c r="F52" s="8" t="s">
        <v>22</v>
      </c>
      <c r="G52" s="13">
        <v>196</v>
      </c>
      <c r="H52" s="13">
        <v>81325000</v>
      </c>
      <c r="I52" s="13">
        <v>2</v>
      </c>
      <c r="J52" s="13">
        <v>119000</v>
      </c>
      <c r="K52" s="13">
        <v>6</v>
      </c>
      <c r="L52" s="13">
        <v>1500000</v>
      </c>
      <c r="M52" s="4"/>
      <c r="N52" s="11">
        <f t="shared" si="0"/>
        <v>0</v>
      </c>
    </row>
    <row r="53" spans="2:14" x14ac:dyDescent="0.35">
      <c r="B53" s="4">
        <f t="shared" si="1"/>
        <v>43</v>
      </c>
      <c r="C53" s="3" t="s">
        <v>371</v>
      </c>
      <c r="D53" s="4" t="s">
        <v>557</v>
      </c>
      <c r="E53" s="8" t="s">
        <v>151</v>
      </c>
      <c r="F53" s="8" t="s">
        <v>19</v>
      </c>
      <c r="G53" s="13">
        <v>14</v>
      </c>
      <c r="H53" s="13">
        <v>74168500</v>
      </c>
      <c r="I53" s="13">
        <v>1</v>
      </c>
      <c r="J53" s="13">
        <v>5500000</v>
      </c>
      <c r="K53" s="13">
        <v>0</v>
      </c>
      <c r="L53" s="13">
        <v>0</v>
      </c>
      <c r="M53" s="4"/>
      <c r="N53" s="11">
        <f t="shared" si="0"/>
        <v>0</v>
      </c>
    </row>
    <row r="54" spans="2:14" x14ac:dyDescent="0.35">
      <c r="B54" s="4">
        <f t="shared" si="1"/>
        <v>44</v>
      </c>
      <c r="C54" s="3" t="s">
        <v>371</v>
      </c>
      <c r="D54" s="4" t="s">
        <v>557</v>
      </c>
      <c r="E54" s="8" t="s">
        <v>151</v>
      </c>
      <c r="F54" s="8" t="s">
        <v>190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4"/>
      <c r="N54" s="11">
        <f t="shared" si="0"/>
        <v>0</v>
      </c>
    </row>
    <row r="55" spans="2:14" x14ac:dyDescent="0.35">
      <c r="B55" s="4">
        <f t="shared" si="1"/>
        <v>45</v>
      </c>
      <c r="C55" s="3" t="s">
        <v>396</v>
      </c>
      <c r="D55" s="4" t="s">
        <v>598</v>
      </c>
      <c r="E55" s="8" t="s">
        <v>151</v>
      </c>
      <c r="F55" s="8" t="s">
        <v>20</v>
      </c>
      <c r="G55" s="13">
        <v>31</v>
      </c>
      <c r="H55" s="13">
        <v>9377000</v>
      </c>
      <c r="I55" s="13">
        <v>7</v>
      </c>
      <c r="J55" s="13">
        <v>2363000</v>
      </c>
      <c r="K55" s="13">
        <v>0</v>
      </c>
      <c r="L55" s="13">
        <v>0</v>
      </c>
      <c r="M55" s="4"/>
      <c r="N55" s="11">
        <f t="shared" si="0"/>
        <v>0</v>
      </c>
    </row>
    <row r="56" spans="2:14" x14ac:dyDescent="0.35">
      <c r="B56" s="4">
        <f t="shared" si="1"/>
        <v>46</v>
      </c>
      <c r="C56" s="3" t="s">
        <v>396</v>
      </c>
      <c r="D56" s="4" t="s">
        <v>598</v>
      </c>
      <c r="E56" s="8" t="s">
        <v>151</v>
      </c>
      <c r="F56" s="8" t="s">
        <v>21</v>
      </c>
      <c r="G56" s="13">
        <v>1</v>
      </c>
      <c r="H56" s="13">
        <v>449000</v>
      </c>
      <c r="I56" s="13">
        <v>0</v>
      </c>
      <c r="J56" s="13">
        <v>0</v>
      </c>
      <c r="K56" s="13">
        <v>0</v>
      </c>
      <c r="L56" s="13">
        <v>0</v>
      </c>
      <c r="M56" s="4"/>
      <c r="N56" s="11">
        <f t="shared" si="0"/>
        <v>0</v>
      </c>
    </row>
    <row r="57" spans="2:14" x14ac:dyDescent="0.35">
      <c r="B57" s="4">
        <f t="shared" si="1"/>
        <v>47</v>
      </c>
      <c r="C57" s="3" t="s">
        <v>396</v>
      </c>
      <c r="D57" s="4" t="s">
        <v>598</v>
      </c>
      <c r="E57" s="8" t="s">
        <v>151</v>
      </c>
      <c r="F57" s="8" t="s">
        <v>22</v>
      </c>
      <c r="G57" s="13">
        <v>251</v>
      </c>
      <c r="H57" s="13">
        <v>20215000</v>
      </c>
      <c r="I57" s="13">
        <v>4</v>
      </c>
      <c r="J57" s="13">
        <v>495000</v>
      </c>
      <c r="K57" s="13">
        <v>11</v>
      </c>
      <c r="L57" s="13">
        <v>2750000</v>
      </c>
      <c r="M57" s="4"/>
      <c r="N57" s="11">
        <f t="shared" si="0"/>
        <v>0</v>
      </c>
    </row>
    <row r="58" spans="2:14" x14ac:dyDescent="0.35">
      <c r="B58" s="4">
        <f t="shared" si="1"/>
        <v>48</v>
      </c>
      <c r="C58" s="3" t="s">
        <v>396</v>
      </c>
      <c r="D58" s="4" t="s">
        <v>598</v>
      </c>
      <c r="E58" s="8" t="s">
        <v>151</v>
      </c>
      <c r="F58" s="8" t="s">
        <v>19</v>
      </c>
      <c r="G58" s="13">
        <v>46</v>
      </c>
      <c r="H58" s="13">
        <v>360514500</v>
      </c>
      <c r="I58" s="13">
        <v>1</v>
      </c>
      <c r="J58" s="13">
        <v>8785000</v>
      </c>
      <c r="K58" s="13">
        <v>5</v>
      </c>
      <c r="L58" s="13">
        <v>60420000</v>
      </c>
      <c r="M58" s="4"/>
      <c r="N58" s="11">
        <f t="shared" si="0"/>
        <v>0</v>
      </c>
    </row>
    <row r="59" spans="2:14" x14ac:dyDescent="0.35">
      <c r="B59" s="4">
        <f t="shared" si="1"/>
        <v>49</v>
      </c>
      <c r="C59" s="3" t="s">
        <v>396</v>
      </c>
      <c r="D59" s="4" t="s">
        <v>598</v>
      </c>
      <c r="E59" s="8" t="s">
        <v>151</v>
      </c>
      <c r="F59" s="8" t="s">
        <v>190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4"/>
      <c r="N59" s="11">
        <f t="shared" si="0"/>
        <v>0</v>
      </c>
    </row>
    <row r="60" spans="2:14" x14ac:dyDescent="0.35">
      <c r="B60" s="4">
        <f t="shared" si="1"/>
        <v>50</v>
      </c>
      <c r="C60" s="3" t="s">
        <v>293</v>
      </c>
      <c r="D60" s="4" t="s">
        <v>556</v>
      </c>
      <c r="E60" s="8" t="s">
        <v>151</v>
      </c>
      <c r="F60" s="8" t="s">
        <v>20</v>
      </c>
      <c r="G60" s="13">
        <v>60</v>
      </c>
      <c r="H60" s="13">
        <v>65587000</v>
      </c>
      <c r="I60" s="13">
        <v>8</v>
      </c>
      <c r="J60" s="13">
        <v>27148500</v>
      </c>
      <c r="K60" s="13">
        <v>0</v>
      </c>
      <c r="L60" s="13">
        <v>0</v>
      </c>
      <c r="M60" s="4"/>
      <c r="N60" s="11">
        <f t="shared" si="0"/>
        <v>0</v>
      </c>
    </row>
    <row r="61" spans="2:14" x14ac:dyDescent="0.35">
      <c r="B61" s="4">
        <f t="shared" si="1"/>
        <v>51</v>
      </c>
      <c r="C61" s="3" t="s">
        <v>293</v>
      </c>
      <c r="D61" s="4" t="s">
        <v>556</v>
      </c>
      <c r="E61" s="8" t="s">
        <v>151</v>
      </c>
      <c r="F61" s="8" t="s">
        <v>19</v>
      </c>
      <c r="G61" s="13">
        <v>0</v>
      </c>
      <c r="H61" s="13">
        <v>0</v>
      </c>
      <c r="I61" s="13">
        <v>1</v>
      </c>
      <c r="J61" s="13">
        <v>8500000</v>
      </c>
      <c r="K61" s="13">
        <v>1</v>
      </c>
      <c r="L61" s="13">
        <v>25390000</v>
      </c>
      <c r="M61" s="4"/>
      <c r="N61" s="11">
        <f t="shared" si="0"/>
        <v>0</v>
      </c>
    </row>
    <row r="62" spans="2:14" x14ac:dyDescent="0.35">
      <c r="B62" s="4">
        <f t="shared" si="1"/>
        <v>52</v>
      </c>
      <c r="C62" s="3" t="s">
        <v>216</v>
      </c>
      <c r="D62" s="4" t="s">
        <v>438</v>
      </c>
      <c r="E62" s="8" t="s">
        <v>151</v>
      </c>
      <c r="F62" s="8" t="s">
        <v>19</v>
      </c>
      <c r="G62" s="13">
        <v>53</v>
      </c>
      <c r="H62" s="13">
        <v>667004500</v>
      </c>
      <c r="I62" s="13">
        <v>1</v>
      </c>
      <c r="J62" s="13">
        <v>5500000</v>
      </c>
      <c r="K62" s="13">
        <v>5</v>
      </c>
      <c r="L62" s="13">
        <v>127721000</v>
      </c>
      <c r="M62" s="4"/>
      <c r="N62" s="11">
        <f t="shared" si="0"/>
        <v>0</v>
      </c>
    </row>
    <row r="63" spans="2:14" x14ac:dyDescent="0.35">
      <c r="B63" s="4">
        <f t="shared" si="1"/>
        <v>53</v>
      </c>
      <c r="C63" s="3" t="s">
        <v>294</v>
      </c>
      <c r="D63" s="4" t="s">
        <v>549</v>
      </c>
      <c r="E63" s="8" t="s">
        <v>151</v>
      </c>
      <c r="F63" s="8" t="s">
        <v>20</v>
      </c>
      <c r="G63" s="13">
        <v>15</v>
      </c>
      <c r="H63" s="13">
        <v>3092100</v>
      </c>
      <c r="I63" s="13">
        <v>0</v>
      </c>
      <c r="J63" s="13">
        <v>0</v>
      </c>
      <c r="K63" s="13">
        <v>0</v>
      </c>
      <c r="L63" s="13">
        <v>0</v>
      </c>
      <c r="M63" s="4"/>
      <c r="N63" s="11">
        <f t="shared" si="0"/>
        <v>0</v>
      </c>
    </row>
    <row r="64" spans="2:14" x14ac:dyDescent="0.35">
      <c r="B64" s="4">
        <f t="shared" si="1"/>
        <v>54</v>
      </c>
      <c r="C64" s="3" t="s">
        <v>294</v>
      </c>
      <c r="D64" s="4" t="s">
        <v>549</v>
      </c>
      <c r="E64" s="8" t="s">
        <v>151</v>
      </c>
      <c r="F64" s="8" t="s">
        <v>21</v>
      </c>
      <c r="G64" s="13">
        <v>1</v>
      </c>
      <c r="H64" s="13">
        <v>449000</v>
      </c>
      <c r="I64" s="13">
        <v>0</v>
      </c>
      <c r="J64" s="13">
        <v>0</v>
      </c>
      <c r="K64" s="13">
        <v>0</v>
      </c>
      <c r="L64" s="13">
        <v>0</v>
      </c>
      <c r="M64" s="4"/>
      <c r="N64" s="11">
        <f t="shared" si="0"/>
        <v>0</v>
      </c>
    </row>
    <row r="65" spans="2:14" x14ac:dyDescent="0.35">
      <c r="B65" s="4">
        <f t="shared" si="1"/>
        <v>55</v>
      </c>
      <c r="C65" s="3" t="s">
        <v>294</v>
      </c>
      <c r="D65" s="4" t="s">
        <v>549</v>
      </c>
      <c r="E65" s="8" t="s">
        <v>151</v>
      </c>
      <c r="F65" s="8" t="s">
        <v>22</v>
      </c>
      <c r="G65" s="13">
        <v>18</v>
      </c>
      <c r="H65" s="13">
        <v>2390000</v>
      </c>
      <c r="I65" s="13">
        <v>0</v>
      </c>
      <c r="J65" s="13">
        <v>0</v>
      </c>
      <c r="K65" s="13">
        <v>1</v>
      </c>
      <c r="L65" s="13">
        <v>250000</v>
      </c>
      <c r="M65" s="4"/>
      <c r="N65" s="11">
        <f t="shared" si="0"/>
        <v>0</v>
      </c>
    </row>
    <row r="66" spans="2:14" x14ac:dyDescent="0.35">
      <c r="B66" s="4">
        <f t="shared" si="1"/>
        <v>56</v>
      </c>
      <c r="C66" s="3" t="s">
        <v>294</v>
      </c>
      <c r="D66" s="4" t="s">
        <v>549</v>
      </c>
      <c r="E66" s="8" t="s">
        <v>151</v>
      </c>
      <c r="F66" s="8" t="s">
        <v>19</v>
      </c>
      <c r="G66" s="13">
        <v>73</v>
      </c>
      <c r="H66" s="13">
        <v>1003769500</v>
      </c>
      <c r="I66" s="13">
        <v>3</v>
      </c>
      <c r="J66" s="13">
        <v>6770000</v>
      </c>
      <c r="K66" s="13">
        <v>4</v>
      </c>
      <c r="L66" s="13">
        <v>94150000</v>
      </c>
      <c r="M66" s="4"/>
      <c r="N66" s="11">
        <f t="shared" si="0"/>
        <v>0</v>
      </c>
    </row>
    <row r="67" spans="2:14" x14ac:dyDescent="0.35">
      <c r="B67" s="4">
        <f t="shared" si="1"/>
        <v>57</v>
      </c>
      <c r="C67" s="3" t="s">
        <v>294</v>
      </c>
      <c r="D67" s="4" t="s">
        <v>549</v>
      </c>
      <c r="E67" s="8" t="s">
        <v>151</v>
      </c>
      <c r="F67" s="8" t="s">
        <v>190</v>
      </c>
      <c r="G67" s="13">
        <v>2</v>
      </c>
      <c r="H67" s="13">
        <v>250000</v>
      </c>
      <c r="I67" s="13">
        <v>0</v>
      </c>
      <c r="J67" s="13">
        <v>0</v>
      </c>
      <c r="K67" s="13">
        <v>0</v>
      </c>
      <c r="L67" s="13">
        <v>0</v>
      </c>
      <c r="M67" s="4"/>
      <c r="N67" s="11">
        <f t="shared" si="0"/>
        <v>0</v>
      </c>
    </row>
    <row r="68" spans="2:14" x14ac:dyDescent="0.35">
      <c r="B68" s="4">
        <f t="shared" si="1"/>
        <v>58</v>
      </c>
      <c r="C68" s="3" t="s">
        <v>217</v>
      </c>
      <c r="D68" s="4" t="s">
        <v>447</v>
      </c>
      <c r="E68" s="8" t="s">
        <v>151</v>
      </c>
      <c r="F68" s="8" t="s">
        <v>21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4"/>
      <c r="N68" s="11">
        <f t="shared" si="0"/>
        <v>0</v>
      </c>
    </row>
    <row r="69" spans="2:14" x14ac:dyDescent="0.35">
      <c r="B69" s="4">
        <f t="shared" si="1"/>
        <v>59</v>
      </c>
      <c r="C69" s="3" t="s">
        <v>217</v>
      </c>
      <c r="D69" s="4" t="s">
        <v>447</v>
      </c>
      <c r="E69" s="8" t="s">
        <v>151</v>
      </c>
      <c r="F69" s="8" t="s">
        <v>22</v>
      </c>
      <c r="G69" s="13">
        <v>8</v>
      </c>
      <c r="H69" s="13">
        <v>730000</v>
      </c>
      <c r="I69" s="13">
        <v>3</v>
      </c>
      <c r="J69" s="13">
        <v>225000</v>
      </c>
      <c r="K69" s="13">
        <v>18</v>
      </c>
      <c r="L69" s="13">
        <v>4500000</v>
      </c>
      <c r="M69" s="4"/>
      <c r="N69" s="11">
        <f t="shared" si="0"/>
        <v>0</v>
      </c>
    </row>
    <row r="70" spans="2:14" x14ac:dyDescent="0.35">
      <c r="B70" s="4">
        <f t="shared" si="1"/>
        <v>60</v>
      </c>
      <c r="C70" s="3" t="s">
        <v>217</v>
      </c>
      <c r="D70" s="4" t="s">
        <v>447</v>
      </c>
      <c r="E70" s="8" t="s">
        <v>151</v>
      </c>
      <c r="F70" s="8" t="s">
        <v>19</v>
      </c>
      <c r="G70" s="13">
        <v>53</v>
      </c>
      <c r="H70" s="13">
        <v>492006000</v>
      </c>
      <c r="I70" s="13">
        <v>2</v>
      </c>
      <c r="J70" s="13">
        <v>15251500</v>
      </c>
      <c r="K70" s="13">
        <v>5</v>
      </c>
      <c r="L70" s="13">
        <v>135520000</v>
      </c>
      <c r="M70" s="4"/>
      <c r="N70" s="11">
        <f t="shared" si="0"/>
        <v>0</v>
      </c>
    </row>
    <row r="71" spans="2:14" x14ac:dyDescent="0.35">
      <c r="B71" s="4">
        <f t="shared" si="1"/>
        <v>61</v>
      </c>
      <c r="C71" s="3" t="s">
        <v>218</v>
      </c>
      <c r="D71" s="4" t="s">
        <v>448</v>
      </c>
      <c r="E71" s="8" t="s">
        <v>151</v>
      </c>
      <c r="F71" s="8" t="s">
        <v>20</v>
      </c>
      <c r="G71" s="13">
        <v>204</v>
      </c>
      <c r="H71" s="13">
        <v>40675600</v>
      </c>
      <c r="I71" s="13">
        <v>4</v>
      </c>
      <c r="J71" s="13">
        <v>1111000</v>
      </c>
      <c r="K71" s="13">
        <v>0</v>
      </c>
      <c r="L71" s="13">
        <v>0</v>
      </c>
      <c r="M71" s="4"/>
      <c r="N71" s="11">
        <f t="shared" si="0"/>
        <v>0</v>
      </c>
    </row>
    <row r="72" spans="2:14" x14ac:dyDescent="0.35">
      <c r="B72" s="4">
        <f t="shared" si="1"/>
        <v>62</v>
      </c>
      <c r="C72" s="3" t="s">
        <v>218</v>
      </c>
      <c r="D72" s="4" t="s">
        <v>448</v>
      </c>
      <c r="E72" s="8" t="s">
        <v>151</v>
      </c>
      <c r="F72" s="8" t="s">
        <v>22</v>
      </c>
      <c r="G72" s="13">
        <v>7</v>
      </c>
      <c r="H72" s="13">
        <v>30210000</v>
      </c>
      <c r="I72" s="13">
        <v>1</v>
      </c>
      <c r="J72" s="13">
        <v>140000</v>
      </c>
      <c r="K72" s="13">
        <v>0</v>
      </c>
      <c r="L72" s="13">
        <v>0</v>
      </c>
      <c r="M72" s="4"/>
      <c r="N72" s="11">
        <f t="shared" si="0"/>
        <v>0</v>
      </c>
    </row>
    <row r="73" spans="2:14" x14ac:dyDescent="0.35">
      <c r="B73" s="4">
        <f t="shared" si="1"/>
        <v>63</v>
      </c>
      <c r="C73" s="3" t="s">
        <v>218</v>
      </c>
      <c r="D73" s="4" t="s">
        <v>448</v>
      </c>
      <c r="E73" s="8" t="s">
        <v>151</v>
      </c>
      <c r="F73" s="8" t="s">
        <v>19</v>
      </c>
      <c r="G73" s="13">
        <v>25</v>
      </c>
      <c r="H73" s="13">
        <v>219150000</v>
      </c>
      <c r="I73" s="13">
        <v>3</v>
      </c>
      <c r="J73" s="13">
        <v>30850000</v>
      </c>
      <c r="K73" s="13">
        <v>5</v>
      </c>
      <c r="L73" s="13">
        <v>91450000</v>
      </c>
      <c r="M73" s="4"/>
      <c r="N73" s="11">
        <f t="shared" si="0"/>
        <v>0</v>
      </c>
    </row>
    <row r="74" spans="2:14" x14ac:dyDescent="0.35">
      <c r="B74" s="4">
        <f t="shared" si="1"/>
        <v>64</v>
      </c>
      <c r="C74" s="3" t="s">
        <v>218</v>
      </c>
      <c r="D74" s="4" t="s">
        <v>448</v>
      </c>
      <c r="E74" s="8" t="s">
        <v>151</v>
      </c>
      <c r="F74" s="8" t="s">
        <v>190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4"/>
      <c r="N74" s="11">
        <f t="shared" si="0"/>
        <v>0</v>
      </c>
    </row>
    <row r="75" spans="2:14" x14ac:dyDescent="0.35">
      <c r="B75" s="4">
        <f t="shared" si="1"/>
        <v>65</v>
      </c>
      <c r="C75" s="3" t="s">
        <v>257</v>
      </c>
      <c r="D75" s="4" t="s">
        <v>528</v>
      </c>
      <c r="E75" s="8" t="s">
        <v>151</v>
      </c>
      <c r="F75" s="8" t="s">
        <v>22</v>
      </c>
      <c r="G75" s="13">
        <v>65</v>
      </c>
      <c r="H75" s="13">
        <v>4875000</v>
      </c>
      <c r="I75" s="13">
        <v>0</v>
      </c>
      <c r="J75" s="13">
        <v>0</v>
      </c>
      <c r="K75" s="13">
        <v>0</v>
      </c>
      <c r="L75" s="13">
        <v>0</v>
      </c>
      <c r="M75" s="4"/>
      <c r="N75" s="11">
        <f t="shared" ref="N75:N138" si="2">IFERROR((G75/M75)*100%, 0)</f>
        <v>0</v>
      </c>
    </row>
    <row r="76" spans="2:14" x14ac:dyDescent="0.35">
      <c r="B76" s="4">
        <f t="shared" si="1"/>
        <v>66</v>
      </c>
      <c r="C76" s="3" t="s">
        <v>257</v>
      </c>
      <c r="D76" s="4" t="s">
        <v>528</v>
      </c>
      <c r="E76" s="8" t="s">
        <v>151</v>
      </c>
      <c r="F76" s="8" t="s">
        <v>19</v>
      </c>
      <c r="G76" s="13">
        <v>24</v>
      </c>
      <c r="H76" s="13">
        <v>242000000</v>
      </c>
      <c r="I76" s="13">
        <v>2</v>
      </c>
      <c r="J76" s="13">
        <v>22500000</v>
      </c>
      <c r="K76" s="13">
        <v>0</v>
      </c>
      <c r="L76" s="13">
        <v>0</v>
      </c>
      <c r="M76" s="4"/>
      <c r="N76" s="11">
        <f t="shared" si="2"/>
        <v>0</v>
      </c>
    </row>
    <row r="77" spans="2:14" x14ac:dyDescent="0.35">
      <c r="B77" s="4">
        <f t="shared" ref="B77:B140" si="3">B76+1</f>
        <v>67</v>
      </c>
      <c r="C77" s="3" t="s">
        <v>219</v>
      </c>
      <c r="D77" s="4" t="s">
        <v>461</v>
      </c>
      <c r="E77" s="8" t="s">
        <v>151</v>
      </c>
      <c r="F77" s="8" t="s">
        <v>22</v>
      </c>
      <c r="G77" s="13">
        <v>27</v>
      </c>
      <c r="H77" s="13">
        <v>2915000</v>
      </c>
      <c r="I77" s="13">
        <v>0</v>
      </c>
      <c r="J77" s="13">
        <v>0</v>
      </c>
      <c r="K77" s="13">
        <v>0</v>
      </c>
      <c r="L77" s="13">
        <v>0</v>
      </c>
      <c r="M77" s="4"/>
      <c r="N77" s="11">
        <f t="shared" si="2"/>
        <v>0</v>
      </c>
    </row>
    <row r="78" spans="2:14" x14ac:dyDescent="0.35">
      <c r="B78" s="4">
        <f t="shared" si="3"/>
        <v>68</v>
      </c>
      <c r="C78" s="3" t="s">
        <v>219</v>
      </c>
      <c r="D78" s="4" t="s">
        <v>461</v>
      </c>
      <c r="E78" s="8" t="s">
        <v>151</v>
      </c>
      <c r="F78" s="8" t="s">
        <v>19</v>
      </c>
      <c r="G78" s="13">
        <v>41</v>
      </c>
      <c r="H78" s="13">
        <v>456705500</v>
      </c>
      <c r="I78" s="13">
        <v>0</v>
      </c>
      <c r="J78" s="13">
        <v>0</v>
      </c>
      <c r="K78" s="13">
        <v>2</v>
      </c>
      <c r="L78" s="13">
        <v>44145000</v>
      </c>
      <c r="M78" s="4"/>
      <c r="N78" s="11">
        <f t="shared" si="2"/>
        <v>0</v>
      </c>
    </row>
    <row r="79" spans="2:14" x14ac:dyDescent="0.35">
      <c r="B79" s="4">
        <f t="shared" si="3"/>
        <v>69</v>
      </c>
      <c r="C79" s="3" t="s">
        <v>196</v>
      </c>
      <c r="D79" s="4" t="s">
        <v>509</v>
      </c>
      <c r="E79" s="8" t="s">
        <v>151</v>
      </c>
      <c r="F79" s="8" t="s">
        <v>20</v>
      </c>
      <c r="G79" s="13">
        <v>477</v>
      </c>
      <c r="H79" s="13">
        <v>477994700</v>
      </c>
      <c r="I79" s="13">
        <v>33</v>
      </c>
      <c r="J79" s="13">
        <v>9176200</v>
      </c>
      <c r="K79" s="13">
        <v>5</v>
      </c>
      <c r="L79" s="13">
        <v>1827500</v>
      </c>
      <c r="M79" s="4"/>
      <c r="N79" s="11">
        <f t="shared" si="2"/>
        <v>0</v>
      </c>
    </row>
    <row r="80" spans="2:14" x14ac:dyDescent="0.35">
      <c r="B80" s="4">
        <f t="shared" si="3"/>
        <v>70</v>
      </c>
      <c r="C80" s="3" t="s">
        <v>196</v>
      </c>
      <c r="D80" s="4" t="s">
        <v>509</v>
      </c>
      <c r="E80" s="8" t="s">
        <v>151</v>
      </c>
      <c r="F80" s="8" t="s">
        <v>21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4"/>
      <c r="N80" s="11">
        <f t="shared" si="2"/>
        <v>0</v>
      </c>
    </row>
    <row r="81" spans="2:14" x14ac:dyDescent="0.35">
      <c r="B81" s="4">
        <f t="shared" si="3"/>
        <v>71</v>
      </c>
      <c r="C81" s="3" t="s">
        <v>196</v>
      </c>
      <c r="D81" s="4" t="s">
        <v>509</v>
      </c>
      <c r="E81" s="8" t="s">
        <v>151</v>
      </c>
      <c r="F81" s="8" t="s">
        <v>22</v>
      </c>
      <c r="G81" s="13">
        <v>14</v>
      </c>
      <c r="H81" s="13">
        <v>1960000</v>
      </c>
      <c r="I81" s="13">
        <v>0</v>
      </c>
      <c r="J81" s="13">
        <v>0</v>
      </c>
      <c r="K81" s="13">
        <v>0</v>
      </c>
      <c r="L81" s="13">
        <v>0</v>
      </c>
      <c r="M81" s="4"/>
      <c r="N81" s="11">
        <f t="shared" si="2"/>
        <v>0</v>
      </c>
    </row>
    <row r="82" spans="2:14" x14ac:dyDescent="0.35">
      <c r="B82" s="4">
        <f t="shared" si="3"/>
        <v>72</v>
      </c>
      <c r="C82" s="3" t="s">
        <v>196</v>
      </c>
      <c r="D82" s="4" t="s">
        <v>509</v>
      </c>
      <c r="E82" s="8" t="s">
        <v>151</v>
      </c>
      <c r="F82" s="8" t="s">
        <v>19</v>
      </c>
      <c r="G82" s="13">
        <v>7</v>
      </c>
      <c r="H82" s="13">
        <v>48500000</v>
      </c>
      <c r="I82" s="13">
        <v>2</v>
      </c>
      <c r="J82" s="13">
        <v>6251500</v>
      </c>
      <c r="K82" s="13">
        <v>4</v>
      </c>
      <c r="L82" s="13">
        <v>91371000</v>
      </c>
      <c r="M82" s="4"/>
      <c r="N82" s="11">
        <f t="shared" si="2"/>
        <v>0</v>
      </c>
    </row>
    <row r="83" spans="2:14" x14ac:dyDescent="0.35">
      <c r="B83" s="4">
        <f t="shared" si="3"/>
        <v>73</v>
      </c>
      <c r="C83" s="3" t="s">
        <v>196</v>
      </c>
      <c r="D83" s="4" t="s">
        <v>509</v>
      </c>
      <c r="E83" s="8" t="s">
        <v>151</v>
      </c>
      <c r="F83" s="8" t="s">
        <v>190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4"/>
      <c r="N83" s="11">
        <f t="shared" si="2"/>
        <v>0</v>
      </c>
    </row>
    <row r="84" spans="2:14" x14ac:dyDescent="0.35">
      <c r="B84" s="4">
        <f t="shared" si="3"/>
        <v>74</v>
      </c>
      <c r="C84" s="3" t="s">
        <v>220</v>
      </c>
      <c r="D84" s="4" t="s">
        <v>431</v>
      </c>
      <c r="E84" s="8" t="s">
        <v>151</v>
      </c>
      <c r="F84" s="8" t="s">
        <v>19</v>
      </c>
      <c r="G84" s="13">
        <v>37</v>
      </c>
      <c r="H84" s="13">
        <v>661351500</v>
      </c>
      <c r="I84" s="13">
        <v>0</v>
      </c>
      <c r="J84" s="13">
        <v>0</v>
      </c>
      <c r="K84" s="13">
        <v>0</v>
      </c>
      <c r="L84" s="13">
        <v>0</v>
      </c>
      <c r="M84" s="4"/>
      <c r="N84" s="11">
        <f t="shared" si="2"/>
        <v>0</v>
      </c>
    </row>
    <row r="85" spans="2:14" x14ac:dyDescent="0.35">
      <c r="B85" s="4">
        <f t="shared" si="3"/>
        <v>75</v>
      </c>
      <c r="C85" s="3" t="s">
        <v>295</v>
      </c>
      <c r="D85" s="4" t="s">
        <v>515</v>
      </c>
      <c r="E85" s="8" t="s">
        <v>151</v>
      </c>
      <c r="F85" s="8" t="s">
        <v>22</v>
      </c>
      <c r="G85" s="13">
        <v>15</v>
      </c>
      <c r="H85" s="13">
        <v>2100000</v>
      </c>
      <c r="I85" s="13">
        <v>2</v>
      </c>
      <c r="J85" s="13">
        <v>280000</v>
      </c>
      <c r="K85" s="13">
        <v>3</v>
      </c>
      <c r="L85" s="13">
        <v>690000</v>
      </c>
      <c r="M85" s="4"/>
      <c r="N85" s="11">
        <f t="shared" si="2"/>
        <v>0</v>
      </c>
    </row>
    <row r="86" spans="2:14" x14ac:dyDescent="0.35">
      <c r="B86" s="4">
        <f t="shared" si="3"/>
        <v>76</v>
      </c>
      <c r="C86" s="3" t="s">
        <v>295</v>
      </c>
      <c r="D86" s="4" t="s">
        <v>515</v>
      </c>
      <c r="E86" s="8" t="s">
        <v>151</v>
      </c>
      <c r="F86" s="8" t="s">
        <v>19</v>
      </c>
      <c r="G86" s="13">
        <v>64</v>
      </c>
      <c r="H86" s="13">
        <v>610224500</v>
      </c>
      <c r="I86" s="13">
        <v>2</v>
      </c>
      <c r="J86" s="13">
        <v>11000000</v>
      </c>
      <c r="K86" s="13">
        <v>4</v>
      </c>
      <c r="L86" s="13">
        <v>128606000</v>
      </c>
      <c r="M86" s="4"/>
      <c r="N86" s="11">
        <f t="shared" si="2"/>
        <v>0</v>
      </c>
    </row>
    <row r="87" spans="2:14" x14ac:dyDescent="0.35">
      <c r="B87" s="4">
        <f t="shared" si="3"/>
        <v>77</v>
      </c>
      <c r="C87" s="3" t="s">
        <v>296</v>
      </c>
      <c r="D87" s="4" t="s">
        <v>489</v>
      </c>
      <c r="E87" s="8" t="s">
        <v>149</v>
      </c>
      <c r="F87" s="8" t="s">
        <v>20</v>
      </c>
      <c r="G87" s="13">
        <v>4</v>
      </c>
      <c r="H87" s="13">
        <v>537000</v>
      </c>
      <c r="I87" s="13">
        <v>0</v>
      </c>
      <c r="J87" s="13">
        <v>0</v>
      </c>
      <c r="K87" s="13">
        <v>0</v>
      </c>
      <c r="L87" s="13">
        <v>0</v>
      </c>
      <c r="M87" s="4"/>
      <c r="N87" s="11">
        <f t="shared" si="2"/>
        <v>0</v>
      </c>
    </row>
    <row r="88" spans="2:14" x14ac:dyDescent="0.35">
      <c r="B88" s="4">
        <f t="shared" si="3"/>
        <v>78</v>
      </c>
      <c r="C88" s="3" t="s">
        <v>296</v>
      </c>
      <c r="D88" s="4" t="s">
        <v>489</v>
      </c>
      <c r="E88" s="8" t="s">
        <v>149</v>
      </c>
      <c r="F88" s="8" t="s">
        <v>22</v>
      </c>
      <c r="G88" s="13">
        <v>38</v>
      </c>
      <c r="H88" s="13">
        <v>8708000</v>
      </c>
      <c r="I88" s="13">
        <v>1</v>
      </c>
      <c r="J88" s="13">
        <v>75000</v>
      </c>
      <c r="K88" s="13">
        <v>1</v>
      </c>
      <c r="L88" s="13">
        <v>300000</v>
      </c>
      <c r="M88" s="4"/>
      <c r="N88" s="11">
        <f t="shared" si="2"/>
        <v>0</v>
      </c>
    </row>
    <row r="89" spans="2:14" x14ac:dyDescent="0.35">
      <c r="B89" s="4">
        <f t="shared" si="3"/>
        <v>79</v>
      </c>
      <c r="C89" s="3" t="s">
        <v>296</v>
      </c>
      <c r="D89" s="4" t="s">
        <v>489</v>
      </c>
      <c r="E89" s="8" t="s">
        <v>149</v>
      </c>
      <c r="F89" s="8" t="s">
        <v>19</v>
      </c>
      <c r="G89" s="13">
        <v>9</v>
      </c>
      <c r="H89" s="13">
        <v>501500000</v>
      </c>
      <c r="I89" s="13">
        <v>0</v>
      </c>
      <c r="J89" s="13">
        <v>0</v>
      </c>
      <c r="K89" s="13">
        <v>0</v>
      </c>
      <c r="L89" s="13">
        <v>0</v>
      </c>
      <c r="M89" s="4"/>
      <c r="N89" s="11">
        <f t="shared" si="2"/>
        <v>0</v>
      </c>
    </row>
    <row r="90" spans="2:14" x14ac:dyDescent="0.35">
      <c r="B90" s="4">
        <f t="shared" si="3"/>
        <v>80</v>
      </c>
      <c r="C90" s="3" t="s">
        <v>296</v>
      </c>
      <c r="D90" s="4" t="s">
        <v>489</v>
      </c>
      <c r="E90" s="8" t="s">
        <v>149</v>
      </c>
      <c r="F90" s="8" t="s">
        <v>190</v>
      </c>
      <c r="G90" s="13">
        <v>4</v>
      </c>
      <c r="H90" s="13">
        <v>500000</v>
      </c>
      <c r="I90" s="13">
        <v>0</v>
      </c>
      <c r="J90" s="13">
        <v>0</v>
      </c>
      <c r="K90" s="13">
        <v>0</v>
      </c>
      <c r="L90" s="13">
        <v>0</v>
      </c>
      <c r="M90" s="4"/>
      <c r="N90" s="11">
        <f t="shared" si="2"/>
        <v>0</v>
      </c>
    </row>
    <row r="91" spans="2:14" x14ac:dyDescent="0.35">
      <c r="B91" s="4">
        <f t="shared" si="3"/>
        <v>81</v>
      </c>
      <c r="C91" s="3" t="s">
        <v>297</v>
      </c>
      <c r="D91" s="4" t="s">
        <v>538</v>
      </c>
      <c r="E91" s="8" t="s">
        <v>149</v>
      </c>
      <c r="F91" s="8" t="s">
        <v>20</v>
      </c>
      <c r="G91" s="13">
        <v>16</v>
      </c>
      <c r="H91" s="13">
        <v>2650000</v>
      </c>
      <c r="I91" s="13">
        <v>1</v>
      </c>
      <c r="J91" s="13">
        <v>160000</v>
      </c>
      <c r="K91" s="13">
        <v>1</v>
      </c>
      <c r="L91" s="13">
        <v>175000</v>
      </c>
      <c r="M91" s="4"/>
      <c r="N91" s="11">
        <f t="shared" si="2"/>
        <v>0</v>
      </c>
    </row>
    <row r="92" spans="2:14" x14ac:dyDescent="0.35">
      <c r="B92" s="4">
        <f t="shared" si="3"/>
        <v>82</v>
      </c>
      <c r="C92" s="3" t="s">
        <v>297</v>
      </c>
      <c r="D92" s="4" t="s">
        <v>538</v>
      </c>
      <c r="E92" s="8" t="s">
        <v>149</v>
      </c>
      <c r="F92" s="8" t="s">
        <v>22</v>
      </c>
      <c r="G92" s="13">
        <v>135</v>
      </c>
      <c r="H92" s="13">
        <v>18068000</v>
      </c>
      <c r="I92" s="13">
        <v>3</v>
      </c>
      <c r="J92" s="13">
        <v>450000</v>
      </c>
      <c r="K92" s="13">
        <v>11</v>
      </c>
      <c r="L92" s="13">
        <v>3300000</v>
      </c>
      <c r="M92" s="4"/>
      <c r="N92" s="11">
        <f t="shared" si="2"/>
        <v>0</v>
      </c>
    </row>
    <row r="93" spans="2:14" x14ac:dyDescent="0.35">
      <c r="B93" s="4">
        <f t="shared" si="3"/>
        <v>83</v>
      </c>
      <c r="C93" s="3" t="s">
        <v>297</v>
      </c>
      <c r="D93" s="4" t="s">
        <v>538</v>
      </c>
      <c r="E93" s="8" t="s">
        <v>149</v>
      </c>
      <c r="F93" s="8" t="s">
        <v>19</v>
      </c>
      <c r="G93" s="13">
        <v>44</v>
      </c>
      <c r="H93" s="13">
        <v>388000000</v>
      </c>
      <c r="I93" s="13">
        <v>1</v>
      </c>
      <c r="J93" s="13">
        <v>21472000</v>
      </c>
      <c r="K93" s="13">
        <v>1</v>
      </c>
      <c r="L93" s="13">
        <v>24960000</v>
      </c>
      <c r="M93" s="4"/>
      <c r="N93" s="11">
        <f t="shared" si="2"/>
        <v>0</v>
      </c>
    </row>
    <row r="94" spans="2:14" x14ac:dyDescent="0.35">
      <c r="B94" s="4">
        <f t="shared" si="3"/>
        <v>84</v>
      </c>
      <c r="C94" s="3" t="s">
        <v>297</v>
      </c>
      <c r="D94" s="4" t="s">
        <v>538</v>
      </c>
      <c r="E94" s="8" t="s">
        <v>149</v>
      </c>
      <c r="F94" s="8" t="s">
        <v>190</v>
      </c>
      <c r="G94" s="13">
        <v>72</v>
      </c>
      <c r="H94" s="13">
        <v>9290000</v>
      </c>
      <c r="I94" s="13">
        <v>4</v>
      </c>
      <c r="J94" s="13">
        <v>530000</v>
      </c>
      <c r="K94" s="13">
        <v>0</v>
      </c>
      <c r="L94" s="13">
        <v>0</v>
      </c>
      <c r="M94" s="4"/>
      <c r="N94" s="11">
        <f t="shared" si="2"/>
        <v>0</v>
      </c>
    </row>
    <row r="95" spans="2:14" x14ac:dyDescent="0.35">
      <c r="B95" s="4">
        <f t="shared" si="3"/>
        <v>85</v>
      </c>
      <c r="C95" s="3" t="s">
        <v>221</v>
      </c>
      <c r="D95" s="4" t="s">
        <v>437</v>
      </c>
      <c r="E95" s="8" t="s">
        <v>149</v>
      </c>
      <c r="F95" s="8" t="s">
        <v>20</v>
      </c>
      <c r="G95" s="13">
        <v>1</v>
      </c>
      <c r="H95" s="13">
        <v>175000</v>
      </c>
      <c r="I95" s="13">
        <v>0</v>
      </c>
      <c r="J95" s="13">
        <v>0</v>
      </c>
      <c r="K95" s="13">
        <v>0</v>
      </c>
      <c r="L95" s="13">
        <v>0</v>
      </c>
      <c r="M95" s="4"/>
      <c r="N95" s="11">
        <f t="shared" si="2"/>
        <v>0</v>
      </c>
    </row>
    <row r="96" spans="2:14" x14ac:dyDescent="0.35">
      <c r="B96" s="4">
        <f t="shared" si="3"/>
        <v>86</v>
      </c>
      <c r="C96" s="3" t="s">
        <v>221</v>
      </c>
      <c r="D96" s="4" t="s">
        <v>437</v>
      </c>
      <c r="E96" s="8" t="s">
        <v>149</v>
      </c>
      <c r="F96" s="8" t="s">
        <v>22</v>
      </c>
      <c r="G96" s="13">
        <v>103</v>
      </c>
      <c r="H96" s="13">
        <v>14052000</v>
      </c>
      <c r="I96" s="13">
        <v>6</v>
      </c>
      <c r="J96" s="13">
        <v>450000</v>
      </c>
      <c r="K96" s="13">
        <v>15</v>
      </c>
      <c r="L96" s="13">
        <v>4518000</v>
      </c>
      <c r="M96" s="4"/>
      <c r="N96" s="11">
        <f t="shared" si="2"/>
        <v>0</v>
      </c>
    </row>
    <row r="97" spans="2:14" x14ac:dyDescent="0.35">
      <c r="B97" s="4">
        <f t="shared" si="3"/>
        <v>87</v>
      </c>
      <c r="C97" s="3" t="s">
        <v>221</v>
      </c>
      <c r="D97" s="4" t="s">
        <v>437</v>
      </c>
      <c r="E97" s="8" t="s">
        <v>149</v>
      </c>
      <c r="F97" s="8" t="s">
        <v>19</v>
      </c>
      <c r="G97" s="13">
        <v>52</v>
      </c>
      <c r="H97" s="13">
        <v>487500000</v>
      </c>
      <c r="I97" s="13">
        <v>0</v>
      </c>
      <c r="J97" s="13">
        <v>0</v>
      </c>
      <c r="K97" s="13">
        <v>2</v>
      </c>
      <c r="L97" s="13">
        <v>24783000</v>
      </c>
      <c r="M97" s="4"/>
      <c r="N97" s="11">
        <f t="shared" si="2"/>
        <v>0</v>
      </c>
    </row>
    <row r="98" spans="2:14" x14ac:dyDescent="0.35">
      <c r="B98" s="4">
        <f t="shared" si="3"/>
        <v>88</v>
      </c>
      <c r="C98" s="3" t="s">
        <v>221</v>
      </c>
      <c r="D98" s="4" t="s">
        <v>437</v>
      </c>
      <c r="E98" s="8" t="s">
        <v>149</v>
      </c>
      <c r="F98" s="8" t="s">
        <v>190</v>
      </c>
      <c r="G98" s="13">
        <v>38</v>
      </c>
      <c r="H98" s="13">
        <v>4820000</v>
      </c>
      <c r="I98" s="13">
        <v>1</v>
      </c>
      <c r="J98" s="13">
        <v>180000</v>
      </c>
      <c r="K98" s="13">
        <v>1</v>
      </c>
      <c r="L98" s="13">
        <v>180000</v>
      </c>
      <c r="M98" s="4"/>
      <c r="N98" s="11">
        <f t="shared" si="2"/>
        <v>0</v>
      </c>
    </row>
    <row r="99" spans="2:14" x14ac:dyDescent="0.35">
      <c r="B99" s="4">
        <f t="shared" si="3"/>
        <v>89</v>
      </c>
      <c r="C99" s="3" t="s">
        <v>222</v>
      </c>
      <c r="D99" s="4" t="s">
        <v>407</v>
      </c>
      <c r="E99" s="8" t="s">
        <v>149</v>
      </c>
      <c r="F99" s="8" t="s">
        <v>20</v>
      </c>
      <c r="G99" s="13">
        <v>26</v>
      </c>
      <c r="H99" s="13">
        <v>4220000</v>
      </c>
      <c r="I99" s="13">
        <v>0</v>
      </c>
      <c r="J99" s="13">
        <v>0</v>
      </c>
      <c r="K99" s="13">
        <v>0</v>
      </c>
      <c r="L99" s="13">
        <v>0</v>
      </c>
      <c r="M99" s="4"/>
      <c r="N99" s="11">
        <f t="shared" si="2"/>
        <v>0</v>
      </c>
    </row>
    <row r="100" spans="2:14" x14ac:dyDescent="0.35">
      <c r="B100" s="4">
        <f t="shared" si="3"/>
        <v>90</v>
      </c>
      <c r="C100" s="3" t="s">
        <v>222</v>
      </c>
      <c r="D100" s="4" t="s">
        <v>407</v>
      </c>
      <c r="E100" s="8" t="s">
        <v>149</v>
      </c>
      <c r="F100" s="8" t="s">
        <v>22</v>
      </c>
      <c r="G100" s="13">
        <v>129</v>
      </c>
      <c r="H100" s="13">
        <v>11338000</v>
      </c>
      <c r="I100" s="13">
        <v>3</v>
      </c>
      <c r="J100" s="13">
        <v>225000</v>
      </c>
      <c r="K100" s="13">
        <v>14</v>
      </c>
      <c r="L100" s="13">
        <v>4200000</v>
      </c>
      <c r="M100" s="4"/>
      <c r="N100" s="11">
        <f t="shared" si="2"/>
        <v>0</v>
      </c>
    </row>
    <row r="101" spans="2:14" x14ac:dyDescent="0.35">
      <c r="B101" s="4">
        <f t="shared" si="3"/>
        <v>91</v>
      </c>
      <c r="C101" s="3" t="s">
        <v>222</v>
      </c>
      <c r="D101" s="4" t="s">
        <v>407</v>
      </c>
      <c r="E101" s="8" t="s">
        <v>149</v>
      </c>
      <c r="F101" s="8" t="s">
        <v>19</v>
      </c>
      <c r="G101" s="13">
        <v>30</v>
      </c>
      <c r="H101" s="13">
        <v>245750000</v>
      </c>
      <c r="I101" s="13">
        <v>0</v>
      </c>
      <c r="J101" s="13">
        <v>0</v>
      </c>
      <c r="K101" s="13">
        <v>1</v>
      </c>
      <c r="L101" s="13">
        <v>11800000</v>
      </c>
      <c r="M101" s="4"/>
      <c r="N101" s="11">
        <f t="shared" si="2"/>
        <v>0</v>
      </c>
    </row>
    <row r="102" spans="2:14" x14ac:dyDescent="0.35">
      <c r="B102" s="4">
        <f t="shared" si="3"/>
        <v>92</v>
      </c>
      <c r="C102" s="3" t="s">
        <v>222</v>
      </c>
      <c r="D102" s="4" t="s">
        <v>407</v>
      </c>
      <c r="E102" s="8" t="s">
        <v>149</v>
      </c>
      <c r="F102" s="8" t="s">
        <v>190</v>
      </c>
      <c r="G102" s="13">
        <v>47</v>
      </c>
      <c r="H102" s="13">
        <v>5980000</v>
      </c>
      <c r="I102" s="13">
        <v>0</v>
      </c>
      <c r="J102" s="13">
        <v>0</v>
      </c>
      <c r="K102" s="13">
        <v>1</v>
      </c>
      <c r="L102" s="13">
        <v>180000</v>
      </c>
      <c r="M102" s="4"/>
      <c r="N102" s="11">
        <f t="shared" si="2"/>
        <v>0</v>
      </c>
    </row>
    <row r="103" spans="2:14" x14ac:dyDescent="0.35">
      <c r="B103" s="4">
        <f t="shared" si="3"/>
        <v>93</v>
      </c>
      <c r="C103" s="3" t="s">
        <v>382</v>
      </c>
      <c r="D103" s="4" t="s">
        <v>456</v>
      </c>
      <c r="E103" s="8" t="s">
        <v>149</v>
      </c>
      <c r="F103" s="8" t="s">
        <v>20</v>
      </c>
      <c r="G103" s="13">
        <v>6</v>
      </c>
      <c r="H103" s="13">
        <v>1005000</v>
      </c>
      <c r="I103" s="13">
        <v>0</v>
      </c>
      <c r="J103" s="13">
        <v>0</v>
      </c>
      <c r="K103" s="13">
        <v>0</v>
      </c>
      <c r="L103" s="13">
        <v>0</v>
      </c>
      <c r="M103" s="4"/>
      <c r="N103" s="11">
        <f t="shared" si="2"/>
        <v>0</v>
      </c>
    </row>
    <row r="104" spans="2:14" x14ac:dyDescent="0.35">
      <c r="B104" s="4">
        <f t="shared" si="3"/>
        <v>94</v>
      </c>
      <c r="C104" s="3" t="s">
        <v>382</v>
      </c>
      <c r="D104" s="4" t="s">
        <v>456</v>
      </c>
      <c r="E104" s="8" t="s">
        <v>149</v>
      </c>
      <c r="F104" s="8" t="s">
        <v>21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4"/>
      <c r="N104" s="11">
        <f t="shared" si="2"/>
        <v>0</v>
      </c>
    </row>
    <row r="105" spans="2:14" x14ac:dyDescent="0.35">
      <c r="B105" s="4">
        <f t="shared" si="3"/>
        <v>95</v>
      </c>
      <c r="C105" s="3" t="s">
        <v>382</v>
      </c>
      <c r="D105" s="4" t="s">
        <v>456</v>
      </c>
      <c r="E105" s="8" t="s">
        <v>149</v>
      </c>
      <c r="F105" s="8" t="s">
        <v>22</v>
      </c>
      <c r="G105" s="13">
        <v>173</v>
      </c>
      <c r="H105" s="13">
        <v>20146000</v>
      </c>
      <c r="I105" s="13">
        <v>1</v>
      </c>
      <c r="J105" s="13">
        <v>75000</v>
      </c>
      <c r="K105" s="13">
        <v>14</v>
      </c>
      <c r="L105" s="13">
        <v>4200000</v>
      </c>
      <c r="M105" s="4"/>
      <c r="N105" s="11">
        <f t="shared" si="2"/>
        <v>0</v>
      </c>
    </row>
    <row r="106" spans="2:14" x14ac:dyDescent="0.35">
      <c r="B106" s="4">
        <f t="shared" si="3"/>
        <v>96</v>
      </c>
      <c r="C106" s="3" t="s">
        <v>382</v>
      </c>
      <c r="D106" s="4" t="s">
        <v>456</v>
      </c>
      <c r="E106" s="8" t="s">
        <v>149</v>
      </c>
      <c r="F106" s="8" t="s">
        <v>19</v>
      </c>
      <c r="G106" s="13">
        <v>30</v>
      </c>
      <c r="H106" s="13">
        <v>243750000</v>
      </c>
      <c r="I106" s="13">
        <v>0</v>
      </c>
      <c r="J106" s="13">
        <v>0</v>
      </c>
      <c r="K106" s="13">
        <v>3</v>
      </c>
      <c r="L106" s="13">
        <v>44176500</v>
      </c>
      <c r="M106" s="4"/>
      <c r="N106" s="11">
        <f t="shared" si="2"/>
        <v>0</v>
      </c>
    </row>
    <row r="107" spans="2:14" x14ac:dyDescent="0.35">
      <c r="B107" s="4">
        <f t="shared" si="3"/>
        <v>97</v>
      </c>
      <c r="C107" s="3" t="s">
        <v>382</v>
      </c>
      <c r="D107" s="4" t="s">
        <v>456</v>
      </c>
      <c r="E107" s="8" t="s">
        <v>149</v>
      </c>
      <c r="F107" s="8" t="s">
        <v>190</v>
      </c>
      <c r="G107" s="13">
        <v>49</v>
      </c>
      <c r="H107" s="13">
        <v>6335000</v>
      </c>
      <c r="I107" s="13">
        <v>0</v>
      </c>
      <c r="J107" s="13">
        <v>0</v>
      </c>
      <c r="K107" s="13">
        <v>2</v>
      </c>
      <c r="L107" s="13">
        <v>250000</v>
      </c>
      <c r="M107" s="4"/>
      <c r="N107" s="11">
        <f t="shared" si="2"/>
        <v>0</v>
      </c>
    </row>
    <row r="108" spans="2:14" x14ac:dyDescent="0.35">
      <c r="B108" s="4">
        <f t="shared" si="3"/>
        <v>98</v>
      </c>
      <c r="C108" s="3" t="s">
        <v>197</v>
      </c>
      <c r="D108" s="4" t="s">
        <v>500</v>
      </c>
      <c r="E108" s="8" t="s">
        <v>149</v>
      </c>
      <c r="F108" s="8" t="s">
        <v>20</v>
      </c>
      <c r="G108" s="13">
        <v>1</v>
      </c>
      <c r="H108" s="13">
        <v>175000</v>
      </c>
      <c r="I108" s="13">
        <v>2</v>
      </c>
      <c r="J108" s="13">
        <v>320000</v>
      </c>
      <c r="K108" s="13">
        <v>0</v>
      </c>
      <c r="L108" s="13">
        <v>0</v>
      </c>
      <c r="M108" s="4"/>
      <c r="N108" s="11">
        <f t="shared" si="2"/>
        <v>0</v>
      </c>
    </row>
    <row r="109" spans="2:14" x14ac:dyDescent="0.35">
      <c r="B109" s="4">
        <f t="shared" si="3"/>
        <v>99</v>
      </c>
      <c r="C109" s="3" t="s">
        <v>197</v>
      </c>
      <c r="D109" s="4" t="s">
        <v>500</v>
      </c>
      <c r="E109" s="8" t="s">
        <v>149</v>
      </c>
      <c r="F109" s="8" t="s">
        <v>22</v>
      </c>
      <c r="G109" s="13">
        <v>283</v>
      </c>
      <c r="H109" s="13">
        <v>34494000</v>
      </c>
      <c r="I109" s="13">
        <v>0</v>
      </c>
      <c r="J109" s="13">
        <v>0</v>
      </c>
      <c r="K109" s="13">
        <v>30</v>
      </c>
      <c r="L109" s="13">
        <v>8580000</v>
      </c>
      <c r="M109" s="4"/>
      <c r="N109" s="11">
        <f t="shared" si="2"/>
        <v>0</v>
      </c>
    </row>
    <row r="110" spans="2:14" x14ac:dyDescent="0.35">
      <c r="B110" s="4">
        <f t="shared" si="3"/>
        <v>100</v>
      </c>
      <c r="C110" s="3" t="s">
        <v>197</v>
      </c>
      <c r="D110" s="4" t="s">
        <v>500</v>
      </c>
      <c r="E110" s="8" t="s">
        <v>149</v>
      </c>
      <c r="F110" s="8" t="s">
        <v>19</v>
      </c>
      <c r="G110" s="13">
        <v>32</v>
      </c>
      <c r="H110" s="13">
        <v>293300000</v>
      </c>
      <c r="I110" s="13">
        <v>2</v>
      </c>
      <c r="J110" s="13">
        <v>39390000</v>
      </c>
      <c r="K110" s="13">
        <v>0</v>
      </c>
      <c r="L110" s="13">
        <v>0</v>
      </c>
      <c r="M110" s="4"/>
      <c r="N110" s="11">
        <f t="shared" si="2"/>
        <v>0</v>
      </c>
    </row>
    <row r="111" spans="2:14" x14ac:dyDescent="0.35">
      <c r="B111" s="4">
        <f t="shared" si="3"/>
        <v>101</v>
      </c>
      <c r="C111" s="3" t="s">
        <v>197</v>
      </c>
      <c r="D111" s="4" t="s">
        <v>500</v>
      </c>
      <c r="E111" s="8" t="s">
        <v>149</v>
      </c>
      <c r="F111" s="8" t="s">
        <v>190</v>
      </c>
      <c r="G111" s="13">
        <v>139</v>
      </c>
      <c r="H111" s="13">
        <v>17935000</v>
      </c>
      <c r="I111" s="13">
        <v>6</v>
      </c>
      <c r="J111" s="13">
        <v>750000</v>
      </c>
      <c r="K111" s="13">
        <v>0</v>
      </c>
      <c r="L111" s="13">
        <v>0</v>
      </c>
      <c r="M111" s="4"/>
      <c r="N111" s="11">
        <f t="shared" si="2"/>
        <v>0</v>
      </c>
    </row>
    <row r="112" spans="2:14" x14ac:dyDescent="0.35">
      <c r="B112" s="4">
        <f t="shared" si="3"/>
        <v>102</v>
      </c>
      <c r="C112" s="3" t="s">
        <v>223</v>
      </c>
      <c r="D112" s="4" t="s">
        <v>530</v>
      </c>
      <c r="E112" s="8" t="s">
        <v>149</v>
      </c>
      <c r="F112" s="8" t="s">
        <v>20</v>
      </c>
      <c r="G112" s="13">
        <v>47</v>
      </c>
      <c r="H112" s="13">
        <v>8568500</v>
      </c>
      <c r="I112" s="13">
        <v>0</v>
      </c>
      <c r="J112" s="13">
        <v>0</v>
      </c>
      <c r="K112" s="13">
        <v>0</v>
      </c>
      <c r="L112" s="13">
        <v>0</v>
      </c>
      <c r="M112" s="4"/>
      <c r="N112" s="11">
        <f t="shared" si="2"/>
        <v>0</v>
      </c>
    </row>
    <row r="113" spans="2:14" x14ac:dyDescent="0.35">
      <c r="B113" s="4">
        <f t="shared" si="3"/>
        <v>103</v>
      </c>
      <c r="C113" s="3" t="s">
        <v>223</v>
      </c>
      <c r="D113" s="4" t="s">
        <v>530</v>
      </c>
      <c r="E113" s="8" t="s">
        <v>149</v>
      </c>
      <c r="F113" s="8" t="s">
        <v>22</v>
      </c>
      <c r="G113" s="13">
        <v>56</v>
      </c>
      <c r="H113" s="13">
        <v>5859000</v>
      </c>
      <c r="I113" s="13">
        <v>4</v>
      </c>
      <c r="J113" s="13">
        <v>300000</v>
      </c>
      <c r="K113" s="13">
        <v>0</v>
      </c>
      <c r="L113" s="13">
        <v>0</v>
      </c>
      <c r="M113" s="4"/>
      <c r="N113" s="11">
        <f t="shared" si="2"/>
        <v>0</v>
      </c>
    </row>
    <row r="114" spans="2:14" x14ac:dyDescent="0.35">
      <c r="B114" s="4">
        <f t="shared" si="3"/>
        <v>104</v>
      </c>
      <c r="C114" s="3" t="s">
        <v>223</v>
      </c>
      <c r="D114" s="4" t="s">
        <v>530</v>
      </c>
      <c r="E114" s="8" t="s">
        <v>149</v>
      </c>
      <c r="F114" s="8" t="s">
        <v>19</v>
      </c>
      <c r="G114" s="13">
        <v>26</v>
      </c>
      <c r="H114" s="13">
        <v>187501500</v>
      </c>
      <c r="I114" s="13">
        <v>0</v>
      </c>
      <c r="J114" s="13">
        <v>0</v>
      </c>
      <c r="K114" s="13">
        <v>0</v>
      </c>
      <c r="L114" s="13">
        <v>0</v>
      </c>
      <c r="M114" s="4"/>
      <c r="N114" s="11">
        <f t="shared" si="2"/>
        <v>0</v>
      </c>
    </row>
    <row r="115" spans="2:14" x14ac:dyDescent="0.35">
      <c r="B115" s="4">
        <f t="shared" si="3"/>
        <v>105</v>
      </c>
      <c r="C115" s="3" t="s">
        <v>223</v>
      </c>
      <c r="D115" s="4" t="s">
        <v>530</v>
      </c>
      <c r="E115" s="8" t="s">
        <v>149</v>
      </c>
      <c r="F115" s="8" t="s">
        <v>190</v>
      </c>
      <c r="G115" s="13">
        <v>31</v>
      </c>
      <c r="H115" s="13">
        <v>3980000</v>
      </c>
      <c r="I115" s="13">
        <v>0</v>
      </c>
      <c r="J115" s="13">
        <v>0</v>
      </c>
      <c r="K115" s="13">
        <v>1</v>
      </c>
      <c r="L115" s="13">
        <v>180000</v>
      </c>
      <c r="M115" s="4"/>
      <c r="N115" s="11">
        <f t="shared" si="2"/>
        <v>0</v>
      </c>
    </row>
    <row r="116" spans="2:14" x14ac:dyDescent="0.35">
      <c r="B116" s="4">
        <f t="shared" si="3"/>
        <v>106</v>
      </c>
      <c r="C116" s="3" t="s">
        <v>224</v>
      </c>
      <c r="D116" s="4" t="s">
        <v>435</v>
      </c>
      <c r="E116" s="8" t="s">
        <v>149</v>
      </c>
      <c r="F116" s="8" t="s">
        <v>22</v>
      </c>
      <c r="G116" s="13">
        <v>77</v>
      </c>
      <c r="H116" s="13">
        <v>7447000</v>
      </c>
      <c r="I116" s="13">
        <v>12</v>
      </c>
      <c r="J116" s="13">
        <v>1044000</v>
      </c>
      <c r="K116" s="13">
        <v>31</v>
      </c>
      <c r="L116" s="13">
        <v>13050000</v>
      </c>
      <c r="M116" s="4"/>
      <c r="N116" s="11">
        <f t="shared" si="2"/>
        <v>0</v>
      </c>
    </row>
    <row r="117" spans="2:14" x14ac:dyDescent="0.35">
      <c r="B117" s="4">
        <f t="shared" si="3"/>
        <v>107</v>
      </c>
      <c r="C117" s="3" t="s">
        <v>224</v>
      </c>
      <c r="D117" s="4" t="s">
        <v>435</v>
      </c>
      <c r="E117" s="8" t="s">
        <v>149</v>
      </c>
      <c r="F117" s="8" t="s">
        <v>19</v>
      </c>
      <c r="G117" s="13">
        <v>7</v>
      </c>
      <c r="H117" s="13">
        <v>56750000</v>
      </c>
      <c r="I117" s="13">
        <v>0</v>
      </c>
      <c r="J117" s="13">
        <v>0</v>
      </c>
      <c r="K117" s="13">
        <v>2</v>
      </c>
      <c r="L117" s="13">
        <v>50780000</v>
      </c>
      <c r="M117" s="4"/>
      <c r="N117" s="11">
        <f t="shared" si="2"/>
        <v>0</v>
      </c>
    </row>
    <row r="118" spans="2:14" x14ac:dyDescent="0.35">
      <c r="B118" s="4">
        <f t="shared" si="3"/>
        <v>108</v>
      </c>
      <c r="C118" s="3" t="s">
        <v>224</v>
      </c>
      <c r="D118" s="4" t="s">
        <v>435</v>
      </c>
      <c r="E118" s="8" t="s">
        <v>149</v>
      </c>
      <c r="F118" s="8" t="s">
        <v>190</v>
      </c>
      <c r="G118" s="13">
        <v>12</v>
      </c>
      <c r="H118" s="13">
        <v>1665000</v>
      </c>
      <c r="I118" s="13">
        <v>0</v>
      </c>
      <c r="J118" s="13">
        <v>0</v>
      </c>
      <c r="K118" s="13">
        <v>0</v>
      </c>
      <c r="L118" s="13">
        <v>0</v>
      </c>
      <c r="M118" s="4"/>
      <c r="N118" s="11">
        <f t="shared" si="2"/>
        <v>0</v>
      </c>
    </row>
    <row r="119" spans="2:14" x14ac:dyDescent="0.35">
      <c r="B119" s="4">
        <f t="shared" si="3"/>
        <v>109</v>
      </c>
      <c r="C119" s="3" t="s">
        <v>225</v>
      </c>
      <c r="D119" s="4" t="s">
        <v>421</v>
      </c>
      <c r="E119" s="8" t="s">
        <v>149</v>
      </c>
      <c r="F119" s="8" t="s">
        <v>22</v>
      </c>
      <c r="G119" s="13">
        <v>71</v>
      </c>
      <c r="H119" s="13">
        <v>5602000</v>
      </c>
      <c r="I119" s="13">
        <v>9</v>
      </c>
      <c r="J119" s="13">
        <v>712000</v>
      </c>
      <c r="K119" s="13">
        <v>0</v>
      </c>
      <c r="L119" s="13">
        <v>0</v>
      </c>
      <c r="M119" s="4"/>
      <c r="N119" s="11">
        <f t="shared" si="2"/>
        <v>0</v>
      </c>
    </row>
    <row r="120" spans="2:14" x14ac:dyDescent="0.35">
      <c r="B120" s="4">
        <f t="shared" si="3"/>
        <v>110</v>
      </c>
      <c r="C120" s="3" t="s">
        <v>225</v>
      </c>
      <c r="D120" s="4" t="s">
        <v>421</v>
      </c>
      <c r="E120" s="8" t="s">
        <v>149</v>
      </c>
      <c r="F120" s="8" t="s">
        <v>19</v>
      </c>
      <c r="G120" s="13">
        <v>21</v>
      </c>
      <c r="H120" s="13">
        <v>176500000</v>
      </c>
      <c r="I120" s="13">
        <v>1</v>
      </c>
      <c r="J120" s="13">
        <v>4250000</v>
      </c>
      <c r="K120" s="13">
        <v>0</v>
      </c>
      <c r="L120" s="13">
        <v>0</v>
      </c>
      <c r="M120" s="4"/>
      <c r="N120" s="11">
        <f t="shared" si="2"/>
        <v>0</v>
      </c>
    </row>
    <row r="121" spans="2:14" x14ac:dyDescent="0.35">
      <c r="B121" s="4">
        <f t="shared" si="3"/>
        <v>111</v>
      </c>
      <c r="C121" s="3" t="s">
        <v>225</v>
      </c>
      <c r="D121" s="4" t="s">
        <v>421</v>
      </c>
      <c r="E121" s="8" t="s">
        <v>149</v>
      </c>
      <c r="F121" s="8" t="s">
        <v>190</v>
      </c>
      <c r="G121" s="13">
        <v>78</v>
      </c>
      <c r="H121" s="13">
        <v>10065000</v>
      </c>
      <c r="I121" s="13">
        <v>1</v>
      </c>
      <c r="J121" s="13">
        <v>125000</v>
      </c>
      <c r="K121" s="13">
        <v>0</v>
      </c>
      <c r="L121" s="13">
        <v>0</v>
      </c>
      <c r="M121" s="4"/>
      <c r="N121" s="11">
        <f t="shared" si="2"/>
        <v>0</v>
      </c>
    </row>
    <row r="122" spans="2:14" x14ac:dyDescent="0.35">
      <c r="B122" s="4">
        <f t="shared" si="3"/>
        <v>112</v>
      </c>
      <c r="C122" s="3" t="s">
        <v>298</v>
      </c>
      <c r="D122" s="4" t="s">
        <v>476</v>
      </c>
      <c r="E122" s="8" t="s">
        <v>149</v>
      </c>
      <c r="F122" s="8" t="s">
        <v>20</v>
      </c>
      <c r="G122" s="13">
        <v>7</v>
      </c>
      <c r="H122" s="13">
        <v>1116000</v>
      </c>
      <c r="I122" s="13">
        <v>3</v>
      </c>
      <c r="J122" s="13">
        <v>771000</v>
      </c>
      <c r="K122" s="13">
        <v>0</v>
      </c>
      <c r="L122" s="13">
        <v>0</v>
      </c>
      <c r="M122" s="4"/>
      <c r="N122" s="11">
        <f t="shared" si="2"/>
        <v>0</v>
      </c>
    </row>
    <row r="123" spans="2:14" x14ac:dyDescent="0.35">
      <c r="B123" s="4">
        <f t="shared" si="3"/>
        <v>113</v>
      </c>
      <c r="C123" s="3" t="s">
        <v>298</v>
      </c>
      <c r="D123" s="4" t="s">
        <v>476</v>
      </c>
      <c r="E123" s="8" t="s">
        <v>149</v>
      </c>
      <c r="F123" s="8" t="s">
        <v>22</v>
      </c>
      <c r="G123" s="13">
        <v>110</v>
      </c>
      <c r="H123" s="13">
        <v>9967000</v>
      </c>
      <c r="I123" s="13">
        <v>23</v>
      </c>
      <c r="J123" s="13">
        <v>1913000</v>
      </c>
      <c r="K123" s="13">
        <v>16</v>
      </c>
      <c r="L123" s="13">
        <v>5445000</v>
      </c>
      <c r="M123" s="4"/>
      <c r="N123" s="11">
        <f t="shared" si="2"/>
        <v>0</v>
      </c>
    </row>
    <row r="124" spans="2:14" x14ac:dyDescent="0.35">
      <c r="B124" s="4">
        <f t="shared" si="3"/>
        <v>114</v>
      </c>
      <c r="C124" s="3" t="s">
        <v>298</v>
      </c>
      <c r="D124" s="4" t="s">
        <v>476</v>
      </c>
      <c r="E124" s="8" t="s">
        <v>149</v>
      </c>
      <c r="F124" s="8" t="s">
        <v>19</v>
      </c>
      <c r="G124" s="13">
        <v>23</v>
      </c>
      <c r="H124" s="13">
        <v>202300000</v>
      </c>
      <c r="I124" s="13">
        <v>7</v>
      </c>
      <c r="J124" s="13">
        <v>58000000</v>
      </c>
      <c r="K124" s="13">
        <v>1</v>
      </c>
      <c r="L124" s="13">
        <v>8785000</v>
      </c>
      <c r="M124" s="4"/>
      <c r="N124" s="11">
        <f t="shared" si="2"/>
        <v>0</v>
      </c>
    </row>
    <row r="125" spans="2:14" x14ac:dyDescent="0.35">
      <c r="B125" s="4">
        <f t="shared" si="3"/>
        <v>115</v>
      </c>
      <c r="C125" s="3" t="s">
        <v>298</v>
      </c>
      <c r="D125" s="4" t="s">
        <v>476</v>
      </c>
      <c r="E125" s="8" t="s">
        <v>149</v>
      </c>
      <c r="F125" s="8" t="s">
        <v>190</v>
      </c>
      <c r="G125" s="13">
        <v>118</v>
      </c>
      <c r="H125" s="13">
        <v>15615000</v>
      </c>
      <c r="I125" s="13">
        <v>14</v>
      </c>
      <c r="J125" s="13">
        <v>1860000</v>
      </c>
      <c r="K125" s="13">
        <v>0</v>
      </c>
      <c r="L125" s="13">
        <v>0</v>
      </c>
      <c r="M125" s="4"/>
      <c r="N125" s="11">
        <f t="shared" si="2"/>
        <v>0</v>
      </c>
    </row>
    <row r="126" spans="2:14" x14ac:dyDescent="0.35">
      <c r="B126" s="4">
        <f t="shared" si="3"/>
        <v>116</v>
      </c>
      <c r="C126" s="3" t="s">
        <v>299</v>
      </c>
      <c r="D126" s="4" t="s">
        <v>570</v>
      </c>
      <c r="E126" s="8" t="s">
        <v>149</v>
      </c>
      <c r="F126" s="8" t="s">
        <v>20</v>
      </c>
      <c r="G126" s="13">
        <v>1</v>
      </c>
      <c r="H126" s="13">
        <v>160000</v>
      </c>
      <c r="I126" s="13">
        <v>1</v>
      </c>
      <c r="J126" s="13">
        <v>175000</v>
      </c>
      <c r="K126" s="13">
        <v>0</v>
      </c>
      <c r="L126" s="13">
        <v>0</v>
      </c>
      <c r="M126" s="4"/>
      <c r="N126" s="11">
        <f t="shared" si="2"/>
        <v>0</v>
      </c>
    </row>
    <row r="127" spans="2:14" x14ac:dyDescent="0.35">
      <c r="B127" s="4">
        <f t="shared" si="3"/>
        <v>117</v>
      </c>
      <c r="C127" s="3" t="s">
        <v>299</v>
      </c>
      <c r="D127" s="4" t="s">
        <v>570</v>
      </c>
      <c r="E127" s="8" t="s">
        <v>149</v>
      </c>
      <c r="F127" s="8" t="s">
        <v>21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4"/>
      <c r="N127" s="11">
        <f t="shared" si="2"/>
        <v>0</v>
      </c>
    </row>
    <row r="128" spans="2:14" x14ac:dyDescent="0.35">
      <c r="B128" s="4">
        <f t="shared" si="3"/>
        <v>118</v>
      </c>
      <c r="C128" s="3" t="s">
        <v>299</v>
      </c>
      <c r="D128" s="4" t="s">
        <v>570</v>
      </c>
      <c r="E128" s="8" t="s">
        <v>149</v>
      </c>
      <c r="F128" s="8" t="s">
        <v>22</v>
      </c>
      <c r="G128" s="13">
        <v>149</v>
      </c>
      <c r="H128" s="13">
        <v>19109000</v>
      </c>
      <c r="I128" s="13">
        <v>1</v>
      </c>
      <c r="J128" s="13">
        <v>75000</v>
      </c>
      <c r="K128" s="13">
        <v>24</v>
      </c>
      <c r="L128" s="13">
        <v>6400000</v>
      </c>
      <c r="M128" s="4"/>
      <c r="N128" s="11">
        <f t="shared" si="2"/>
        <v>0</v>
      </c>
    </row>
    <row r="129" spans="2:14" x14ac:dyDescent="0.35">
      <c r="B129" s="4">
        <f t="shared" si="3"/>
        <v>119</v>
      </c>
      <c r="C129" s="3" t="s">
        <v>299</v>
      </c>
      <c r="D129" s="4" t="s">
        <v>570</v>
      </c>
      <c r="E129" s="8" t="s">
        <v>149</v>
      </c>
      <c r="F129" s="8" t="s">
        <v>19</v>
      </c>
      <c r="G129" s="13">
        <v>28</v>
      </c>
      <c r="H129" s="13">
        <v>221100000</v>
      </c>
      <c r="I129" s="13">
        <v>2</v>
      </c>
      <c r="J129" s="13">
        <v>4750000</v>
      </c>
      <c r="K129" s="13">
        <v>4</v>
      </c>
      <c r="L129" s="13">
        <v>67300000</v>
      </c>
      <c r="M129" s="4"/>
      <c r="N129" s="11">
        <f t="shared" si="2"/>
        <v>0</v>
      </c>
    </row>
    <row r="130" spans="2:14" x14ac:dyDescent="0.35">
      <c r="B130" s="4">
        <f t="shared" si="3"/>
        <v>120</v>
      </c>
      <c r="C130" s="3" t="s">
        <v>299</v>
      </c>
      <c r="D130" s="4" t="s">
        <v>570</v>
      </c>
      <c r="E130" s="8" t="s">
        <v>149</v>
      </c>
      <c r="F130" s="8" t="s">
        <v>190</v>
      </c>
      <c r="G130" s="13">
        <v>58</v>
      </c>
      <c r="H130" s="13">
        <v>7355000</v>
      </c>
      <c r="I130" s="13">
        <v>5</v>
      </c>
      <c r="J130" s="13">
        <v>700000</v>
      </c>
      <c r="K130" s="13">
        <v>5</v>
      </c>
      <c r="L130" s="13">
        <v>845000</v>
      </c>
      <c r="M130" s="4"/>
      <c r="N130" s="11">
        <f t="shared" si="2"/>
        <v>0</v>
      </c>
    </row>
    <row r="131" spans="2:14" x14ac:dyDescent="0.35">
      <c r="B131" s="4">
        <f t="shared" si="3"/>
        <v>121</v>
      </c>
      <c r="C131" s="3" t="s">
        <v>226</v>
      </c>
      <c r="D131" s="4" t="s">
        <v>418</v>
      </c>
      <c r="E131" s="8" t="s">
        <v>149</v>
      </c>
      <c r="F131" s="8" t="s">
        <v>20</v>
      </c>
      <c r="G131" s="13">
        <v>29</v>
      </c>
      <c r="H131" s="13">
        <v>7688000</v>
      </c>
      <c r="I131" s="13">
        <v>0</v>
      </c>
      <c r="J131" s="13">
        <v>0</v>
      </c>
      <c r="K131" s="13">
        <v>0</v>
      </c>
      <c r="L131" s="13">
        <v>0</v>
      </c>
      <c r="M131" s="4"/>
      <c r="N131" s="11">
        <f t="shared" si="2"/>
        <v>0</v>
      </c>
    </row>
    <row r="132" spans="2:14" x14ac:dyDescent="0.35">
      <c r="B132" s="4">
        <f t="shared" si="3"/>
        <v>122</v>
      </c>
      <c r="C132" s="3" t="s">
        <v>226</v>
      </c>
      <c r="D132" s="4" t="s">
        <v>418</v>
      </c>
      <c r="E132" s="8" t="s">
        <v>149</v>
      </c>
      <c r="F132" s="8" t="s">
        <v>22</v>
      </c>
      <c r="G132" s="13">
        <v>124</v>
      </c>
      <c r="H132" s="13">
        <v>17538000</v>
      </c>
      <c r="I132" s="13">
        <v>2</v>
      </c>
      <c r="J132" s="13">
        <v>150000</v>
      </c>
      <c r="K132" s="13">
        <v>46</v>
      </c>
      <c r="L132" s="13">
        <v>9930000</v>
      </c>
      <c r="M132" s="4"/>
      <c r="N132" s="11">
        <f t="shared" si="2"/>
        <v>0</v>
      </c>
    </row>
    <row r="133" spans="2:14" x14ac:dyDescent="0.35">
      <c r="B133" s="4">
        <f t="shared" si="3"/>
        <v>123</v>
      </c>
      <c r="C133" s="3" t="s">
        <v>226</v>
      </c>
      <c r="D133" s="4" t="s">
        <v>418</v>
      </c>
      <c r="E133" s="8" t="s">
        <v>149</v>
      </c>
      <c r="F133" s="8" t="s">
        <v>19</v>
      </c>
      <c r="G133" s="13">
        <v>36</v>
      </c>
      <c r="H133" s="13">
        <v>343750000</v>
      </c>
      <c r="I133" s="13">
        <v>0</v>
      </c>
      <c r="J133" s="13">
        <v>0</v>
      </c>
      <c r="K133" s="13">
        <v>0</v>
      </c>
      <c r="L133" s="13">
        <v>0</v>
      </c>
      <c r="M133" s="4"/>
      <c r="N133" s="11">
        <f t="shared" si="2"/>
        <v>0</v>
      </c>
    </row>
    <row r="134" spans="2:14" x14ac:dyDescent="0.35">
      <c r="B134" s="4">
        <f t="shared" si="3"/>
        <v>124</v>
      </c>
      <c r="C134" s="3" t="s">
        <v>226</v>
      </c>
      <c r="D134" s="4" t="s">
        <v>418</v>
      </c>
      <c r="E134" s="8" t="s">
        <v>149</v>
      </c>
      <c r="F134" s="8" t="s">
        <v>190</v>
      </c>
      <c r="G134" s="13">
        <v>132</v>
      </c>
      <c r="H134" s="13">
        <v>16825000</v>
      </c>
      <c r="I134" s="13">
        <v>0</v>
      </c>
      <c r="J134" s="13">
        <v>0</v>
      </c>
      <c r="K134" s="13">
        <v>2</v>
      </c>
      <c r="L134" s="13">
        <v>250000</v>
      </c>
      <c r="M134" s="4"/>
      <c r="N134" s="11">
        <f t="shared" si="2"/>
        <v>0</v>
      </c>
    </row>
    <row r="135" spans="2:14" x14ac:dyDescent="0.35">
      <c r="B135" s="4">
        <f t="shared" si="3"/>
        <v>125</v>
      </c>
      <c r="C135" s="3" t="s">
        <v>227</v>
      </c>
      <c r="D135" s="4" t="s">
        <v>454</v>
      </c>
      <c r="E135" s="8" t="s">
        <v>149</v>
      </c>
      <c r="F135" s="8" t="s">
        <v>20</v>
      </c>
      <c r="G135" s="13">
        <v>3</v>
      </c>
      <c r="H135" s="13">
        <v>525000</v>
      </c>
      <c r="I135" s="13">
        <v>0</v>
      </c>
      <c r="J135" s="13">
        <v>0</v>
      </c>
      <c r="K135" s="13">
        <v>0</v>
      </c>
      <c r="L135" s="13">
        <v>0</v>
      </c>
      <c r="M135" s="4"/>
      <c r="N135" s="11">
        <f t="shared" si="2"/>
        <v>0</v>
      </c>
    </row>
    <row r="136" spans="2:14" x14ac:dyDescent="0.35">
      <c r="B136" s="4">
        <f t="shared" si="3"/>
        <v>126</v>
      </c>
      <c r="C136" s="3" t="s">
        <v>227</v>
      </c>
      <c r="D136" s="4" t="s">
        <v>454</v>
      </c>
      <c r="E136" s="8" t="s">
        <v>149</v>
      </c>
      <c r="F136" s="8" t="s">
        <v>22</v>
      </c>
      <c r="G136" s="13">
        <v>37</v>
      </c>
      <c r="H136" s="13">
        <v>5046000</v>
      </c>
      <c r="I136" s="13">
        <v>9</v>
      </c>
      <c r="J136" s="13">
        <v>917000</v>
      </c>
      <c r="K136" s="13">
        <v>12</v>
      </c>
      <c r="L136" s="13">
        <v>10650000</v>
      </c>
      <c r="M136" s="4"/>
      <c r="N136" s="11">
        <f t="shared" si="2"/>
        <v>0</v>
      </c>
    </row>
    <row r="137" spans="2:14" x14ac:dyDescent="0.35">
      <c r="B137" s="4">
        <f t="shared" si="3"/>
        <v>127</v>
      </c>
      <c r="C137" s="3" t="s">
        <v>227</v>
      </c>
      <c r="D137" s="4" t="s">
        <v>454</v>
      </c>
      <c r="E137" s="8" t="s">
        <v>149</v>
      </c>
      <c r="F137" s="8" t="s">
        <v>19</v>
      </c>
      <c r="G137" s="13">
        <v>15</v>
      </c>
      <c r="H137" s="13">
        <v>152500000</v>
      </c>
      <c r="I137" s="13">
        <v>3</v>
      </c>
      <c r="J137" s="13">
        <v>19250000</v>
      </c>
      <c r="K137" s="13">
        <v>0</v>
      </c>
      <c r="L137" s="13">
        <v>0</v>
      </c>
      <c r="M137" s="4"/>
      <c r="N137" s="11">
        <f t="shared" si="2"/>
        <v>0</v>
      </c>
    </row>
    <row r="138" spans="2:14" x14ac:dyDescent="0.35">
      <c r="B138" s="4">
        <f t="shared" si="3"/>
        <v>128</v>
      </c>
      <c r="C138" s="3" t="s">
        <v>227</v>
      </c>
      <c r="D138" s="4" t="s">
        <v>454</v>
      </c>
      <c r="E138" s="8" t="s">
        <v>149</v>
      </c>
      <c r="F138" s="8" t="s">
        <v>190</v>
      </c>
      <c r="G138" s="13">
        <v>11</v>
      </c>
      <c r="H138" s="13">
        <v>1485000</v>
      </c>
      <c r="I138" s="13">
        <v>3</v>
      </c>
      <c r="J138" s="13">
        <v>485000</v>
      </c>
      <c r="K138" s="13">
        <v>1</v>
      </c>
      <c r="L138" s="13">
        <v>125000</v>
      </c>
      <c r="M138" s="4"/>
      <c r="N138" s="11">
        <f t="shared" si="2"/>
        <v>0</v>
      </c>
    </row>
    <row r="139" spans="2:14" x14ac:dyDescent="0.35">
      <c r="B139" s="4">
        <f t="shared" si="3"/>
        <v>129</v>
      </c>
      <c r="C139" s="3" t="s">
        <v>198</v>
      </c>
      <c r="D139" s="4" t="s">
        <v>406</v>
      </c>
      <c r="E139" s="8" t="s">
        <v>149</v>
      </c>
      <c r="F139" s="8" t="s">
        <v>20</v>
      </c>
      <c r="G139" s="13">
        <v>9</v>
      </c>
      <c r="H139" s="13">
        <v>1447000</v>
      </c>
      <c r="I139" s="13">
        <v>0</v>
      </c>
      <c r="J139" s="13">
        <v>0</v>
      </c>
      <c r="K139" s="13">
        <v>1</v>
      </c>
      <c r="L139" s="13">
        <v>160000</v>
      </c>
      <c r="M139" s="4"/>
      <c r="N139" s="11">
        <f t="shared" ref="N139:N202" si="4">IFERROR((G139/M139)*100%, 0)</f>
        <v>0</v>
      </c>
    </row>
    <row r="140" spans="2:14" x14ac:dyDescent="0.35">
      <c r="B140" s="4">
        <f t="shared" si="3"/>
        <v>130</v>
      </c>
      <c r="C140" s="3" t="s">
        <v>198</v>
      </c>
      <c r="D140" s="4" t="s">
        <v>406</v>
      </c>
      <c r="E140" s="8" t="s">
        <v>149</v>
      </c>
      <c r="F140" s="8" t="s">
        <v>22</v>
      </c>
      <c r="G140" s="13">
        <v>299</v>
      </c>
      <c r="H140" s="13">
        <v>31464000</v>
      </c>
      <c r="I140" s="13">
        <v>1</v>
      </c>
      <c r="J140" s="13">
        <v>75000</v>
      </c>
      <c r="K140" s="13">
        <v>15</v>
      </c>
      <c r="L140" s="13">
        <v>4500000</v>
      </c>
      <c r="M140" s="4"/>
      <c r="N140" s="11">
        <f t="shared" si="4"/>
        <v>0</v>
      </c>
    </row>
    <row r="141" spans="2:14" x14ac:dyDescent="0.35">
      <c r="B141" s="4">
        <f t="shared" ref="B141:B204" si="5">B140+1</f>
        <v>131</v>
      </c>
      <c r="C141" s="3" t="s">
        <v>198</v>
      </c>
      <c r="D141" s="4" t="s">
        <v>406</v>
      </c>
      <c r="E141" s="8" t="s">
        <v>149</v>
      </c>
      <c r="F141" s="8" t="s">
        <v>19</v>
      </c>
      <c r="G141" s="13">
        <v>13</v>
      </c>
      <c r="H141" s="13">
        <v>144750000</v>
      </c>
      <c r="I141" s="13">
        <v>0</v>
      </c>
      <c r="J141" s="13">
        <v>0</v>
      </c>
      <c r="K141" s="13">
        <v>2</v>
      </c>
      <c r="L141" s="13">
        <v>46400000</v>
      </c>
      <c r="M141" s="4"/>
      <c r="N141" s="11">
        <f t="shared" si="4"/>
        <v>0</v>
      </c>
    </row>
    <row r="142" spans="2:14" x14ac:dyDescent="0.35">
      <c r="B142" s="4">
        <f t="shared" si="5"/>
        <v>132</v>
      </c>
      <c r="C142" s="3" t="s">
        <v>198</v>
      </c>
      <c r="D142" s="4" t="s">
        <v>406</v>
      </c>
      <c r="E142" s="8" t="s">
        <v>149</v>
      </c>
      <c r="F142" s="8" t="s">
        <v>190</v>
      </c>
      <c r="G142" s="13">
        <v>61</v>
      </c>
      <c r="H142" s="13">
        <v>7730000</v>
      </c>
      <c r="I142" s="13">
        <v>0</v>
      </c>
      <c r="J142" s="13">
        <v>0</v>
      </c>
      <c r="K142" s="13">
        <v>5</v>
      </c>
      <c r="L142" s="13">
        <v>770000</v>
      </c>
      <c r="M142" s="4"/>
      <c r="N142" s="11">
        <f t="shared" si="4"/>
        <v>0</v>
      </c>
    </row>
    <row r="143" spans="2:14" x14ac:dyDescent="0.35">
      <c r="B143" s="4">
        <f t="shared" si="5"/>
        <v>133</v>
      </c>
      <c r="C143" s="3" t="s">
        <v>300</v>
      </c>
      <c r="D143" s="4" t="s">
        <v>555</v>
      </c>
      <c r="E143" s="8" t="s">
        <v>149</v>
      </c>
      <c r="F143" s="8" t="s">
        <v>20</v>
      </c>
      <c r="G143" s="13">
        <v>4</v>
      </c>
      <c r="H143" s="13">
        <v>1387000</v>
      </c>
      <c r="I143" s="13">
        <v>0</v>
      </c>
      <c r="J143" s="13">
        <v>0</v>
      </c>
      <c r="K143" s="13">
        <v>0</v>
      </c>
      <c r="L143" s="13">
        <v>0</v>
      </c>
      <c r="M143" s="4"/>
      <c r="N143" s="11">
        <f t="shared" si="4"/>
        <v>0</v>
      </c>
    </row>
    <row r="144" spans="2:14" x14ac:dyDescent="0.35">
      <c r="B144" s="4">
        <f t="shared" si="5"/>
        <v>134</v>
      </c>
      <c r="C144" s="3" t="s">
        <v>300</v>
      </c>
      <c r="D144" s="4" t="s">
        <v>555</v>
      </c>
      <c r="E144" s="8" t="s">
        <v>149</v>
      </c>
      <c r="F144" s="8" t="s">
        <v>22</v>
      </c>
      <c r="G144" s="13">
        <v>55</v>
      </c>
      <c r="H144" s="13">
        <v>5722000</v>
      </c>
      <c r="I144" s="13">
        <v>6</v>
      </c>
      <c r="J144" s="13">
        <v>452000</v>
      </c>
      <c r="K144" s="13">
        <v>0</v>
      </c>
      <c r="L144" s="13">
        <v>0</v>
      </c>
      <c r="M144" s="4"/>
      <c r="N144" s="11">
        <f t="shared" si="4"/>
        <v>0</v>
      </c>
    </row>
    <row r="145" spans="2:14" x14ac:dyDescent="0.35">
      <c r="B145" s="4">
        <f t="shared" si="5"/>
        <v>135</v>
      </c>
      <c r="C145" s="3" t="s">
        <v>300</v>
      </c>
      <c r="D145" s="4" t="s">
        <v>555</v>
      </c>
      <c r="E145" s="8" t="s">
        <v>149</v>
      </c>
      <c r="F145" s="8" t="s">
        <v>19</v>
      </c>
      <c r="G145" s="13">
        <v>13</v>
      </c>
      <c r="H145" s="13">
        <v>116750000</v>
      </c>
      <c r="I145" s="13">
        <v>0</v>
      </c>
      <c r="J145" s="13">
        <v>0</v>
      </c>
      <c r="K145" s="13">
        <v>0</v>
      </c>
      <c r="L145" s="13">
        <v>0</v>
      </c>
      <c r="M145" s="4"/>
      <c r="N145" s="11">
        <f t="shared" si="4"/>
        <v>0</v>
      </c>
    </row>
    <row r="146" spans="2:14" x14ac:dyDescent="0.35">
      <c r="B146" s="4">
        <f t="shared" si="5"/>
        <v>136</v>
      </c>
      <c r="C146" s="3" t="s">
        <v>300</v>
      </c>
      <c r="D146" s="4" t="s">
        <v>555</v>
      </c>
      <c r="E146" s="8" t="s">
        <v>149</v>
      </c>
      <c r="F146" s="8" t="s">
        <v>190</v>
      </c>
      <c r="G146" s="13">
        <v>33</v>
      </c>
      <c r="H146" s="13">
        <v>4525000</v>
      </c>
      <c r="I146" s="13">
        <v>0</v>
      </c>
      <c r="J146" s="13">
        <v>0</v>
      </c>
      <c r="K146" s="13">
        <v>0</v>
      </c>
      <c r="L146" s="13">
        <v>0</v>
      </c>
      <c r="M146" s="4"/>
      <c r="N146" s="11">
        <f t="shared" si="4"/>
        <v>0</v>
      </c>
    </row>
    <row r="147" spans="2:14" x14ac:dyDescent="0.35">
      <c r="B147" s="4">
        <f t="shared" si="5"/>
        <v>137</v>
      </c>
      <c r="C147" s="3" t="s">
        <v>228</v>
      </c>
      <c r="D147" s="4" t="s">
        <v>497</v>
      </c>
      <c r="E147" s="8" t="s">
        <v>149</v>
      </c>
      <c r="F147" s="8" t="s">
        <v>20</v>
      </c>
      <c r="G147" s="13">
        <v>9</v>
      </c>
      <c r="H147" s="13">
        <v>1530000</v>
      </c>
      <c r="I147" s="13">
        <v>0</v>
      </c>
      <c r="J147" s="13">
        <v>0</v>
      </c>
      <c r="K147" s="13">
        <v>0</v>
      </c>
      <c r="L147" s="13">
        <v>0</v>
      </c>
      <c r="M147" s="4"/>
      <c r="N147" s="11">
        <f t="shared" si="4"/>
        <v>0</v>
      </c>
    </row>
    <row r="148" spans="2:14" x14ac:dyDescent="0.35">
      <c r="B148" s="4">
        <f t="shared" si="5"/>
        <v>138</v>
      </c>
      <c r="C148" s="3" t="s">
        <v>228</v>
      </c>
      <c r="D148" s="4" t="s">
        <v>497</v>
      </c>
      <c r="E148" s="8" t="s">
        <v>149</v>
      </c>
      <c r="F148" s="8" t="s">
        <v>22</v>
      </c>
      <c r="G148" s="13">
        <v>311</v>
      </c>
      <c r="H148" s="13">
        <v>36242000</v>
      </c>
      <c r="I148" s="13">
        <v>1</v>
      </c>
      <c r="J148" s="13">
        <v>75000</v>
      </c>
      <c r="K148" s="13">
        <v>33</v>
      </c>
      <c r="L148" s="13">
        <v>9480000</v>
      </c>
      <c r="M148" s="4"/>
      <c r="N148" s="11">
        <f t="shared" si="4"/>
        <v>0</v>
      </c>
    </row>
    <row r="149" spans="2:14" x14ac:dyDescent="0.35">
      <c r="B149" s="4">
        <f t="shared" si="5"/>
        <v>139</v>
      </c>
      <c r="C149" s="3" t="s">
        <v>228</v>
      </c>
      <c r="D149" s="4" t="s">
        <v>497</v>
      </c>
      <c r="E149" s="8" t="s">
        <v>149</v>
      </c>
      <c r="F149" s="8" t="s">
        <v>19</v>
      </c>
      <c r="G149" s="13">
        <v>21</v>
      </c>
      <c r="H149" s="13">
        <v>162000000</v>
      </c>
      <c r="I149" s="13">
        <v>1</v>
      </c>
      <c r="J149" s="13">
        <v>28000000</v>
      </c>
      <c r="K149" s="13">
        <v>2</v>
      </c>
      <c r="L149" s="13">
        <v>42990000</v>
      </c>
      <c r="M149" s="4"/>
      <c r="N149" s="11">
        <f t="shared" si="4"/>
        <v>0</v>
      </c>
    </row>
    <row r="150" spans="2:14" x14ac:dyDescent="0.35">
      <c r="B150" s="4">
        <f t="shared" si="5"/>
        <v>140</v>
      </c>
      <c r="C150" s="3" t="s">
        <v>228</v>
      </c>
      <c r="D150" s="4" t="s">
        <v>497</v>
      </c>
      <c r="E150" s="8" t="s">
        <v>149</v>
      </c>
      <c r="F150" s="8" t="s">
        <v>190</v>
      </c>
      <c r="G150" s="13">
        <v>82</v>
      </c>
      <c r="H150" s="13">
        <v>10815000</v>
      </c>
      <c r="I150" s="13">
        <v>3</v>
      </c>
      <c r="J150" s="13">
        <v>540000</v>
      </c>
      <c r="K150" s="13">
        <v>3</v>
      </c>
      <c r="L150" s="13">
        <v>430000</v>
      </c>
      <c r="M150" s="4"/>
      <c r="N150" s="11">
        <f t="shared" si="4"/>
        <v>0</v>
      </c>
    </row>
    <row r="151" spans="2:14" x14ac:dyDescent="0.35">
      <c r="B151" s="4">
        <f t="shared" si="5"/>
        <v>141</v>
      </c>
      <c r="C151" s="3" t="s">
        <v>229</v>
      </c>
      <c r="D151" s="4" t="s">
        <v>529</v>
      </c>
      <c r="E151" s="8" t="s">
        <v>149</v>
      </c>
      <c r="F151" s="8" t="s">
        <v>20</v>
      </c>
      <c r="G151" s="13">
        <v>9</v>
      </c>
      <c r="H151" s="13">
        <v>2028000</v>
      </c>
      <c r="I151" s="13">
        <v>0</v>
      </c>
      <c r="J151" s="13">
        <v>0</v>
      </c>
      <c r="K151" s="13">
        <v>0</v>
      </c>
      <c r="L151" s="13">
        <v>0</v>
      </c>
      <c r="M151" s="4"/>
      <c r="N151" s="11">
        <f t="shared" si="4"/>
        <v>0</v>
      </c>
    </row>
    <row r="152" spans="2:14" x14ac:dyDescent="0.35">
      <c r="B152" s="4">
        <f t="shared" si="5"/>
        <v>142</v>
      </c>
      <c r="C152" s="3" t="s">
        <v>229</v>
      </c>
      <c r="D152" s="4" t="s">
        <v>529</v>
      </c>
      <c r="E152" s="8" t="s">
        <v>149</v>
      </c>
      <c r="F152" s="8" t="s">
        <v>22</v>
      </c>
      <c r="G152" s="13">
        <v>318</v>
      </c>
      <c r="H152" s="13">
        <v>746672000</v>
      </c>
      <c r="I152" s="13">
        <v>11</v>
      </c>
      <c r="J152" s="13">
        <v>1539000</v>
      </c>
      <c r="K152" s="13">
        <v>11</v>
      </c>
      <c r="L152" s="13">
        <v>2960000</v>
      </c>
      <c r="M152" s="4"/>
      <c r="N152" s="11">
        <f t="shared" si="4"/>
        <v>0</v>
      </c>
    </row>
    <row r="153" spans="2:14" x14ac:dyDescent="0.35">
      <c r="B153" s="4">
        <f t="shared" si="5"/>
        <v>143</v>
      </c>
      <c r="C153" s="3" t="s">
        <v>229</v>
      </c>
      <c r="D153" s="4" t="s">
        <v>529</v>
      </c>
      <c r="E153" s="8" t="s">
        <v>149</v>
      </c>
      <c r="F153" s="8" t="s">
        <v>19</v>
      </c>
      <c r="G153" s="13">
        <v>14</v>
      </c>
      <c r="H153" s="13">
        <v>139750000</v>
      </c>
      <c r="I153" s="13">
        <v>1</v>
      </c>
      <c r="J153" s="13">
        <v>5500000</v>
      </c>
      <c r="K153" s="13">
        <v>0</v>
      </c>
      <c r="L153" s="13">
        <v>0</v>
      </c>
      <c r="M153" s="4"/>
      <c r="N153" s="11">
        <f t="shared" si="4"/>
        <v>0</v>
      </c>
    </row>
    <row r="154" spans="2:14" x14ac:dyDescent="0.35">
      <c r="B154" s="4">
        <f t="shared" si="5"/>
        <v>144</v>
      </c>
      <c r="C154" s="3" t="s">
        <v>229</v>
      </c>
      <c r="D154" s="4" t="s">
        <v>529</v>
      </c>
      <c r="E154" s="8" t="s">
        <v>149</v>
      </c>
      <c r="F154" s="8" t="s">
        <v>190</v>
      </c>
      <c r="G154" s="13">
        <v>86</v>
      </c>
      <c r="H154" s="13">
        <v>11365000</v>
      </c>
      <c r="I154" s="13">
        <v>1</v>
      </c>
      <c r="J154" s="13">
        <v>140000</v>
      </c>
      <c r="K154" s="13">
        <v>0</v>
      </c>
      <c r="L154" s="13">
        <v>0</v>
      </c>
      <c r="M154" s="4"/>
      <c r="N154" s="11">
        <f t="shared" si="4"/>
        <v>0</v>
      </c>
    </row>
    <row r="155" spans="2:14" x14ac:dyDescent="0.35">
      <c r="B155" s="4">
        <f t="shared" si="5"/>
        <v>145</v>
      </c>
      <c r="C155" s="3" t="s">
        <v>199</v>
      </c>
      <c r="D155" s="4" t="s">
        <v>460</v>
      </c>
      <c r="E155" s="8" t="s">
        <v>149</v>
      </c>
      <c r="F155" s="8" t="s">
        <v>20</v>
      </c>
      <c r="G155" s="13">
        <v>16</v>
      </c>
      <c r="H155" s="13">
        <v>4517500</v>
      </c>
      <c r="I155" s="13">
        <v>0</v>
      </c>
      <c r="J155" s="13">
        <v>0</v>
      </c>
      <c r="K155" s="13">
        <v>0</v>
      </c>
      <c r="L155" s="13">
        <v>0</v>
      </c>
      <c r="M155" s="4"/>
      <c r="N155" s="11">
        <f t="shared" si="4"/>
        <v>0</v>
      </c>
    </row>
    <row r="156" spans="2:14" x14ac:dyDescent="0.35">
      <c r="B156" s="4">
        <f t="shared" si="5"/>
        <v>146</v>
      </c>
      <c r="C156" s="3" t="s">
        <v>199</v>
      </c>
      <c r="D156" s="4" t="s">
        <v>460</v>
      </c>
      <c r="E156" s="8" t="s">
        <v>149</v>
      </c>
      <c r="F156" s="8" t="s">
        <v>22</v>
      </c>
      <c r="G156" s="13">
        <v>101</v>
      </c>
      <c r="H156" s="13">
        <v>23084000</v>
      </c>
      <c r="I156" s="13">
        <v>3</v>
      </c>
      <c r="J156" s="13">
        <v>553000</v>
      </c>
      <c r="K156" s="13">
        <v>10</v>
      </c>
      <c r="L156" s="13">
        <v>3000000</v>
      </c>
      <c r="M156" s="4"/>
      <c r="N156" s="11">
        <f t="shared" si="4"/>
        <v>0</v>
      </c>
    </row>
    <row r="157" spans="2:14" x14ac:dyDescent="0.35">
      <c r="B157" s="4">
        <f t="shared" si="5"/>
        <v>147</v>
      </c>
      <c r="C157" s="3" t="s">
        <v>199</v>
      </c>
      <c r="D157" s="4" t="s">
        <v>460</v>
      </c>
      <c r="E157" s="8" t="s">
        <v>149</v>
      </c>
      <c r="F157" s="8" t="s">
        <v>19</v>
      </c>
      <c r="G157" s="13">
        <v>26</v>
      </c>
      <c r="H157" s="13">
        <v>168250000</v>
      </c>
      <c r="I157" s="13">
        <v>0</v>
      </c>
      <c r="J157" s="13">
        <v>0</v>
      </c>
      <c r="K157" s="13">
        <v>5</v>
      </c>
      <c r="L157" s="13">
        <v>67740000</v>
      </c>
      <c r="M157" s="4"/>
      <c r="N157" s="11">
        <f t="shared" si="4"/>
        <v>0</v>
      </c>
    </row>
    <row r="158" spans="2:14" x14ac:dyDescent="0.35">
      <c r="B158" s="4">
        <f t="shared" si="5"/>
        <v>148</v>
      </c>
      <c r="C158" s="3" t="s">
        <v>199</v>
      </c>
      <c r="D158" s="4" t="s">
        <v>460</v>
      </c>
      <c r="E158" s="8" t="s">
        <v>149</v>
      </c>
      <c r="F158" s="8" t="s">
        <v>190</v>
      </c>
      <c r="G158" s="13">
        <v>60</v>
      </c>
      <c r="H158" s="13">
        <v>8055000</v>
      </c>
      <c r="I158" s="13">
        <v>0</v>
      </c>
      <c r="J158" s="13">
        <v>0</v>
      </c>
      <c r="K158" s="13">
        <v>9</v>
      </c>
      <c r="L158" s="13">
        <v>1620000</v>
      </c>
      <c r="M158" s="4"/>
      <c r="N158" s="11">
        <f t="shared" si="4"/>
        <v>0</v>
      </c>
    </row>
    <row r="159" spans="2:14" x14ac:dyDescent="0.35">
      <c r="B159" s="4">
        <f t="shared" si="5"/>
        <v>149</v>
      </c>
      <c r="C159" s="3" t="s">
        <v>230</v>
      </c>
      <c r="D159" s="4" t="s">
        <v>425</v>
      </c>
      <c r="E159" s="8" t="s">
        <v>149</v>
      </c>
      <c r="F159" s="8" t="s">
        <v>20</v>
      </c>
      <c r="G159" s="13">
        <v>11</v>
      </c>
      <c r="H159" s="13">
        <v>1880000</v>
      </c>
      <c r="I159" s="13">
        <v>0</v>
      </c>
      <c r="J159" s="13">
        <v>0</v>
      </c>
      <c r="K159" s="13">
        <v>0</v>
      </c>
      <c r="L159" s="13">
        <v>0</v>
      </c>
      <c r="M159" s="4"/>
      <c r="N159" s="11">
        <f t="shared" si="4"/>
        <v>0</v>
      </c>
    </row>
    <row r="160" spans="2:14" x14ac:dyDescent="0.35">
      <c r="B160" s="4">
        <f t="shared" si="5"/>
        <v>150</v>
      </c>
      <c r="C160" s="3" t="s">
        <v>230</v>
      </c>
      <c r="D160" s="4" t="s">
        <v>425</v>
      </c>
      <c r="E160" s="8" t="s">
        <v>149</v>
      </c>
      <c r="F160" s="8" t="s">
        <v>22</v>
      </c>
      <c r="G160" s="13">
        <v>54</v>
      </c>
      <c r="H160" s="13">
        <v>4908000</v>
      </c>
      <c r="I160" s="13">
        <v>15</v>
      </c>
      <c r="J160" s="13">
        <v>1236000</v>
      </c>
      <c r="K160" s="13">
        <v>6</v>
      </c>
      <c r="L160" s="13">
        <v>1360000</v>
      </c>
      <c r="M160" s="4"/>
      <c r="N160" s="11">
        <f t="shared" si="4"/>
        <v>0</v>
      </c>
    </row>
    <row r="161" spans="2:14" x14ac:dyDescent="0.35">
      <c r="B161" s="4">
        <f t="shared" si="5"/>
        <v>151</v>
      </c>
      <c r="C161" s="3" t="s">
        <v>230</v>
      </c>
      <c r="D161" s="4" t="s">
        <v>425</v>
      </c>
      <c r="E161" s="8" t="s">
        <v>149</v>
      </c>
      <c r="F161" s="8" t="s">
        <v>19</v>
      </c>
      <c r="G161" s="13">
        <v>17</v>
      </c>
      <c r="H161" s="13">
        <v>156500000</v>
      </c>
      <c r="I161" s="13">
        <v>0</v>
      </c>
      <c r="J161" s="13">
        <v>0</v>
      </c>
      <c r="K161" s="13">
        <v>0</v>
      </c>
      <c r="L161" s="13">
        <v>0</v>
      </c>
      <c r="M161" s="4"/>
      <c r="N161" s="11">
        <f t="shared" si="4"/>
        <v>0</v>
      </c>
    </row>
    <row r="162" spans="2:14" x14ac:dyDescent="0.35">
      <c r="B162" s="4">
        <f t="shared" si="5"/>
        <v>152</v>
      </c>
      <c r="C162" s="3" t="s">
        <v>230</v>
      </c>
      <c r="D162" s="4" t="s">
        <v>425</v>
      </c>
      <c r="E162" s="8" t="s">
        <v>149</v>
      </c>
      <c r="F162" s="8" t="s">
        <v>190</v>
      </c>
      <c r="G162" s="13">
        <v>54</v>
      </c>
      <c r="H162" s="13">
        <v>6925000</v>
      </c>
      <c r="I162" s="13">
        <v>0</v>
      </c>
      <c r="J162" s="13">
        <v>0</v>
      </c>
      <c r="K162" s="13">
        <v>0</v>
      </c>
      <c r="L162" s="13">
        <v>0</v>
      </c>
      <c r="M162" s="4"/>
      <c r="N162" s="11">
        <f t="shared" si="4"/>
        <v>0</v>
      </c>
    </row>
    <row r="163" spans="2:14" x14ac:dyDescent="0.35">
      <c r="B163" s="4">
        <f t="shared" si="5"/>
        <v>153</v>
      </c>
      <c r="C163" s="3" t="s">
        <v>200</v>
      </c>
      <c r="D163" s="4" t="s">
        <v>473</v>
      </c>
      <c r="E163" s="8" t="s">
        <v>149</v>
      </c>
      <c r="F163" s="8" t="s">
        <v>22</v>
      </c>
      <c r="G163" s="13">
        <v>16</v>
      </c>
      <c r="H163" s="13">
        <v>1875000</v>
      </c>
      <c r="I163" s="13">
        <v>0</v>
      </c>
      <c r="J163" s="13">
        <v>0</v>
      </c>
      <c r="K163" s="13">
        <v>5</v>
      </c>
      <c r="L163" s="13">
        <v>1500000</v>
      </c>
      <c r="M163" s="4"/>
      <c r="N163" s="11">
        <f t="shared" si="4"/>
        <v>0</v>
      </c>
    </row>
    <row r="164" spans="2:14" x14ac:dyDescent="0.35">
      <c r="B164" s="4">
        <f t="shared" si="5"/>
        <v>154</v>
      </c>
      <c r="C164" s="3" t="s">
        <v>200</v>
      </c>
      <c r="D164" s="4" t="s">
        <v>473</v>
      </c>
      <c r="E164" s="8" t="s">
        <v>149</v>
      </c>
      <c r="F164" s="8" t="s">
        <v>19</v>
      </c>
      <c r="G164" s="13">
        <v>1</v>
      </c>
      <c r="H164" s="13">
        <v>4250000</v>
      </c>
      <c r="I164" s="13">
        <v>0</v>
      </c>
      <c r="J164" s="13">
        <v>0</v>
      </c>
      <c r="K164" s="13">
        <v>0</v>
      </c>
      <c r="L164" s="13">
        <v>0</v>
      </c>
      <c r="M164" s="4"/>
      <c r="N164" s="11">
        <f t="shared" si="4"/>
        <v>0</v>
      </c>
    </row>
    <row r="165" spans="2:14" x14ac:dyDescent="0.35">
      <c r="B165" s="4">
        <f t="shared" si="5"/>
        <v>155</v>
      </c>
      <c r="C165" s="3" t="s">
        <v>200</v>
      </c>
      <c r="D165" s="4" t="s">
        <v>473</v>
      </c>
      <c r="E165" s="8" t="s">
        <v>149</v>
      </c>
      <c r="F165" s="8" t="s">
        <v>190</v>
      </c>
      <c r="G165" s="13">
        <v>2</v>
      </c>
      <c r="H165" s="13">
        <v>250000</v>
      </c>
      <c r="I165" s="13">
        <v>0</v>
      </c>
      <c r="J165" s="13">
        <v>0</v>
      </c>
      <c r="K165" s="13">
        <v>0</v>
      </c>
      <c r="L165" s="13">
        <v>0</v>
      </c>
      <c r="M165" s="4"/>
      <c r="N165" s="11">
        <f t="shared" si="4"/>
        <v>0</v>
      </c>
    </row>
    <row r="166" spans="2:14" x14ac:dyDescent="0.35">
      <c r="B166" s="4">
        <f t="shared" si="5"/>
        <v>156</v>
      </c>
      <c r="C166" s="3" t="s">
        <v>258</v>
      </c>
      <c r="D166" s="4" t="s">
        <v>504</v>
      </c>
      <c r="E166" s="8" t="s">
        <v>149</v>
      </c>
      <c r="F166" s="8" t="s">
        <v>20</v>
      </c>
      <c r="G166" s="13">
        <v>11</v>
      </c>
      <c r="H166" s="13">
        <v>2451000</v>
      </c>
      <c r="I166" s="13">
        <v>1</v>
      </c>
      <c r="J166" s="13">
        <v>175000</v>
      </c>
      <c r="K166" s="13">
        <v>0</v>
      </c>
      <c r="L166" s="13">
        <v>0</v>
      </c>
      <c r="M166" s="4"/>
      <c r="N166" s="11">
        <f t="shared" si="4"/>
        <v>0</v>
      </c>
    </row>
    <row r="167" spans="2:14" x14ac:dyDescent="0.35">
      <c r="B167" s="4">
        <f t="shared" si="5"/>
        <v>157</v>
      </c>
      <c r="C167" s="3" t="s">
        <v>258</v>
      </c>
      <c r="D167" s="4" t="s">
        <v>504</v>
      </c>
      <c r="E167" s="8" t="s">
        <v>149</v>
      </c>
      <c r="F167" s="8" t="s">
        <v>22</v>
      </c>
      <c r="G167" s="13">
        <v>8</v>
      </c>
      <c r="H167" s="13">
        <v>706000</v>
      </c>
      <c r="I167" s="13">
        <v>1</v>
      </c>
      <c r="J167" s="13">
        <v>75000</v>
      </c>
      <c r="K167" s="13">
        <v>1</v>
      </c>
      <c r="L167" s="13">
        <v>250000</v>
      </c>
      <c r="M167" s="4"/>
      <c r="N167" s="11">
        <f t="shared" si="4"/>
        <v>0</v>
      </c>
    </row>
    <row r="168" spans="2:14" x14ac:dyDescent="0.35">
      <c r="B168" s="4">
        <f t="shared" si="5"/>
        <v>158</v>
      </c>
      <c r="C168" s="3" t="s">
        <v>258</v>
      </c>
      <c r="D168" s="4" t="s">
        <v>504</v>
      </c>
      <c r="E168" s="8" t="s">
        <v>149</v>
      </c>
      <c r="F168" s="8" t="s">
        <v>19</v>
      </c>
      <c r="G168" s="13">
        <v>6</v>
      </c>
      <c r="H168" s="13">
        <v>474750000</v>
      </c>
      <c r="I168" s="13">
        <v>2</v>
      </c>
      <c r="J168" s="13">
        <v>15000000</v>
      </c>
      <c r="K168" s="13">
        <v>0</v>
      </c>
      <c r="L168" s="13">
        <v>0</v>
      </c>
      <c r="M168" s="4"/>
      <c r="N168" s="11">
        <f t="shared" si="4"/>
        <v>0</v>
      </c>
    </row>
    <row r="169" spans="2:14" x14ac:dyDescent="0.35">
      <c r="B169" s="4">
        <f t="shared" si="5"/>
        <v>159</v>
      </c>
      <c r="C169" s="3" t="s">
        <v>258</v>
      </c>
      <c r="D169" s="4" t="s">
        <v>504</v>
      </c>
      <c r="E169" s="8" t="s">
        <v>149</v>
      </c>
      <c r="F169" s="8" t="s">
        <v>190</v>
      </c>
      <c r="G169" s="13">
        <v>1</v>
      </c>
      <c r="H169" s="13">
        <v>125000</v>
      </c>
      <c r="I169" s="13">
        <v>5</v>
      </c>
      <c r="J169" s="13">
        <v>695000</v>
      </c>
      <c r="K169" s="13">
        <v>0</v>
      </c>
      <c r="L169" s="13">
        <v>0</v>
      </c>
      <c r="M169" s="4"/>
      <c r="N169" s="11">
        <f t="shared" si="4"/>
        <v>0</v>
      </c>
    </row>
    <row r="170" spans="2:14" x14ac:dyDescent="0.35">
      <c r="B170" s="4">
        <f t="shared" si="5"/>
        <v>160</v>
      </c>
      <c r="C170" s="3" t="s">
        <v>399</v>
      </c>
      <c r="D170" s="4" t="s">
        <v>601</v>
      </c>
      <c r="E170" s="8" t="s">
        <v>149</v>
      </c>
      <c r="F170" s="8" t="s">
        <v>20</v>
      </c>
      <c r="G170" s="13">
        <v>7</v>
      </c>
      <c r="H170" s="13">
        <v>953000</v>
      </c>
      <c r="I170" s="13">
        <v>1</v>
      </c>
      <c r="J170" s="13">
        <v>160000</v>
      </c>
      <c r="K170" s="13">
        <v>0</v>
      </c>
      <c r="L170" s="13">
        <v>0</v>
      </c>
      <c r="M170" s="4"/>
      <c r="N170" s="11">
        <f t="shared" si="4"/>
        <v>0</v>
      </c>
    </row>
    <row r="171" spans="2:14" x14ac:dyDescent="0.35">
      <c r="B171" s="4">
        <f t="shared" si="5"/>
        <v>161</v>
      </c>
      <c r="C171" s="3" t="s">
        <v>399</v>
      </c>
      <c r="D171" s="4" t="s">
        <v>601</v>
      </c>
      <c r="E171" s="8" t="s">
        <v>149</v>
      </c>
      <c r="F171" s="8" t="s">
        <v>22</v>
      </c>
      <c r="G171" s="13">
        <v>28</v>
      </c>
      <c r="H171" s="13">
        <v>3412000</v>
      </c>
      <c r="I171" s="13">
        <v>3</v>
      </c>
      <c r="J171" s="13">
        <v>225000</v>
      </c>
      <c r="K171" s="13">
        <v>15</v>
      </c>
      <c r="L171" s="13">
        <v>4235000</v>
      </c>
      <c r="M171" s="4"/>
      <c r="N171" s="11">
        <f t="shared" si="4"/>
        <v>0</v>
      </c>
    </row>
    <row r="172" spans="2:14" x14ac:dyDescent="0.35">
      <c r="B172" s="4">
        <f t="shared" si="5"/>
        <v>162</v>
      </c>
      <c r="C172" s="3" t="s">
        <v>399</v>
      </c>
      <c r="D172" s="4" t="s">
        <v>601</v>
      </c>
      <c r="E172" s="8" t="s">
        <v>149</v>
      </c>
      <c r="F172" s="8" t="s">
        <v>19</v>
      </c>
      <c r="G172" s="13">
        <v>17</v>
      </c>
      <c r="H172" s="13">
        <v>142800000</v>
      </c>
      <c r="I172" s="13">
        <v>3</v>
      </c>
      <c r="J172" s="13">
        <v>31285000</v>
      </c>
      <c r="K172" s="13">
        <v>3</v>
      </c>
      <c r="L172" s="13">
        <v>26355000</v>
      </c>
      <c r="M172" s="4"/>
      <c r="N172" s="11">
        <f t="shared" si="4"/>
        <v>0</v>
      </c>
    </row>
    <row r="173" spans="2:14" x14ac:dyDescent="0.35">
      <c r="B173" s="4">
        <f t="shared" si="5"/>
        <v>163</v>
      </c>
      <c r="C173" s="3" t="s">
        <v>399</v>
      </c>
      <c r="D173" s="4" t="s">
        <v>601</v>
      </c>
      <c r="E173" s="8" t="s">
        <v>149</v>
      </c>
      <c r="F173" s="8" t="s">
        <v>190</v>
      </c>
      <c r="G173" s="13">
        <v>19</v>
      </c>
      <c r="H173" s="13">
        <v>2480000</v>
      </c>
      <c r="I173" s="13">
        <v>1</v>
      </c>
      <c r="J173" s="13">
        <v>125000</v>
      </c>
      <c r="K173" s="13">
        <v>0</v>
      </c>
      <c r="L173" s="13">
        <v>0</v>
      </c>
      <c r="M173" s="4"/>
      <c r="N173" s="11">
        <f t="shared" si="4"/>
        <v>0</v>
      </c>
    </row>
    <row r="174" spans="2:14" x14ac:dyDescent="0.35">
      <c r="B174" s="4">
        <f t="shared" si="5"/>
        <v>164</v>
      </c>
      <c r="C174" s="3" t="s">
        <v>259</v>
      </c>
      <c r="D174" s="4" t="s">
        <v>498</v>
      </c>
      <c r="E174" s="8" t="s">
        <v>149</v>
      </c>
      <c r="F174" s="8" t="s">
        <v>20</v>
      </c>
      <c r="G174" s="13">
        <v>11</v>
      </c>
      <c r="H174" s="13">
        <v>1835000</v>
      </c>
      <c r="I174" s="13">
        <v>0</v>
      </c>
      <c r="J174" s="13">
        <v>0</v>
      </c>
      <c r="K174" s="13">
        <v>0</v>
      </c>
      <c r="L174" s="13">
        <v>0</v>
      </c>
      <c r="M174" s="4"/>
      <c r="N174" s="11">
        <f t="shared" si="4"/>
        <v>0</v>
      </c>
    </row>
    <row r="175" spans="2:14" x14ac:dyDescent="0.35">
      <c r="B175" s="4">
        <f t="shared" si="5"/>
        <v>165</v>
      </c>
      <c r="C175" s="3" t="s">
        <v>259</v>
      </c>
      <c r="D175" s="4" t="s">
        <v>498</v>
      </c>
      <c r="E175" s="8" t="s">
        <v>149</v>
      </c>
      <c r="F175" s="8" t="s">
        <v>21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4"/>
      <c r="N175" s="11">
        <f t="shared" si="4"/>
        <v>0</v>
      </c>
    </row>
    <row r="176" spans="2:14" x14ac:dyDescent="0.35">
      <c r="B176" s="4">
        <f t="shared" si="5"/>
        <v>166</v>
      </c>
      <c r="C176" s="3" t="s">
        <v>259</v>
      </c>
      <c r="D176" s="4" t="s">
        <v>498</v>
      </c>
      <c r="E176" s="8" t="s">
        <v>149</v>
      </c>
      <c r="F176" s="8" t="s">
        <v>22</v>
      </c>
      <c r="G176" s="13">
        <v>130</v>
      </c>
      <c r="H176" s="13">
        <v>16884000</v>
      </c>
      <c r="I176" s="13">
        <v>2</v>
      </c>
      <c r="J176" s="13">
        <v>150000</v>
      </c>
      <c r="K176" s="13">
        <v>11</v>
      </c>
      <c r="L176" s="13">
        <v>3300000</v>
      </c>
      <c r="M176" s="4"/>
      <c r="N176" s="11">
        <f t="shared" si="4"/>
        <v>0</v>
      </c>
    </row>
    <row r="177" spans="2:14" x14ac:dyDescent="0.35">
      <c r="B177" s="4">
        <f t="shared" si="5"/>
        <v>167</v>
      </c>
      <c r="C177" s="3" t="s">
        <v>259</v>
      </c>
      <c r="D177" s="4" t="s">
        <v>498</v>
      </c>
      <c r="E177" s="8" t="s">
        <v>149</v>
      </c>
      <c r="F177" s="8" t="s">
        <v>19</v>
      </c>
      <c r="G177" s="13">
        <v>42</v>
      </c>
      <c r="H177" s="13">
        <v>352500000</v>
      </c>
      <c r="I177" s="13">
        <v>0</v>
      </c>
      <c r="J177" s="13">
        <v>0</v>
      </c>
      <c r="K177" s="13">
        <v>1</v>
      </c>
      <c r="L177" s="13">
        <v>11800000</v>
      </c>
      <c r="M177" s="4"/>
      <c r="N177" s="11">
        <f t="shared" si="4"/>
        <v>0</v>
      </c>
    </row>
    <row r="178" spans="2:14" x14ac:dyDescent="0.35">
      <c r="B178" s="4">
        <f t="shared" si="5"/>
        <v>168</v>
      </c>
      <c r="C178" s="3" t="s">
        <v>259</v>
      </c>
      <c r="D178" s="4" t="s">
        <v>498</v>
      </c>
      <c r="E178" s="8" t="s">
        <v>149</v>
      </c>
      <c r="F178" s="8" t="s">
        <v>190</v>
      </c>
      <c r="G178" s="13">
        <v>48</v>
      </c>
      <c r="H178" s="13">
        <v>6270000</v>
      </c>
      <c r="I178" s="13">
        <v>0</v>
      </c>
      <c r="J178" s="13">
        <v>0</v>
      </c>
      <c r="K178" s="13">
        <v>1</v>
      </c>
      <c r="L178" s="13">
        <v>180000</v>
      </c>
      <c r="M178" s="4"/>
      <c r="N178" s="11">
        <f t="shared" si="4"/>
        <v>0</v>
      </c>
    </row>
    <row r="179" spans="2:14" x14ac:dyDescent="0.35">
      <c r="B179" s="4">
        <f t="shared" si="5"/>
        <v>169</v>
      </c>
      <c r="C179" s="3" t="s">
        <v>618</v>
      </c>
      <c r="D179" s="4" t="s">
        <v>402</v>
      </c>
      <c r="E179" s="8" t="s">
        <v>149</v>
      </c>
      <c r="F179" s="8" t="s">
        <v>22</v>
      </c>
      <c r="G179" s="13">
        <v>13</v>
      </c>
      <c r="H179" s="13">
        <v>976000</v>
      </c>
      <c r="I179" s="13">
        <v>0</v>
      </c>
      <c r="J179" s="13">
        <v>0</v>
      </c>
      <c r="K179" s="13">
        <v>2</v>
      </c>
      <c r="L179" s="13">
        <v>430000</v>
      </c>
      <c r="M179" s="4"/>
      <c r="N179" s="11">
        <f t="shared" si="4"/>
        <v>0</v>
      </c>
    </row>
    <row r="180" spans="2:14" x14ac:dyDescent="0.35">
      <c r="B180" s="4">
        <f t="shared" si="5"/>
        <v>170</v>
      </c>
      <c r="C180" s="3" t="s">
        <v>618</v>
      </c>
      <c r="D180" s="4" t="s">
        <v>402</v>
      </c>
      <c r="E180" s="8" t="s">
        <v>149</v>
      </c>
      <c r="F180" s="8" t="s">
        <v>19</v>
      </c>
      <c r="G180" s="13">
        <v>1</v>
      </c>
      <c r="H180" s="13">
        <v>4250000</v>
      </c>
      <c r="I180" s="13">
        <v>0</v>
      </c>
      <c r="J180" s="13">
        <v>0</v>
      </c>
      <c r="K180" s="13">
        <v>0</v>
      </c>
      <c r="L180" s="13">
        <v>0</v>
      </c>
      <c r="M180" s="4"/>
      <c r="N180" s="11">
        <f t="shared" si="4"/>
        <v>0</v>
      </c>
    </row>
    <row r="181" spans="2:14" x14ac:dyDescent="0.35">
      <c r="B181" s="4">
        <f t="shared" si="5"/>
        <v>171</v>
      </c>
      <c r="C181" s="3" t="s">
        <v>618</v>
      </c>
      <c r="D181" s="4" t="s">
        <v>402</v>
      </c>
      <c r="E181" s="8" t="s">
        <v>149</v>
      </c>
      <c r="F181" s="8" t="s">
        <v>190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4"/>
      <c r="N181" s="11">
        <f t="shared" si="4"/>
        <v>0</v>
      </c>
    </row>
    <row r="182" spans="2:14" x14ac:dyDescent="0.35">
      <c r="B182" s="4">
        <f t="shared" si="5"/>
        <v>172</v>
      </c>
      <c r="C182" s="3" t="s">
        <v>619</v>
      </c>
      <c r="D182" s="4" t="s">
        <v>583</v>
      </c>
      <c r="E182" s="8" t="s">
        <v>149</v>
      </c>
      <c r="F182" s="8" t="s">
        <v>20</v>
      </c>
      <c r="G182" s="13">
        <v>50</v>
      </c>
      <c r="H182" s="13">
        <v>13738000</v>
      </c>
      <c r="I182" s="13">
        <v>9</v>
      </c>
      <c r="J182" s="13">
        <v>1396000</v>
      </c>
      <c r="K182" s="13">
        <v>0</v>
      </c>
      <c r="L182" s="13">
        <v>0</v>
      </c>
      <c r="M182" s="4"/>
      <c r="N182" s="11">
        <f t="shared" si="4"/>
        <v>0</v>
      </c>
    </row>
    <row r="183" spans="2:14" x14ac:dyDescent="0.35">
      <c r="B183" s="4">
        <f t="shared" si="5"/>
        <v>173</v>
      </c>
      <c r="C183" s="3" t="s">
        <v>619</v>
      </c>
      <c r="D183" s="4" t="s">
        <v>583</v>
      </c>
      <c r="E183" s="8" t="s">
        <v>149</v>
      </c>
      <c r="F183" s="8" t="s">
        <v>22</v>
      </c>
      <c r="G183" s="13">
        <v>87</v>
      </c>
      <c r="H183" s="13">
        <v>18308000</v>
      </c>
      <c r="I183" s="13">
        <v>4</v>
      </c>
      <c r="J183" s="13">
        <v>815000</v>
      </c>
      <c r="K183" s="13">
        <v>2</v>
      </c>
      <c r="L183" s="13">
        <v>540000</v>
      </c>
      <c r="M183" s="4"/>
      <c r="N183" s="11">
        <f t="shared" si="4"/>
        <v>0</v>
      </c>
    </row>
    <row r="184" spans="2:14" x14ac:dyDescent="0.35">
      <c r="B184" s="4">
        <f t="shared" si="5"/>
        <v>174</v>
      </c>
      <c r="C184" s="3" t="s">
        <v>619</v>
      </c>
      <c r="D184" s="4" t="s">
        <v>583</v>
      </c>
      <c r="E184" s="8" t="s">
        <v>149</v>
      </c>
      <c r="F184" s="8" t="s">
        <v>19</v>
      </c>
      <c r="G184" s="13">
        <v>40</v>
      </c>
      <c r="H184" s="13">
        <v>681139000</v>
      </c>
      <c r="I184" s="13">
        <v>5</v>
      </c>
      <c r="J184" s="13">
        <v>31832000</v>
      </c>
      <c r="K184" s="13">
        <v>0</v>
      </c>
      <c r="L184" s="13">
        <v>0</v>
      </c>
      <c r="M184" s="4"/>
      <c r="N184" s="11">
        <f t="shared" si="4"/>
        <v>0</v>
      </c>
    </row>
    <row r="185" spans="2:14" x14ac:dyDescent="0.35">
      <c r="B185" s="4">
        <f t="shared" si="5"/>
        <v>175</v>
      </c>
      <c r="C185" s="3" t="s">
        <v>619</v>
      </c>
      <c r="D185" s="4" t="s">
        <v>583</v>
      </c>
      <c r="E185" s="8" t="s">
        <v>149</v>
      </c>
      <c r="F185" s="8" t="s">
        <v>190</v>
      </c>
      <c r="G185" s="13">
        <v>101</v>
      </c>
      <c r="H185" s="13">
        <v>13805000</v>
      </c>
      <c r="I185" s="13">
        <v>9</v>
      </c>
      <c r="J185" s="13">
        <v>1285000</v>
      </c>
      <c r="K185" s="13">
        <v>0</v>
      </c>
      <c r="L185" s="13">
        <v>0</v>
      </c>
      <c r="M185" s="4"/>
      <c r="N185" s="11">
        <f t="shared" si="4"/>
        <v>0</v>
      </c>
    </row>
    <row r="186" spans="2:14" x14ac:dyDescent="0.35">
      <c r="B186" s="4">
        <f t="shared" si="5"/>
        <v>176</v>
      </c>
      <c r="C186" s="3" t="s">
        <v>231</v>
      </c>
      <c r="D186" s="4" t="s">
        <v>466</v>
      </c>
      <c r="E186" s="8" t="s">
        <v>149</v>
      </c>
      <c r="F186" s="8" t="s">
        <v>20</v>
      </c>
      <c r="G186" s="13">
        <v>18</v>
      </c>
      <c r="H186" s="13">
        <v>3045000</v>
      </c>
      <c r="I186" s="13">
        <v>3</v>
      </c>
      <c r="J186" s="13">
        <v>525000</v>
      </c>
      <c r="K186" s="13">
        <v>0</v>
      </c>
      <c r="L186" s="13">
        <v>0</v>
      </c>
      <c r="M186" s="4"/>
      <c r="N186" s="11">
        <f t="shared" si="4"/>
        <v>0</v>
      </c>
    </row>
    <row r="187" spans="2:14" x14ac:dyDescent="0.35">
      <c r="B187" s="4">
        <f t="shared" si="5"/>
        <v>177</v>
      </c>
      <c r="C187" s="3" t="s">
        <v>231</v>
      </c>
      <c r="D187" s="4" t="s">
        <v>466</v>
      </c>
      <c r="E187" s="8" t="s">
        <v>149</v>
      </c>
      <c r="F187" s="8" t="s">
        <v>22</v>
      </c>
      <c r="G187" s="13">
        <v>253</v>
      </c>
      <c r="H187" s="13">
        <v>428324000</v>
      </c>
      <c r="I187" s="13">
        <v>7</v>
      </c>
      <c r="J187" s="13">
        <v>889000</v>
      </c>
      <c r="K187" s="13">
        <v>4</v>
      </c>
      <c r="L187" s="13">
        <v>1500000</v>
      </c>
      <c r="M187" s="4"/>
      <c r="N187" s="11">
        <f t="shared" si="4"/>
        <v>0</v>
      </c>
    </row>
    <row r="188" spans="2:14" x14ac:dyDescent="0.35">
      <c r="B188" s="4">
        <f t="shared" si="5"/>
        <v>178</v>
      </c>
      <c r="C188" s="3" t="s">
        <v>231</v>
      </c>
      <c r="D188" s="4" t="s">
        <v>466</v>
      </c>
      <c r="E188" s="8" t="s">
        <v>149</v>
      </c>
      <c r="F188" s="8" t="s">
        <v>19</v>
      </c>
      <c r="G188" s="13">
        <v>21</v>
      </c>
      <c r="H188" s="13">
        <v>172750000</v>
      </c>
      <c r="I188" s="13">
        <v>0</v>
      </c>
      <c r="J188" s="13">
        <v>0</v>
      </c>
      <c r="K188" s="13">
        <v>0</v>
      </c>
      <c r="L188" s="13">
        <v>0</v>
      </c>
      <c r="M188" s="4"/>
      <c r="N188" s="11">
        <f t="shared" si="4"/>
        <v>0</v>
      </c>
    </row>
    <row r="189" spans="2:14" x14ac:dyDescent="0.35">
      <c r="B189" s="4">
        <f t="shared" si="5"/>
        <v>179</v>
      </c>
      <c r="C189" s="3" t="s">
        <v>231</v>
      </c>
      <c r="D189" s="4" t="s">
        <v>466</v>
      </c>
      <c r="E189" s="8" t="s">
        <v>149</v>
      </c>
      <c r="F189" s="8" t="s">
        <v>190</v>
      </c>
      <c r="G189" s="13">
        <v>90</v>
      </c>
      <c r="H189" s="13">
        <v>11990000</v>
      </c>
      <c r="I189" s="13">
        <v>5</v>
      </c>
      <c r="J189" s="13">
        <v>700000</v>
      </c>
      <c r="K189" s="13">
        <v>0</v>
      </c>
      <c r="L189" s="13">
        <v>0</v>
      </c>
      <c r="M189" s="4"/>
      <c r="N189" s="11">
        <f t="shared" si="4"/>
        <v>0</v>
      </c>
    </row>
    <row r="190" spans="2:14" x14ac:dyDescent="0.35">
      <c r="B190" s="4">
        <f t="shared" si="5"/>
        <v>180</v>
      </c>
      <c r="C190" s="3" t="s">
        <v>232</v>
      </c>
      <c r="D190" s="4" t="s">
        <v>525</v>
      </c>
      <c r="E190" s="8" t="s">
        <v>149</v>
      </c>
      <c r="F190" s="8" t="s">
        <v>20</v>
      </c>
      <c r="G190" s="13">
        <v>1</v>
      </c>
      <c r="H190" s="13">
        <v>160000</v>
      </c>
      <c r="I190" s="13">
        <v>0</v>
      </c>
      <c r="J190" s="13">
        <v>0</v>
      </c>
      <c r="K190" s="13">
        <v>0</v>
      </c>
      <c r="L190" s="13">
        <v>0</v>
      </c>
      <c r="M190" s="4"/>
      <c r="N190" s="11">
        <f t="shared" si="4"/>
        <v>0</v>
      </c>
    </row>
    <row r="191" spans="2:14" x14ac:dyDescent="0.35">
      <c r="B191" s="4">
        <f t="shared" si="5"/>
        <v>181</v>
      </c>
      <c r="C191" s="3" t="s">
        <v>232</v>
      </c>
      <c r="D191" s="4" t="s">
        <v>525</v>
      </c>
      <c r="E191" s="8" t="s">
        <v>149</v>
      </c>
      <c r="F191" s="8" t="s">
        <v>21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4"/>
      <c r="N191" s="11">
        <f t="shared" si="4"/>
        <v>0</v>
      </c>
    </row>
    <row r="192" spans="2:14" x14ac:dyDescent="0.35">
      <c r="B192" s="4">
        <f t="shared" si="5"/>
        <v>182</v>
      </c>
      <c r="C192" s="3" t="s">
        <v>232</v>
      </c>
      <c r="D192" s="4" t="s">
        <v>525</v>
      </c>
      <c r="E192" s="8" t="s">
        <v>149</v>
      </c>
      <c r="F192" s="8" t="s">
        <v>22</v>
      </c>
      <c r="G192" s="13">
        <v>90</v>
      </c>
      <c r="H192" s="13">
        <v>8439000</v>
      </c>
      <c r="I192" s="13">
        <v>5</v>
      </c>
      <c r="J192" s="13">
        <v>375000</v>
      </c>
      <c r="K192" s="13">
        <v>8</v>
      </c>
      <c r="L192" s="13">
        <v>1890000</v>
      </c>
      <c r="M192" s="4"/>
      <c r="N192" s="11">
        <f t="shared" si="4"/>
        <v>0</v>
      </c>
    </row>
    <row r="193" spans="2:14" x14ac:dyDescent="0.35">
      <c r="B193" s="4">
        <f t="shared" si="5"/>
        <v>183</v>
      </c>
      <c r="C193" s="3" t="s">
        <v>232</v>
      </c>
      <c r="D193" s="4" t="s">
        <v>525</v>
      </c>
      <c r="E193" s="8" t="s">
        <v>149</v>
      </c>
      <c r="F193" s="8" t="s">
        <v>19</v>
      </c>
      <c r="G193" s="13">
        <v>14</v>
      </c>
      <c r="H193" s="13">
        <v>148750000</v>
      </c>
      <c r="I193" s="13">
        <v>0</v>
      </c>
      <c r="J193" s="13">
        <v>0</v>
      </c>
      <c r="K193" s="13">
        <v>4</v>
      </c>
      <c r="L193" s="13">
        <v>72900000</v>
      </c>
      <c r="M193" s="4"/>
      <c r="N193" s="11">
        <f t="shared" si="4"/>
        <v>0</v>
      </c>
    </row>
    <row r="194" spans="2:14" x14ac:dyDescent="0.35">
      <c r="B194" s="4">
        <f t="shared" si="5"/>
        <v>184</v>
      </c>
      <c r="C194" s="3" t="s">
        <v>232</v>
      </c>
      <c r="D194" s="4" t="s">
        <v>525</v>
      </c>
      <c r="E194" s="8" t="s">
        <v>149</v>
      </c>
      <c r="F194" s="8" t="s">
        <v>190</v>
      </c>
      <c r="G194" s="13">
        <v>33</v>
      </c>
      <c r="H194" s="13">
        <v>4195000</v>
      </c>
      <c r="I194" s="13">
        <v>0</v>
      </c>
      <c r="J194" s="13">
        <v>0</v>
      </c>
      <c r="K194" s="13">
        <v>6</v>
      </c>
      <c r="L194" s="13">
        <v>915000</v>
      </c>
      <c r="M194" s="4"/>
      <c r="N194" s="11">
        <f t="shared" si="4"/>
        <v>0</v>
      </c>
    </row>
    <row r="195" spans="2:14" x14ac:dyDescent="0.35">
      <c r="B195" s="4">
        <f t="shared" si="5"/>
        <v>185</v>
      </c>
      <c r="C195" s="3" t="s">
        <v>273</v>
      </c>
      <c r="D195" s="4" t="s">
        <v>563</v>
      </c>
      <c r="E195" s="8" t="s">
        <v>159</v>
      </c>
      <c r="F195" s="8" t="s">
        <v>20</v>
      </c>
      <c r="G195" s="13">
        <v>21</v>
      </c>
      <c r="H195" s="13">
        <v>3555000</v>
      </c>
      <c r="I195" s="13">
        <v>0</v>
      </c>
      <c r="J195" s="13">
        <v>0</v>
      </c>
      <c r="K195" s="13">
        <v>0</v>
      </c>
      <c r="L195" s="13">
        <v>0</v>
      </c>
      <c r="M195" s="4"/>
      <c r="N195" s="11">
        <f t="shared" si="4"/>
        <v>0</v>
      </c>
    </row>
    <row r="196" spans="2:14" x14ac:dyDescent="0.35">
      <c r="B196" s="4">
        <f t="shared" si="5"/>
        <v>186</v>
      </c>
      <c r="C196" s="3" t="s">
        <v>273</v>
      </c>
      <c r="D196" s="4" t="s">
        <v>563</v>
      </c>
      <c r="E196" s="8" t="s">
        <v>159</v>
      </c>
      <c r="F196" s="8" t="s">
        <v>22</v>
      </c>
      <c r="G196" s="13">
        <v>65</v>
      </c>
      <c r="H196" s="13">
        <v>5498000</v>
      </c>
      <c r="I196" s="13">
        <v>3</v>
      </c>
      <c r="J196" s="13">
        <v>261000</v>
      </c>
      <c r="K196" s="13">
        <v>0</v>
      </c>
      <c r="L196" s="13">
        <v>0</v>
      </c>
      <c r="M196" s="4"/>
      <c r="N196" s="11">
        <f t="shared" si="4"/>
        <v>0</v>
      </c>
    </row>
    <row r="197" spans="2:14" x14ac:dyDescent="0.35">
      <c r="B197" s="4">
        <f t="shared" si="5"/>
        <v>187</v>
      </c>
      <c r="C197" s="3" t="s">
        <v>273</v>
      </c>
      <c r="D197" s="4" t="s">
        <v>563</v>
      </c>
      <c r="E197" s="8" t="s">
        <v>159</v>
      </c>
      <c r="F197" s="8" t="s">
        <v>19</v>
      </c>
      <c r="G197" s="13">
        <v>13</v>
      </c>
      <c r="H197" s="13">
        <v>168000000</v>
      </c>
      <c r="I197" s="13">
        <v>1</v>
      </c>
      <c r="J197" s="13">
        <v>14500000</v>
      </c>
      <c r="K197" s="13">
        <v>0</v>
      </c>
      <c r="L197" s="13">
        <v>0</v>
      </c>
      <c r="M197" s="4"/>
      <c r="N197" s="11">
        <f t="shared" si="4"/>
        <v>0</v>
      </c>
    </row>
    <row r="198" spans="2:14" x14ac:dyDescent="0.35">
      <c r="B198" s="4">
        <f t="shared" si="5"/>
        <v>188</v>
      </c>
      <c r="C198" s="3" t="s">
        <v>273</v>
      </c>
      <c r="D198" s="4" t="s">
        <v>563</v>
      </c>
      <c r="E198" s="8" t="s">
        <v>159</v>
      </c>
      <c r="F198" s="8" t="s">
        <v>190</v>
      </c>
      <c r="G198" s="13">
        <v>34</v>
      </c>
      <c r="H198" s="13">
        <v>4495000</v>
      </c>
      <c r="I198" s="13">
        <v>3</v>
      </c>
      <c r="J198" s="13">
        <v>445000</v>
      </c>
      <c r="K198" s="13">
        <v>0</v>
      </c>
      <c r="L198" s="13">
        <v>0</v>
      </c>
      <c r="M198" s="4"/>
      <c r="N198" s="11">
        <f t="shared" si="4"/>
        <v>0</v>
      </c>
    </row>
    <row r="199" spans="2:14" x14ac:dyDescent="0.35">
      <c r="B199" s="4">
        <f t="shared" si="5"/>
        <v>189</v>
      </c>
      <c r="C199" s="3" t="s">
        <v>245</v>
      </c>
      <c r="D199" s="4" t="s">
        <v>491</v>
      </c>
      <c r="E199" s="8" t="s">
        <v>159</v>
      </c>
      <c r="F199" s="8" t="s">
        <v>20</v>
      </c>
      <c r="G199" s="13">
        <v>31</v>
      </c>
      <c r="H199" s="13">
        <v>5120000</v>
      </c>
      <c r="I199" s="13">
        <v>0</v>
      </c>
      <c r="J199" s="13">
        <v>0</v>
      </c>
      <c r="K199" s="13">
        <v>0</v>
      </c>
      <c r="L199" s="13">
        <v>0</v>
      </c>
      <c r="M199" s="4"/>
      <c r="N199" s="11">
        <f t="shared" si="4"/>
        <v>0</v>
      </c>
    </row>
    <row r="200" spans="2:14" x14ac:dyDescent="0.35">
      <c r="B200" s="4">
        <f t="shared" si="5"/>
        <v>190</v>
      </c>
      <c r="C200" s="3" t="s">
        <v>245</v>
      </c>
      <c r="D200" s="4" t="s">
        <v>491</v>
      </c>
      <c r="E200" s="8" t="s">
        <v>159</v>
      </c>
      <c r="F200" s="8" t="s">
        <v>22</v>
      </c>
      <c r="G200" s="13">
        <v>101</v>
      </c>
      <c r="H200" s="13">
        <v>7916000</v>
      </c>
      <c r="I200" s="13">
        <v>3</v>
      </c>
      <c r="J200" s="13">
        <v>225000</v>
      </c>
      <c r="K200" s="13">
        <v>2</v>
      </c>
      <c r="L200" s="13">
        <v>500000</v>
      </c>
      <c r="M200" s="4"/>
      <c r="N200" s="11">
        <f t="shared" si="4"/>
        <v>0</v>
      </c>
    </row>
    <row r="201" spans="2:14" x14ac:dyDescent="0.35">
      <c r="B201" s="4">
        <f t="shared" si="5"/>
        <v>191</v>
      </c>
      <c r="C201" s="3" t="s">
        <v>245</v>
      </c>
      <c r="D201" s="4" t="s">
        <v>491</v>
      </c>
      <c r="E201" s="8" t="s">
        <v>159</v>
      </c>
      <c r="F201" s="8" t="s">
        <v>19</v>
      </c>
      <c r="G201" s="13">
        <v>17</v>
      </c>
      <c r="H201" s="13">
        <v>222500000</v>
      </c>
      <c r="I201" s="13">
        <v>0</v>
      </c>
      <c r="J201" s="13">
        <v>0</v>
      </c>
      <c r="K201" s="13">
        <v>0</v>
      </c>
      <c r="L201" s="13">
        <v>0</v>
      </c>
      <c r="M201" s="4"/>
      <c r="N201" s="11">
        <f t="shared" si="4"/>
        <v>0</v>
      </c>
    </row>
    <row r="202" spans="2:14" x14ac:dyDescent="0.35">
      <c r="B202" s="4">
        <f t="shared" si="5"/>
        <v>192</v>
      </c>
      <c r="C202" s="3" t="s">
        <v>245</v>
      </c>
      <c r="D202" s="4" t="s">
        <v>491</v>
      </c>
      <c r="E202" s="8" t="s">
        <v>159</v>
      </c>
      <c r="F202" s="8" t="s">
        <v>190</v>
      </c>
      <c r="G202" s="13">
        <v>29</v>
      </c>
      <c r="H202" s="13">
        <v>3820000</v>
      </c>
      <c r="I202" s="13">
        <v>3</v>
      </c>
      <c r="J202" s="13">
        <v>410000</v>
      </c>
      <c r="K202" s="13">
        <v>0</v>
      </c>
      <c r="L202" s="13">
        <v>0</v>
      </c>
      <c r="M202" s="4"/>
      <c r="N202" s="11">
        <f t="shared" si="4"/>
        <v>0</v>
      </c>
    </row>
    <row r="203" spans="2:14" x14ac:dyDescent="0.35">
      <c r="B203" s="4">
        <f t="shared" si="5"/>
        <v>193</v>
      </c>
      <c r="C203" s="3" t="s">
        <v>207</v>
      </c>
      <c r="D203" s="4" t="s">
        <v>441</v>
      </c>
      <c r="E203" s="8" t="s">
        <v>159</v>
      </c>
      <c r="F203" s="8" t="s">
        <v>20</v>
      </c>
      <c r="G203" s="13">
        <v>19</v>
      </c>
      <c r="H203" s="13">
        <v>3215000</v>
      </c>
      <c r="I203" s="13">
        <v>1</v>
      </c>
      <c r="J203" s="13">
        <v>160000</v>
      </c>
      <c r="K203" s="13">
        <v>0</v>
      </c>
      <c r="L203" s="13">
        <v>0</v>
      </c>
      <c r="M203" s="4"/>
      <c r="N203" s="11">
        <f t="shared" ref="N203:N266" si="6">IFERROR((G203/M203)*100%, 0)</f>
        <v>0</v>
      </c>
    </row>
    <row r="204" spans="2:14" x14ac:dyDescent="0.35">
      <c r="B204" s="4">
        <f t="shared" si="5"/>
        <v>194</v>
      </c>
      <c r="C204" s="3" t="s">
        <v>207</v>
      </c>
      <c r="D204" s="4" t="s">
        <v>441</v>
      </c>
      <c r="E204" s="8" t="s">
        <v>159</v>
      </c>
      <c r="F204" s="8" t="s">
        <v>22</v>
      </c>
      <c r="G204" s="13">
        <v>50</v>
      </c>
      <c r="H204" s="13">
        <v>14611000</v>
      </c>
      <c r="I204" s="13">
        <v>3</v>
      </c>
      <c r="J204" s="13">
        <v>225000</v>
      </c>
      <c r="K204" s="13">
        <v>3</v>
      </c>
      <c r="L204" s="13">
        <v>750000</v>
      </c>
      <c r="M204" s="4"/>
      <c r="N204" s="11">
        <f t="shared" si="6"/>
        <v>0</v>
      </c>
    </row>
    <row r="205" spans="2:14" x14ac:dyDescent="0.35">
      <c r="B205" s="4">
        <f t="shared" ref="B205:B268" si="7">B204+1</f>
        <v>195</v>
      </c>
      <c r="C205" s="3" t="s">
        <v>207</v>
      </c>
      <c r="D205" s="4" t="s">
        <v>441</v>
      </c>
      <c r="E205" s="8" t="s">
        <v>159</v>
      </c>
      <c r="F205" s="8" t="s">
        <v>19</v>
      </c>
      <c r="G205" s="13">
        <v>20</v>
      </c>
      <c r="H205" s="13">
        <v>275820000</v>
      </c>
      <c r="I205" s="13">
        <v>0</v>
      </c>
      <c r="J205" s="13">
        <v>0</v>
      </c>
      <c r="K205" s="13">
        <v>0</v>
      </c>
      <c r="L205" s="13">
        <v>0</v>
      </c>
      <c r="M205" s="4"/>
      <c r="N205" s="11">
        <f t="shared" si="6"/>
        <v>0</v>
      </c>
    </row>
    <row r="206" spans="2:14" x14ac:dyDescent="0.35">
      <c r="B206" s="4">
        <f t="shared" si="7"/>
        <v>196</v>
      </c>
      <c r="C206" s="3" t="s">
        <v>207</v>
      </c>
      <c r="D206" s="4" t="s">
        <v>441</v>
      </c>
      <c r="E206" s="8" t="s">
        <v>159</v>
      </c>
      <c r="F206" s="8" t="s">
        <v>190</v>
      </c>
      <c r="G206" s="13">
        <v>71</v>
      </c>
      <c r="H206" s="13">
        <v>9330000</v>
      </c>
      <c r="I206" s="13">
        <v>3</v>
      </c>
      <c r="J206" s="13">
        <v>375000</v>
      </c>
      <c r="K206" s="13">
        <v>0</v>
      </c>
      <c r="L206" s="13">
        <v>0</v>
      </c>
      <c r="M206" s="4"/>
      <c r="N206" s="11">
        <f t="shared" si="6"/>
        <v>0</v>
      </c>
    </row>
    <row r="207" spans="2:14" x14ac:dyDescent="0.35">
      <c r="B207" s="4">
        <f t="shared" si="7"/>
        <v>197</v>
      </c>
      <c r="C207" s="3" t="s">
        <v>208</v>
      </c>
      <c r="D207" s="4" t="s">
        <v>462</v>
      </c>
      <c r="E207" s="8" t="s">
        <v>159</v>
      </c>
      <c r="F207" s="8" t="s">
        <v>20</v>
      </c>
      <c r="G207" s="13">
        <v>36</v>
      </c>
      <c r="H207" s="13">
        <v>6075000</v>
      </c>
      <c r="I207" s="13">
        <v>5</v>
      </c>
      <c r="J207" s="13">
        <v>815000</v>
      </c>
      <c r="K207" s="13">
        <v>0</v>
      </c>
      <c r="L207" s="13">
        <v>0</v>
      </c>
      <c r="M207" s="4"/>
      <c r="N207" s="11">
        <f t="shared" si="6"/>
        <v>0</v>
      </c>
    </row>
    <row r="208" spans="2:14" x14ac:dyDescent="0.35">
      <c r="B208" s="4">
        <f t="shared" si="7"/>
        <v>198</v>
      </c>
      <c r="C208" s="3" t="s">
        <v>208</v>
      </c>
      <c r="D208" s="4" t="s">
        <v>462</v>
      </c>
      <c r="E208" s="8" t="s">
        <v>159</v>
      </c>
      <c r="F208" s="8" t="s">
        <v>22</v>
      </c>
      <c r="G208" s="13">
        <v>36</v>
      </c>
      <c r="H208" s="13">
        <v>2895000</v>
      </c>
      <c r="I208" s="13">
        <v>2</v>
      </c>
      <c r="J208" s="13">
        <v>150000</v>
      </c>
      <c r="K208" s="13">
        <v>0</v>
      </c>
      <c r="L208" s="13">
        <v>0</v>
      </c>
      <c r="M208" s="4"/>
      <c r="N208" s="11">
        <f t="shared" si="6"/>
        <v>0</v>
      </c>
    </row>
    <row r="209" spans="2:14" x14ac:dyDescent="0.35">
      <c r="B209" s="4">
        <f t="shared" si="7"/>
        <v>199</v>
      </c>
      <c r="C209" s="3" t="s">
        <v>208</v>
      </c>
      <c r="D209" s="4" t="s">
        <v>462</v>
      </c>
      <c r="E209" s="8" t="s">
        <v>159</v>
      </c>
      <c r="F209" s="8" t="s">
        <v>19</v>
      </c>
      <c r="G209" s="13">
        <v>13</v>
      </c>
      <c r="H209" s="13">
        <v>178250000</v>
      </c>
      <c r="I209" s="13">
        <v>1</v>
      </c>
      <c r="J209" s="13">
        <v>14500000</v>
      </c>
      <c r="K209" s="13">
        <v>0</v>
      </c>
      <c r="L209" s="13">
        <v>0</v>
      </c>
      <c r="M209" s="4"/>
      <c r="N209" s="11">
        <f t="shared" si="6"/>
        <v>0</v>
      </c>
    </row>
    <row r="210" spans="2:14" x14ac:dyDescent="0.35">
      <c r="B210" s="4">
        <f t="shared" si="7"/>
        <v>200</v>
      </c>
      <c r="C210" s="3" t="s">
        <v>208</v>
      </c>
      <c r="D210" s="4" t="s">
        <v>462</v>
      </c>
      <c r="E210" s="8" t="s">
        <v>159</v>
      </c>
      <c r="F210" s="8" t="s">
        <v>190</v>
      </c>
      <c r="G210" s="13">
        <v>52</v>
      </c>
      <c r="H210" s="13">
        <v>6710000</v>
      </c>
      <c r="I210" s="13">
        <v>6</v>
      </c>
      <c r="J210" s="13">
        <v>750000</v>
      </c>
      <c r="K210" s="13">
        <v>0</v>
      </c>
      <c r="L210" s="13">
        <v>0</v>
      </c>
      <c r="M210" s="4"/>
      <c r="N210" s="11">
        <f t="shared" si="6"/>
        <v>0</v>
      </c>
    </row>
    <row r="211" spans="2:14" x14ac:dyDescent="0.35">
      <c r="B211" s="4">
        <f t="shared" si="7"/>
        <v>201</v>
      </c>
      <c r="C211" s="3" t="s">
        <v>348</v>
      </c>
      <c r="D211" s="4" t="s">
        <v>499</v>
      </c>
      <c r="E211" s="8" t="s">
        <v>162</v>
      </c>
      <c r="F211" s="8" t="s">
        <v>22</v>
      </c>
      <c r="G211" s="13">
        <v>249</v>
      </c>
      <c r="H211" s="13">
        <v>38716500</v>
      </c>
      <c r="I211" s="13">
        <v>51</v>
      </c>
      <c r="J211" s="13">
        <v>4457300</v>
      </c>
      <c r="K211" s="13">
        <v>31</v>
      </c>
      <c r="L211" s="13">
        <v>8534400</v>
      </c>
      <c r="M211" s="4"/>
      <c r="N211" s="11">
        <f t="shared" si="6"/>
        <v>0</v>
      </c>
    </row>
    <row r="212" spans="2:14" x14ac:dyDescent="0.35">
      <c r="B212" s="4">
        <f t="shared" si="7"/>
        <v>202</v>
      </c>
      <c r="C212" s="3" t="s">
        <v>272</v>
      </c>
      <c r="D212" s="4" t="s">
        <v>417</v>
      </c>
      <c r="E212" s="8" t="s">
        <v>162</v>
      </c>
      <c r="F212" s="8" t="s">
        <v>22</v>
      </c>
      <c r="G212" s="13">
        <v>277</v>
      </c>
      <c r="H212" s="13">
        <v>41880200</v>
      </c>
      <c r="I212" s="13">
        <v>68</v>
      </c>
      <c r="J212" s="13">
        <v>5670200</v>
      </c>
      <c r="K212" s="13">
        <v>32</v>
      </c>
      <c r="L212" s="13">
        <v>11469100</v>
      </c>
      <c r="M212" s="4"/>
      <c r="N212" s="11">
        <f t="shared" si="6"/>
        <v>0</v>
      </c>
    </row>
    <row r="213" spans="2:14" x14ac:dyDescent="0.35">
      <c r="B213" s="4">
        <f t="shared" si="7"/>
        <v>203</v>
      </c>
      <c r="C213" s="3" t="s">
        <v>272</v>
      </c>
      <c r="D213" s="4" t="s">
        <v>417</v>
      </c>
      <c r="E213" s="8" t="s">
        <v>162</v>
      </c>
      <c r="F213" s="8" t="s">
        <v>190</v>
      </c>
      <c r="G213" s="13">
        <v>6</v>
      </c>
      <c r="H213" s="13">
        <v>750000</v>
      </c>
      <c r="I213" s="13">
        <v>0</v>
      </c>
      <c r="J213" s="13">
        <v>0</v>
      </c>
      <c r="K213" s="13">
        <v>0</v>
      </c>
      <c r="L213" s="13">
        <v>0</v>
      </c>
      <c r="M213" s="4"/>
      <c r="N213" s="11">
        <f t="shared" si="6"/>
        <v>0</v>
      </c>
    </row>
    <row r="214" spans="2:14" x14ac:dyDescent="0.35">
      <c r="B214" s="4">
        <f t="shared" si="7"/>
        <v>204</v>
      </c>
      <c r="C214" s="3" t="s">
        <v>324</v>
      </c>
      <c r="D214" s="4" t="s">
        <v>430</v>
      </c>
      <c r="E214" s="8" t="s">
        <v>162</v>
      </c>
      <c r="F214" s="8" t="s">
        <v>22</v>
      </c>
      <c r="G214" s="13">
        <v>139</v>
      </c>
      <c r="H214" s="13">
        <v>17761400</v>
      </c>
      <c r="I214" s="13">
        <v>50</v>
      </c>
      <c r="J214" s="13">
        <v>6161250</v>
      </c>
      <c r="K214" s="13">
        <v>44</v>
      </c>
      <c r="L214" s="13">
        <v>21090600</v>
      </c>
      <c r="M214" s="4"/>
      <c r="N214" s="11">
        <f t="shared" si="6"/>
        <v>0</v>
      </c>
    </row>
    <row r="215" spans="2:14" x14ac:dyDescent="0.35">
      <c r="B215" s="4">
        <f t="shared" si="7"/>
        <v>205</v>
      </c>
      <c r="C215" s="3" t="s">
        <v>324</v>
      </c>
      <c r="D215" s="4" t="s">
        <v>430</v>
      </c>
      <c r="E215" s="8" t="s">
        <v>162</v>
      </c>
      <c r="F215" s="8" t="s">
        <v>190</v>
      </c>
      <c r="G215" s="13">
        <v>1</v>
      </c>
      <c r="H215" s="13">
        <v>160000</v>
      </c>
      <c r="I215" s="13">
        <v>0</v>
      </c>
      <c r="J215" s="13">
        <v>0</v>
      </c>
      <c r="K215" s="13">
        <v>0</v>
      </c>
      <c r="L215" s="13">
        <v>0</v>
      </c>
      <c r="M215" s="4"/>
      <c r="N215" s="11">
        <f t="shared" si="6"/>
        <v>0</v>
      </c>
    </row>
    <row r="216" spans="2:14" x14ac:dyDescent="0.35">
      <c r="B216" s="4">
        <f t="shared" si="7"/>
        <v>206</v>
      </c>
      <c r="C216" s="3" t="s">
        <v>325</v>
      </c>
      <c r="D216" s="4" t="s">
        <v>439</v>
      </c>
      <c r="E216" s="8" t="s">
        <v>162</v>
      </c>
      <c r="F216" s="8" t="s">
        <v>20</v>
      </c>
      <c r="G216" s="13">
        <v>1</v>
      </c>
      <c r="H216" s="13">
        <v>175000</v>
      </c>
      <c r="I216" s="13">
        <v>0</v>
      </c>
      <c r="J216" s="13">
        <v>0</v>
      </c>
      <c r="K216" s="13">
        <v>0</v>
      </c>
      <c r="L216" s="13">
        <v>0</v>
      </c>
      <c r="M216" s="4"/>
      <c r="N216" s="11">
        <f t="shared" si="6"/>
        <v>0</v>
      </c>
    </row>
    <row r="217" spans="2:14" x14ac:dyDescent="0.35">
      <c r="B217" s="4">
        <f t="shared" si="7"/>
        <v>207</v>
      </c>
      <c r="C217" s="3" t="s">
        <v>325</v>
      </c>
      <c r="D217" s="4" t="s">
        <v>439</v>
      </c>
      <c r="E217" s="8" t="s">
        <v>162</v>
      </c>
      <c r="F217" s="8" t="s">
        <v>22</v>
      </c>
      <c r="G217" s="13">
        <v>65</v>
      </c>
      <c r="H217" s="13">
        <v>9656800</v>
      </c>
      <c r="I217" s="13">
        <v>6</v>
      </c>
      <c r="J217" s="13">
        <v>451000</v>
      </c>
      <c r="K217" s="13">
        <v>26</v>
      </c>
      <c r="L217" s="13">
        <v>6541100</v>
      </c>
      <c r="M217" s="4"/>
      <c r="N217" s="11">
        <f t="shared" si="6"/>
        <v>0</v>
      </c>
    </row>
    <row r="218" spans="2:14" x14ac:dyDescent="0.35">
      <c r="B218" s="4">
        <f t="shared" si="7"/>
        <v>208</v>
      </c>
      <c r="C218" s="3" t="s">
        <v>325</v>
      </c>
      <c r="D218" s="4" t="s">
        <v>439</v>
      </c>
      <c r="E218" s="8" t="s">
        <v>162</v>
      </c>
      <c r="F218" s="8" t="s">
        <v>190</v>
      </c>
      <c r="G218" s="13">
        <v>3</v>
      </c>
      <c r="H218" s="13">
        <v>375000</v>
      </c>
      <c r="I218" s="13">
        <v>0</v>
      </c>
      <c r="J218" s="13">
        <v>0</v>
      </c>
      <c r="K218" s="13">
        <v>0</v>
      </c>
      <c r="L218" s="13">
        <v>0</v>
      </c>
      <c r="M218" s="4"/>
      <c r="N218" s="11">
        <f t="shared" si="6"/>
        <v>0</v>
      </c>
    </row>
    <row r="219" spans="2:14" x14ac:dyDescent="0.35">
      <c r="B219" s="4">
        <f t="shared" si="7"/>
        <v>209</v>
      </c>
      <c r="C219" s="3" t="s">
        <v>254</v>
      </c>
      <c r="D219" s="4" t="s">
        <v>412</v>
      </c>
      <c r="E219" s="8" t="s">
        <v>626</v>
      </c>
      <c r="F219" s="8" t="s">
        <v>20</v>
      </c>
      <c r="G219" s="13">
        <v>2</v>
      </c>
      <c r="H219" s="13">
        <v>300000</v>
      </c>
      <c r="I219" s="13">
        <v>0</v>
      </c>
      <c r="J219" s="13">
        <v>0</v>
      </c>
      <c r="K219" s="13">
        <v>0</v>
      </c>
      <c r="L219" s="13">
        <v>0</v>
      </c>
      <c r="M219" s="4"/>
      <c r="N219" s="11">
        <f t="shared" si="6"/>
        <v>0</v>
      </c>
    </row>
    <row r="220" spans="2:14" x14ac:dyDescent="0.35">
      <c r="B220" s="4">
        <f t="shared" si="7"/>
        <v>210</v>
      </c>
      <c r="C220" s="3" t="s">
        <v>254</v>
      </c>
      <c r="D220" s="4" t="s">
        <v>412</v>
      </c>
      <c r="E220" s="8" t="s">
        <v>626</v>
      </c>
      <c r="F220" s="8" t="s">
        <v>22</v>
      </c>
      <c r="G220" s="13">
        <v>216</v>
      </c>
      <c r="H220" s="13">
        <v>59970000</v>
      </c>
      <c r="I220" s="13">
        <v>22</v>
      </c>
      <c r="J220" s="13">
        <v>2905000</v>
      </c>
      <c r="K220" s="13">
        <v>8</v>
      </c>
      <c r="L220" s="13">
        <v>2572000</v>
      </c>
      <c r="M220" s="4"/>
      <c r="N220" s="11">
        <f t="shared" si="6"/>
        <v>0</v>
      </c>
    </row>
    <row r="221" spans="2:14" x14ac:dyDescent="0.35">
      <c r="B221" s="4">
        <f t="shared" si="7"/>
        <v>211</v>
      </c>
      <c r="C221" s="3" t="s">
        <v>254</v>
      </c>
      <c r="D221" s="4" t="s">
        <v>412</v>
      </c>
      <c r="E221" s="8" t="s">
        <v>626</v>
      </c>
      <c r="F221" s="8" t="s">
        <v>19</v>
      </c>
      <c r="G221" s="13">
        <v>8</v>
      </c>
      <c r="H221" s="13">
        <v>37000000</v>
      </c>
      <c r="I221" s="13">
        <v>0</v>
      </c>
      <c r="J221" s="13">
        <v>0</v>
      </c>
      <c r="K221" s="13">
        <v>1</v>
      </c>
      <c r="L221" s="13">
        <v>4750000</v>
      </c>
      <c r="M221" s="4"/>
      <c r="N221" s="11">
        <f t="shared" si="6"/>
        <v>0</v>
      </c>
    </row>
    <row r="222" spans="2:14" x14ac:dyDescent="0.35">
      <c r="B222" s="4">
        <f t="shared" si="7"/>
        <v>212</v>
      </c>
      <c r="C222" s="3" t="s">
        <v>254</v>
      </c>
      <c r="D222" s="4" t="s">
        <v>412</v>
      </c>
      <c r="E222" s="8" t="s">
        <v>626</v>
      </c>
      <c r="F222" s="8" t="s">
        <v>190</v>
      </c>
      <c r="G222" s="13">
        <v>8</v>
      </c>
      <c r="H222" s="13">
        <v>1000000</v>
      </c>
      <c r="I222" s="13">
        <v>0</v>
      </c>
      <c r="J222" s="13">
        <v>0</v>
      </c>
      <c r="K222" s="13">
        <v>1</v>
      </c>
      <c r="L222" s="13">
        <v>125000</v>
      </c>
      <c r="M222" s="4"/>
      <c r="N222" s="11">
        <f t="shared" si="6"/>
        <v>0</v>
      </c>
    </row>
    <row r="223" spans="2:14" x14ac:dyDescent="0.35">
      <c r="B223" s="4">
        <f t="shared" si="7"/>
        <v>213</v>
      </c>
      <c r="C223" s="3" t="s">
        <v>372</v>
      </c>
      <c r="D223" s="4" t="s">
        <v>464</v>
      </c>
      <c r="E223" s="8" t="s">
        <v>626</v>
      </c>
      <c r="F223" s="8" t="s">
        <v>22</v>
      </c>
      <c r="G223" s="13">
        <v>19</v>
      </c>
      <c r="H223" s="13">
        <v>2490000</v>
      </c>
      <c r="I223" s="13">
        <v>1</v>
      </c>
      <c r="J223" s="13">
        <v>200000</v>
      </c>
      <c r="K223" s="13">
        <v>2</v>
      </c>
      <c r="L223" s="13">
        <v>335000</v>
      </c>
      <c r="M223" s="4"/>
      <c r="N223" s="11">
        <f t="shared" si="6"/>
        <v>0</v>
      </c>
    </row>
    <row r="224" spans="2:14" x14ac:dyDescent="0.35">
      <c r="B224" s="4">
        <f t="shared" si="7"/>
        <v>214</v>
      </c>
      <c r="C224" s="3" t="s">
        <v>372</v>
      </c>
      <c r="D224" s="4" t="s">
        <v>464</v>
      </c>
      <c r="E224" s="8" t="s">
        <v>626</v>
      </c>
      <c r="F224" s="8" t="s">
        <v>190</v>
      </c>
      <c r="G224" s="13">
        <v>1</v>
      </c>
      <c r="H224" s="13">
        <v>180000</v>
      </c>
      <c r="I224" s="13">
        <v>0</v>
      </c>
      <c r="J224" s="13">
        <v>0</v>
      </c>
      <c r="K224" s="13">
        <v>0</v>
      </c>
      <c r="L224" s="13">
        <v>0</v>
      </c>
      <c r="M224" s="4"/>
      <c r="N224" s="11">
        <f t="shared" si="6"/>
        <v>0</v>
      </c>
    </row>
    <row r="225" spans="2:14" x14ac:dyDescent="0.35">
      <c r="B225" s="4">
        <f t="shared" si="7"/>
        <v>215</v>
      </c>
      <c r="C225" s="3" t="s">
        <v>373</v>
      </c>
      <c r="D225" s="4" t="s">
        <v>547</v>
      </c>
      <c r="E225" s="8" t="s">
        <v>626</v>
      </c>
      <c r="F225" s="8" t="s">
        <v>20</v>
      </c>
      <c r="G225" s="13">
        <v>3</v>
      </c>
      <c r="H225" s="13">
        <v>3350000</v>
      </c>
      <c r="I225" s="13">
        <v>0</v>
      </c>
      <c r="J225" s="13">
        <v>0</v>
      </c>
      <c r="K225" s="13">
        <v>0</v>
      </c>
      <c r="L225" s="13">
        <v>0</v>
      </c>
      <c r="M225" s="4"/>
      <c r="N225" s="11">
        <f t="shared" si="6"/>
        <v>0</v>
      </c>
    </row>
    <row r="226" spans="2:14" x14ac:dyDescent="0.35">
      <c r="B226" s="4">
        <f t="shared" si="7"/>
        <v>216</v>
      </c>
      <c r="C226" s="3" t="s">
        <v>373</v>
      </c>
      <c r="D226" s="4" t="s">
        <v>547</v>
      </c>
      <c r="E226" s="8" t="s">
        <v>626</v>
      </c>
      <c r="F226" s="8" t="s">
        <v>22</v>
      </c>
      <c r="G226" s="13">
        <v>461</v>
      </c>
      <c r="H226" s="13">
        <v>204061000</v>
      </c>
      <c r="I226" s="13">
        <v>22</v>
      </c>
      <c r="J226" s="13">
        <v>3765000</v>
      </c>
      <c r="K226" s="13">
        <v>20</v>
      </c>
      <c r="L226" s="13">
        <v>14198000</v>
      </c>
      <c r="M226" s="4"/>
      <c r="N226" s="11">
        <f t="shared" si="6"/>
        <v>0</v>
      </c>
    </row>
    <row r="227" spans="2:14" x14ac:dyDescent="0.35">
      <c r="B227" s="4">
        <f t="shared" si="7"/>
        <v>217</v>
      </c>
      <c r="C227" s="3" t="s">
        <v>373</v>
      </c>
      <c r="D227" s="4" t="s">
        <v>547</v>
      </c>
      <c r="E227" s="8" t="s">
        <v>626</v>
      </c>
      <c r="F227" s="8" t="s">
        <v>19</v>
      </c>
      <c r="G227" s="13">
        <v>15</v>
      </c>
      <c r="H227" s="13">
        <v>71174000</v>
      </c>
      <c r="I227" s="13">
        <v>0</v>
      </c>
      <c r="J227" s="13">
        <v>0</v>
      </c>
      <c r="K227" s="13">
        <v>0</v>
      </c>
      <c r="L227" s="13">
        <v>0</v>
      </c>
      <c r="M227" s="4"/>
      <c r="N227" s="11">
        <f t="shared" si="6"/>
        <v>0</v>
      </c>
    </row>
    <row r="228" spans="2:14" x14ac:dyDescent="0.35">
      <c r="B228" s="4">
        <f t="shared" si="7"/>
        <v>218</v>
      </c>
      <c r="C228" s="3" t="s">
        <v>373</v>
      </c>
      <c r="D228" s="4" t="s">
        <v>547</v>
      </c>
      <c r="E228" s="8" t="s">
        <v>626</v>
      </c>
      <c r="F228" s="8" t="s">
        <v>190</v>
      </c>
      <c r="G228" s="13">
        <v>19</v>
      </c>
      <c r="H228" s="13">
        <v>2410000</v>
      </c>
      <c r="I228" s="13">
        <v>0</v>
      </c>
      <c r="J228" s="13">
        <v>0</v>
      </c>
      <c r="K228" s="13">
        <v>0</v>
      </c>
      <c r="L228" s="13">
        <v>0</v>
      </c>
      <c r="M228" s="4"/>
      <c r="N228" s="11">
        <f t="shared" si="6"/>
        <v>0</v>
      </c>
    </row>
    <row r="229" spans="2:14" x14ac:dyDescent="0.35">
      <c r="B229" s="4">
        <f t="shared" si="7"/>
        <v>219</v>
      </c>
      <c r="C229" s="3" t="s">
        <v>346</v>
      </c>
      <c r="D229" s="4" t="s">
        <v>415</v>
      </c>
      <c r="E229" s="8" t="s">
        <v>626</v>
      </c>
      <c r="F229" s="8" t="s">
        <v>22</v>
      </c>
      <c r="G229" s="13">
        <v>426</v>
      </c>
      <c r="H229" s="13">
        <v>89980000</v>
      </c>
      <c r="I229" s="13">
        <v>30</v>
      </c>
      <c r="J229" s="13">
        <v>8015000</v>
      </c>
      <c r="K229" s="13">
        <v>43</v>
      </c>
      <c r="L229" s="13">
        <v>11252000</v>
      </c>
      <c r="M229" s="4"/>
      <c r="N229" s="11">
        <f t="shared" si="6"/>
        <v>0</v>
      </c>
    </row>
    <row r="230" spans="2:14" x14ac:dyDescent="0.35">
      <c r="B230" s="4">
        <f t="shared" si="7"/>
        <v>220</v>
      </c>
      <c r="C230" s="3" t="s">
        <v>320</v>
      </c>
      <c r="D230" s="4" t="s">
        <v>427</v>
      </c>
      <c r="E230" s="8" t="s">
        <v>626</v>
      </c>
      <c r="F230" s="8" t="s">
        <v>22</v>
      </c>
      <c r="G230" s="13">
        <v>0</v>
      </c>
      <c r="H230" s="13">
        <v>0</v>
      </c>
      <c r="I230" s="13">
        <v>7</v>
      </c>
      <c r="J230" s="13">
        <v>1108600</v>
      </c>
      <c r="K230" s="13">
        <v>4</v>
      </c>
      <c r="L230" s="13">
        <v>1072000</v>
      </c>
      <c r="M230" s="4"/>
      <c r="N230" s="11">
        <f t="shared" si="6"/>
        <v>0</v>
      </c>
    </row>
    <row r="231" spans="2:14" x14ac:dyDescent="0.35">
      <c r="B231" s="4">
        <f t="shared" si="7"/>
        <v>221</v>
      </c>
      <c r="C231" s="3" t="s">
        <v>374</v>
      </c>
      <c r="D231" s="4" t="s">
        <v>520</v>
      </c>
      <c r="E231" s="8" t="s">
        <v>626</v>
      </c>
      <c r="F231" s="8" t="s">
        <v>22</v>
      </c>
      <c r="G231" s="13">
        <v>72</v>
      </c>
      <c r="H231" s="13">
        <v>16235000</v>
      </c>
      <c r="I231" s="13">
        <v>5</v>
      </c>
      <c r="J231" s="13">
        <v>1100000</v>
      </c>
      <c r="K231" s="13">
        <v>7</v>
      </c>
      <c r="L231" s="13">
        <v>1664000</v>
      </c>
      <c r="M231" s="4"/>
      <c r="N231" s="11">
        <f t="shared" si="6"/>
        <v>0</v>
      </c>
    </row>
    <row r="232" spans="2:14" x14ac:dyDescent="0.35">
      <c r="B232" s="4">
        <f t="shared" si="7"/>
        <v>222</v>
      </c>
      <c r="C232" s="3" t="s">
        <v>375</v>
      </c>
      <c r="D232" s="4" t="s">
        <v>455</v>
      </c>
      <c r="E232" s="8" t="s">
        <v>626</v>
      </c>
      <c r="F232" s="8" t="s">
        <v>22</v>
      </c>
      <c r="G232" s="13">
        <v>99</v>
      </c>
      <c r="H232" s="13">
        <v>20654400</v>
      </c>
      <c r="I232" s="13">
        <v>13</v>
      </c>
      <c r="J232" s="13">
        <v>2102600</v>
      </c>
      <c r="K232" s="13">
        <v>26</v>
      </c>
      <c r="L232" s="13">
        <v>10336707</v>
      </c>
      <c r="M232" s="4"/>
      <c r="N232" s="11">
        <f t="shared" si="6"/>
        <v>0</v>
      </c>
    </row>
    <row r="233" spans="2:14" x14ac:dyDescent="0.35">
      <c r="B233" s="4">
        <f t="shared" si="7"/>
        <v>223</v>
      </c>
      <c r="C233" s="3" t="s">
        <v>376</v>
      </c>
      <c r="D233" s="4" t="s">
        <v>512</v>
      </c>
      <c r="E233" s="8" t="s">
        <v>626</v>
      </c>
      <c r="F233" s="8" t="s">
        <v>22</v>
      </c>
      <c r="G233" s="13">
        <v>56</v>
      </c>
      <c r="H233" s="13">
        <v>9588000</v>
      </c>
      <c r="I233" s="13">
        <v>2</v>
      </c>
      <c r="J233" s="13">
        <v>220000</v>
      </c>
      <c r="K233" s="13">
        <v>18</v>
      </c>
      <c r="L233" s="13">
        <v>9990703</v>
      </c>
      <c r="M233" s="4"/>
      <c r="N233" s="11">
        <f t="shared" si="6"/>
        <v>0</v>
      </c>
    </row>
    <row r="234" spans="2:14" x14ac:dyDescent="0.35">
      <c r="B234" s="4">
        <f t="shared" si="7"/>
        <v>224</v>
      </c>
      <c r="C234" s="3" t="s">
        <v>321</v>
      </c>
      <c r="D234" s="4" t="s">
        <v>484</v>
      </c>
      <c r="E234" s="8" t="s">
        <v>626</v>
      </c>
      <c r="F234" s="8" t="s">
        <v>22</v>
      </c>
      <c r="G234" s="13">
        <v>269</v>
      </c>
      <c r="H234" s="13">
        <v>62215000</v>
      </c>
      <c r="I234" s="13">
        <v>31</v>
      </c>
      <c r="J234" s="13">
        <v>7680000</v>
      </c>
      <c r="K234" s="13">
        <v>0</v>
      </c>
      <c r="L234" s="13">
        <v>0</v>
      </c>
      <c r="M234" s="4"/>
      <c r="N234" s="11">
        <f t="shared" si="6"/>
        <v>0</v>
      </c>
    </row>
    <row r="235" spans="2:14" x14ac:dyDescent="0.35">
      <c r="B235" s="4">
        <f t="shared" si="7"/>
        <v>225</v>
      </c>
      <c r="C235" s="3" t="s">
        <v>322</v>
      </c>
      <c r="D235" s="4" t="s">
        <v>443</v>
      </c>
      <c r="E235" s="8" t="s">
        <v>626</v>
      </c>
      <c r="F235" s="8" t="s">
        <v>22</v>
      </c>
      <c r="G235" s="13">
        <v>0</v>
      </c>
      <c r="H235" s="13">
        <v>0</v>
      </c>
      <c r="I235" s="13">
        <v>33</v>
      </c>
      <c r="J235" s="13">
        <v>4845000</v>
      </c>
      <c r="K235" s="13">
        <v>8</v>
      </c>
      <c r="L235" s="13">
        <v>2252000</v>
      </c>
      <c r="M235" s="4"/>
      <c r="N235" s="11">
        <f t="shared" si="6"/>
        <v>0</v>
      </c>
    </row>
    <row r="236" spans="2:14" x14ac:dyDescent="0.35">
      <c r="B236" s="4">
        <f t="shared" si="7"/>
        <v>226</v>
      </c>
      <c r="C236" s="3" t="s">
        <v>347</v>
      </c>
      <c r="D236" s="4" t="s">
        <v>574</v>
      </c>
      <c r="E236" s="8" t="s">
        <v>626</v>
      </c>
      <c r="F236" s="8" t="s">
        <v>22</v>
      </c>
      <c r="G236" s="13">
        <v>454</v>
      </c>
      <c r="H236" s="13">
        <v>173180000</v>
      </c>
      <c r="I236" s="13">
        <v>48</v>
      </c>
      <c r="J236" s="13">
        <v>17175000</v>
      </c>
      <c r="K236" s="13">
        <v>8</v>
      </c>
      <c r="L236" s="13">
        <v>1796000</v>
      </c>
      <c r="M236" s="4"/>
      <c r="N236" s="11">
        <f t="shared" si="6"/>
        <v>0</v>
      </c>
    </row>
    <row r="237" spans="2:14" x14ac:dyDescent="0.35">
      <c r="B237" s="4">
        <f t="shared" si="7"/>
        <v>227</v>
      </c>
      <c r="C237" s="3" t="s">
        <v>323</v>
      </c>
      <c r="D237" s="4" t="s">
        <v>410</v>
      </c>
      <c r="E237" s="8" t="s">
        <v>156</v>
      </c>
      <c r="F237" s="8" t="s">
        <v>20</v>
      </c>
      <c r="G237" s="13">
        <v>46</v>
      </c>
      <c r="H237" s="13">
        <v>7765000</v>
      </c>
      <c r="I237" s="13">
        <v>3</v>
      </c>
      <c r="J237" s="13">
        <v>495000</v>
      </c>
      <c r="K237" s="13">
        <v>1</v>
      </c>
      <c r="L237" s="13">
        <v>160000</v>
      </c>
      <c r="M237" s="4"/>
      <c r="N237" s="11">
        <f t="shared" si="6"/>
        <v>0</v>
      </c>
    </row>
    <row r="238" spans="2:14" x14ac:dyDescent="0.35">
      <c r="B238" s="4">
        <f t="shared" si="7"/>
        <v>228</v>
      </c>
      <c r="C238" s="3" t="s">
        <v>323</v>
      </c>
      <c r="D238" s="4" t="s">
        <v>410</v>
      </c>
      <c r="E238" s="8" t="s">
        <v>156</v>
      </c>
      <c r="F238" s="8" t="s">
        <v>22</v>
      </c>
      <c r="G238" s="13">
        <v>15</v>
      </c>
      <c r="H238" s="13">
        <v>2350000</v>
      </c>
      <c r="I238" s="13">
        <v>3</v>
      </c>
      <c r="J238" s="13">
        <v>290000</v>
      </c>
      <c r="K238" s="13">
        <v>3</v>
      </c>
      <c r="L238" s="13">
        <v>800000</v>
      </c>
      <c r="M238" s="4"/>
      <c r="N238" s="11">
        <f t="shared" si="6"/>
        <v>0</v>
      </c>
    </row>
    <row r="239" spans="2:14" x14ac:dyDescent="0.35">
      <c r="B239" s="4">
        <f t="shared" si="7"/>
        <v>229</v>
      </c>
      <c r="C239" s="3" t="s">
        <v>323</v>
      </c>
      <c r="D239" s="4" t="s">
        <v>410</v>
      </c>
      <c r="E239" s="8" t="s">
        <v>156</v>
      </c>
      <c r="F239" s="8" t="s">
        <v>190</v>
      </c>
      <c r="G239" s="13">
        <v>138</v>
      </c>
      <c r="H239" s="13">
        <v>21035000</v>
      </c>
      <c r="I239" s="13">
        <v>9</v>
      </c>
      <c r="J239" s="13">
        <v>1320000</v>
      </c>
      <c r="K239" s="13">
        <v>0</v>
      </c>
      <c r="L239" s="13">
        <v>0</v>
      </c>
      <c r="M239" s="4"/>
      <c r="N239" s="11">
        <f t="shared" si="6"/>
        <v>0</v>
      </c>
    </row>
    <row r="240" spans="2:14" x14ac:dyDescent="0.35">
      <c r="B240" s="4">
        <f t="shared" si="7"/>
        <v>230</v>
      </c>
      <c r="C240" s="3" t="s">
        <v>377</v>
      </c>
      <c r="D240" s="4" t="s">
        <v>483</v>
      </c>
      <c r="E240" s="8" t="s">
        <v>156</v>
      </c>
      <c r="F240" s="8" t="s">
        <v>20</v>
      </c>
      <c r="G240" s="13">
        <v>25</v>
      </c>
      <c r="H240" s="13">
        <v>3842000</v>
      </c>
      <c r="I240" s="13">
        <v>1</v>
      </c>
      <c r="J240" s="13">
        <v>175000</v>
      </c>
      <c r="K240" s="13">
        <v>0</v>
      </c>
      <c r="L240" s="13">
        <v>0</v>
      </c>
      <c r="M240" s="4"/>
      <c r="N240" s="11">
        <f t="shared" si="6"/>
        <v>0</v>
      </c>
    </row>
    <row r="241" spans="2:14" x14ac:dyDescent="0.35">
      <c r="B241" s="4">
        <f t="shared" si="7"/>
        <v>231</v>
      </c>
      <c r="C241" s="3" t="s">
        <v>377</v>
      </c>
      <c r="D241" s="4" t="s">
        <v>483</v>
      </c>
      <c r="E241" s="8" t="s">
        <v>156</v>
      </c>
      <c r="F241" s="8" t="s">
        <v>22</v>
      </c>
      <c r="G241" s="13">
        <v>14</v>
      </c>
      <c r="H241" s="13">
        <v>1658000</v>
      </c>
      <c r="I241" s="13">
        <v>4</v>
      </c>
      <c r="J241" s="13">
        <v>365000</v>
      </c>
      <c r="K241" s="13">
        <v>1</v>
      </c>
      <c r="L241" s="13">
        <v>300000</v>
      </c>
      <c r="M241" s="4"/>
      <c r="N241" s="11">
        <f t="shared" si="6"/>
        <v>0</v>
      </c>
    </row>
    <row r="242" spans="2:14" x14ac:dyDescent="0.35">
      <c r="B242" s="4">
        <f t="shared" si="7"/>
        <v>232</v>
      </c>
      <c r="C242" s="3" t="s">
        <v>377</v>
      </c>
      <c r="D242" s="4" t="s">
        <v>483</v>
      </c>
      <c r="E242" s="8" t="s">
        <v>156</v>
      </c>
      <c r="F242" s="8" t="s">
        <v>190</v>
      </c>
      <c r="G242" s="13">
        <v>111</v>
      </c>
      <c r="H242" s="13">
        <v>15430000</v>
      </c>
      <c r="I242" s="13">
        <v>14</v>
      </c>
      <c r="J242" s="13">
        <v>2025000</v>
      </c>
      <c r="K242" s="13">
        <v>0</v>
      </c>
      <c r="L242" s="13">
        <v>0</v>
      </c>
      <c r="M242" s="4"/>
      <c r="N242" s="11">
        <f t="shared" si="6"/>
        <v>0</v>
      </c>
    </row>
    <row r="243" spans="2:14" x14ac:dyDescent="0.35">
      <c r="B243" s="4">
        <f t="shared" si="7"/>
        <v>233</v>
      </c>
      <c r="C243" s="3" t="s">
        <v>378</v>
      </c>
      <c r="D243" s="4" t="s">
        <v>471</v>
      </c>
      <c r="E243" s="8" t="s">
        <v>156</v>
      </c>
      <c r="F243" s="8" t="s">
        <v>20</v>
      </c>
      <c r="G243" s="13">
        <v>20</v>
      </c>
      <c r="H243" s="13">
        <v>3425000</v>
      </c>
      <c r="I243" s="13">
        <v>1</v>
      </c>
      <c r="J243" s="13">
        <v>160000</v>
      </c>
      <c r="K243" s="13">
        <v>0</v>
      </c>
      <c r="L243" s="13">
        <v>0</v>
      </c>
      <c r="M243" s="4"/>
      <c r="N243" s="11">
        <f t="shared" si="6"/>
        <v>0</v>
      </c>
    </row>
    <row r="244" spans="2:14" x14ac:dyDescent="0.35">
      <c r="B244" s="4">
        <f t="shared" si="7"/>
        <v>234</v>
      </c>
      <c r="C244" s="3" t="s">
        <v>378</v>
      </c>
      <c r="D244" s="4" t="s">
        <v>471</v>
      </c>
      <c r="E244" s="8" t="s">
        <v>156</v>
      </c>
      <c r="F244" s="8" t="s">
        <v>22</v>
      </c>
      <c r="G244" s="13">
        <v>3</v>
      </c>
      <c r="H244" s="13">
        <v>290000</v>
      </c>
      <c r="I244" s="13">
        <v>4</v>
      </c>
      <c r="J244" s="13">
        <v>300000</v>
      </c>
      <c r="K244" s="13">
        <v>0</v>
      </c>
      <c r="L244" s="13">
        <v>0</v>
      </c>
      <c r="M244" s="4"/>
      <c r="N244" s="11">
        <f t="shared" si="6"/>
        <v>0</v>
      </c>
    </row>
    <row r="245" spans="2:14" x14ac:dyDescent="0.35">
      <c r="B245" s="4">
        <f t="shared" si="7"/>
        <v>235</v>
      </c>
      <c r="C245" s="3" t="s">
        <v>378</v>
      </c>
      <c r="D245" s="4" t="s">
        <v>471</v>
      </c>
      <c r="E245" s="8" t="s">
        <v>156</v>
      </c>
      <c r="F245" s="8" t="s">
        <v>190</v>
      </c>
      <c r="G245" s="13">
        <v>119</v>
      </c>
      <c r="H245" s="13">
        <v>18750000</v>
      </c>
      <c r="I245" s="13">
        <v>7</v>
      </c>
      <c r="J245" s="13">
        <v>1025000</v>
      </c>
      <c r="K245" s="13">
        <v>0</v>
      </c>
      <c r="L245" s="13">
        <v>0</v>
      </c>
      <c r="M245" s="4"/>
      <c r="N245" s="11">
        <f t="shared" si="6"/>
        <v>0</v>
      </c>
    </row>
    <row r="246" spans="2:14" x14ac:dyDescent="0.35">
      <c r="B246" s="4">
        <f t="shared" si="7"/>
        <v>236</v>
      </c>
      <c r="C246" s="4" t="s">
        <v>248</v>
      </c>
      <c r="D246" s="4" t="s">
        <v>420</v>
      </c>
      <c r="E246" s="8" t="s">
        <v>178</v>
      </c>
      <c r="F246" s="8" t="s">
        <v>20</v>
      </c>
      <c r="G246" s="13">
        <v>34</v>
      </c>
      <c r="H246" s="13">
        <v>3995000</v>
      </c>
      <c r="I246" s="13">
        <v>10</v>
      </c>
      <c r="J246" s="13">
        <v>1175000</v>
      </c>
      <c r="K246" s="13">
        <v>0</v>
      </c>
      <c r="L246" s="13">
        <v>0</v>
      </c>
      <c r="M246" s="4"/>
      <c r="N246" s="11">
        <f t="shared" si="6"/>
        <v>0</v>
      </c>
    </row>
    <row r="247" spans="2:14" x14ac:dyDescent="0.35">
      <c r="B247" s="4">
        <f t="shared" si="7"/>
        <v>237</v>
      </c>
      <c r="C247" s="4" t="s">
        <v>248</v>
      </c>
      <c r="D247" s="4" t="s">
        <v>420</v>
      </c>
      <c r="E247" s="8" t="s">
        <v>178</v>
      </c>
      <c r="F247" s="8" t="s">
        <v>22</v>
      </c>
      <c r="G247" s="13">
        <v>561</v>
      </c>
      <c r="H247" s="13">
        <v>131880000</v>
      </c>
      <c r="I247" s="13">
        <v>7</v>
      </c>
      <c r="J247" s="13">
        <v>480000</v>
      </c>
      <c r="K247" s="13">
        <v>147</v>
      </c>
      <c r="L247" s="13">
        <v>24920000</v>
      </c>
      <c r="M247" s="4"/>
      <c r="N247" s="11">
        <f t="shared" si="6"/>
        <v>0</v>
      </c>
    </row>
    <row r="248" spans="2:14" x14ac:dyDescent="0.35">
      <c r="B248" s="4">
        <f t="shared" si="7"/>
        <v>238</v>
      </c>
      <c r="C248" s="3" t="s">
        <v>248</v>
      </c>
      <c r="D248" s="4" t="s">
        <v>420</v>
      </c>
      <c r="E248" s="8" t="s">
        <v>178</v>
      </c>
      <c r="F248" s="8" t="s">
        <v>190</v>
      </c>
      <c r="G248" s="13">
        <v>8</v>
      </c>
      <c r="H248" s="13">
        <v>1280000</v>
      </c>
      <c r="I248" s="13">
        <v>0</v>
      </c>
      <c r="J248" s="13">
        <v>0</v>
      </c>
      <c r="K248" s="13">
        <v>0</v>
      </c>
      <c r="L248" s="13">
        <v>0</v>
      </c>
      <c r="M248" s="4"/>
      <c r="N248" s="11">
        <f t="shared" si="6"/>
        <v>0</v>
      </c>
    </row>
    <row r="249" spans="2:14" x14ac:dyDescent="0.35">
      <c r="B249" s="4">
        <f t="shared" si="7"/>
        <v>239</v>
      </c>
      <c r="C249" s="3" t="s">
        <v>311</v>
      </c>
      <c r="D249" s="4" t="s">
        <v>548</v>
      </c>
      <c r="E249" s="8" t="s">
        <v>178</v>
      </c>
      <c r="F249" s="8" t="s">
        <v>20</v>
      </c>
      <c r="G249" s="13">
        <v>97</v>
      </c>
      <c r="H249" s="13">
        <v>11080000</v>
      </c>
      <c r="I249" s="13">
        <v>0</v>
      </c>
      <c r="J249" s="13">
        <v>0</v>
      </c>
      <c r="K249" s="13">
        <v>0</v>
      </c>
      <c r="L249" s="13">
        <v>0</v>
      </c>
      <c r="M249" s="4"/>
      <c r="N249" s="11">
        <f t="shared" si="6"/>
        <v>0</v>
      </c>
    </row>
    <row r="250" spans="2:14" x14ac:dyDescent="0.35">
      <c r="B250" s="4">
        <f t="shared" si="7"/>
        <v>240</v>
      </c>
      <c r="C250" s="3" t="s">
        <v>311</v>
      </c>
      <c r="D250" s="4" t="s">
        <v>548</v>
      </c>
      <c r="E250" s="8" t="s">
        <v>178</v>
      </c>
      <c r="F250" s="8" t="s">
        <v>21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4"/>
      <c r="N250" s="11">
        <f t="shared" si="6"/>
        <v>0</v>
      </c>
    </row>
    <row r="251" spans="2:14" x14ac:dyDescent="0.35">
      <c r="B251" s="4">
        <f t="shared" si="7"/>
        <v>241</v>
      </c>
      <c r="C251" s="3" t="s">
        <v>311</v>
      </c>
      <c r="D251" s="4" t="s">
        <v>548</v>
      </c>
      <c r="E251" s="8" t="s">
        <v>178</v>
      </c>
      <c r="F251" s="8" t="s">
        <v>22</v>
      </c>
      <c r="G251" s="13">
        <v>189</v>
      </c>
      <c r="H251" s="13">
        <v>322749000</v>
      </c>
      <c r="I251" s="13">
        <v>6</v>
      </c>
      <c r="J251" s="13">
        <v>1080000</v>
      </c>
      <c r="K251" s="13">
        <v>10</v>
      </c>
      <c r="L251" s="13">
        <v>1925000</v>
      </c>
      <c r="M251" s="4"/>
      <c r="N251" s="11">
        <f t="shared" si="6"/>
        <v>0</v>
      </c>
    </row>
    <row r="252" spans="2:14" x14ac:dyDescent="0.35">
      <c r="B252" s="4">
        <f t="shared" si="7"/>
        <v>242</v>
      </c>
      <c r="C252" s="3" t="s">
        <v>311</v>
      </c>
      <c r="D252" s="4" t="s">
        <v>548</v>
      </c>
      <c r="E252" s="8" t="s">
        <v>178</v>
      </c>
      <c r="F252" s="8" t="s">
        <v>190</v>
      </c>
      <c r="G252" s="13">
        <v>11</v>
      </c>
      <c r="H252" s="13">
        <v>1740000</v>
      </c>
      <c r="I252" s="13">
        <v>0</v>
      </c>
      <c r="J252" s="13">
        <v>0</v>
      </c>
      <c r="K252" s="13">
        <v>0</v>
      </c>
      <c r="L252" s="13">
        <v>0</v>
      </c>
      <c r="M252" s="4"/>
      <c r="N252" s="11">
        <f t="shared" si="6"/>
        <v>0</v>
      </c>
    </row>
    <row r="253" spans="2:14" x14ac:dyDescent="0.35">
      <c r="B253" s="4">
        <f t="shared" si="7"/>
        <v>243</v>
      </c>
      <c r="C253" s="3" t="s">
        <v>360</v>
      </c>
      <c r="D253" s="4" t="s">
        <v>507</v>
      </c>
      <c r="E253" s="8" t="s">
        <v>178</v>
      </c>
      <c r="F253" s="8" t="s">
        <v>20</v>
      </c>
      <c r="G253" s="13">
        <v>66</v>
      </c>
      <c r="H253" s="13">
        <v>8384000</v>
      </c>
      <c r="I253" s="13">
        <v>0</v>
      </c>
      <c r="J253" s="13">
        <v>0</v>
      </c>
      <c r="K253" s="13">
        <v>0</v>
      </c>
      <c r="L253" s="13">
        <v>0</v>
      </c>
      <c r="M253" s="4"/>
      <c r="N253" s="11">
        <f t="shared" si="6"/>
        <v>0</v>
      </c>
    </row>
    <row r="254" spans="2:14" x14ac:dyDescent="0.35">
      <c r="B254" s="4">
        <f t="shared" si="7"/>
        <v>244</v>
      </c>
      <c r="C254" s="3" t="s">
        <v>360</v>
      </c>
      <c r="D254" s="4" t="s">
        <v>507</v>
      </c>
      <c r="E254" s="8" t="s">
        <v>178</v>
      </c>
      <c r="F254" s="8" t="s">
        <v>21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4"/>
      <c r="N254" s="11">
        <f t="shared" si="6"/>
        <v>0</v>
      </c>
    </row>
    <row r="255" spans="2:14" x14ac:dyDescent="0.35">
      <c r="B255" s="4">
        <f t="shared" si="7"/>
        <v>245</v>
      </c>
      <c r="C255" s="3" t="s">
        <v>360</v>
      </c>
      <c r="D255" s="4" t="s">
        <v>507</v>
      </c>
      <c r="E255" s="8" t="s">
        <v>178</v>
      </c>
      <c r="F255" s="8" t="s">
        <v>22</v>
      </c>
      <c r="G255" s="13">
        <v>715</v>
      </c>
      <c r="H255" s="13">
        <v>51366000</v>
      </c>
      <c r="I255" s="13">
        <v>8</v>
      </c>
      <c r="J255" s="13">
        <v>605000</v>
      </c>
      <c r="K255" s="13">
        <v>36</v>
      </c>
      <c r="L255" s="13">
        <v>6030000</v>
      </c>
      <c r="M255" s="4"/>
      <c r="N255" s="11">
        <f t="shared" si="6"/>
        <v>0</v>
      </c>
    </row>
    <row r="256" spans="2:14" x14ac:dyDescent="0.35">
      <c r="B256" s="4">
        <f t="shared" si="7"/>
        <v>246</v>
      </c>
      <c r="C256" s="3" t="s">
        <v>360</v>
      </c>
      <c r="D256" s="4" t="s">
        <v>507</v>
      </c>
      <c r="E256" s="8" t="s">
        <v>178</v>
      </c>
      <c r="F256" s="8" t="s">
        <v>190</v>
      </c>
      <c r="G256" s="13">
        <v>46</v>
      </c>
      <c r="H256" s="13">
        <v>6340000</v>
      </c>
      <c r="I256" s="13">
        <v>0</v>
      </c>
      <c r="J256" s="13">
        <v>0</v>
      </c>
      <c r="K256" s="13">
        <v>0</v>
      </c>
      <c r="L256" s="13">
        <v>0</v>
      </c>
      <c r="M256" s="4"/>
      <c r="N256" s="11">
        <f t="shared" si="6"/>
        <v>0</v>
      </c>
    </row>
    <row r="257" spans="2:14" x14ac:dyDescent="0.35">
      <c r="B257" s="4">
        <f t="shared" si="7"/>
        <v>247</v>
      </c>
      <c r="C257" s="3" t="s">
        <v>249</v>
      </c>
      <c r="D257" s="4" t="s">
        <v>485</v>
      </c>
      <c r="E257" s="8" t="s">
        <v>178</v>
      </c>
      <c r="F257" s="8" t="s">
        <v>20</v>
      </c>
      <c r="G257" s="13">
        <v>150</v>
      </c>
      <c r="H257" s="13">
        <v>17970000</v>
      </c>
      <c r="I257" s="13">
        <v>0</v>
      </c>
      <c r="J257" s="13">
        <v>0</v>
      </c>
      <c r="K257" s="13">
        <v>2</v>
      </c>
      <c r="L257" s="13">
        <v>220000</v>
      </c>
      <c r="M257" s="4"/>
      <c r="N257" s="11">
        <f t="shared" si="6"/>
        <v>0</v>
      </c>
    </row>
    <row r="258" spans="2:14" x14ac:dyDescent="0.35">
      <c r="B258" s="4">
        <f t="shared" si="7"/>
        <v>248</v>
      </c>
      <c r="C258" s="3" t="s">
        <v>249</v>
      </c>
      <c r="D258" s="4" t="s">
        <v>485</v>
      </c>
      <c r="E258" s="8" t="s">
        <v>178</v>
      </c>
      <c r="F258" s="8" t="s">
        <v>21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4"/>
      <c r="N258" s="11">
        <f t="shared" si="6"/>
        <v>0</v>
      </c>
    </row>
    <row r="259" spans="2:14" x14ac:dyDescent="0.35">
      <c r="B259" s="4">
        <f t="shared" si="7"/>
        <v>249</v>
      </c>
      <c r="C259" s="3" t="s">
        <v>249</v>
      </c>
      <c r="D259" s="4" t="s">
        <v>485</v>
      </c>
      <c r="E259" s="8" t="s">
        <v>178</v>
      </c>
      <c r="F259" s="8" t="s">
        <v>22</v>
      </c>
      <c r="G259" s="13">
        <v>317</v>
      </c>
      <c r="H259" s="13">
        <v>506445000</v>
      </c>
      <c r="I259" s="13">
        <v>5</v>
      </c>
      <c r="J259" s="13">
        <v>345000</v>
      </c>
      <c r="K259" s="13">
        <v>58</v>
      </c>
      <c r="L259" s="13">
        <v>11115000</v>
      </c>
      <c r="M259" s="4"/>
      <c r="N259" s="11">
        <f t="shared" si="6"/>
        <v>0</v>
      </c>
    </row>
    <row r="260" spans="2:14" x14ac:dyDescent="0.35">
      <c r="B260" s="4">
        <f t="shared" si="7"/>
        <v>250</v>
      </c>
      <c r="C260" s="3" t="s">
        <v>249</v>
      </c>
      <c r="D260" s="4" t="s">
        <v>485</v>
      </c>
      <c r="E260" s="8" t="s">
        <v>178</v>
      </c>
      <c r="F260" s="8" t="s">
        <v>190</v>
      </c>
      <c r="G260" s="13">
        <v>16</v>
      </c>
      <c r="H260" s="13">
        <v>2385000</v>
      </c>
      <c r="I260" s="13">
        <v>0</v>
      </c>
      <c r="J260" s="13">
        <v>0</v>
      </c>
      <c r="K260" s="13">
        <v>1</v>
      </c>
      <c r="L260" s="13">
        <v>180000</v>
      </c>
      <c r="M260" s="4"/>
      <c r="N260" s="11">
        <f t="shared" si="6"/>
        <v>0</v>
      </c>
    </row>
    <row r="261" spans="2:14" x14ac:dyDescent="0.35">
      <c r="B261" s="4">
        <f t="shared" si="7"/>
        <v>251</v>
      </c>
      <c r="C261" s="3" t="s">
        <v>389</v>
      </c>
      <c r="D261" s="4" t="s">
        <v>611</v>
      </c>
      <c r="E261" s="8" t="s">
        <v>178</v>
      </c>
      <c r="F261" s="8" t="s">
        <v>20</v>
      </c>
      <c r="G261" s="13">
        <v>25</v>
      </c>
      <c r="H261" s="13">
        <v>3420000</v>
      </c>
      <c r="I261" s="13">
        <v>0</v>
      </c>
      <c r="J261" s="13">
        <v>0</v>
      </c>
      <c r="K261" s="13">
        <v>0</v>
      </c>
      <c r="L261" s="13">
        <v>0</v>
      </c>
      <c r="M261" s="4"/>
      <c r="N261" s="11">
        <f t="shared" si="6"/>
        <v>0</v>
      </c>
    </row>
    <row r="262" spans="2:14" x14ac:dyDescent="0.35">
      <c r="B262" s="4">
        <f t="shared" si="7"/>
        <v>252</v>
      </c>
      <c r="C262" s="3" t="s">
        <v>389</v>
      </c>
      <c r="D262" s="4" t="s">
        <v>611</v>
      </c>
      <c r="E262" s="8" t="s">
        <v>178</v>
      </c>
      <c r="F262" s="8" t="s">
        <v>21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4"/>
      <c r="N262" s="11">
        <f t="shared" si="6"/>
        <v>0</v>
      </c>
    </row>
    <row r="263" spans="2:14" x14ac:dyDescent="0.35">
      <c r="B263" s="4">
        <f t="shared" si="7"/>
        <v>253</v>
      </c>
      <c r="C263" s="3" t="s">
        <v>389</v>
      </c>
      <c r="D263" s="4" t="s">
        <v>611</v>
      </c>
      <c r="E263" s="8" t="s">
        <v>178</v>
      </c>
      <c r="F263" s="8" t="s">
        <v>22</v>
      </c>
      <c r="G263" s="13">
        <v>705</v>
      </c>
      <c r="H263" s="13">
        <v>61460000</v>
      </c>
      <c r="I263" s="13">
        <v>8</v>
      </c>
      <c r="J263" s="13">
        <v>540000</v>
      </c>
      <c r="K263" s="13">
        <v>0</v>
      </c>
      <c r="L263" s="13">
        <v>0</v>
      </c>
      <c r="M263" s="4"/>
      <c r="N263" s="11">
        <f t="shared" si="6"/>
        <v>0</v>
      </c>
    </row>
    <row r="264" spans="2:14" x14ac:dyDescent="0.35">
      <c r="B264" s="4">
        <f t="shared" si="7"/>
        <v>254</v>
      </c>
      <c r="C264" s="3" t="s">
        <v>389</v>
      </c>
      <c r="D264" s="4" t="s">
        <v>611</v>
      </c>
      <c r="E264" s="8" t="s">
        <v>178</v>
      </c>
      <c r="F264" s="8" t="s">
        <v>190</v>
      </c>
      <c r="G264" s="13">
        <v>48</v>
      </c>
      <c r="H264" s="13">
        <v>7120000</v>
      </c>
      <c r="I264" s="13">
        <v>0</v>
      </c>
      <c r="J264" s="13">
        <v>0</v>
      </c>
      <c r="K264" s="13">
        <v>0</v>
      </c>
      <c r="L264" s="13">
        <v>0</v>
      </c>
      <c r="M264" s="4"/>
      <c r="N264" s="11">
        <f t="shared" si="6"/>
        <v>0</v>
      </c>
    </row>
    <row r="265" spans="2:14" x14ac:dyDescent="0.35">
      <c r="B265" s="4">
        <f t="shared" si="7"/>
        <v>255</v>
      </c>
      <c r="C265" s="3" t="s">
        <v>361</v>
      </c>
      <c r="D265" s="4" t="s">
        <v>561</v>
      </c>
      <c r="E265" s="8" t="s">
        <v>178</v>
      </c>
      <c r="F265" s="8" t="s">
        <v>20</v>
      </c>
      <c r="G265" s="13">
        <v>164</v>
      </c>
      <c r="H265" s="13">
        <v>21405000</v>
      </c>
      <c r="I265" s="13">
        <v>8</v>
      </c>
      <c r="J265" s="13">
        <v>1055000</v>
      </c>
      <c r="K265" s="13">
        <v>0</v>
      </c>
      <c r="L265" s="13">
        <v>0</v>
      </c>
      <c r="M265" s="4"/>
      <c r="N265" s="11">
        <f t="shared" si="6"/>
        <v>0</v>
      </c>
    </row>
    <row r="266" spans="2:14" x14ac:dyDescent="0.35">
      <c r="B266" s="4">
        <f t="shared" si="7"/>
        <v>256</v>
      </c>
      <c r="C266" s="3" t="s">
        <v>361</v>
      </c>
      <c r="D266" s="4" t="s">
        <v>561</v>
      </c>
      <c r="E266" s="8" t="s">
        <v>178</v>
      </c>
      <c r="F266" s="8" t="s">
        <v>21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4"/>
      <c r="N266" s="11">
        <f t="shared" si="6"/>
        <v>0</v>
      </c>
    </row>
    <row r="267" spans="2:14" x14ac:dyDescent="0.35">
      <c r="B267" s="4">
        <f t="shared" si="7"/>
        <v>257</v>
      </c>
      <c r="C267" s="3" t="s">
        <v>361</v>
      </c>
      <c r="D267" s="4" t="s">
        <v>561</v>
      </c>
      <c r="E267" s="8" t="s">
        <v>178</v>
      </c>
      <c r="F267" s="8" t="s">
        <v>22</v>
      </c>
      <c r="G267" s="13">
        <v>692</v>
      </c>
      <c r="H267" s="13">
        <v>192746500</v>
      </c>
      <c r="I267" s="13">
        <v>114</v>
      </c>
      <c r="J267" s="13">
        <v>7825000</v>
      </c>
      <c r="K267" s="13">
        <v>20</v>
      </c>
      <c r="L267" s="13">
        <v>3350000</v>
      </c>
      <c r="M267" s="4"/>
      <c r="N267" s="11">
        <f t="shared" ref="N267:N330" si="8">IFERROR((G267/M267)*100%, 0)</f>
        <v>0</v>
      </c>
    </row>
    <row r="268" spans="2:14" x14ac:dyDescent="0.35">
      <c r="B268" s="4">
        <f t="shared" si="7"/>
        <v>258</v>
      </c>
      <c r="C268" s="3" t="s">
        <v>361</v>
      </c>
      <c r="D268" s="4" t="s">
        <v>561</v>
      </c>
      <c r="E268" s="8" t="s">
        <v>178</v>
      </c>
      <c r="F268" s="8" t="s">
        <v>190</v>
      </c>
      <c r="G268" s="13">
        <v>63</v>
      </c>
      <c r="H268" s="13">
        <v>8840000</v>
      </c>
      <c r="I268" s="13">
        <v>5</v>
      </c>
      <c r="J268" s="13">
        <v>720000</v>
      </c>
      <c r="K268" s="13">
        <v>0</v>
      </c>
      <c r="L268" s="13">
        <v>0</v>
      </c>
      <c r="M268" s="4"/>
      <c r="N268" s="11">
        <f t="shared" si="8"/>
        <v>0</v>
      </c>
    </row>
    <row r="269" spans="2:14" x14ac:dyDescent="0.35">
      <c r="B269" s="4">
        <f t="shared" ref="B269:B332" si="9">B268+1</f>
        <v>259</v>
      </c>
      <c r="C269" s="3" t="s">
        <v>362</v>
      </c>
      <c r="D269" s="4" t="s">
        <v>546</v>
      </c>
      <c r="E269" s="8" t="s">
        <v>178</v>
      </c>
      <c r="F269" s="8" t="s">
        <v>20</v>
      </c>
      <c r="G269" s="13">
        <v>70</v>
      </c>
      <c r="H269" s="13">
        <v>7949000</v>
      </c>
      <c r="I269" s="13">
        <v>0</v>
      </c>
      <c r="J269" s="13">
        <v>0</v>
      </c>
      <c r="K269" s="13">
        <v>0</v>
      </c>
      <c r="L269" s="13">
        <v>0</v>
      </c>
      <c r="M269" s="4"/>
      <c r="N269" s="11">
        <f t="shared" si="8"/>
        <v>0</v>
      </c>
    </row>
    <row r="270" spans="2:14" x14ac:dyDescent="0.35">
      <c r="B270" s="4">
        <f t="shared" si="9"/>
        <v>260</v>
      </c>
      <c r="C270" s="3" t="s">
        <v>362</v>
      </c>
      <c r="D270" s="4" t="s">
        <v>546</v>
      </c>
      <c r="E270" s="8" t="s">
        <v>178</v>
      </c>
      <c r="F270" s="8" t="s">
        <v>21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4"/>
      <c r="N270" s="11">
        <f t="shared" si="8"/>
        <v>0</v>
      </c>
    </row>
    <row r="271" spans="2:14" x14ac:dyDescent="0.35">
      <c r="B271" s="4">
        <f t="shared" si="9"/>
        <v>261</v>
      </c>
      <c r="C271" s="3" t="s">
        <v>362</v>
      </c>
      <c r="D271" s="4" t="s">
        <v>546</v>
      </c>
      <c r="E271" s="8" t="s">
        <v>178</v>
      </c>
      <c r="F271" s="8" t="s">
        <v>22</v>
      </c>
      <c r="G271" s="13">
        <v>188</v>
      </c>
      <c r="H271" s="13">
        <v>25860000</v>
      </c>
      <c r="I271" s="13">
        <v>1</v>
      </c>
      <c r="J271" s="13">
        <v>75000</v>
      </c>
      <c r="K271" s="13">
        <v>2</v>
      </c>
      <c r="L271" s="13">
        <v>335000</v>
      </c>
      <c r="M271" s="4"/>
      <c r="N271" s="11">
        <f t="shared" si="8"/>
        <v>0</v>
      </c>
    </row>
    <row r="272" spans="2:14" x14ac:dyDescent="0.35">
      <c r="B272" s="4">
        <f t="shared" si="9"/>
        <v>262</v>
      </c>
      <c r="C272" s="3" t="s">
        <v>362</v>
      </c>
      <c r="D272" s="4" t="s">
        <v>546</v>
      </c>
      <c r="E272" s="8" t="s">
        <v>178</v>
      </c>
      <c r="F272" s="8" t="s">
        <v>190</v>
      </c>
      <c r="G272" s="13">
        <v>6</v>
      </c>
      <c r="H272" s="13">
        <v>925000</v>
      </c>
      <c r="I272" s="13">
        <v>0</v>
      </c>
      <c r="J272" s="13">
        <v>0</v>
      </c>
      <c r="K272" s="13">
        <v>0</v>
      </c>
      <c r="L272" s="13">
        <v>0</v>
      </c>
      <c r="M272" s="4"/>
      <c r="N272" s="11">
        <f t="shared" si="8"/>
        <v>0</v>
      </c>
    </row>
    <row r="273" spans="2:14" x14ac:dyDescent="0.35">
      <c r="B273" s="4">
        <f t="shared" si="9"/>
        <v>263</v>
      </c>
      <c r="C273" s="3" t="s">
        <v>209</v>
      </c>
      <c r="D273" s="4" t="s">
        <v>413</v>
      </c>
      <c r="E273" s="8" t="s">
        <v>178</v>
      </c>
      <c r="F273" s="8" t="s">
        <v>20</v>
      </c>
      <c r="G273" s="13">
        <v>40</v>
      </c>
      <c r="H273" s="13">
        <v>5179000</v>
      </c>
      <c r="I273" s="13">
        <v>0</v>
      </c>
      <c r="J273" s="13">
        <v>0</v>
      </c>
      <c r="K273" s="13">
        <v>0</v>
      </c>
      <c r="L273" s="13">
        <v>0</v>
      </c>
      <c r="M273" s="4"/>
      <c r="N273" s="11">
        <f t="shared" si="8"/>
        <v>0</v>
      </c>
    </row>
    <row r="274" spans="2:14" x14ac:dyDescent="0.35">
      <c r="B274" s="4">
        <f t="shared" si="9"/>
        <v>264</v>
      </c>
      <c r="C274" s="3" t="s">
        <v>209</v>
      </c>
      <c r="D274" s="4" t="s">
        <v>413</v>
      </c>
      <c r="E274" s="8" t="s">
        <v>178</v>
      </c>
      <c r="F274" s="8" t="s">
        <v>21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4"/>
      <c r="N274" s="11">
        <f t="shared" si="8"/>
        <v>0</v>
      </c>
    </row>
    <row r="275" spans="2:14" x14ac:dyDescent="0.35">
      <c r="B275" s="4">
        <f t="shared" si="9"/>
        <v>265</v>
      </c>
      <c r="C275" s="3" t="s">
        <v>209</v>
      </c>
      <c r="D275" s="4" t="s">
        <v>413</v>
      </c>
      <c r="E275" s="8" t="s">
        <v>178</v>
      </c>
      <c r="F275" s="8" t="s">
        <v>22</v>
      </c>
      <c r="G275" s="13">
        <v>507</v>
      </c>
      <c r="H275" s="13">
        <v>186240000</v>
      </c>
      <c r="I275" s="13">
        <v>11</v>
      </c>
      <c r="J275" s="13">
        <v>815000</v>
      </c>
      <c r="K275" s="13">
        <v>82</v>
      </c>
      <c r="L275" s="13">
        <v>13735000</v>
      </c>
      <c r="M275" s="4"/>
      <c r="N275" s="11">
        <f t="shared" si="8"/>
        <v>0</v>
      </c>
    </row>
    <row r="276" spans="2:14" x14ac:dyDescent="0.35">
      <c r="B276" s="4">
        <f t="shared" si="9"/>
        <v>266</v>
      </c>
      <c r="C276" s="3" t="s">
        <v>209</v>
      </c>
      <c r="D276" s="4" t="s">
        <v>413</v>
      </c>
      <c r="E276" s="8" t="s">
        <v>178</v>
      </c>
      <c r="F276" s="8" t="s">
        <v>190</v>
      </c>
      <c r="G276" s="13">
        <v>13</v>
      </c>
      <c r="H276" s="13">
        <v>1890000</v>
      </c>
      <c r="I276" s="13">
        <v>6</v>
      </c>
      <c r="J276" s="13">
        <v>750000</v>
      </c>
      <c r="K276" s="13">
        <v>0</v>
      </c>
      <c r="L276" s="13">
        <v>0</v>
      </c>
      <c r="M276" s="4"/>
      <c r="N276" s="11">
        <f t="shared" si="8"/>
        <v>0</v>
      </c>
    </row>
    <row r="277" spans="2:14" x14ac:dyDescent="0.35">
      <c r="B277" s="4">
        <f t="shared" si="9"/>
        <v>267</v>
      </c>
      <c r="C277" s="3" t="s">
        <v>250</v>
      </c>
      <c r="D277" s="4" t="s">
        <v>434</v>
      </c>
      <c r="E277" s="8" t="s">
        <v>178</v>
      </c>
      <c r="F277" s="8" t="s">
        <v>20</v>
      </c>
      <c r="G277" s="13">
        <v>137</v>
      </c>
      <c r="H277" s="13">
        <v>18169000</v>
      </c>
      <c r="I277" s="13">
        <v>0</v>
      </c>
      <c r="J277" s="13">
        <v>0</v>
      </c>
      <c r="K277" s="13">
        <v>0</v>
      </c>
      <c r="L277" s="13">
        <v>0</v>
      </c>
      <c r="M277" s="4"/>
      <c r="N277" s="11">
        <f t="shared" si="8"/>
        <v>0</v>
      </c>
    </row>
    <row r="278" spans="2:14" x14ac:dyDescent="0.35">
      <c r="B278" s="4">
        <f t="shared" si="9"/>
        <v>268</v>
      </c>
      <c r="C278" s="3" t="s">
        <v>250</v>
      </c>
      <c r="D278" s="4" t="s">
        <v>434</v>
      </c>
      <c r="E278" s="8" t="s">
        <v>178</v>
      </c>
      <c r="F278" s="8" t="s">
        <v>21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4"/>
      <c r="N278" s="11">
        <f t="shared" si="8"/>
        <v>0</v>
      </c>
    </row>
    <row r="279" spans="2:14" x14ac:dyDescent="0.35">
      <c r="B279" s="4">
        <f t="shared" si="9"/>
        <v>269</v>
      </c>
      <c r="C279" s="3" t="s">
        <v>250</v>
      </c>
      <c r="D279" s="4" t="s">
        <v>434</v>
      </c>
      <c r="E279" s="8" t="s">
        <v>178</v>
      </c>
      <c r="F279" s="8" t="s">
        <v>22</v>
      </c>
      <c r="G279" s="13">
        <v>383</v>
      </c>
      <c r="H279" s="13">
        <v>286705000</v>
      </c>
      <c r="I279" s="13">
        <v>8</v>
      </c>
      <c r="J279" s="13">
        <v>540000</v>
      </c>
      <c r="K279" s="13">
        <v>18</v>
      </c>
      <c r="L279" s="13">
        <v>3465000</v>
      </c>
      <c r="M279" s="4"/>
      <c r="N279" s="11">
        <f t="shared" si="8"/>
        <v>0</v>
      </c>
    </row>
    <row r="280" spans="2:14" x14ac:dyDescent="0.35">
      <c r="B280" s="4">
        <f t="shared" si="9"/>
        <v>270</v>
      </c>
      <c r="C280" s="3" t="s">
        <v>250</v>
      </c>
      <c r="D280" s="4" t="s">
        <v>434</v>
      </c>
      <c r="E280" s="8" t="s">
        <v>178</v>
      </c>
      <c r="F280" s="8" t="s">
        <v>190</v>
      </c>
      <c r="G280" s="13">
        <v>45</v>
      </c>
      <c r="H280" s="13">
        <v>6600000</v>
      </c>
      <c r="I280" s="13">
        <v>0</v>
      </c>
      <c r="J280" s="13">
        <v>0</v>
      </c>
      <c r="K280" s="13">
        <v>0</v>
      </c>
      <c r="L280" s="13">
        <v>0</v>
      </c>
      <c r="M280" s="4"/>
      <c r="N280" s="11">
        <f t="shared" si="8"/>
        <v>0</v>
      </c>
    </row>
    <row r="281" spans="2:14" x14ac:dyDescent="0.35">
      <c r="B281" s="4">
        <f t="shared" si="9"/>
        <v>271</v>
      </c>
      <c r="C281" s="3" t="s">
        <v>312</v>
      </c>
      <c r="D281" s="4" t="s">
        <v>542</v>
      </c>
      <c r="E281" s="8" t="s">
        <v>178</v>
      </c>
      <c r="F281" s="8" t="s">
        <v>20</v>
      </c>
      <c r="G281" s="13">
        <v>72</v>
      </c>
      <c r="H281" s="13">
        <v>9518000</v>
      </c>
      <c r="I281" s="13">
        <v>0</v>
      </c>
      <c r="J281" s="13">
        <v>0</v>
      </c>
      <c r="K281" s="13">
        <v>0</v>
      </c>
      <c r="L281" s="13">
        <v>0</v>
      </c>
      <c r="M281" s="4"/>
      <c r="N281" s="11">
        <f t="shared" si="8"/>
        <v>0</v>
      </c>
    </row>
    <row r="282" spans="2:14" x14ac:dyDescent="0.35">
      <c r="B282" s="4">
        <f t="shared" si="9"/>
        <v>272</v>
      </c>
      <c r="C282" s="3" t="s">
        <v>312</v>
      </c>
      <c r="D282" s="4" t="s">
        <v>542</v>
      </c>
      <c r="E282" s="8" t="s">
        <v>178</v>
      </c>
      <c r="F282" s="8" t="s">
        <v>21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4"/>
      <c r="N282" s="11">
        <f t="shared" si="8"/>
        <v>0</v>
      </c>
    </row>
    <row r="283" spans="2:14" x14ac:dyDescent="0.35">
      <c r="B283" s="4">
        <f t="shared" si="9"/>
        <v>273</v>
      </c>
      <c r="C283" s="3" t="s">
        <v>312</v>
      </c>
      <c r="D283" s="4" t="s">
        <v>542</v>
      </c>
      <c r="E283" s="8" t="s">
        <v>178</v>
      </c>
      <c r="F283" s="8" t="s">
        <v>22</v>
      </c>
      <c r="G283" s="13">
        <v>340</v>
      </c>
      <c r="H283" s="13">
        <v>26748000</v>
      </c>
      <c r="I283" s="13">
        <v>12</v>
      </c>
      <c r="J283" s="13">
        <v>940000</v>
      </c>
      <c r="K283" s="13">
        <v>34</v>
      </c>
      <c r="L283" s="13">
        <v>5695000</v>
      </c>
      <c r="M283" s="4"/>
      <c r="N283" s="11">
        <f t="shared" si="8"/>
        <v>0</v>
      </c>
    </row>
    <row r="284" spans="2:14" x14ac:dyDescent="0.35">
      <c r="B284" s="4">
        <f t="shared" si="9"/>
        <v>274</v>
      </c>
      <c r="C284" s="3" t="s">
        <v>312</v>
      </c>
      <c r="D284" s="4" t="s">
        <v>542</v>
      </c>
      <c r="E284" s="8" t="s">
        <v>178</v>
      </c>
      <c r="F284" s="8" t="s">
        <v>190</v>
      </c>
      <c r="G284" s="13">
        <v>34</v>
      </c>
      <c r="H284" s="13">
        <v>4850000</v>
      </c>
      <c r="I284" s="13">
        <v>2</v>
      </c>
      <c r="J284" s="13">
        <v>280000</v>
      </c>
      <c r="K284" s="13">
        <v>0</v>
      </c>
      <c r="L284" s="13">
        <v>0</v>
      </c>
      <c r="M284" s="4"/>
      <c r="N284" s="11">
        <f t="shared" si="8"/>
        <v>0</v>
      </c>
    </row>
    <row r="285" spans="2:14" x14ac:dyDescent="0.35">
      <c r="B285" s="4">
        <f t="shared" si="9"/>
        <v>275</v>
      </c>
      <c r="C285" s="3" t="s">
        <v>331</v>
      </c>
      <c r="D285" s="4" t="s">
        <v>577</v>
      </c>
      <c r="E285" s="8" t="s">
        <v>172</v>
      </c>
      <c r="F285" s="8" t="s">
        <v>21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4"/>
      <c r="N285" s="11">
        <f t="shared" si="8"/>
        <v>0</v>
      </c>
    </row>
    <row r="286" spans="2:14" x14ac:dyDescent="0.35">
      <c r="B286" s="4">
        <f t="shared" si="9"/>
        <v>276</v>
      </c>
      <c r="C286" s="3" t="s">
        <v>331</v>
      </c>
      <c r="D286" s="4" t="s">
        <v>577</v>
      </c>
      <c r="E286" s="8" t="s">
        <v>172</v>
      </c>
      <c r="F286" s="8" t="s">
        <v>22</v>
      </c>
      <c r="G286" s="13">
        <v>5</v>
      </c>
      <c r="H286" s="13">
        <v>1500000</v>
      </c>
      <c r="I286" s="13">
        <v>0</v>
      </c>
      <c r="J286" s="13">
        <v>0</v>
      </c>
      <c r="K286" s="13">
        <v>7</v>
      </c>
      <c r="L286" s="13">
        <v>1850000</v>
      </c>
      <c r="M286" s="4"/>
      <c r="N286" s="11">
        <f t="shared" si="8"/>
        <v>0</v>
      </c>
    </row>
    <row r="287" spans="2:14" x14ac:dyDescent="0.35">
      <c r="B287" s="4">
        <f t="shared" si="9"/>
        <v>277</v>
      </c>
      <c r="C287" s="3" t="s">
        <v>331</v>
      </c>
      <c r="D287" s="4" t="s">
        <v>577</v>
      </c>
      <c r="E287" s="8" t="s">
        <v>172</v>
      </c>
      <c r="F287" s="8" t="s">
        <v>190</v>
      </c>
      <c r="G287" s="13">
        <v>1</v>
      </c>
      <c r="H287" s="13">
        <v>125000</v>
      </c>
      <c r="I287" s="13">
        <v>0</v>
      </c>
      <c r="J287" s="13">
        <v>0</v>
      </c>
      <c r="K287" s="13">
        <v>0</v>
      </c>
      <c r="L287" s="13">
        <v>0</v>
      </c>
      <c r="M287" s="4"/>
      <c r="N287" s="11">
        <f t="shared" si="8"/>
        <v>0</v>
      </c>
    </row>
    <row r="288" spans="2:14" x14ac:dyDescent="0.35">
      <c r="B288" s="4">
        <f t="shared" si="9"/>
        <v>278</v>
      </c>
      <c r="C288" s="3" t="s">
        <v>332</v>
      </c>
      <c r="D288" s="4" t="s">
        <v>474</v>
      </c>
      <c r="E288" s="8" t="s">
        <v>172</v>
      </c>
      <c r="F288" s="8" t="s">
        <v>22</v>
      </c>
      <c r="G288" s="13">
        <v>10</v>
      </c>
      <c r="H288" s="13">
        <v>2400000</v>
      </c>
      <c r="I288" s="13">
        <v>0</v>
      </c>
      <c r="J288" s="13">
        <v>0</v>
      </c>
      <c r="K288" s="13">
        <v>7</v>
      </c>
      <c r="L288" s="13">
        <v>1860000</v>
      </c>
      <c r="M288" s="4"/>
      <c r="N288" s="11">
        <f t="shared" si="8"/>
        <v>0</v>
      </c>
    </row>
    <row r="289" spans="2:14" x14ac:dyDescent="0.35">
      <c r="B289" s="4">
        <f t="shared" si="9"/>
        <v>279</v>
      </c>
      <c r="C289" s="3" t="s">
        <v>332</v>
      </c>
      <c r="D289" s="4" t="s">
        <v>474</v>
      </c>
      <c r="E289" s="8" t="s">
        <v>172</v>
      </c>
      <c r="F289" s="8" t="s">
        <v>190</v>
      </c>
      <c r="G289" s="13">
        <v>14</v>
      </c>
      <c r="H289" s="13">
        <v>2100000</v>
      </c>
      <c r="I289" s="13">
        <v>0</v>
      </c>
      <c r="J289" s="13">
        <v>0</v>
      </c>
      <c r="K289" s="13">
        <v>0</v>
      </c>
      <c r="L289" s="13">
        <v>0</v>
      </c>
      <c r="M289" s="4"/>
      <c r="N289" s="11">
        <f t="shared" si="8"/>
        <v>0</v>
      </c>
    </row>
    <row r="290" spans="2:14" x14ac:dyDescent="0.35">
      <c r="B290" s="4">
        <f t="shared" si="9"/>
        <v>280</v>
      </c>
      <c r="C290" s="3" t="s">
        <v>392</v>
      </c>
      <c r="D290" s="4" t="s">
        <v>609</v>
      </c>
      <c r="E290" s="8" t="s">
        <v>172</v>
      </c>
      <c r="F290" s="8" t="s">
        <v>21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4"/>
      <c r="N290" s="11">
        <f t="shared" si="8"/>
        <v>0</v>
      </c>
    </row>
    <row r="291" spans="2:14" x14ac:dyDescent="0.35">
      <c r="B291" s="4">
        <f t="shared" si="9"/>
        <v>281</v>
      </c>
      <c r="C291" s="3" t="s">
        <v>392</v>
      </c>
      <c r="D291" s="4" t="s">
        <v>609</v>
      </c>
      <c r="E291" s="8" t="s">
        <v>172</v>
      </c>
      <c r="F291" s="8" t="s">
        <v>22</v>
      </c>
      <c r="G291" s="13">
        <v>1</v>
      </c>
      <c r="H291" s="13">
        <v>300000</v>
      </c>
      <c r="I291" s="13">
        <v>0</v>
      </c>
      <c r="J291" s="13">
        <v>0</v>
      </c>
      <c r="K291" s="13">
        <v>0</v>
      </c>
      <c r="L291" s="13">
        <v>0</v>
      </c>
      <c r="M291" s="4"/>
      <c r="N291" s="11">
        <f t="shared" si="8"/>
        <v>0</v>
      </c>
    </row>
    <row r="292" spans="2:14" x14ac:dyDescent="0.35">
      <c r="B292" s="4">
        <f t="shared" si="9"/>
        <v>282</v>
      </c>
      <c r="C292" s="3" t="s">
        <v>392</v>
      </c>
      <c r="D292" s="4" t="s">
        <v>609</v>
      </c>
      <c r="E292" s="8" t="s">
        <v>172</v>
      </c>
      <c r="F292" s="8" t="s">
        <v>190</v>
      </c>
      <c r="G292" s="13">
        <v>89</v>
      </c>
      <c r="H292" s="13">
        <v>11125000</v>
      </c>
      <c r="I292" s="13">
        <v>4</v>
      </c>
      <c r="J292" s="13">
        <v>500000</v>
      </c>
      <c r="K292" s="13">
        <v>0</v>
      </c>
      <c r="L292" s="13">
        <v>0</v>
      </c>
      <c r="M292" s="4"/>
      <c r="N292" s="11">
        <f t="shared" si="8"/>
        <v>0</v>
      </c>
    </row>
    <row r="293" spans="2:14" x14ac:dyDescent="0.35">
      <c r="B293" s="4">
        <f t="shared" si="9"/>
        <v>283</v>
      </c>
      <c r="C293" s="3" t="s">
        <v>620</v>
      </c>
      <c r="D293" s="4" t="s">
        <v>506</v>
      </c>
      <c r="E293" s="8" t="s">
        <v>172</v>
      </c>
      <c r="F293" s="8" t="s">
        <v>21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4"/>
      <c r="N293" s="11">
        <f t="shared" si="8"/>
        <v>0</v>
      </c>
    </row>
    <row r="294" spans="2:14" x14ac:dyDescent="0.35">
      <c r="B294" s="4">
        <f t="shared" si="9"/>
        <v>284</v>
      </c>
      <c r="C294" s="3" t="s">
        <v>620</v>
      </c>
      <c r="D294" s="4" t="s">
        <v>506</v>
      </c>
      <c r="E294" s="8" t="s">
        <v>172</v>
      </c>
      <c r="F294" s="8" t="s">
        <v>22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4"/>
      <c r="N294" s="11">
        <f t="shared" si="8"/>
        <v>0</v>
      </c>
    </row>
    <row r="295" spans="2:14" x14ac:dyDescent="0.35">
      <c r="B295" s="4">
        <f t="shared" si="9"/>
        <v>285</v>
      </c>
      <c r="C295" s="3" t="s">
        <v>620</v>
      </c>
      <c r="D295" s="4" t="s">
        <v>506</v>
      </c>
      <c r="E295" s="8" t="s">
        <v>172</v>
      </c>
      <c r="F295" s="8" t="s">
        <v>190</v>
      </c>
      <c r="G295" s="13">
        <v>36</v>
      </c>
      <c r="H295" s="13">
        <v>4500000</v>
      </c>
      <c r="I295" s="13">
        <v>0</v>
      </c>
      <c r="J295" s="13">
        <v>0</v>
      </c>
      <c r="K295" s="13">
        <v>0</v>
      </c>
      <c r="L295" s="13">
        <v>0</v>
      </c>
      <c r="M295" s="4"/>
      <c r="N295" s="11">
        <f t="shared" si="8"/>
        <v>0</v>
      </c>
    </row>
    <row r="296" spans="2:14" x14ac:dyDescent="0.35">
      <c r="B296" s="4">
        <f t="shared" si="9"/>
        <v>286</v>
      </c>
      <c r="C296" s="3" t="s">
        <v>333</v>
      </c>
      <c r="D296" s="4" t="s">
        <v>550</v>
      </c>
      <c r="E296" s="8" t="s">
        <v>172</v>
      </c>
      <c r="F296" s="8" t="s">
        <v>20</v>
      </c>
      <c r="G296" s="13">
        <v>1</v>
      </c>
      <c r="H296" s="13">
        <v>140000</v>
      </c>
      <c r="I296" s="13">
        <v>1</v>
      </c>
      <c r="J296" s="13">
        <v>140000</v>
      </c>
      <c r="K296" s="13">
        <v>0</v>
      </c>
      <c r="L296" s="13">
        <v>0</v>
      </c>
      <c r="M296" s="4"/>
      <c r="N296" s="11">
        <f t="shared" si="8"/>
        <v>0</v>
      </c>
    </row>
    <row r="297" spans="2:14" x14ac:dyDescent="0.35">
      <c r="B297" s="4">
        <f t="shared" si="9"/>
        <v>287</v>
      </c>
      <c r="C297" s="3" t="s">
        <v>333</v>
      </c>
      <c r="D297" s="4" t="s">
        <v>550</v>
      </c>
      <c r="E297" s="8" t="s">
        <v>172</v>
      </c>
      <c r="F297" s="8" t="s">
        <v>21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4"/>
      <c r="N297" s="11">
        <f t="shared" si="8"/>
        <v>0</v>
      </c>
    </row>
    <row r="298" spans="2:14" x14ac:dyDescent="0.35">
      <c r="B298" s="4">
        <f t="shared" si="9"/>
        <v>288</v>
      </c>
      <c r="C298" s="3" t="s">
        <v>333</v>
      </c>
      <c r="D298" s="4" t="s">
        <v>550</v>
      </c>
      <c r="E298" s="8" t="s">
        <v>172</v>
      </c>
      <c r="F298" s="8" t="s">
        <v>22</v>
      </c>
      <c r="G298" s="13">
        <v>1</v>
      </c>
      <c r="H298" s="13">
        <v>300000</v>
      </c>
      <c r="I298" s="13">
        <v>0</v>
      </c>
      <c r="J298" s="13">
        <v>0</v>
      </c>
      <c r="K298" s="13">
        <v>0</v>
      </c>
      <c r="L298" s="13">
        <v>0</v>
      </c>
      <c r="M298" s="4"/>
      <c r="N298" s="11">
        <f t="shared" si="8"/>
        <v>0</v>
      </c>
    </row>
    <row r="299" spans="2:14" x14ac:dyDescent="0.35">
      <c r="B299" s="4">
        <f t="shared" si="9"/>
        <v>289</v>
      </c>
      <c r="C299" s="3" t="s">
        <v>333</v>
      </c>
      <c r="D299" s="4" t="s">
        <v>550</v>
      </c>
      <c r="E299" s="8" t="s">
        <v>172</v>
      </c>
      <c r="F299" s="8" t="s">
        <v>190</v>
      </c>
      <c r="G299" s="13">
        <v>11</v>
      </c>
      <c r="H299" s="13">
        <v>1375000</v>
      </c>
      <c r="I299" s="13">
        <v>1</v>
      </c>
      <c r="J299" s="13">
        <v>125000</v>
      </c>
      <c r="K299" s="13">
        <v>0</v>
      </c>
      <c r="L299" s="13">
        <v>0</v>
      </c>
      <c r="M299" s="4"/>
      <c r="N299" s="11">
        <f t="shared" si="8"/>
        <v>0</v>
      </c>
    </row>
    <row r="300" spans="2:14" x14ac:dyDescent="0.35">
      <c r="B300" s="4">
        <f t="shared" si="9"/>
        <v>290</v>
      </c>
      <c r="C300" s="3" t="s">
        <v>355</v>
      </c>
      <c r="D300" s="4" t="s">
        <v>568</v>
      </c>
      <c r="E300" s="8" t="s">
        <v>172</v>
      </c>
      <c r="F300" s="8" t="s">
        <v>20</v>
      </c>
      <c r="G300" s="13">
        <v>31</v>
      </c>
      <c r="H300" s="13">
        <v>5810000</v>
      </c>
      <c r="I300" s="13">
        <v>0</v>
      </c>
      <c r="J300" s="13">
        <v>0</v>
      </c>
      <c r="K300" s="13">
        <v>0</v>
      </c>
      <c r="L300" s="13">
        <v>0</v>
      </c>
      <c r="M300" s="4"/>
      <c r="N300" s="11">
        <f t="shared" si="8"/>
        <v>0</v>
      </c>
    </row>
    <row r="301" spans="2:14" x14ac:dyDescent="0.35">
      <c r="B301" s="4">
        <f t="shared" si="9"/>
        <v>291</v>
      </c>
      <c r="C301" s="3" t="s">
        <v>355</v>
      </c>
      <c r="D301" s="4" t="s">
        <v>568</v>
      </c>
      <c r="E301" s="8" t="s">
        <v>172</v>
      </c>
      <c r="F301" s="8" t="s">
        <v>21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4"/>
      <c r="N301" s="11">
        <f t="shared" si="8"/>
        <v>0</v>
      </c>
    </row>
    <row r="302" spans="2:14" x14ac:dyDescent="0.35">
      <c r="B302" s="4">
        <f t="shared" si="9"/>
        <v>292</v>
      </c>
      <c r="C302" s="3" t="s">
        <v>355</v>
      </c>
      <c r="D302" s="4" t="s">
        <v>568</v>
      </c>
      <c r="E302" s="8" t="s">
        <v>172</v>
      </c>
      <c r="F302" s="8" t="s">
        <v>22</v>
      </c>
      <c r="G302" s="13">
        <v>11</v>
      </c>
      <c r="H302" s="13">
        <v>2820000</v>
      </c>
      <c r="I302" s="13">
        <v>0</v>
      </c>
      <c r="J302" s="13">
        <v>0</v>
      </c>
      <c r="K302" s="13">
        <v>3</v>
      </c>
      <c r="L302" s="13">
        <v>680000</v>
      </c>
      <c r="M302" s="4"/>
      <c r="N302" s="11">
        <f t="shared" si="8"/>
        <v>0</v>
      </c>
    </row>
    <row r="303" spans="2:14" x14ac:dyDescent="0.35">
      <c r="B303" s="4">
        <f t="shared" si="9"/>
        <v>293</v>
      </c>
      <c r="C303" s="3" t="s">
        <v>355</v>
      </c>
      <c r="D303" s="4" t="s">
        <v>568</v>
      </c>
      <c r="E303" s="8" t="s">
        <v>172</v>
      </c>
      <c r="F303" s="8" t="s">
        <v>190</v>
      </c>
      <c r="G303" s="13">
        <v>2</v>
      </c>
      <c r="H303" s="13">
        <v>250000</v>
      </c>
      <c r="I303" s="13">
        <v>0</v>
      </c>
      <c r="J303" s="13">
        <v>0</v>
      </c>
      <c r="K303" s="13">
        <v>0</v>
      </c>
      <c r="L303" s="13">
        <v>0</v>
      </c>
      <c r="M303" s="4"/>
      <c r="N303" s="11">
        <f t="shared" si="8"/>
        <v>0</v>
      </c>
    </row>
    <row r="304" spans="2:14" x14ac:dyDescent="0.35">
      <c r="B304" s="4">
        <f t="shared" si="9"/>
        <v>294</v>
      </c>
      <c r="C304" s="3" t="s">
        <v>334</v>
      </c>
      <c r="D304" s="4" t="s">
        <v>480</v>
      </c>
      <c r="E304" s="8" t="s">
        <v>172</v>
      </c>
      <c r="F304" s="8" t="s">
        <v>20</v>
      </c>
      <c r="G304" s="13">
        <v>6</v>
      </c>
      <c r="H304" s="13">
        <v>875000</v>
      </c>
      <c r="I304" s="13">
        <v>1</v>
      </c>
      <c r="J304" s="13">
        <v>140000</v>
      </c>
      <c r="K304" s="13">
        <v>0</v>
      </c>
      <c r="L304" s="13">
        <v>0</v>
      </c>
      <c r="M304" s="4"/>
      <c r="N304" s="11">
        <f t="shared" si="8"/>
        <v>0</v>
      </c>
    </row>
    <row r="305" spans="2:14" x14ac:dyDescent="0.35">
      <c r="B305" s="4">
        <f t="shared" si="9"/>
        <v>295</v>
      </c>
      <c r="C305" s="3" t="s">
        <v>334</v>
      </c>
      <c r="D305" s="4" t="s">
        <v>480</v>
      </c>
      <c r="E305" s="8" t="s">
        <v>172</v>
      </c>
      <c r="F305" s="8" t="s">
        <v>21</v>
      </c>
      <c r="G305" s="13">
        <v>0</v>
      </c>
      <c r="H305" s="13">
        <v>0</v>
      </c>
      <c r="I305" s="13">
        <v>0</v>
      </c>
      <c r="J305" s="13">
        <v>0</v>
      </c>
      <c r="K305" s="13">
        <v>0</v>
      </c>
      <c r="L305" s="13">
        <v>0</v>
      </c>
      <c r="M305" s="4"/>
      <c r="N305" s="11">
        <f t="shared" si="8"/>
        <v>0</v>
      </c>
    </row>
    <row r="306" spans="2:14" x14ac:dyDescent="0.35">
      <c r="B306" s="4">
        <f t="shared" si="9"/>
        <v>296</v>
      </c>
      <c r="C306" s="3" t="s">
        <v>334</v>
      </c>
      <c r="D306" s="4" t="s">
        <v>480</v>
      </c>
      <c r="E306" s="8" t="s">
        <v>172</v>
      </c>
      <c r="F306" s="8" t="s">
        <v>22</v>
      </c>
      <c r="G306" s="13">
        <v>24</v>
      </c>
      <c r="H306" s="13">
        <v>2559000</v>
      </c>
      <c r="I306" s="13">
        <v>6</v>
      </c>
      <c r="J306" s="13">
        <v>588000</v>
      </c>
      <c r="K306" s="13">
        <v>4</v>
      </c>
      <c r="L306" s="13">
        <v>1150000</v>
      </c>
      <c r="M306" s="4"/>
      <c r="N306" s="11">
        <f t="shared" si="8"/>
        <v>0</v>
      </c>
    </row>
    <row r="307" spans="2:14" x14ac:dyDescent="0.35">
      <c r="B307" s="4">
        <f t="shared" si="9"/>
        <v>297</v>
      </c>
      <c r="C307" s="3" t="s">
        <v>334</v>
      </c>
      <c r="D307" s="4" t="s">
        <v>480</v>
      </c>
      <c r="E307" s="8" t="s">
        <v>172</v>
      </c>
      <c r="F307" s="8" t="s">
        <v>190</v>
      </c>
      <c r="G307" s="13">
        <v>12</v>
      </c>
      <c r="H307" s="13">
        <v>1500000</v>
      </c>
      <c r="I307" s="13">
        <v>0</v>
      </c>
      <c r="J307" s="13">
        <v>0</v>
      </c>
      <c r="K307" s="13">
        <v>0</v>
      </c>
      <c r="L307" s="13">
        <v>0</v>
      </c>
      <c r="M307" s="4"/>
      <c r="N307" s="11">
        <f t="shared" si="8"/>
        <v>0</v>
      </c>
    </row>
    <row r="308" spans="2:14" x14ac:dyDescent="0.35">
      <c r="B308" s="4">
        <f t="shared" si="9"/>
        <v>298</v>
      </c>
      <c r="C308" s="3" t="s">
        <v>282</v>
      </c>
      <c r="D308" s="4" t="s">
        <v>414</v>
      </c>
      <c r="E308" s="8" t="s">
        <v>172</v>
      </c>
      <c r="F308" s="8" t="s">
        <v>20</v>
      </c>
      <c r="G308" s="13">
        <v>6</v>
      </c>
      <c r="H308" s="13">
        <v>924000</v>
      </c>
      <c r="I308" s="13">
        <v>4</v>
      </c>
      <c r="J308" s="13">
        <v>640000</v>
      </c>
      <c r="K308" s="13">
        <v>0</v>
      </c>
      <c r="L308" s="13">
        <v>0</v>
      </c>
      <c r="M308" s="4"/>
      <c r="N308" s="11">
        <f t="shared" si="8"/>
        <v>0</v>
      </c>
    </row>
    <row r="309" spans="2:14" x14ac:dyDescent="0.35">
      <c r="B309" s="4">
        <f t="shared" si="9"/>
        <v>299</v>
      </c>
      <c r="C309" s="3" t="s">
        <v>282</v>
      </c>
      <c r="D309" s="4" t="s">
        <v>414</v>
      </c>
      <c r="E309" s="8" t="s">
        <v>172</v>
      </c>
      <c r="F309" s="8" t="s">
        <v>21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4"/>
      <c r="N309" s="11">
        <f t="shared" si="8"/>
        <v>0</v>
      </c>
    </row>
    <row r="310" spans="2:14" x14ac:dyDescent="0.35">
      <c r="B310" s="4">
        <f t="shared" si="9"/>
        <v>300</v>
      </c>
      <c r="C310" s="3" t="s">
        <v>282</v>
      </c>
      <c r="D310" s="4" t="s">
        <v>414</v>
      </c>
      <c r="E310" s="8" t="s">
        <v>172</v>
      </c>
      <c r="F310" s="8" t="s">
        <v>22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4"/>
      <c r="N310" s="11">
        <f t="shared" si="8"/>
        <v>0</v>
      </c>
    </row>
    <row r="311" spans="2:14" x14ac:dyDescent="0.35">
      <c r="B311" s="4">
        <f t="shared" si="9"/>
        <v>301</v>
      </c>
      <c r="C311" s="3" t="s">
        <v>282</v>
      </c>
      <c r="D311" s="4" t="s">
        <v>414</v>
      </c>
      <c r="E311" s="8" t="s">
        <v>172</v>
      </c>
      <c r="F311" s="8" t="s">
        <v>190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4"/>
      <c r="N311" s="11">
        <f t="shared" si="8"/>
        <v>0</v>
      </c>
    </row>
    <row r="312" spans="2:14" x14ac:dyDescent="0.35">
      <c r="B312" s="4">
        <f t="shared" si="9"/>
        <v>302</v>
      </c>
      <c r="C312" s="3" t="s">
        <v>350</v>
      </c>
      <c r="D312" s="4" t="s">
        <v>519</v>
      </c>
      <c r="E312" s="8" t="s">
        <v>148</v>
      </c>
      <c r="F312" s="8" t="s">
        <v>20</v>
      </c>
      <c r="G312" s="13">
        <v>20</v>
      </c>
      <c r="H312" s="13">
        <v>5877000</v>
      </c>
      <c r="I312" s="13">
        <v>0</v>
      </c>
      <c r="J312" s="13">
        <v>0</v>
      </c>
      <c r="K312" s="13">
        <v>0</v>
      </c>
      <c r="L312" s="13">
        <v>0</v>
      </c>
      <c r="M312" s="4"/>
      <c r="N312" s="11">
        <f t="shared" si="8"/>
        <v>0</v>
      </c>
    </row>
    <row r="313" spans="2:14" x14ac:dyDescent="0.35">
      <c r="B313" s="4">
        <f t="shared" si="9"/>
        <v>303</v>
      </c>
      <c r="C313" s="3" t="s">
        <v>350</v>
      </c>
      <c r="D313" s="4" t="s">
        <v>519</v>
      </c>
      <c r="E313" s="8" t="s">
        <v>148</v>
      </c>
      <c r="F313" s="8" t="s">
        <v>22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4"/>
      <c r="N313" s="11">
        <f t="shared" si="8"/>
        <v>0</v>
      </c>
    </row>
    <row r="314" spans="2:14" x14ac:dyDescent="0.35">
      <c r="B314" s="4">
        <f t="shared" si="9"/>
        <v>304</v>
      </c>
      <c r="C314" s="3" t="s">
        <v>350</v>
      </c>
      <c r="D314" s="4" t="s">
        <v>519</v>
      </c>
      <c r="E314" s="8" t="s">
        <v>148</v>
      </c>
      <c r="F314" s="8" t="s">
        <v>190</v>
      </c>
      <c r="G314" s="13">
        <v>4</v>
      </c>
      <c r="H314" s="13">
        <v>640000</v>
      </c>
      <c r="I314" s="13">
        <v>0</v>
      </c>
      <c r="J314" s="13">
        <v>0</v>
      </c>
      <c r="K314" s="13">
        <v>1</v>
      </c>
      <c r="L314" s="13">
        <v>160000</v>
      </c>
      <c r="M314" s="4"/>
      <c r="N314" s="11">
        <f t="shared" si="8"/>
        <v>0</v>
      </c>
    </row>
    <row r="315" spans="2:14" x14ac:dyDescent="0.35">
      <c r="B315" s="4">
        <f t="shared" si="9"/>
        <v>305</v>
      </c>
      <c r="C315" s="3" t="s">
        <v>274</v>
      </c>
      <c r="D315" s="4" t="s">
        <v>490</v>
      </c>
      <c r="E315" s="8" t="s">
        <v>148</v>
      </c>
      <c r="F315" s="8" t="s">
        <v>20</v>
      </c>
      <c r="G315" s="13">
        <v>66</v>
      </c>
      <c r="H315" s="13">
        <v>13065200</v>
      </c>
      <c r="I315" s="13">
        <v>4</v>
      </c>
      <c r="J315" s="13">
        <v>700000</v>
      </c>
      <c r="K315" s="13">
        <v>0</v>
      </c>
      <c r="L315" s="13">
        <v>0</v>
      </c>
      <c r="M315" s="4"/>
      <c r="N315" s="11">
        <f t="shared" si="8"/>
        <v>0</v>
      </c>
    </row>
    <row r="316" spans="2:14" x14ac:dyDescent="0.35">
      <c r="B316" s="4">
        <f t="shared" si="9"/>
        <v>306</v>
      </c>
      <c r="C316" s="3" t="s">
        <v>274</v>
      </c>
      <c r="D316" s="4" t="s">
        <v>490</v>
      </c>
      <c r="E316" s="8" t="s">
        <v>148</v>
      </c>
      <c r="F316" s="8" t="s">
        <v>22</v>
      </c>
      <c r="G316" s="13">
        <v>268</v>
      </c>
      <c r="H316" s="13">
        <v>68028000</v>
      </c>
      <c r="I316" s="13">
        <v>17</v>
      </c>
      <c r="J316" s="13">
        <v>1845000</v>
      </c>
      <c r="K316" s="13">
        <v>27</v>
      </c>
      <c r="L316" s="13">
        <v>7860000</v>
      </c>
      <c r="M316" s="4"/>
      <c r="N316" s="11">
        <f t="shared" si="8"/>
        <v>0</v>
      </c>
    </row>
    <row r="317" spans="2:14" x14ac:dyDescent="0.35">
      <c r="B317" s="4">
        <f t="shared" si="9"/>
        <v>307</v>
      </c>
      <c r="C317" s="3" t="s">
        <v>274</v>
      </c>
      <c r="D317" s="4" t="s">
        <v>490</v>
      </c>
      <c r="E317" s="8" t="s">
        <v>148</v>
      </c>
      <c r="F317" s="8" t="s">
        <v>19</v>
      </c>
      <c r="G317" s="13">
        <v>3</v>
      </c>
      <c r="H317" s="13">
        <v>16500000</v>
      </c>
      <c r="I317" s="13">
        <v>0</v>
      </c>
      <c r="J317" s="13">
        <v>0</v>
      </c>
      <c r="K317" s="13">
        <v>0</v>
      </c>
      <c r="L317" s="13">
        <v>0</v>
      </c>
      <c r="M317" s="4"/>
      <c r="N317" s="11">
        <f t="shared" si="8"/>
        <v>0</v>
      </c>
    </row>
    <row r="318" spans="2:14" x14ac:dyDescent="0.35">
      <c r="B318" s="4">
        <f t="shared" si="9"/>
        <v>308</v>
      </c>
      <c r="C318" s="3" t="s">
        <v>274</v>
      </c>
      <c r="D318" s="4" t="s">
        <v>490</v>
      </c>
      <c r="E318" s="8" t="s">
        <v>148</v>
      </c>
      <c r="F318" s="8" t="s">
        <v>190</v>
      </c>
      <c r="G318" s="13">
        <v>123</v>
      </c>
      <c r="H318" s="13">
        <v>17285000</v>
      </c>
      <c r="I318" s="13">
        <v>6</v>
      </c>
      <c r="J318" s="13">
        <v>855000</v>
      </c>
      <c r="K318" s="13">
        <v>1</v>
      </c>
      <c r="L318" s="13">
        <v>160000</v>
      </c>
      <c r="M318" s="4"/>
      <c r="N318" s="11">
        <f t="shared" si="8"/>
        <v>0</v>
      </c>
    </row>
    <row r="319" spans="2:14" x14ac:dyDescent="0.35">
      <c r="B319" s="4">
        <f t="shared" si="9"/>
        <v>309</v>
      </c>
      <c r="C319" s="3" t="s">
        <v>388</v>
      </c>
      <c r="D319" s="4" t="s">
        <v>600</v>
      </c>
      <c r="E319" s="8" t="s">
        <v>148</v>
      </c>
      <c r="F319" s="8" t="s">
        <v>20</v>
      </c>
      <c r="G319" s="13">
        <v>17</v>
      </c>
      <c r="H319" s="13">
        <v>3487000</v>
      </c>
      <c r="I319" s="13">
        <v>0</v>
      </c>
      <c r="J319" s="13">
        <v>0</v>
      </c>
      <c r="K319" s="13">
        <v>0</v>
      </c>
      <c r="L319" s="13">
        <v>0</v>
      </c>
      <c r="M319" s="4"/>
      <c r="N319" s="11">
        <f t="shared" si="8"/>
        <v>0</v>
      </c>
    </row>
    <row r="320" spans="2:14" x14ac:dyDescent="0.35">
      <c r="B320" s="4">
        <f t="shared" si="9"/>
        <v>310</v>
      </c>
      <c r="C320" s="3" t="s">
        <v>388</v>
      </c>
      <c r="D320" s="4" t="s">
        <v>600</v>
      </c>
      <c r="E320" s="8" t="s">
        <v>148</v>
      </c>
      <c r="F320" s="8" t="s">
        <v>22</v>
      </c>
      <c r="G320" s="13">
        <v>372</v>
      </c>
      <c r="H320" s="13">
        <v>103633000</v>
      </c>
      <c r="I320" s="13">
        <v>18</v>
      </c>
      <c r="J320" s="13">
        <v>2200000</v>
      </c>
      <c r="K320" s="13">
        <v>8</v>
      </c>
      <c r="L320" s="13">
        <v>2400000</v>
      </c>
      <c r="M320" s="4"/>
      <c r="N320" s="11">
        <f t="shared" si="8"/>
        <v>0</v>
      </c>
    </row>
    <row r="321" spans="2:14" x14ac:dyDescent="0.35">
      <c r="B321" s="4">
        <f t="shared" si="9"/>
        <v>311</v>
      </c>
      <c r="C321" s="3" t="s">
        <v>388</v>
      </c>
      <c r="D321" s="4" t="s">
        <v>600</v>
      </c>
      <c r="E321" s="8" t="s">
        <v>148</v>
      </c>
      <c r="F321" s="8" t="s">
        <v>190</v>
      </c>
      <c r="G321" s="13">
        <v>121</v>
      </c>
      <c r="H321" s="13">
        <v>15335000</v>
      </c>
      <c r="I321" s="13">
        <v>0</v>
      </c>
      <c r="J321" s="13">
        <v>0</v>
      </c>
      <c r="K321" s="13">
        <v>0</v>
      </c>
      <c r="L321" s="13">
        <v>0</v>
      </c>
      <c r="M321" s="4"/>
      <c r="N321" s="11">
        <f t="shared" si="8"/>
        <v>0</v>
      </c>
    </row>
    <row r="322" spans="2:14" x14ac:dyDescent="0.35">
      <c r="B322" s="4">
        <f t="shared" si="9"/>
        <v>312</v>
      </c>
      <c r="C322" s="3" t="s">
        <v>275</v>
      </c>
      <c r="D322" s="4" t="s">
        <v>492</v>
      </c>
      <c r="E322" s="8" t="s">
        <v>148</v>
      </c>
      <c r="F322" s="8" t="s">
        <v>20</v>
      </c>
      <c r="G322" s="13">
        <v>22</v>
      </c>
      <c r="H322" s="13">
        <v>3745000</v>
      </c>
      <c r="I322" s="13">
        <v>0</v>
      </c>
      <c r="J322" s="13">
        <v>0</v>
      </c>
      <c r="K322" s="13">
        <v>0</v>
      </c>
      <c r="L322" s="13">
        <v>0</v>
      </c>
      <c r="M322" s="4"/>
      <c r="N322" s="11">
        <f t="shared" si="8"/>
        <v>0</v>
      </c>
    </row>
    <row r="323" spans="2:14" x14ac:dyDescent="0.35">
      <c r="B323" s="4">
        <f t="shared" si="9"/>
        <v>313</v>
      </c>
      <c r="C323" s="3" t="s">
        <v>275</v>
      </c>
      <c r="D323" s="4" t="s">
        <v>492</v>
      </c>
      <c r="E323" s="8" t="s">
        <v>148</v>
      </c>
      <c r="F323" s="8" t="s">
        <v>22</v>
      </c>
      <c r="G323" s="13">
        <v>273</v>
      </c>
      <c r="H323" s="13">
        <v>80330000</v>
      </c>
      <c r="I323" s="13">
        <v>11</v>
      </c>
      <c r="J323" s="13">
        <v>1275000</v>
      </c>
      <c r="K323" s="13">
        <v>21</v>
      </c>
      <c r="L323" s="13">
        <v>6250000</v>
      </c>
      <c r="M323" s="4"/>
      <c r="N323" s="11">
        <f t="shared" si="8"/>
        <v>0</v>
      </c>
    </row>
    <row r="324" spans="2:14" x14ac:dyDescent="0.35">
      <c r="B324" s="4">
        <f t="shared" si="9"/>
        <v>314</v>
      </c>
      <c r="C324" s="3" t="s">
        <v>275</v>
      </c>
      <c r="D324" s="4" t="s">
        <v>492</v>
      </c>
      <c r="E324" s="8" t="s">
        <v>148</v>
      </c>
      <c r="F324" s="8" t="s">
        <v>190</v>
      </c>
      <c r="G324" s="13">
        <v>96</v>
      </c>
      <c r="H324" s="13">
        <v>12625000</v>
      </c>
      <c r="I324" s="13">
        <v>3</v>
      </c>
      <c r="J324" s="13">
        <v>375000</v>
      </c>
      <c r="K324" s="13">
        <v>0</v>
      </c>
      <c r="L324" s="13">
        <v>0</v>
      </c>
      <c r="M324" s="4"/>
      <c r="N324" s="11">
        <f t="shared" si="8"/>
        <v>0</v>
      </c>
    </row>
    <row r="325" spans="2:14" x14ac:dyDescent="0.35">
      <c r="B325" s="4">
        <f t="shared" si="9"/>
        <v>315</v>
      </c>
      <c r="C325" s="3" t="s">
        <v>246</v>
      </c>
      <c r="D325" s="4" t="s">
        <v>451</v>
      </c>
      <c r="E325" s="8" t="s">
        <v>148</v>
      </c>
      <c r="F325" s="8" t="s">
        <v>22</v>
      </c>
      <c r="G325" s="13">
        <v>89</v>
      </c>
      <c r="H325" s="13">
        <v>13580000</v>
      </c>
      <c r="I325" s="13">
        <v>27</v>
      </c>
      <c r="J325" s="13">
        <v>2735000</v>
      </c>
      <c r="K325" s="13">
        <v>6</v>
      </c>
      <c r="L325" s="13">
        <v>1800000</v>
      </c>
      <c r="M325" s="4"/>
      <c r="N325" s="11">
        <f t="shared" si="8"/>
        <v>0</v>
      </c>
    </row>
    <row r="326" spans="2:14" x14ac:dyDescent="0.35">
      <c r="B326" s="4">
        <f t="shared" si="9"/>
        <v>316</v>
      </c>
      <c r="C326" s="3" t="s">
        <v>246</v>
      </c>
      <c r="D326" s="4" t="s">
        <v>451</v>
      </c>
      <c r="E326" s="8" t="s">
        <v>148</v>
      </c>
      <c r="F326" s="8" t="s">
        <v>190</v>
      </c>
      <c r="G326" s="13">
        <v>52</v>
      </c>
      <c r="H326" s="13">
        <v>6680000</v>
      </c>
      <c r="I326" s="13">
        <v>0</v>
      </c>
      <c r="J326" s="13">
        <v>0</v>
      </c>
      <c r="K326" s="13">
        <v>0</v>
      </c>
      <c r="L326" s="13">
        <v>0</v>
      </c>
      <c r="M326" s="4"/>
      <c r="N326" s="11">
        <f t="shared" si="8"/>
        <v>0</v>
      </c>
    </row>
    <row r="327" spans="2:14" x14ac:dyDescent="0.35">
      <c r="B327" s="4">
        <f t="shared" si="9"/>
        <v>317</v>
      </c>
      <c r="C327" s="3" t="s">
        <v>276</v>
      </c>
      <c r="D327" s="4" t="s">
        <v>494</v>
      </c>
      <c r="E327" s="8" t="s">
        <v>148</v>
      </c>
      <c r="F327" s="8" t="s">
        <v>22</v>
      </c>
      <c r="G327" s="13">
        <v>2</v>
      </c>
      <c r="H327" s="13">
        <v>280000</v>
      </c>
      <c r="I327" s="13">
        <v>0</v>
      </c>
      <c r="J327" s="13">
        <v>0</v>
      </c>
      <c r="K327" s="13">
        <v>0</v>
      </c>
      <c r="L327" s="13">
        <v>0</v>
      </c>
      <c r="M327" s="4"/>
      <c r="N327" s="11">
        <f t="shared" si="8"/>
        <v>0</v>
      </c>
    </row>
    <row r="328" spans="2:14" x14ac:dyDescent="0.35">
      <c r="B328" s="4">
        <f t="shared" si="9"/>
        <v>318</v>
      </c>
      <c r="C328" s="3" t="s">
        <v>276</v>
      </c>
      <c r="D328" s="4" t="s">
        <v>494</v>
      </c>
      <c r="E328" s="8" t="s">
        <v>148</v>
      </c>
      <c r="F328" s="8" t="s">
        <v>190</v>
      </c>
      <c r="G328" s="13">
        <v>1</v>
      </c>
      <c r="H328" s="13">
        <v>125000</v>
      </c>
      <c r="I328" s="13">
        <v>1</v>
      </c>
      <c r="J328" s="13">
        <v>140000</v>
      </c>
      <c r="K328" s="13">
        <v>0</v>
      </c>
      <c r="L328" s="13">
        <v>0</v>
      </c>
      <c r="M328" s="4"/>
      <c r="N328" s="11">
        <f t="shared" si="8"/>
        <v>0</v>
      </c>
    </row>
    <row r="329" spans="2:14" x14ac:dyDescent="0.35">
      <c r="B329" s="4">
        <f t="shared" si="9"/>
        <v>319</v>
      </c>
      <c r="C329" s="3" t="s">
        <v>327</v>
      </c>
      <c r="D329" s="4" t="s">
        <v>513</v>
      </c>
      <c r="E329" s="8" t="s">
        <v>148</v>
      </c>
      <c r="F329" s="8" t="s">
        <v>20</v>
      </c>
      <c r="G329" s="13">
        <v>1</v>
      </c>
      <c r="H329" s="13">
        <v>175000</v>
      </c>
      <c r="I329" s="13">
        <v>0</v>
      </c>
      <c r="J329" s="13">
        <v>0</v>
      </c>
      <c r="K329" s="13">
        <v>0</v>
      </c>
      <c r="L329" s="13">
        <v>0</v>
      </c>
      <c r="M329" s="4"/>
      <c r="N329" s="11">
        <f t="shared" si="8"/>
        <v>0</v>
      </c>
    </row>
    <row r="330" spans="2:14" x14ac:dyDescent="0.35">
      <c r="B330" s="4">
        <f t="shared" si="9"/>
        <v>320</v>
      </c>
      <c r="C330" s="3" t="s">
        <v>327</v>
      </c>
      <c r="D330" s="4" t="s">
        <v>513</v>
      </c>
      <c r="E330" s="8" t="s">
        <v>148</v>
      </c>
      <c r="F330" s="8" t="s">
        <v>22</v>
      </c>
      <c r="G330" s="13">
        <v>245</v>
      </c>
      <c r="H330" s="13">
        <v>53059000</v>
      </c>
      <c r="I330" s="13">
        <v>2</v>
      </c>
      <c r="J330" s="13">
        <v>150000</v>
      </c>
      <c r="K330" s="13">
        <v>7</v>
      </c>
      <c r="L330" s="13">
        <v>2100000</v>
      </c>
      <c r="M330" s="4"/>
      <c r="N330" s="11">
        <f t="shared" si="8"/>
        <v>0</v>
      </c>
    </row>
    <row r="331" spans="2:14" x14ac:dyDescent="0.35">
      <c r="B331" s="4">
        <f t="shared" si="9"/>
        <v>321</v>
      </c>
      <c r="C331" s="3" t="s">
        <v>327</v>
      </c>
      <c r="D331" s="4" t="s">
        <v>513</v>
      </c>
      <c r="E331" s="8" t="s">
        <v>148</v>
      </c>
      <c r="F331" s="8" t="s">
        <v>190</v>
      </c>
      <c r="G331" s="13">
        <v>348</v>
      </c>
      <c r="H331" s="13">
        <v>44100000</v>
      </c>
      <c r="I331" s="13">
        <v>5</v>
      </c>
      <c r="J331" s="13">
        <v>625000</v>
      </c>
      <c r="K331" s="13">
        <v>1</v>
      </c>
      <c r="L331" s="13">
        <v>125000</v>
      </c>
      <c r="M331" s="4"/>
      <c r="N331" s="11">
        <f t="shared" ref="N331:N394" si="10">IFERROR((G331/M331)*100%, 0)</f>
        <v>0</v>
      </c>
    </row>
    <row r="332" spans="2:14" x14ac:dyDescent="0.35">
      <c r="B332" s="4">
        <f t="shared" si="9"/>
        <v>322</v>
      </c>
      <c r="C332" s="3" t="s">
        <v>271</v>
      </c>
      <c r="D332" s="4" t="s">
        <v>479</v>
      </c>
      <c r="E332" s="8" t="s">
        <v>148</v>
      </c>
      <c r="F332" s="8" t="s">
        <v>20</v>
      </c>
      <c r="G332" s="13">
        <v>1</v>
      </c>
      <c r="H332" s="13">
        <v>175000</v>
      </c>
      <c r="I332" s="13">
        <v>0</v>
      </c>
      <c r="J332" s="13">
        <v>0</v>
      </c>
      <c r="K332" s="13">
        <v>0</v>
      </c>
      <c r="L332" s="13">
        <v>0</v>
      </c>
      <c r="M332" s="4"/>
      <c r="N332" s="11">
        <f t="shared" si="10"/>
        <v>0</v>
      </c>
    </row>
    <row r="333" spans="2:14" x14ac:dyDescent="0.35">
      <c r="B333" s="4">
        <f t="shared" ref="B333:B396" si="11">B332+1</f>
        <v>323</v>
      </c>
      <c r="C333" s="3" t="s">
        <v>351</v>
      </c>
      <c r="D333" s="4" t="s">
        <v>579</v>
      </c>
      <c r="E333" s="8" t="s">
        <v>148</v>
      </c>
      <c r="F333" s="8" t="s">
        <v>20</v>
      </c>
      <c r="G333" s="13">
        <v>25</v>
      </c>
      <c r="H333" s="13">
        <v>13192000</v>
      </c>
      <c r="I333" s="13">
        <v>0</v>
      </c>
      <c r="J333" s="13">
        <v>0</v>
      </c>
      <c r="K333" s="13">
        <v>0</v>
      </c>
      <c r="L333" s="13">
        <v>0</v>
      </c>
      <c r="M333" s="4"/>
      <c r="N333" s="11">
        <f t="shared" si="10"/>
        <v>0</v>
      </c>
    </row>
    <row r="334" spans="2:14" x14ac:dyDescent="0.35">
      <c r="B334" s="4">
        <f t="shared" si="11"/>
        <v>324</v>
      </c>
      <c r="C334" s="3" t="s">
        <v>351</v>
      </c>
      <c r="D334" s="4" t="s">
        <v>579</v>
      </c>
      <c r="E334" s="8" t="s">
        <v>148</v>
      </c>
      <c r="F334" s="8" t="s">
        <v>21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4"/>
      <c r="N334" s="11">
        <f t="shared" si="10"/>
        <v>0</v>
      </c>
    </row>
    <row r="335" spans="2:14" x14ac:dyDescent="0.35">
      <c r="B335" s="4">
        <f t="shared" si="11"/>
        <v>325</v>
      </c>
      <c r="C335" s="3" t="s">
        <v>351</v>
      </c>
      <c r="D335" s="4" t="s">
        <v>579</v>
      </c>
      <c r="E335" s="8" t="s">
        <v>148</v>
      </c>
      <c r="F335" s="8" t="s">
        <v>22</v>
      </c>
      <c r="G335" s="13">
        <v>283</v>
      </c>
      <c r="H335" s="13">
        <v>32648000</v>
      </c>
      <c r="I335" s="13">
        <v>44</v>
      </c>
      <c r="J335" s="13">
        <v>3300000</v>
      </c>
      <c r="K335" s="13">
        <v>16</v>
      </c>
      <c r="L335" s="13">
        <v>4750000</v>
      </c>
      <c r="M335" s="4"/>
      <c r="N335" s="11">
        <f t="shared" si="10"/>
        <v>0</v>
      </c>
    </row>
    <row r="336" spans="2:14" x14ac:dyDescent="0.35">
      <c r="B336" s="4">
        <f t="shared" si="11"/>
        <v>326</v>
      </c>
      <c r="C336" s="3" t="s">
        <v>351</v>
      </c>
      <c r="D336" s="4" t="s">
        <v>579</v>
      </c>
      <c r="E336" s="8" t="s">
        <v>148</v>
      </c>
      <c r="F336" s="8" t="s">
        <v>19</v>
      </c>
      <c r="G336" s="13">
        <v>1</v>
      </c>
      <c r="H336" s="13">
        <v>8500000</v>
      </c>
      <c r="I336" s="13">
        <v>0</v>
      </c>
      <c r="J336" s="13">
        <v>0</v>
      </c>
      <c r="K336" s="13">
        <v>0</v>
      </c>
      <c r="L336" s="13">
        <v>0</v>
      </c>
      <c r="M336" s="4"/>
      <c r="N336" s="11">
        <f t="shared" si="10"/>
        <v>0</v>
      </c>
    </row>
    <row r="337" spans="2:14" x14ac:dyDescent="0.35">
      <c r="B337" s="4">
        <f t="shared" si="11"/>
        <v>327</v>
      </c>
      <c r="C337" s="3" t="s">
        <v>351</v>
      </c>
      <c r="D337" s="4" t="s">
        <v>579</v>
      </c>
      <c r="E337" s="8" t="s">
        <v>148</v>
      </c>
      <c r="F337" s="8" t="s">
        <v>190</v>
      </c>
      <c r="G337" s="13">
        <v>147</v>
      </c>
      <c r="H337" s="13">
        <v>19670000</v>
      </c>
      <c r="I337" s="13">
        <v>0</v>
      </c>
      <c r="J337" s="13">
        <v>0</v>
      </c>
      <c r="K337" s="13">
        <v>0</v>
      </c>
      <c r="L337" s="13">
        <v>0</v>
      </c>
      <c r="M337" s="4"/>
      <c r="N337" s="11">
        <f t="shared" si="10"/>
        <v>0</v>
      </c>
    </row>
    <row r="338" spans="2:14" x14ac:dyDescent="0.35">
      <c r="B338" s="4">
        <f t="shared" si="11"/>
        <v>328</v>
      </c>
      <c r="C338" s="3" t="s">
        <v>328</v>
      </c>
      <c r="D338" s="4" t="s">
        <v>488</v>
      </c>
      <c r="E338" s="8" t="s">
        <v>148</v>
      </c>
      <c r="F338" s="8" t="s">
        <v>20</v>
      </c>
      <c r="G338" s="13">
        <v>103</v>
      </c>
      <c r="H338" s="13">
        <v>19036000</v>
      </c>
      <c r="I338" s="13">
        <v>5</v>
      </c>
      <c r="J338" s="13">
        <v>875000</v>
      </c>
      <c r="K338" s="13">
        <v>0</v>
      </c>
      <c r="L338" s="13">
        <v>0</v>
      </c>
      <c r="M338" s="4"/>
      <c r="N338" s="11">
        <f t="shared" si="10"/>
        <v>0</v>
      </c>
    </row>
    <row r="339" spans="2:14" x14ac:dyDescent="0.35">
      <c r="B339" s="4">
        <f t="shared" si="11"/>
        <v>329</v>
      </c>
      <c r="C339" s="3" t="s">
        <v>328</v>
      </c>
      <c r="D339" s="4" t="s">
        <v>488</v>
      </c>
      <c r="E339" s="8" t="s">
        <v>148</v>
      </c>
      <c r="F339" s="8" t="s">
        <v>19</v>
      </c>
      <c r="G339" s="13">
        <v>5</v>
      </c>
      <c r="H339" s="13">
        <v>27500000</v>
      </c>
      <c r="I339" s="13">
        <v>0</v>
      </c>
      <c r="J339" s="13">
        <v>0</v>
      </c>
      <c r="K339" s="13">
        <v>0</v>
      </c>
      <c r="L339" s="13">
        <v>0</v>
      </c>
      <c r="M339" s="4"/>
      <c r="N339" s="11">
        <f t="shared" si="10"/>
        <v>0</v>
      </c>
    </row>
    <row r="340" spans="2:14" x14ac:dyDescent="0.35">
      <c r="B340" s="4">
        <f t="shared" si="11"/>
        <v>330</v>
      </c>
      <c r="C340" s="3" t="s">
        <v>328</v>
      </c>
      <c r="D340" s="4" t="s">
        <v>488</v>
      </c>
      <c r="E340" s="8" t="s">
        <v>148</v>
      </c>
      <c r="F340" s="8" t="s">
        <v>190</v>
      </c>
      <c r="G340" s="13">
        <v>65</v>
      </c>
      <c r="H340" s="13">
        <v>9110000</v>
      </c>
      <c r="I340" s="13">
        <v>1</v>
      </c>
      <c r="J340" s="13">
        <v>140000</v>
      </c>
      <c r="K340" s="13">
        <v>0</v>
      </c>
      <c r="L340" s="13">
        <v>0</v>
      </c>
      <c r="M340" s="4"/>
      <c r="N340" s="11">
        <f t="shared" si="10"/>
        <v>0</v>
      </c>
    </row>
    <row r="341" spans="2:14" x14ac:dyDescent="0.35">
      <c r="B341" s="4">
        <f t="shared" si="11"/>
        <v>331</v>
      </c>
      <c r="C341" s="3" t="s">
        <v>394</v>
      </c>
      <c r="D341" s="4" t="s">
        <v>603</v>
      </c>
      <c r="E341" s="8" t="s">
        <v>148</v>
      </c>
      <c r="F341" s="8" t="s">
        <v>20</v>
      </c>
      <c r="G341" s="13">
        <v>10</v>
      </c>
      <c r="H341" s="13">
        <v>1603000</v>
      </c>
      <c r="I341" s="13">
        <v>1</v>
      </c>
      <c r="J341" s="13">
        <v>175000</v>
      </c>
      <c r="K341" s="13">
        <v>0</v>
      </c>
      <c r="L341" s="13">
        <v>0</v>
      </c>
      <c r="M341" s="4"/>
      <c r="N341" s="11">
        <f t="shared" si="10"/>
        <v>0</v>
      </c>
    </row>
    <row r="342" spans="2:14" x14ac:dyDescent="0.35">
      <c r="B342" s="4">
        <f t="shared" si="11"/>
        <v>332</v>
      </c>
      <c r="C342" s="3" t="s">
        <v>394</v>
      </c>
      <c r="D342" s="4" t="s">
        <v>603</v>
      </c>
      <c r="E342" s="8" t="s">
        <v>148</v>
      </c>
      <c r="F342" s="8" t="s">
        <v>21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4"/>
      <c r="N342" s="11">
        <f t="shared" si="10"/>
        <v>0</v>
      </c>
    </row>
    <row r="343" spans="2:14" x14ac:dyDescent="0.35">
      <c r="B343" s="4">
        <f t="shared" si="11"/>
        <v>333</v>
      </c>
      <c r="C343" s="3" t="s">
        <v>394</v>
      </c>
      <c r="D343" s="4" t="s">
        <v>603</v>
      </c>
      <c r="E343" s="8" t="s">
        <v>148</v>
      </c>
      <c r="F343" s="8" t="s">
        <v>22</v>
      </c>
      <c r="G343" s="13">
        <v>361</v>
      </c>
      <c r="H343" s="13">
        <v>24072000</v>
      </c>
      <c r="I343" s="13">
        <v>8</v>
      </c>
      <c r="J343" s="13">
        <v>600000</v>
      </c>
      <c r="K343" s="13">
        <v>6</v>
      </c>
      <c r="L343" s="13">
        <v>1500000</v>
      </c>
      <c r="M343" s="4"/>
      <c r="N343" s="11">
        <f t="shared" si="10"/>
        <v>0</v>
      </c>
    </row>
    <row r="344" spans="2:14" x14ac:dyDescent="0.35">
      <c r="B344" s="4">
        <f t="shared" si="11"/>
        <v>334</v>
      </c>
      <c r="C344" s="3" t="s">
        <v>394</v>
      </c>
      <c r="D344" s="4" t="s">
        <v>603</v>
      </c>
      <c r="E344" s="8" t="s">
        <v>148</v>
      </c>
      <c r="F344" s="8" t="s">
        <v>19</v>
      </c>
      <c r="G344" s="13">
        <v>2</v>
      </c>
      <c r="H344" s="13">
        <v>11000000</v>
      </c>
      <c r="I344" s="13">
        <v>0</v>
      </c>
      <c r="J344" s="13">
        <v>0</v>
      </c>
      <c r="K344" s="13">
        <v>0</v>
      </c>
      <c r="L344" s="13">
        <v>0</v>
      </c>
      <c r="M344" s="4"/>
      <c r="N344" s="11">
        <f t="shared" si="10"/>
        <v>0</v>
      </c>
    </row>
    <row r="345" spans="2:14" x14ac:dyDescent="0.35">
      <c r="B345" s="4">
        <f t="shared" si="11"/>
        <v>335</v>
      </c>
      <c r="C345" s="3" t="s">
        <v>394</v>
      </c>
      <c r="D345" s="4" t="s">
        <v>603</v>
      </c>
      <c r="E345" s="8" t="s">
        <v>148</v>
      </c>
      <c r="F345" s="8" t="s">
        <v>190</v>
      </c>
      <c r="G345" s="13">
        <v>66</v>
      </c>
      <c r="H345" s="13">
        <v>8930000</v>
      </c>
      <c r="I345" s="13">
        <v>2</v>
      </c>
      <c r="J345" s="13">
        <v>250000</v>
      </c>
      <c r="K345" s="13">
        <v>0</v>
      </c>
      <c r="L345" s="13">
        <v>0</v>
      </c>
      <c r="M345" s="4"/>
      <c r="N345" s="11">
        <f t="shared" si="10"/>
        <v>0</v>
      </c>
    </row>
    <row r="346" spans="2:14" x14ac:dyDescent="0.35">
      <c r="B346" s="4">
        <f t="shared" si="11"/>
        <v>336</v>
      </c>
      <c r="C346" s="3" t="s">
        <v>307</v>
      </c>
      <c r="D346" s="4" t="s">
        <v>458</v>
      </c>
      <c r="E346" s="8" t="s">
        <v>148</v>
      </c>
      <c r="F346" s="8" t="s">
        <v>20</v>
      </c>
      <c r="G346" s="13">
        <v>4</v>
      </c>
      <c r="H346" s="13">
        <v>943000</v>
      </c>
      <c r="I346" s="13">
        <v>0</v>
      </c>
      <c r="J346" s="13">
        <v>0</v>
      </c>
      <c r="K346" s="13">
        <v>0</v>
      </c>
      <c r="L346" s="13">
        <v>0</v>
      </c>
      <c r="M346" s="4"/>
      <c r="N346" s="11">
        <f t="shared" si="10"/>
        <v>0</v>
      </c>
    </row>
    <row r="347" spans="2:14" x14ac:dyDescent="0.35">
      <c r="B347" s="4">
        <f t="shared" si="11"/>
        <v>337</v>
      </c>
      <c r="C347" s="3" t="s">
        <v>307</v>
      </c>
      <c r="D347" s="4" t="s">
        <v>458</v>
      </c>
      <c r="E347" s="8" t="s">
        <v>148</v>
      </c>
      <c r="F347" s="8" t="s">
        <v>21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4"/>
      <c r="N347" s="11">
        <f t="shared" si="10"/>
        <v>0</v>
      </c>
    </row>
    <row r="348" spans="2:14" x14ac:dyDescent="0.35">
      <c r="B348" s="4">
        <f t="shared" si="11"/>
        <v>338</v>
      </c>
      <c r="C348" s="3" t="s">
        <v>307</v>
      </c>
      <c r="D348" s="4" t="s">
        <v>458</v>
      </c>
      <c r="E348" s="8" t="s">
        <v>148</v>
      </c>
      <c r="F348" s="8" t="s">
        <v>22</v>
      </c>
      <c r="G348" s="13">
        <v>227</v>
      </c>
      <c r="H348" s="13">
        <v>28087000</v>
      </c>
      <c r="I348" s="13">
        <v>15</v>
      </c>
      <c r="J348" s="13">
        <v>1035000</v>
      </c>
      <c r="K348" s="13">
        <v>0</v>
      </c>
      <c r="L348" s="13">
        <v>0</v>
      </c>
      <c r="M348" s="4"/>
      <c r="N348" s="11">
        <f t="shared" si="10"/>
        <v>0</v>
      </c>
    </row>
    <row r="349" spans="2:14" x14ac:dyDescent="0.35">
      <c r="B349" s="4">
        <f t="shared" si="11"/>
        <v>339</v>
      </c>
      <c r="C349" s="3" t="s">
        <v>307</v>
      </c>
      <c r="D349" s="4" t="s">
        <v>458</v>
      </c>
      <c r="E349" s="8" t="s">
        <v>148</v>
      </c>
      <c r="F349" s="8" t="s">
        <v>190</v>
      </c>
      <c r="G349" s="13">
        <v>16</v>
      </c>
      <c r="H349" s="13">
        <v>2085000</v>
      </c>
      <c r="I349" s="13">
        <v>0</v>
      </c>
      <c r="J349" s="13">
        <v>0</v>
      </c>
      <c r="K349" s="13">
        <v>0</v>
      </c>
      <c r="L349" s="13">
        <v>0</v>
      </c>
      <c r="M349" s="4"/>
      <c r="N349" s="11">
        <f t="shared" si="10"/>
        <v>0</v>
      </c>
    </row>
    <row r="350" spans="2:14" x14ac:dyDescent="0.35">
      <c r="B350" s="4">
        <f t="shared" si="11"/>
        <v>340</v>
      </c>
      <c r="C350" s="3" t="s">
        <v>329</v>
      </c>
      <c r="D350" s="4" t="s">
        <v>521</v>
      </c>
      <c r="E350" s="8" t="s">
        <v>148</v>
      </c>
      <c r="F350" s="8" t="s">
        <v>20</v>
      </c>
      <c r="G350" s="13">
        <v>115</v>
      </c>
      <c r="H350" s="13">
        <v>20980500</v>
      </c>
      <c r="I350" s="13">
        <v>3</v>
      </c>
      <c r="J350" s="13">
        <v>525000</v>
      </c>
      <c r="K350" s="13">
        <v>0</v>
      </c>
      <c r="L350" s="13">
        <v>0</v>
      </c>
      <c r="M350" s="4"/>
      <c r="N350" s="11">
        <f t="shared" si="10"/>
        <v>0</v>
      </c>
    </row>
    <row r="351" spans="2:14" x14ac:dyDescent="0.35">
      <c r="B351" s="4">
        <f t="shared" si="11"/>
        <v>341</v>
      </c>
      <c r="C351" s="3" t="s">
        <v>329</v>
      </c>
      <c r="D351" s="4" t="s">
        <v>521</v>
      </c>
      <c r="E351" s="8" t="s">
        <v>148</v>
      </c>
      <c r="F351" s="8" t="s">
        <v>22</v>
      </c>
      <c r="G351" s="13">
        <v>3</v>
      </c>
      <c r="H351" s="13">
        <v>900000</v>
      </c>
      <c r="I351" s="13">
        <v>0</v>
      </c>
      <c r="J351" s="13">
        <v>0</v>
      </c>
      <c r="K351" s="13">
        <v>7</v>
      </c>
      <c r="L351" s="13">
        <v>1860000</v>
      </c>
      <c r="M351" s="4"/>
      <c r="N351" s="11">
        <f t="shared" si="10"/>
        <v>0</v>
      </c>
    </row>
    <row r="352" spans="2:14" x14ac:dyDescent="0.35">
      <c r="B352" s="4">
        <f t="shared" si="11"/>
        <v>342</v>
      </c>
      <c r="C352" s="3" t="s">
        <v>329</v>
      </c>
      <c r="D352" s="4" t="s">
        <v>521</v>
      </c>
      <c r="E352" s="8" t="s">
        <v>148</v>
      </c>
      <c r="F352" s="8" t="s">
        <v>19</v>
      </c>
      <c r="G352" s="13">
        <v>10</v>
      </c>
      <c r="H352" s="13">
        <v>57500000</v>
      </c>
      <c r="I352" s="13">
        <v>2</v>
      </c>
      <c r="J352" s="13">
        <v>11000000</v>
      </c>
      <c r="K352" s="13">
        <v>0</v>
      </c>
      <c r="L352" s="13">
        <v>0</v>
      </c>
      <c r="M352" s="4"/>
      <c r="N352" s="11">
        <f t="shared" si="10"/>
        <v>0</v>
      </c>
    </row>
    <row r="353" spans="2:14" x14ac:dyDescent="0.35">
      <c r="B353" s="4">
        <f t="shared" si="11"/>
        <v>343</v>
      </c>
      <c r="C353" s="3" t="s">
        <v>329</v>
      </c>
      <c r="D353" s="4" t="s">
        <v>521</v>
      </c>
      <c r="E353" s="8" t="s">
        <v>148</v>
      </c>
      <c r="F353" s="8" t="s">
        <v>190</v>
      </c>
      <c r="G353" s="13">
        <v>41</v>
      </c>
      <c r="H353" s="13">
        <v>5910000</v>
      </c>
      <c r="I353" s="13">
        <v>0</v>
      </c>
      <c r="J353" s="13">
        <v>0</v>
      </c>
      <c r="K353" s="13">
        <v>1</v>
      </c>
      <c r="L353" s="13">
        <v>180000</v>
      </c>
      <c r="M353" s="4"/>
      <c r="N353" s="11">
        <f t="shared" si="10"/>
        <v>0</v>
      </c>
    </row>
    <row r="354" spans="2:14" x14ac:dyDescent="0.35">
      <c r="B354" s="4">
        <f t="shared" si="11"/>
        <v>344</v>
      </c>
      <c r="C354" s="3" t="s">
        <v>277</v>
      </c>
      <c r="D354" s="4" t="s">
        <v>518</v>
      </c>
      <c r="E354" s="8" t="s">
        <v>148</v>
      </c>
      <c r="F354" s="8" t="s">
        <v>20</v>
      </c>
      <c r="G354" s="13">
        <v>4</v>
      </c>
      <c r="H354" s="13">
        <v>560000</v>
      </c>
      <c r="I354" s="13">
        <v>0</v>
      </c>
      <c r="J354" s="13">
        <v>0</v>
      </c>
      <c r="K354" s="13">
        <v>0</v>
      </c>
      <c r="L354" s="13">
        <v>0</v>
      </c>
      <c r="M354" s="4"/>
      <c r="N354" s="11">
        <f t="shared" si="10"/>
        <v>0</v>
      </c>
    </row>
    <row r="355" spans="2:14" x14ac:dyDescent="0.35">
      <c r="B355" s="4">
        <f t="shared" si="11"/>
        <v>345</v>
      </c>
      <c r="C355" s="3" t="s">
        <v>277</v>
      </c>
      <c r="D355" s="4" t="s">
        <v>518</v>
      </c>
      <c r="E355" s="8" t="s">
        <v>148</v>
      </c>
      <c r="F355" s="8" t="s">
        <v>22</v>
      </c>
      <c r="G355" s="13">
        <v>124</v>
      </c>
      <c r="H355" s="13">
        <v>33874000</v>
      </c>
      <c r="I355" s="13">
        <v>15</v>
      </c>
      <c r="J355" s="13">
        <v>1800000</v>
      </c>
      <c r="K355" s="13">
        <v>2</v>
      </c>
      <c r="L355" s="13">
        <v>600000</v>
      </c>
      <c r="M355" s="4"/>
      <c r="N355" s="11">
        <f t="shared" si="10"/>
        <v>0</v>
      </c>
    </row>
    <row r="356" spans="2:14" x14ac:dyDescent="0.35">
      <c r="B356" s="4">
        <f t="shared" si="11"/>
        <v>346</v>
      </c>
      <c r="C356" s="3" t="s">
        <v>277</v>
      </c>
      <c r="D356" s="4" t="s">
        <v>518</v>
      </c>
      <c r="E356" s="8" t="s">
        <v>148</v>
      </c>
      <c r="F356" s="8" t="s">
        <v>190</v>
      </c>
      <c r="G356" s="13">
        <v>169</v>
      </c>
      <c r="H356" s="13">
        <v>21350000</v>
      </c>
      <c r="I356" s="13">
        <v>1</v>
      </c>
      <c r="J356" s="13">
        <v>125000</v>
      </c>
      <c r="K356" s="13">
        <v>0</v>
      </c>
      <c r="L356" s="13">
        <v>0</v>
      </c>
      <c r="M356" s="4"/>
      <c r="N356" s="11">
        <f t="shared" si="10"/>
        <v>0</v>
      </c>
    </row>
    <row r="357" spans="2:14" x14ac:dyDescent="0.35">
      <c r="B357" s="4">
        <f t="shared" si="11"/>
        <v>347</v>
      </c>
      <c r="C357" s="3" t="s">
        <v>244</v>
      </c>
      <c r="D357" s="4" t="s">
        <v>436</v>
      </c>
      <c r="E357" s="8" t="s">
        <v>148</v>
      </c>
      <c r="F357" s="8" t="s">
        <v>20</v>
      </c>
      <c r="G357" s="13">
        <v>1</v>
      </c>
      <c r="H357" s="13">
        <v>140000</v>
      </c>
      <c r="I357" s="13">
        <v>0</v>
      </c>
      <c r="J357" s="13">
        <v>0</v>
      </c>
      <c r="K357" s="13">
        <v>0</v>
      </c>
      <c r="L357" s="13">
        <v>0</v>
      </c>
      <c r="M357" s="4"/>
      <c r="N357" s="11">
        <f t="shared" si="10"/>
        <v>0</v>
      </c>
    </row>
    <row r="358" spans="2:14" x14ac:dyDescent="0.35">
      <c r="B358" s="4">
        <f t="shared" si="11"/>
        <v>348</v>
      </c>
      <c r="C358" s="3" t="s">
        <v>244</v>
      </c>
      <c r="D358" s="4" t="s">
        <v>436</v>
      </c>
      <c r="E358" s="8" t="s">
        <v>148</v>
      </c>
      <c r="F358" s="8" t="s">
        <v>21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4"/>
      <c r="N358" s="11">
        <f t="shared" si="10"/>
        <v>0</v>
      </c>
    </row>
    <row r="359" spans="2:14" x14ac:dyDescent="0.35">
      <c r="B359" s="4">
        <f t="shared" si="11"/>
        <v>349</v>
      </c>
      <c r="C359" s="3" t="s">
        <v>244</v>
      </c>
      <c r="D359" s="4" t="s">
        <v>436</v>
      </c>
      <c r="E359" s="8" t="s">
        <v>148</v>
      </c>
      <c r="F359" s="8" t="s">
        <v>22</v>
      </c>
      <c r="G359" s="13">
        <v>135</v>
      </c>
      <c r="H359" s="13">
        <v>26316000</v>
      </c>
      <c r="I359" s="13">
        <v>5</v>
      </c>
      <c r="J359" s="13">
        <v>375000</v>
      </c>
      <c r="K359" s="13">
        <v>13</v>
      </c>
      <c r="L359" s="13">
        <v>3530000</v>
      </c>
      <c r="M359" s="4"/>
      <c r="N359" s="11">
        <f t="shared" si="10"/>
        <v>0</v>
      </c>
    </row>
    <row r="360" spans="2:14" x14ac:dyDescent="0.35">
      <c r="B360" s="4">
        <f t="shared" si="11"/>
        <v>350</v>
      </c>
      <c r="C360" s="3" t="s">
        <v>244</v>
      </c>
      <c r="D360" s="4" t="s">
        <v>436</v>
      </c>
      <c r="E360" s="8" t="s">
        <v>148</v>
      </c>
      <c r="F360" s="8" t="s">
        <v>190</v>
      </c>
      <c r="G360" s="13">
        <v>144</v>
      </c>
      <c r="H360" s="13">
        <v>18105000</v>
      </c>
      <c r="I360" s="13">
        <v>6</v>
      </c>
      <c r="J360" s="13">
        <v>750000</v>
      </c>
      <c r="K360" s="13">
        <v>5</v>
      </c>
      <c r="L360" s="13">
        <v>900000</v>
      </c>
      <c r="M360" s="4"/>
      <c r="N360" s="11">
        <f t="shared" si="10"/>
        <v>0</v>
      </c>
    </row>
    <row r="361" spans="2:14" x14ac:dyDescent="0.35">
      <c r="B361" s="4">
        <f t="shared" si="11"/>
        <v>351</v>
      </c>
      <c r="C361" s="3" t="s">
        <v>247</v>
      </c>
      <c r="D361" s="4" t="s">
        <v>433</v>
      </c>
      <c r="E361" s="8" t="s">
        <v>148</v>
      </c>
      <c r="F361" s="8" t="s">
        <v>20</v>
      </c>
      <c r="G361" s="13">
        <v>13</v>
      </c>
      <c r="H361" s="13">
        <v>2275000</v>
      </c>
      <c r="I361" s="13">
        <v>3</v>
      </c>
      <c r="J361" s="13">
        <v>525000</v>
      </c>
      <c r="K361" s="13">
        <v>0</v>
      </c>
      <c r="L361" s="13">
        <v>0</v>
      </c>
      <c r="M361" s="4"/>
      <c r="N361" s="11">
        <f t="shared" si="10"/>
        <v>0</v>
      </c>
    </row>
    <row r="362" spans="2:14" x14ac:dyDescent="0.35">
      <c r="B362" s="4">
        <f t="shared" si="11"/>
        <v>352</v>
      </c>
      <c r="C362" s="3" t="s">
        <v>247</v>
      </c>
      <c r="D362" s="4" t="s">
        <v>433</v>
      </c>
      <c r="E362" s="8" t="s">
        <v>148</v>
      </c>
      <c r="F362" s="8" t="s">
        <v>22</v>
      </c>
      <c r="G362" s="13">
        <v>50</v>
      </c>
      <c r="H362" s="13">
        <v>7960000</v>
      </c>
      <c r="I362" s="13">
        <v>3</v>
      </c>
      <c r="J362" s="13">
        <v>420000</v>
      </c>
      <c r="K362" s="13">
        <v>0</v>
      </c>
      <c r="L362" s="13">
        <v>0</v>
      </c>
      <c r="M362" s="4"/>
      <c r="N362" s="11">
        <f t="shared" si="10"/>
        <v>0</v>
      </c>
    </row>
    <row r="363" spans="2:14" x14ac:dyDescent="0.35">
      <c r="B363" s="4">
        <f t="shared" si="11"/>
        <v>353</v>
      </c>
      <c r="C363" s="3" t="s">
        <v>247</v>
      </c>
      <c r="D363" s="4" t="s">
        <v>433</v>
      </c>
      <c r="E363" s="8" t="s">
        <v>148</v>
      </c>
      <c r="F363" s="8" t="s">
        <v>190</v>
      </c>
      <c r="G363" s="13">
        <v>24</v>
      </c>
      <c r="H363" s="13">
        <v>3350000</v>
      </c>
      <c r="I363" s="13">
        <v>3</v>
      </c>
      <c r="J363" s="13">
        <v>375000</v>
      </c>
      <c r="K363" s="13">
        <v>0</v>
      </c>
      <c r="L363" s="13">
        <v>0</v>
      </c>
      <c r="M363" s="4"/>
      <c r="N363" s="11">
        <f t="shared" si="10"/>
        <v>0</v>
      </c>
    </row>
    <row r="364" spans="2:14" x14ac:dyDescent="0.35">
      <c r="B364" s="4">
        <f t="shared" si="11"/>
        <v>354</v>
      </c>
      <c r="C364" s="3" t="s">
        <v>330</v>
      </c>
      <c r="D364" s="4" t="s">
        <v>505</v>
      </c>
      <c r="E364" s="8" t="s">
        <v>148</v>
      </c>
      <c r="F364" s="8" t="s">
        <v>22</v>
      </c>
      <c r="G364" s="13">
        <v>354</v>
      </c>
      <c r="H364" s="13">
        <v>76701000</v>
      </c>
      <c r="I364" s="13">
        <v>7</v>
      </c>
      <c r="J364" s="13">
        <v>769000</v>
      </c>
      <c r="K364" s="13">
        <v>2</v>
      </c>
      <c r="L364" s="13">
        <v>600000</v>
      </c>
      <c r="M364" s="4"/>
      <c r="N364" s="11">
        <f t="shared" si="10"/>
        <v>0</v>
      </c>
    </row>
    <row r="365" spans="2:14" x14ac:dyDescent="0.35">
      <c r="B365" s="4">
        <f t="shared" si="11"/>
        <v>355</v>
      </c>
      <c r="C365" s="3" t="s">
        <v>352</v>
      </c>
      <c r="D365" s="4" t="s">
        <v>581</v>
      </c>
      <c r="E365" s="8" t="s">
        <v>148</v>
      </c>
      <c r="F365" s="8" t="s">
        <v>20</v>
      </c>
      <c r="G365" s="13">
        <v>149</v>
      </c>
      <c r="H365" s="13">
        <v>34454300</v>
      </c>
      <c r="I365" s="13">
        <v>2</v>
      </c>
      <c r="J365" s="13">
        <v>350000</v>
      </c>
      <c r="K365" s="13">
        <v>0</v>
      </c>
      <c r="L365" s="13">
        <v>0</v>
      </c>
      <c r="M365" s="4"/>
      <c r="N365" s="11">
        <f t="shared" si="10"/>
        <v>0</v>
      </c>
    </row>
    <row r="366" spans="2:14" x14ac:dyDescent="0.35">
      <c r="B366" s="4">
        <f t="shared" si="11"/>
        <v>356</v>
      </c>
      <c r="C366" s="3" t="s">
        <v>352</v>
      </c>
      <c r="D366" s="4" t="s">
        <v>581</v>
      </c>
      <c r="E366" s="8" t="s">
        <v>148</v>
      </c>
      <c r="F366" s="8" t="s">
        <v>22</v>
      </c>
      <c r="G366" s="13">
        <v>1</v>
      </c>
      <c r="H366" s="13">
        <v>75000</v>
      </c>
      <c r="I366" s="13">
        <v>0</v>
      </c>
      <c r="J366" s="13">
        <v>0</v>
      </c>
      <c r="K366" s="13">
        <v>0</v>
      </c>
      <c r="L366" s="13">
        <v>0</v>
      </c>
      <c r="M366" s="4"/>
      <c r="N366" s="11">
        <f t="shared" si="10"/>
        <v>0</v>
      </c>
    </row>
    <row r="367" spans="2:14" x14ac:dyDescent="0.35">
      <c r="B367" s="4">
        <f t="shared" si="11"/>
        <v>357</v>
      </c>
      <c r="C367" s="3" t="s">
        <v>352</v>
      </c>
      <c r="D367" s="4" t="s">
        <v>581</v>
      </c>
      <c r="E367" s="8" t="s">
        <v>148</v>
      </c>
      <c r="F367" s="8" t="s">
        <v>19</v>
      </c>
      <c r="G367" s="13">
        <v>7</v>
      </c>
      <c r="H367" s="13">
        <v>38500000</v>
      </c>
      <c r="I367" s="13">
        <v>0</v>
      </c>
      <c r="J367" s="13">
        <v>0</v>
      </c>
      <c r="K367" s="13">
        <v>1</v>
      </c>
      <c r="L367" s="13">
        <v>19390000</v>
      </c>
      <c r="M367" s="4"/>
      <c r="N367" s="11">
        <f t="shared" si="10"/>
        <v>0</v>
      </c>
    </row>
    <row r="368" spans="2:14" x14ac:dyDescent="0.35">
      <c r="B368" s="4">
        <f t="shared" si="11"/>
        <v>358</v>
      </c>
      <c r="C368" s="3" t="s">
        <v>352</v>
      </c>
      <c r="D368" s="4" t="s">
        <v>581</v>
      </c>
      <c r="E368" s="8" t="s">
        <v>148</v>
      </c>
      <c r="F368" s="8" t="s">
        <v>190</v>
      </c>
      <c r="G368" s="13">
        <v>84</v>
      </c>
      <c r="H368" s="13">
        <v>13370000</v>
      </c>
      <c r="I368" s="13">
        <v>1</v>
      </c>
      <c r="J368" s="13">
        <v>160000</v>
      </c>
      <c r="K368" s="13">
        <v>0</v>
      </c>
      <c r="L368" s="13">
        <v>0</v>
      </c>
      <c r="M368" s="4"/>
      <c r="N368" s="11">
        <f t="shared" si="10"/>
        <v>0</v>
      </c>
    </row>
    <row r="369" spans="2:14" x14ac:dyDescent="0.35">
      <c r="B369" s="4">
        <f t="shared" si="11"/>
        <v>359</v>
      </c>
      <c r="C369" s="3" t="s">
        <v>278</v>
      </c>
      <c r="D369" s="4" t="s">
        <v>428</v>
      </c>
      <c r="E369" s="8" t="s">
        <v>148</v>
      </c>
      <c r="F369" s="8" t="s">
        <v>21</v>
      </c>
      <c r="G369" s="13">
        <v>0</v>
      </c>
      <c r="H369" s="13">
        <v>0</v>
      </c>
      <c r="I369" s="13">
        <v>0</v>
      </c>
      <c r="J369" s="13">
        <v>0</v>
      </c>
      <c r="K369" s="13">
        <v>0</v>
      </c>
      <c r="L369" s="13">
        <v>0</v>
      </c>
      <c r="M369" s="4"/>
      <c r="N369" s="11">
        <f t="shared" si="10"/>
        <v>0</v>
      </c>
    </row>
    <row r="370" spans="2:14" x14ac:dyDescent="0.35">
      <c r="B370" s="4">
        <f t="shared" si="11"/>
        <v>360</v>
      </c>
      <c r="C370" s="3" t="s">
        <v>278</v>
      </c>
      <c r="D370" s="4" t="s">
        <v>428</v>
      </c>
      <c r="E370" s="8" t="s">
        <v>148</v>
      </c>
      <c r="F370" s="8" t="s">
        <v>22</v>
      </c>
      <c r="G370" s="13">
        <v>293</v>
      </c>
      <c r="H370" s="13">
        <v>37041000</v>
      </c>
      <c r="I370" s="13">
        <v>6</v>
      </c>
      <c r="J370" s="13">
        <v>625000</v>
      </c>
      <c r="K370" s="13">
        <v>6</v>
      </c>
      <c r="L370" s="13">
        <v>1800000</v>
      </c>
      <c r="M370" s="4"/>
      <c r="N370" s="11">
        <f t="shared" si="10"/>
        <v>0</v>
      </c>
    </row>
    <row r="371" spans="2:14" x14ac:dyDescent="0.35">
      <c r="B371" s="4">
        <f t="shared" si="11"/>
        <v>361</v>
      </c>
      <c r="C371" s="3" t="s">
        <v>278</v>
      </c>
      <c r="D371" s="4" t="s">
        <v>428</v>
      </c>
      <c r="E371" s="8" t="s">
        <v>148</v>
      </c>
      <c r="F371" s="8" t="s">
        <v>190</v>
      </c>
      <c r="G371" s="13">
        <v>56</v>
      </c>
      <c r="H371" s="13">
        <v>7300000</v>
      </c>
      <c r="I371" s="13">
        <v>0</v>
      </c>
      <c r="J371" s="13">
        <v>0</v>
      </c>
      <c r="K371" s="13">
        <v>0</v>
      </c>
      <c r="L371" s="13">
        <v>0</v>
      </c>
      <c r="M371" s="4"/>
      <c r="N371" s="11">
        <f t="shared" si="10"/>
        <v>0</v>
      </c>
    </row>
    <row r="372" spans="2:14" x14ac:dyDescent="0.35">
      <c r="B372" s="4">
        <f t="shared" si="11"/>
        <v>362</v>
      </c>
      <c r="C372" s="3" t="s">
        <v>353</v>
      </c>
      <c r="D372" s="4" t="s">
        <v>524</v>
      </c>
      <c r="E372" s="8" t="s">
        <v>171</v>
      </c>
      <c r="F372" s="8" t="s">
        <v>22</v>
      </c>
      <c r="G372" s="13">
        <v>58</v>
      </c>
      <c r="H372" s="13">
        <v>5895000</v>
      </c>
      <c r="I372" s="13">
        <v>25</v>
      </c>
      <c r="J372" s="13">
        <v>2278000</v>
      </c>
      <c r="K372" s="13">
        <v>14</v>
      </c>
      <c r="L372" s="13">
        <v>3175000</v>
      </c>
      <c r="M372" s="4"/>
      <c r="N372" s="11">
        <f t="shared" si="10"/>
        <v>0</v>
      </c>
    </row>
    <row r="373" spans="2:14" x14ac:dyDescent="0.35">
      <c r="B373" s="4">
        <f t="shared" si="11"/>
        <v>363</v>
      </c>
      <c r="C373" s="3" t="s">
        <v>279</v>
      </c>
      <c r="D373" s="4" t="s">
        <v>459</v>
      </c>
      <c r="E373" s="8" t="s">
        <v>171</v>
      </c>
      <c r="F373" s="8" t="s">
        <v>22</v>
      </c>
      <c r="G373" s="13">
        <v>81</v>
      </c>
      <c r="H373" s="13">
        <v>9236000</v>
      </c>
      <c r="I373" s="13">
        <v>25</v>
      </c>
      <c r="J373" s="13">
        <v>2300000</v>
      </c>
      <c r="K373" s="13">
        <v>15</v>
      </c>
      <c r="L373" s="13">
        <v>3350000</v>
      </c>
      <c r="M373" s="4"/>
      <c r="N373" s="11">
        <f t="shared" si="10"/>
        <v>0</v>
      </c>
    </row>
    <row r="374" spans="2:14" x14ac:dyDescent="0.35">
      <c r="B374" s="4">
        <f t="shared" si="11"/>
        <v>364</v>
      </c>
      <c r="C374" s="3" t="s">
        <v>279</v>
      </c>
      <c r="D374" s="4" t="s">
        <v>459</v>
      </c>
      <c r="E374" s="8" t="s">
        <v>171</v>
      </c>
      <c r="F374" s="8" t="s">
        <v>190</v>
      </c>
      <c r="G374" s="13">
        <v>1</v>
      </c>
      <c r="H374" s="13">
        <v>125000</v>
      </c>
      <c r="I374" s="13">
        <v>0</v>
      </c>
      <c r="J374" s="13">
        <v>0</v>
      </c>
      <c r="K374" s="13">
        <v>0</v>
      </c>
      <c r="L374" s="13">
        <v>0</v>
      </c>
      <c r="M374" s="4"/>
      <c r="N374" s="11">
        <f t="shared" si="10"/>
        <v>0</v>
      </c>
    </row>
    <row r="375" spans="2:14" x14ac:dyDescent="0.35">
      <c r="B375" s="4">
        <f t="shared" si="11"/>
        <v>365</v>
      </c>
      <c r="C375" s="3" t="s">
        <v>280</v>
      </c>
      <c r="D375" s="4" t="s">
        <v>440</v>
      </c>
      <c r="E375" s="8" t="s">
        <v>171</v>
      </c>
      <c r="F375" s="8" t="s">
        <v>22</v>
      </c>
      <c r="G375" s="13">
        <v>78</v>
      </c>
      <c r="H375" s="13">
        <v>8340000</v>
      </c>
      <c r="I375" s="13">
        <v>22</v>
      </c>
      <c r="J375" s="13">
        <v>2300000</v>
      </c>
      <c r="K375" s="13">
        <v>13</v>
      </c>
      <c r="L375" s="13">
        <v>3175000</v>
      </c>
      <c r="M375" s="4"/>
      <c r="N375" s="11">
        <f t="shared" si="10"/>
        <v>0</v>
      </c>
    </row>
    <row r="376" spans="2:14" x14ac:dyDescent="0.35">
      <c r="B376" s="4">
        <f t="shared" si="11"/>
        <v>366</v>
      </c>
      <c r="C376" s="3" t="s">
        <v>280</v>
      </c>
      <c r="D376" s="4" t="s">
        <v>440</v>
      </c>
      <c r="E376" s="8" t="s">
        <v>171</v>
      </c>
      <c r="F376" s="8" t="s">
        <v>190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4"/>
      <c r="N376" s="11">
        <f t="shared" si="10"/>
        <v>0</v>
      </c>
    </row>
    <row r="377" spans="2:14" x14ac:dyDescent="0.35">
      <c r="B377" s="4">
        <f t="shared" si="11"/>
        <v>367</v>
      </c>
      <c r="C377" s="3" t="s">
        <v>281</v>
      </c>
      <c r="D377" s="4" t="s">
        <v>468</v>
      </c>
      <c r="E377" s="8" t="s">
        <v>171</v>
      </c>
      <c r="F377" s="8" t="s">
        <v>22</v>
      </c>
      <c r="G377" s="13">
        <v>43</v>
      </c>
      <c r="H377" s="13">
        <v>3800000</v>
      </c>
      <c r="I377" s="13">
        <v>24</v>
      </c>
      <c r="J377" s="13">
        <v>2250000</v>
      </c>
      <c r="K377" s="13">
        <v>0</v>
      </c>
      <c r="L377" s="13">
        <v>0</v>
      </c>
      <c r="M377" s="4"/>
      <c r="N377" s="11">
        <f t="shared" si="10"/>
        <v>0</v>
      </c>
    </row>
    <row r="378" spans="2:14" x14ac:dyDescent="0.35">
      <c r="B378" s="4">
        <f t="shared" si="11"/>
        <v>368</v>
      </c>
      <c r="C378" s="3" t="s">
        <v>354</v>
      </c>
      <c r="D378" s="4" t="s">
        <v>552</v>
      </c>
      <c r="E378" s="8" t="s">
        <v>171</v>
      </c>
      <c r="F378" s="8" t="s">
        <v>22</v>
      </c>
      <c r="G378" s="13">
        <v>70</v>
      </c>
      <c r="H378" s="13">
        <v>6428000</v>
      </c>
      <c r="I378" s="13">
        <v>24</v>
      </c>
      <c r="J378" s="13">
        <v>2200000</v>
      </c>
      <c r="K378" s="13">
        <v>14</v>
      </c>
      <c r="L378" s="13">
        <v>3275000</v>
      </c>
      <c r="M378" s="4"/>
      <c r="N378" s="11">
        <f t="shared" si="10"/>
        <v>0</v>
      </c>
    </row>
    <row r="379" spans="2:14" x14ac:dyDescent="0.35">
      <c r="B379" s="4">
        <f t="shared" si="11"/>
        <v>369</v>
      </c>
      <c r="C379" s="3" t="s">
        <v>354</v>
      </c>
      <c r="D379" s="4" t="s">
        <v>552</v>
      </c>
      <c r="E379" s="8" t="s">
        <v>171</v>
      </c>
      <c r="F379" s="8" t="s">
        <v>190</v>
      </c>
      <c r="G379" s="13">
        <v>14</v>
      </c>
      <c r="H379" s="13">
        <v>1885000</v>
      </c>
      <c r="I379" s="13">
        <v>0</v>
      </c>
      <c r="J379" s="13">
        <v>0</v>
      </c>
      <c r="K379" s="13">
        <v>0</v>
      </c>
      <c r="L379" s="13">
        <v>0</v>
      </c>
      <c r="M379" s="4"/>
      <c r="N379" s="11">
        <f t="shared" si="10"/>
        <v>0</v>
      </c>
    </row>
    <row r="380" spans="2:14" x14ac:dyDescent="0.35">
      <c r="B380" s="4">
        <f t="shared" si="11"/>
        <v>370</v>
      </c>
      <c r="C380" s="3" t="s">
        <v>387</v>
      </c>
      <c r="D380" s="4" t="s">
        <v>608</v>
      </c>
      <c r="E380" s="8" t="s">
        <v>177</v>
      </c>
      <c r="F380" s="8" t="s">
        <v>22</v>
      </c>
      <c r="G380" s="13">
        <v>362</v>
      </c>
      <c r="H380" s="13">
        <v>51789000</v>
      </c>
      <c r="I380" s="13">
        <v>23</v>
      </c>
      <c r="J380" s="13">
        <v>2013000</v>
      </c>
      <c r="K380" s="13">
        <v>8</v>
      </c>
      <c r="L380" s="13">
        <v>2559000</v>
      </c>
      <c r="M380" s="4"/>
      <c r="N380" s="11">
        <f t="shared" si="10"/>
        <v>0</v>
      </c>
    </row>
    <row r="381" spans="2:14" x14ac:dyDescent="0.35">
      <c r="B381" s="4">
        <f t="shared" si="11"/>
        <v>371</v>
      </c>
      <c r="C381" s="3" t="s">
        <v>387</v>
      </c>
      <c r="D381" s="4" t="s">
        <v>608</v>
      </c>
      <c r="E381" s="8" t="s">
        <v>177</v>
      </c>
      <c r="F381" s="8" t="s">
        <v>19</v>
      </c>
      <c r="G381" s="13">
        <v>20</v>
      </c>
      <c r="H381" s="13">
        <v>114470000</v>
      </c>
      <c r="I381" s="13">
        <v>1</v>
      </c>
      <c r="J381" s="13">
        <v>4750000</v>
      </c>
      <c r="K381" s="13">
        <v>1</v>
      </c>
      <c r="L381" s="13">
        <v>19695000</v>
      </c>
      <c r="M381" s="4"/>
      <c r="N381" s="11">
        <f t="shared" si="10"/>
        <v>0</v>
      </c>
    </row>
    <row r="382" spans="2:14" x14ac:dyDescent="0.35">
      <c r="B382" s="4">
        <f t="shared" si="11"/>
        <v>372</v>
      </c>
      <c r="C382" s="3" t="s">
        <v>387</v>
      </c>
      <c r="D382" s="4" t="s">
        <v>608</v>
      </c>
      <c r="E382" s="8" t="s">
        <v>177</v>
      </c>
      <c r="F382" s="8" t="s">
        <v>190</v>
      </c>
      <c r="G382" s="13">
        <v>13</v>
      </c>
      <c r="H382" s="13">
        <v>1700000</v>
      </c>
      <c r="I382" s="13">
        <v>2</v>
      </c>
      <c r="J382" s="13">
        <v>250000</v>
      </c>
      <c r="K382" s="13">
        <v>1</v>
      </c>
      <c r="L382" s="13">
        <v>125000</v>
      </c>
      <c r="M382" s="4"/>
      <c r="N382" s="11">
        <f t="shared" si="10"/>
        <v>0</v>
      </c>
    </row>
    <row r="383" spans="2:14" x14ac:dyDescent="0.35">
      <c r="B383" s="4">
        <f t="shared" si="11"/>
        <v>373</v>
      </c>
      <c r="C383" s="3" t="s">
        <v>240</v>
      </c>
      <c r="D383" s="4" t="s">
        <v>527</v>
      </c>
      <c r="E383" s="8" t="s">
        <v>177</v>
      </c>
      <c r="F383" s="8" t="s">
        <v>22</v>
      </c>
      <c r="G383" s="13">
        <v>452</v>
      </c>
      <c r="H383" s="13">
        <v>41631000</v>
      </c>
      <c r="I383" s="13">
        <v>7</v>
      </c>
      <c r="J383" s="13">
        <v>726000</v>
      </c>
      <c r="K383" s="13">
        <v>15</v>
      </c>
      <c r="L383" s="13">
        <v>3095000</v>
      </c>
      <c r="M383" s="4"/>
      <c r="N383" s="11">
        <f t="shared" si="10"/>
        <v>0</v>
      </c>
    </row>
    <row r="384" spans="2:14" x14ac:dyDescent="0.35">
      <c r="B384" s="4">
        <f t="shared" si="11"/>
        <v>374</v>
      </c>
      <c r="C384" s="3" t="s">
        <v>240</v>
      </c>
      <c r="D384" s="4" t="s">
        <v>527</v>
      </c>
      <c r="E384" s="8" t="s">
        <v>177</v>
      </c>
      <c r="F384" s="8" t="s">
        <v>19</v>
      </c>
      <c r="G384" s="13">
        <v>25</v>
      </c>
      <c r="H384" s="13">
        <v>558880000</v>
      </c>
      <c r="I384" s="13">
        <v>0</v>
      </c>
      <c r="J384" s="13">
        <v>0</v>
      </c>
      <c r="K384" s="13">
        <v>0</v>
      </c>
      <c r="L384" s="13">
        <v>0</v>
      </c>
      <c r="M384" s="4"/>
      <c r="N384" s="11">
        <f t="shared" si="10"/>
        <v>0</v>
      </c>
    </row>
    <row r="385" spans="2:14" x14ac:dyDescent="0.35">
      <c r="B385" s="4">
        <f t="shared" si="11"/>
        <v>375</v>
      </c>
      <c r="C385" s="3" t="s">
        <v>240</v>
      </c>
      <c r="D385" s="4" t="s">
        <v>527</v>
      </c>
      <c r="E385" s="8" t="s">
        <v>177</v>
      </c>
      <c r="F385" s="8" t="s">
        <v>190</v>
      </c>
      <c r="G385" s="13">
        <v>25</v>
      </c>
      <c r="H385" s="13">
        <v>3125000</v>
      </c>
      <c r="I385" s="13">
        <v>0</v>
      </c>
      <c r="J385" s="13">
        <v>0</v>
      </c>
      <c r="K385" s="13">
        <v>0</v>
      </c>
      <c r="L385" s="13">
        <v>0</v>
      </c>
      <c r="M385" s="4"/>
      <c r="N385" s="11">
        <f t="shared" si="10"/>
        <v>0</v>
      </c>
    </row>
    <row r="386" spans="2:14" x14ac:dyDescent="0.35">
      <c r="B386" s="4">
        <f t="shared" si="11"/>
        <v>376</v>
      </c>
      <c r="C386" s="3" t="s">
        <v>204</v>
      </c>
      <c r="D386" s="4" t="s">
        <v>444</v>
      </c>
      <c r="E386" s="8" t="s">
        <v>177</v>
      </c>
      <c r="F386" s="8" t="s">
        <v>20</v>
      </c>
      <c r="G386" s="13">
        <v>2</v>
      </c>
      <c r="H386" s="13">
        <v>280000</v>
      </c>
      <c r="I386" s="13">
        <v>0</v>
      </c>
      <c r="J386" s="13">
        <v>0</v>
      </c>
      <c r="K386" s="13">
        <v>0</v>
      </c>
      <c r="L386" s="13">
        <v>0</v>
      </c>
      <c r="M386" s="4"/>
      <c r="N386" s="11">
        <f t="shared" si="10"/>
        <v>0</v>
      </c>
    </row>
    <row r="387" spans="2:14" x14ac:dyDescent="0.35">
      <c r="B387" s="4">
        <f t="shared" si="11"/>
        <v>377</v>
      </c>
      <c r="C387" s="3" t="s">
        <v>204</v>
      </c>
      <c r="D387" s="4" t="s">
        <v>444</v>
      </c>
      <c r="E387" s="8" t="s">
        <v>177</v>
      </c>
      <c r="F387" s="8" t="s">
        <v>22</v>
      </c>
      <c r="G387" s="13">
        <v>413</v>
      </c>
      <c r="H387" s="13">
        <v>55991000</v>
      </c>
      <c r="I387" s="13">
        <v>29</v>
      </c>
      <c r="J387" s="13">
        <v>3021000</v>
      </c>
      <c r="K387" s="13">
        <v>0</v>
      </c>
      <c r="L387" s="13">
        <v>0</v>
      </c>
      <c r="M387" s="4"/>
      <c r="N387" s="11">
        <f t="shared" si="10"/>
        <v>0</v>
      </c>
    </row>
    <row r="388" spans="2:14" x14ac:dyDescent="0.35">
      <c r="B388" s="4">
        <f t="shared" si="11"/>
        <v>378</v>
      </c>
      <c r="C388" s="3" t="s">
        <v>204</v>
      </c>
      <c r="D388" s="4" t="s">
        <v>444</v>
      </c>
      <c r="E388" s="8" t="s">
        <v>177</v>
      </c>
      <c r="F388" s="8" t="s">
        <v>190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4"/>
      <c r="N388" s="11">
        <f t="shared" si="10"/>
        <v>0</v>
      </c>
    </row>
    <row r="389" spans="2:14" x14ac:dyDescent="0.35">
      <c r="B389" s="4">
        <f t="shared" si="11"/>
        <v>379</v>
      </c>
      <c r="C389" s="3" t="s">
        <v>205</v>
      </c>
      <c r="D389" s="4" t="s">
        <v>405</v>
      </c>
      <c r="E389" s="8" t="s">
        <v>177</v>
      </c>
      <c r="F389" s="8" t="s">
        <v>22</v>
      </c>
      <c r="G389" s="13">
        <v>220</v>
      </c>
      <c r="H389" s="13">
        <v>32409000</v>
      </c>
      <c r="I389" s="13">
        <v>14</v>
      </c>
      <c r="J389" s="13">
        <v>2477000</v>
      </c>
      <c r="K389" s="13">
        <v>1</v>
      </c>
      <c r="L389" s="13">
        <v>300000</v>
      </c>
      <c r="M389" s="4"/>
      <c r="N389" s="11">
        <f t="shared" si="10"/>
        <v>0</v>
      </c>
    </row>
    <row r="390" spans="2:14" x14ac:dyDescent="0.35">
      <c r="B390" s="4">
        <f t="shared" si="11"/>
        <v>380</v>
      </c>
      <c r="C390" s="3" t="s">
        <v>205</v>
      </c>
      <c r="D390" s="4" t="s">
        <v>405</v>
      </c>
      <c r="E390" s="8" t="s">
        <v>177</v>
      </c>
      <c r="F390" s="8" t="s">
        <v>19</v>
      </c>
      <c r="G390" s="13">
        <v>18</v>
      </c>
      <c r="H390" s="13">
        <v>101990000</v>
      </c>
      <c r="I390" s="13">
        <v>1</v>
      </c>
      <c r="J390" s="13">
        <v>4750000</v>
      </c>
      <c r="K390" s="13">
        <v>1</v>
      </c>
      <c r="L390" s="13">
        <v>19695000</v>
      </c>
      <c r="M390" s="4"/>
      <c r="N390" s="11">
        <f t="shared" si="10"/>
        <v>0</v>
      </c>
    </row>
    <row r="391" spans="2:14" x14ac:dyDescent="0.35">
      <c r="B391" s="4">
        <f t="shared" si="11"/>
        <v>381</v>
      </c>
      <c r="C391" s="3" t="s">
        <v>205</v>
      </c>
      <c r="D391" s="4" t="s">
        <v>405</v>
      </c>
      <c r="E391" s="8" t="s">
        <v>177</v>
      </c>
      <c r="F391" s="8" t="s">
        <v>190</v>
      </c>
      <c r="G391" s="13">
        <v>14</v>
      </c>
      <c r="H391" s="13">
        <v>1840000</v>
      </c>
      <c r="I391" s="13">
        <v>1</v>
      </c>
      <c r="J391" s="13">
        <v>125000</v>
      </c>
      <c r="K391" s="13">
        <v>1</v>
      </c>
      <c r="L391" s="13">
        <v>125000</v>
      </c>
      <c r="M391" s="4"/>
      <c r="N391" s="11">
        <f t="shared" si="10"/>
        <v>0</v>
      </c>
    </row>
    <row r="392" spans="2:14" x14ac:dyDescent="0.35">
      <c r="B392" s="4">
        <f t="shared" si="11"/>
        <v>382</v>
      </c>
      <c r="C392" s="3" t="s">
        <v>241</v>
      </c>
      <c r="D392" s="4" t="s">
        <v>531</v>
      </c>
      <c r="E392" s="8" t="s">
        <v>177</v>
      </c>
      <c r="F392" s="8" t="s">
        <v>22</v>
      </c>
      <c r="G392" s="13">
        <v>565</v>
      </c>
      <c r="H392" s="13">
        <v>53021000</v>
      </c>
      <c r="I392" s="13">
        <v>58</v>
      </c>
      <c r="J392" s="13">
        <v>4930000</v>
      </c>
      <c r="K392" s="13">
        <v>5</v>
      </c>
      <c r="L392" s="13">
        <v>1250000</v>
      </c>
      <c r="M392" s="4"/>
      <c r="N392" s="11">
        <f t="shared" si="10"/>
        <v>0</v>
      </c>
    </row>
    <row r="393" spans="2:14" x14ac:dyDescent="0.35">
      <c r="B393" s="4">
        <f t="shared" si="11"/>
        <v>383</v>
      </c>
      <c r="C393" s="3" t="s">
        <v>241</v>
      </c>
      <c r="D393" s="4" t="s">
        <v>531</v>
      </c>
      <c r="E393" s="8" t="s">
        <v>177</v>
      </c>
      <c r="F393" s="8" t="s">
        <v>19</v>
      </c>
      <c r="G393" s="13">
        <v>14</v>
      </c>
      <c r="H393" s="13">
        <v>82689200</v>
      </c>
      <c r="I393" s="13">
        <v>0</v>
      </c>
      <c r="J393" s="13">
        <v>0</v>
      </c>
      <c r="K393" s="13">
        <v>1</v>
      </c>
      <c r="L393" s="13">
        <v>10466000</v>
      </c>
      <c r="M393" s="4"/>
      <c r="N393" s="11">
        <f t="shared" si="10"/>
        <v>0</v>
      </c>
    </row>
    <row r="394" spans="2:14" x14ac:dyDescent="0.35">
      <c r="B394" s="4">
        <f t="shared" si="11"/>
        <v>384</v>
      </c>
      <c r="C394" s="3" t="s">
        <v>241</v>
      </c>
      <c r="D394" s="4" t="s">
        <v>531</v>
      </c>
      <c r="E394" s="8" t="s">
        <v>177</v>
      </c>
      <c r="F394" s="8" t="s">
        <v>190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4"/>
      <c r="N394" s="11">
        <f t="shared" si="10"/>
        <v>0</v>
      </c>
    </row>
    <row r="395" spans="2:14" x14ac:dyDescent="0.35">
      <c r="B395" s="4">
        <f t="shared" si="11"/>
        <v>385</v>
      </c>
      <c r="C395" s="3" t="s">
        <v>206</v>
      </c>
      <c r="D395" s="4" t="s">
        <v>419</v>
      </c>
      <c r="E395" s="8" t="s">
        <v>177</v>
      </c>
      <c r="F395" s="8" t="s">
        <v>20</v>
      </c>
      <c r="G395" s="13">
        <v>1</v>
      </c>
      <c r="H395" s="13">
        <v>140000</v>
      </c>
      <c r="I395" s="13">
        <v>0</v>
      </c>
      <c r="J395" s="13">
        <v>0</v>
      </c>
      <c r="K395" s="13">
        <v>0</v>
      </c>
      <c r="L395" s="13">
        <v>0</v>
      </c>
      <c r="M395" s="4"/>
      <c r="N395" s="11">
        <f t="shared" ref="N395:N458" si="12">IFERROR((G395/M395)*100%, 0)</f>
        <v>0</v>
      </c>
    </row>
    <row r="396" spans="2:14" x14ac:dyDescent="0.35">
      <c r="B396" s="4">
        <f t="shared" si="11"/>
        <v>386</v>
      </c>
      <c r="C396" s="3" t="s">
        <v>206</v>
      </c>
      <c r="D396" s="4" t="s">
        <v>419</v>
      </c>
      <c r="E396" s="8" t="s">
        <v>177</v>
      </c>
      <c r="F396" s="8" t="s">
        <v>22</v>
      </c>
      <c r="G396" s="13">
        <v>429</v>
      </c>
      <c r="H396" s="13">
        <v>54300000</v>
      </c>
      <c r="I396" s="13">
        <v>0</v>
      </c>
      <c r="J396" s="13">
        <v>0</v>
      </c>
      <c r="K396" s="13">
        <v>39</v>
      </c>
      <c r="L396" s="13">
        <v>8567000</v>
      </c>
      <c r="M396" s="4"/>
      <c r="N396" s="11">
        <f t="shared" si="12"/>
        <v>0</v>
      </c>
    </row>
    <row r="397" spans="2:14" x14ac:dyDescent="0.35">
      <c r="B397" s="4">
        <f t="shared" ref="B397:B460" si="13">B396+1</f>
        <v>387</v>
      </c>
      <c r="C397" s="3" t="s">
        <v>206</v>
      </c>
      <c r="D397" s="4" t="s">
        <v>419</v>
      </c>
      <c r="E397" s="8" t="s">
        <v>177</v>
      </c>
      <c r="F397" s="8" t="s">
        <v>19</v>
      </c>
      <c r="G397" s="13">
        <v>25</v>
      </c>
      <c r="H397" s="13">
        <v>560270000</v>
      </c>
      <c r="I397" s="13">
        <v>0</v>
      </c>
      <c r="J397" s="13">
        <v>0</v>
      </c>
      <c r="K397" s="13">
        <v>2</v>
      </c>
      <c r="L397" s="13">
        <v>83804000</v>
      </c>
      <c r="M397" s="4"/>
      <c r="N397" s="11">
        <f t="shared" si="12"/>
        <v>0</v>
      </c>
    </row>
    <row r="398" spans="2:14" x14ac:dyDescent="0.35">
      <c r="B398" s="4">
        <f t="shared" si="13"/>
        <v>388</v>
      </c>
      <c r="C398" s="3" t="s">
        <v>206</v>
      </c>
      <c r="D398" s="4" t="s">
        <v>419</v>
      </c>
      <c r="E398" s="8" t="s">
        <v>177</v>
      </c>
      <c r="F398" s="8" t="s">
        <v>190</v>
      </c>
      <c r="G398" s="13">
        <v>27</v>
      </c>
      <c r="H398" s="13">
        <v>3375000</v>
      </c>
      <c r="I398" s="13">
        <v>0</v>
      </c>
      <c r="J398" s="13">
        <v>0</v>
      </c>
      <c r="K398" s="13">
        <v>3</v>
      </c>
      <c r="L398" s="13">
        <v>485000</v>
      </c>
      <c r="M398" s="4"/>
      <c r="N398" s="11">
        <f t="shared" si="12"/>
        <v>0</v>
      </c>
    </row>
    <row r="399" spans="2:14" x14ac:dyDescent="0.35">
      <c r="B399" s="4">
        <f t="shared" si="13"/>
        <v>389</v>
      </c>
      <c r="C399" s="3" t="s">
        <v>621</v>
      </c>
      <c r="D399" s="4" t="s">
        <v>613</v>
      </c>
      <c r="E399" s="8" t="s">
        <v>177</v>
      </c>
      <c r="F399" s="8" t="s">
        <v>22</v>
      </c>
      <c r="G399" s="13">
        <v>77</v>
      </c>
      <c r="H399" s="13">
        <v>10849000</v>
      </c>
      <c r="I399" s="13">
        <v>3</v>
      </c>
      <c r="J399" s="13">
        <v>259000</v>
      </c>
      <c r="K399" s="13">
        <v>0</v>
      </c>
      <c r="L399" s="13">
        <v>0</v>
      </c>
      <c r="M399" s="4"/>
      <c r="N399" s="11">
        <f t="shared" si="12"/>
        <v>0</v>
      </c>
    </row>
    <row r="400" spans="2:14" x14ac:dyDescent="0.35">
      <c r="B400" s="4">
        <f t="shared" si="13"/>
        <v>390</v>
      </c>
      <c r="C400" s="4" t="s">
        <v>357</v>
      </c>
      <c r="D400" s="4" t="s">
        <v>558</v>
      </c>
      <c r="E400" s="8" t="s">
        <v>163</v>
      </c>
      <c r="F400" s="8" t="s">
        <v>20</v>
      </c>
      <c r="G400" s="13">
        <v>13</v>
      </c>
      <c r="H400" s="13">
        <v>2215000</v>
      </c>
      <c r="I400" s="13">
        <v>2</v>
      </c>
      <c r="J400" s="13">
        <v>350000</v>
      </c>
      <c r="K400" s="13">
        <v>0</v>
      </c>
      <c r="L400" s="13">
        <v>0</v>
      </c>
      <c r="M400" s="4"/>
      <c r="N400" s="11">
        <f t="shared" si="12"/>
        <v>0</v>
      </c>
    </row>
    <row r="401" spans="2:14" x14ac:dyDescent="0.35">
      <c r="B401" s="4">
        <f t="shared" si="13"/>
        <v>391</v>
      </c>
      <c r="C401" s="4" t="s">
        <v>357</v>
      </c>
      <c r="D401" s="4" t="s">
        <v>558</v>
      </c>
      <c r="E401" s="8" t="s">
        <v>163</v>
      </c>
      <c r="F401" s="8" t="s">
        <v>21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4"/>
      <c r="N401" s="11">
        <f t="shared" si="12"/>
        <v>0</v>
      </c>
    </row>
    <row r="402" spans="2:14" x14ac:dyDescent="0.35">
      <c r="B402" s="4">
        <f t="shared" si="13"/>
        <v>392</v>
      </c>
      <c r="C402" s="4" t="s">
        <v>357</v>
      </c>
      <c r="D402" s="4" t="s">
        <v>558</v>
      </c>
      <c r="E402" s="8" t="s">
        <v>163</v>
      </c>
      <c r="F402" s="8" t="s">
        <v>22</v>
      </c>
      <c r="G402" s="13">
        <v>140</v>
      </c>
      <c r="H402" s="13">
        <v>199134000</v>
      </c>
      <c r="I402" s="13">
        <v>9</v>
      </c>
      <c r="J402" s="13">
        <v>675000</v>
      </c>
      <c r="K402" s="13">
        <v>13</v>
      </c>
      <c r="L402" s="13">
        <v>3807000</v>
      </c>
      <c r="M402" s="4"/>
      <c r="N402" s="11">
        <f t="shared" si="12"/>
        <v>0</v>
      </c>
    </row>
    <row r="403" spans="2:14" x14ac:dyDescent="0.35">
      <c r="B403" s="4">
        <f t="shared" si="13"/>
        <v>393</v>
      </c>
      <c r="C403" s="4" t="s">
        <v>357</v>
      </c>
      <c r="D403" s="4" t="s">
        <v>558</v>
      </c>
      <c r="E403" s="8" t="s">
        <v>163</v>
      </c>
      <c r="F403" s="8" t="s">
        <v>190</v>
      </c>
      <c r="G403" s="13">
        <v>211</v>
      </c>
      <c r="H403" s="13">
        <v>30665000</v>
      </c>
      <c r="I403" s="13">
        <v>1</v>
      </c>
      <c r="J403" s="13">
        <v>125000</v>
      </c>
      <c r="K403" s="13">
        <v>0</v>
      </c>
      <c r="L403" s="13">
        <v>0</v>
      </c>
      <c r="M403" s="4"/>
      <c r="N403" s="11">
        <f t="shared" si="12"/>
        <v>0</v>
      </c>
    </row>
    <row r="404" spans="2:14" x14ac:dyDescent="0.35">
      <c r="B404" s="4">
        <f t="shared" si="13"/>
        <v>394</v>
      </c>
      <c r="C404" s="3" t="s">
        <v>358</v>
      </c>
      <c r="D404" s="4" t="s">
        <v>562</v>
      </c>
      <c r="E404" s="8" t="s">
        <v>163</v>
      </c>
      <c r="F404" s="8" t="s">
        <v>20</v>
      </c>
      <c r="G404" s="13">
        <v>31</v>
      </c>
      <c r="H404" s="13">
        <v>5270000</v>
      </c>
      <c r="I404" s="13">
        <v>0</v>
      </c>
      <c r="J404" s="13">
        <v>0</v>
      </c>
      <c r="K404" s="13">
        <v>0</v>
      </c>
      <c r="L404" s="13">
        <v>0</v>
      </c>
      <c r="M404" s="4"/>
      <c r="N404" s="11">
        <f t="shared" si="12"/>
        <v>0</v>
      </c>
    </row>
    <row r="405" spans="2:14" x14ac:dyDescent="0.35">
      <c r="B405" s="4">
        <f t="shared" si="13"/>
        <v>395</v>
      </c>
      <c r="C405" s="3" t="s">
        <v>358</v>
      </c>
      <c r="D405" s="4" t="s">
        <v>562</v>
      </c>
      <c r="E405" s="8" t="s">
        <v>163</v>
      </c>
      <c r="F405" s="8" t="s">
        <v>21</v>
      </c>
      <c r="G405" s="13">
        <v>0</v>
      </c>
      <c r="H405" s="13">
        <v>0</v>
      </c>
      <c r="I405" s="13">
        <v>0</v>
      </c>
      <c r="J405" s="13">
        <v>0</v>
      </c>
      <c r="K405" s="13">
        <v>0</v>
      </c>
      <c r="L405" s="13">
        <v>0</v>
      </c>
      <c r="M405" s="4"/>
      <c r="N405" s="11">
        <f t="shared" si="12"/>
        <v>0</v>
      </c>
    </row>
    <row r="406" spans="2:14" x14ac:dyDescent="0.35">
      <c r="B406" s="4">
        <f t="shared" si="13"/>
        <v>396</v>
      </c>
      <c r="C406" s="3" t="s">
        <v>358</v>
      </c>
      <c r="D406" s="4" t="s">
        <v>562</v>
      </c>
      <c r="E406" s="8" t="s">
        <v>163</v>
      </c>
      <c r="F406" s="8" t="s">
        <v>22</v>
      </c>
      <c r="G406" s="13">
        <v>293</v>
      </c>
      <c r="H406" s="13">
        <v>24204000</v>
      </c>
      <c r="I406" s="13">
        <v>21</v>
      </c>
      <c r="J406" s="13">
        <v>1528000</v>
      </c>
      <c r="K406" s="13">
        <v>7</v>
      </c>
      <c r="L406" s="13">
        <v>1750000</v>
      </c>
      <c r="M406" s="4"/>
      <c r="N406" s="11">
        <f t="shared" si="12"/>
        <v>0</v>
      </c>
    </row>
    <row r="407" spans="2:14" x14ac:dyDescent="0.35">
      <c r="B407" s="4">
        <f t="shared" si="13"/>
        <v>397</v>
      </c>
      <c r="C407" s="3" t="s">
        <v>358</v>
      </c>
      <c r="D407" s="4" t="s">
        <v>562</v>
      </c>
      <c r="E407" s="8" t="s">
        <v>163</v>
      </c>
      <c r="F407" s="8" t="s">
        <v>19</v>
      </c>
      <c r="G407" s="13">
        <v>2</v>
      </c>
      <c r="H407" s="13">
        <v>23278000</v>
      </c>
      <c r="I407" s="13">
        <v>0</v>
      </c>
      <c r="J407" s="13">
        <v>0</v>
      </c>
      <c r="K407" s="13">
        <v>0</v>
      </c>
      <c r="L407" s="13">
        <v>0</v>
      </c>
      <c r="M407" s="4"/>
      <c r="N407" s="11">
        <f t="shared" si="12"/>
        <v>0</v>
      </c>
    </row>
    <row r="408" spans="2:14" x14ac:dyDescent="0.35">
      <c r="B408" s="4">
        <f t="shared" si="13"/>
        <v>398</v>
      </c>
      <c r="C408" s="3" t="s">
        <v>358</v>
      </c>
      <c r="D408" s="4" t="s">
        <v>562</v>
      </c>
      <c r="E408" s="8" t="s">
        <v>163</v>
      </c>
      <c r="F408" s="8" t="s">
        <v>190</v>
      </c>
      <c r="G408" s="13">
        <v>201</v>
      </c>
      <c r="H408" s="13">
        <v>28015000</v>
      </c>
      <c r="I408" s="13">
        <v>0</v>
      </c>
      <c r="J408" s="13">
        <v>0</v>
      </c>
      <c r="K408" s="13">
        <v>0</v>
      </c>
      <c r="L408" s="13">
        <v>0</v>
      </c>
      <c r="M408" s="4"/>
      <c r="N408" s="11">
        <f t="shared" si="12"/>
        <v>0</v>
      </c>
    </row>
    <row r="409" spans="2:14" x14ac:dyDescent="0.35">
      <c r="B409" s="4">
        <f t="shared" si="13"/>
        <v>399</v>
      </c>
      <c r="C409" s="3" t="s">
        <v>308</v>
      </c>
      <c r="D409" s="4" t="s">
        <v>463</v>
      </c>
      <c r="E409" s="8" t="s">
        <v>163</v>
      </c>
      <c r="F409" s="8" t="s">
        <v>21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  <c r="L409" s="13">
        <v>0</v>
      </c>
      <c r="M409" s="4"/>
      <c r="N409" s="11">
        <f t="shared" si="12"/>
        <v>0</v>
      </c>
    </row>
    <row r="410" spans="2:14" x14ac:dyDescent="0.35">
      <c r="B410" s="4">
        <f t="shared" si="13"/>
        <v>400</v>
      </c>
      <c r="C410" s="3" t="s">
        <v>337</v>
      </c>
      <c r="D410" s="4" t="s">
        <v>514</v>
      </c>
      <c r="E410" s="8" t="s">
        <v>163</v>
      </c>
      <c r="F410" s="8" t="s">
        <v>20</v>
      </c>
      <c r="G410" s="13">
        <v>6</v>
      </c>
      <c r="H410" s="13">
        <v>1050000</v>
      </c>
      <c r="I410" s="13">
        <v>7</v>
      </c>
      <c r="J410" s="13">
        <v>1225000</v>
      </c>
      <c r="K410" s="13">
        <v>0</v>
      </c>
      <c r="L410" s="13">
        <v>0</v>
      </c>
      <c r="M410" s="4"/>
      <c r="N410" s="11">
        <f t="shared" si="12"/>
        <v>0</v>
      </c>
    </row>
    <row r="411" spans="2:14" x14ac:dyDescent="0.35">
      <c r="B411" s="4">
        <f t="shared" si="13"/>
        <v>401</v>
      </c>
      <c r="C411" s="3" t="s">
        <v>337</v>
      </c>
      <c r="D411" s="4" t="s">
        <v>514</v>
      </c>
      <c r="E411" s="8" t="s">
        <v>163</v>
      </c>
      <c r="F411" s="8" t="s">
        <v>21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4"/>
      <c r="N411" s="11">
        <f t="shared" si="12"/>
        <v>0</v>
      </c>
    </row>
    <row r="412" spans="2:14" x14ac:dyDescent="0.35">
      <c r="B412" s="4">
        <f t="shared" si="13"/>
        <v>402</v>
      </c>
      <c r="C412" s="3" t="s">
        <v>337</v>
      </c>
      <c r="D412" s="4" t="s">
        <v>514</v>
      </c>
      <c r="E412" s="8" t="s">
        <v>163</v>
      </c>
      <c r="F412" s="8" t="s">
        <v>22</v>
      </c>
      <c r="G412" s="13">
        <v>228</v>
      </c>
      <c r="H412" s="13">
        <v>19390000</v>
      </c>
      <c r="I412" s="13">
        <v>19</v>
      </c>
      <c r="J412" s="13">
        <v>1555000</v>
      </c>
      <c r="K412" s="13">
        <v>3</v>
      </c>
      <c r="L412" s="13">
        <v>750000</v>
      </c>
      <c r="M412" s="4"/>
      <c r="N412" s="11">
        <f t="shared" si="12"/>
        <v>0</v>
      </c>
    </row>
    <row r="413" spans="2:14" x14ac:dyDescent="0.35">
      <c r="B413" s="4">
        <f t="shared" si="13"/>
        <v>403</v>
      </c>
      <c r="C413" s="3" t="s">
        <v>337</v>
      </c>
      <c r="D413" s="4" t="s">
        <v>514</v>
      </c>
      <c r="E413" s="8" t="s">
        <v>163</v>
      </c>
      <c r="F413" s="8" t="s">
        <v>190</v>
      </c>
      <c r="G413" s="13">
        <v>205</v>
      </c>
      <c r="H413" s="13">
        <v>29145000</v>
      </c>
      <c r="I413" s="13">
        <v>12</v>
      </c>
      <c r="J413" s="13">
        <v>1800000</v>
      </c>
      <c r="K413" s="13">
        <v>0</v>
      </c>
      <c r="L413" s="13">
        <v>0</v>
      </c>
      <c r="M413" s="4"/>
      <c r="N413" s="11">
        <f t="shared" si="12"/>
        <v>0</v>
      </c>
    </row>
    <row r="414" spans="2:14" x14ac:dyDescent="0.35">
      <c r="B414" s="4">
        <f t="shared" si="13"/>
        <v>404</v>
      </c>
      <c r="C414" s="3" t="s">
        <v>309</v>
      </c>
      <c r="D414" s="4" t="s">
        <v>446</v>
      </c>
      <c r="E414" s="8" t="s">
        <v>163</v>
      </c>
      <c r="F414" s="8" t="s">
        <v>20</v>
      </c>
      <c r="G414" s="13">
        <v>12</v>
      </c>
      <c r="H414" s="13">
        <v>2065000</v>
      </c>
      <c r="I414" s="13">
        <v>0</v>
      </c>
      <c r="J414" s="13">
        <v>0</v>
      </c>
      <c r="K414" s="13">
        <v>0</v>
      </c>
      <c r="L414" s="13">
        <v>0</v>
      </c>
      <c r="M414" s="4"/>
      <c r="N414" s="11">
        <f t="shared" si="12"/>
        <v>0</v>
      </c>
    </row>
    <row r="415" spans="2:14" x14ac:dyDescent="0.35">
      <c r="B415" s="4">
        <f t="shared" si="13"/>
        <v>405</v>
      </c>
      <c r="C415" s="3" t="s">
        <v>309</v>
      </c>
      <c r="D415" s="4" t="s">
        <v>446</v>
      </c>
      <c r="E415" s="8" t="s">
        <v>163</v>
      </c>
      <c r="F415" s="8" t="s">
        <v>21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4"/>
      <c r="N415" s="11">
        <f t="shared" si="12"/>
        <v>0</v>
      </c>
    </row>
    <row r="416" spans="2:14" x14ac:dyDescent="0.35">
      <c r="B416" s="4">
        <f t="shared" si="13"/>
        <v>406</v>
      </c>
      <c r="C416" s="3" t="s">
        <v>309</v>
      </c>
      <c r="D416" s="4" t="s">
        <v>446</v>
      </c>
      <c r="E416" s="8" t="s">
        <v>163</v>
      </c>
      <c r="F416" s="8" t="s">
        <v>22</v>
      </c>
      <c r="G416" s="13">
        <v>212</v>
      </c>
      <c r="H416" s="13">
        <v>23135000</v>
      </c>
      <c r="I416" s="13">
        <v>14</v>
      </c>
      <c r="J416" s="13">
        <v>1050000</v>
      </c>
      <c r="K416" s="13">
        <v>19</v>
      </c>
      <c r="L416" s="13">
        <v>4800000</v>
      </c>
      <c r="M416" s="4"/>
      <c r="N416" s="11">
        <f t="shared" si="12"/>
        <v>0</v>
      </c>
    </row>
    <row r="417" spans="2:14" x14ac:dyDescent="0.35">
      <c r="B417" s="4">
        <f t="shared" si="13"/>
        <v>407</v>
      </c>
      <c r="C417" s="3" t="s">
        <v>309</v>
      </c>
      <c r="D417" s="4" t="s">
        <v>446</v>
      </c>
      <c r="E417" s="8" t="s">
        <v>163</v>
      </c>
      <c r="F417" s="8" t="s">
        <v>190</v>
      </c>
      <c r="G417" s="13">
        <v>57</v>
      </c>
      <c r="H417" s="13">
        <v>8700000</v>
      </c>
      <c r="I417" s="13">
        <v>0</v>
      </c>
      <c r="J417" s="13">
        <v>0</v>
      </c>
      <c r="K417" s="13">
        <v>0</v>
      </c>
      <c r="L417" s="13">
        <v>0</v>
      </c>
      <c r="M417" s="4"/>
      <c r="N417" s="11">
        <f t="shared" si="12"/>
        <v>0</v>
      </c>
    </row>
    <row r="418" spans="2:14" x14ac:dyDescent="0.35">
      <c r="B418" s="4">
        <f t="shared" si="13"/>
        <v>408</v>
      </c>
      <c r="C418" s="3" t="s">
        <v>338</v>
      </c>
      <c r="D418" s="4" t="s">
        <v>469</v>
      </c>
      <c r="E418" s="8" t="s">
        <v>163</v>
      </c>
      <c r="F418" s="8" t="s">
        <v>20</v>
      </c>
      <c r="G418" s="13">
        <v>25</v>
      </c>
      <c r="H418" s="13">
        <v>4200000</v>
      </c>
      <c r="I418" s="13">
        <v>0</v>
      </c>
      <c r="J418" s="13">
        <v>0</v>
      </c>
      <c r="K418" s="13">
        <v>0</v>
      </c>
      <c r="L418" s="13">
        <v>0</v>
      </c>
      <c r="M418" s="4"/>
      <c r="N418" s="11">
        <f t="shared" si="12"/>
        <v>0</v>
      </c>
    </row>
    <row r="419" spans="2:14" x14ac:dyDescent="0.35">
      <c r="B419" s="4">
        <f t="shared" si="13"/>
        <v>409</v>
      </c>
      <c r="C419" s="3" t="s">
        <v>338</v>
      </c>
      <c r="D419" s="4" t="s">
        <v>469</v>
      </c>
      <c r="E419" s="8" t="s">
        <v>163</v>
      </c>
      <c r="F419" s="8" t="s">
        <v>21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4"/>
      <c r="N419" s="11">
        <f t="shared" si="12"/>
        <v>0</v>
      </c>
    </row>
    <row r="420" spans="2:14" x14ac:dyDescent="0.35">
      <c r="B420" s="4">
        <f t="shared" si="13"/>
        <v>410</v>
      </c>
      <c r="C420" s="3" t="s">
        <v>338</v>
      </c>
      <c r="D420" s="4" t="s">
        <v>469</v>
      </c>
      <c r="E420" s="8" t="s">
        <v>163</v>
      </c>
      <c r="F420" s="8" t="s">
        <v>22</v>
      </c>
      <c r="G420" s="13">
        <v>144</v>
      </c>
      <c r="H420" s="13">
        <v>12740000</v>
      </c>
      <c r="I420" s="13">
        <v>6</v>
      </c>
      <c r="J420" s="13">
        <v>450000</v>
      </c>
      <c r="K420" s="13">
        <v>13</v>
      </c>
      <c r="L420" s="13">
        <v>3250000</v>
      </c>
      <c r="M420" s="4"/>
      <c r="N420" s="11">
        <f t="shared" si="12"/>
        <v>0</v>
      </c>
    </row>
    <row r="421" spans="2:14" x14ac:dyDescent="0.35">
      <c r="B421" s="4">
        <f t="shared" si="13"/>
        <v>411</v>
      </c>
      <c r="C421" s="3" t="s">
        <v>338</v>
      </c>
      <c r="D421" s="4" t="s">
        <v>469</v>
      </c>
      <c r="E421" s="8" t="s">
        <v>163</v>
      </c>
      <c r="F421" s="8" t="s">
        <v>190</v>
      </c>
      <c r="G421" s="13">
        <v>173</v>
      </c>
      <c r="H421" s="13">
        <v>24350000</v>
      </c>
      <c r="I421" s="13">
        <v>9</v>
      </c>
      <c r="J421" s="13">
        <v>1125000</v>
      </c>
      <c r="K421" s="13">
        <v>0</v>
      </c>
      <c r="L421" s="13">
        <v>0</v>
      </c>
      <c r="M421" s="4"/>
      <c r="N421" s="11">
        <f t="shared" si="12"/>
        <v>0</v>
      </c>
    </row>
    <row r="422" spans="2:14" x14ac:dyDescent="0.35">
      <c r="B422" s="4">
        <f t="shared" si="13"/>
        <v>412</v>
      </c>
      <c r="C422" s="3" t="s">
        <v>339</v>
      </c>
      <c r="D422" s="4" t="s">
        <v>543</v>
      </c>
      <c r="E422" s="8" t="s">
        <v>163</v>
      </c>
      <c r="F422" s="8" t="s">
        <v>21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4"/>
      <c r="N422" s="11">
        <f t="shared" si="12"/>
        <v>0</v>
      </c>
    </row>
    <row r="423" spans="2:14" x14ac:dyDescent="0.35">
      <c r="B423" s="4">
        <f t="shared" si="13"/>
        <v>413</v>
      </c>
      <c r="C423" s="3" t="s">
        <v>339</v>
      </c>
      <c r="D423" s="4" t="s">
        <v>543</v>
      </c>
      <c r="E423" s="8" t="s">
        <v>163</v>
      </c>
      <c r="F423" s="8" t="s">
        <v>22</v>
      </c>
      <c r="G423" s="13">
        <v>52</v>
      </c>
      <c r="H423" s="13">
        <v>4160000</v>
      </c>
      <c r="I423" s="13">
        <v>2</v>
      </c>
      <c r="J423" s="13">
        <v>150000</v>
      </c>
      <c r="K423" s="13">
        <v>0</v>
      </c>
      <c r="L423" s="13">
        <v>0</v>
      </c>
      <c r="M423" s="4"/>
      <c r="N423" s="11">
        <f t="shared" si="12"/>
        <v>0</v>
      </c>
    </row>
    <row r="424" spans="2:14" x14ac:dyDescent="0.35">
      <c r="B424" s="4">
        <f t="shared" si="13"/>
        <v>414</v>
      </c>
      <c r="C424" s="3" t="s">
        <v>339</v>
      </c>
      <c r="D424" s="4" t="s">
        <v>543</v>
      </c>
      <c r="E424" s="8" t="s">
        <v>163</v>
      </c>
      <c r="F424" s="8" t="s">
        <v>19</v>
      </c>
      <c r="G424" s="13">
        <v>13</v>
      </c>
      <c r="H424" s="13">
        <v>154517000</v>
      </c>
      <c r="I424" s="13">
        <v>0</v>
      </c>
      <c r="J424" s="13">
        <v>0</v>
      </c>
      <c r="K424" s="13">
        <v>0</v>
      </c>
      <c r="L424" s="13">
        <v>0</v>
      </c>
      <c r="M424" s="4"/>
      <c r="N424" s="11">
        <f t="shared" si="12"/>
        <v>0</v>
      </c>
    </row>
    <row r="425" spans="2:14" x14ac:dyDescent="0.35">
      <c r="B425" s="4">
        <f t="shared" si="13"/>
        <v>415</v>
      </c>
      <c r="C425" s="3" t="s">
        <v>339</v>
      </c>
      <c r="D425" s="4" t="s">
        <v>543</v>
      </c>
      <c r="E425" s="8" t="s">
        <v>163</v>
      </c>
      <c r="F425" s="8" t="s">
        <v>190</v>
      </c>
      <c r="G425" s="13">
        <v>40</v>
      </c>
      <c r="H425" s="13">
        <v>5630000</v>
      </c>
      <c r="I425" s="13">
        <v>2</v>
      </c>
      <c r="J425" s="13">
        <v>250000</v>
      </c>
      <c r="K425" s="13">
        <v>0</v>
      </c>
      <c r="L425" s="13">
        <v>0</v>
      </c>
      <c r="M425" s="4"/>
      <c r="N425" s="11">
        <f t="shared" si="12"/>
        <v>0</v>
      </c>
    </row>
    <row r="426" spans="2:14" x14ac:dyDescent="0.35">
      <c r="B426" s="4">
        <f t="shared" si="13"/>
        <v>416</v>
      </c>
      <c r="C426" s="3" t="s">
        <v>359</v>
      </c>
      <c r="D426" s="4" t="s">
        <v>564</v>
      </c>
      <c r="E426" s="8" t="s">
        <v>163</v>
      </c>
      <c r="F426" s="8" t="s">
        <v>20</v>
      </c>
      <c r="G426" s="13">
        <v>3</v>
      </c>
      <c r="H426" s="13">
        <v>510000</v>
      </c>
      <c r="I426" s="13">
        <v>3</v>
      </c>
      <c r="J426" s="13">
        <v>525000</v>
      </c>
      <c r="K426" s="13">
        <v>0</v>
      </c>
      <c r="L426" s="13">
        <v>0</v>
      </c>
      <c r="M426" s="4"/>
      <c r="N426" s="11">
        <f t="shared" si="12"/>
        <v>0</v>
      </c>
    </row>
    <row r="427" spans="2:14" x14ac:dyDescent="0.35">
      <c r="B427" s="4">
        <f t="shared" si="13"/>
        <v>417</v>
      </c>
      <c r="C427" s="3" t="s">
        <v>359</v>
      </c>
      <c r="D427" s="4" t="s">
        <v>564</v>
      </c>
      <c r="E427" s="8" t="s">
        <v>163</v>
      </c>
      <c r="F427" s="8" t="s">
        <v>21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4"/>
      <c r="N427" s="11">
        <f t="shared" si="12"/>
        <v>0</v>
      </c>
    </row>
    <row r="428" spans="2:14" x14ac:dyDescent="0.35">
      <c r="B428" s="4">
        <f t="shared" si="13"/>
        <v>418</v>
      </c>
      <c r="C428" s="3" t="s">
        <v>359</v>
      </c>
      <c r="D428" s="4" t="s">
        <v>564</v>
      </c>
      <c r="E428" s="8" t="s">
        <v>163</v>
      </c>
      <c r="F428" s="8" t="s">
        <v>22</v>
      </c>
      <c r="G428" s="13">
        <v>217</v>
      </c>
      <c r="H428" s="13">
        <v>18805000</v>
      </c>
      <c r="I428" s="13">
        <v>10</v>
      </c>
      <c r="J428" s="13">
        <v>815000</v>
      </c>
      <c r="K428" s="13">
        <v>6</v>
      </c>
      <c r="L428" s="13">
        <v>1500000</v>
      </c>
      <c r="M428" s="4"/>
      <c r="N428" s="11">
        <f t="shared" si="12"/>
        <v>0</v>
      </c>
    </row>
    <row r="429" spans="2:14" x14ac:dyDescent="0.35">
      <c r="B429" s="4">
        <f t="shared" si="13"/>
        <v>419</v>
      </c>
      <c r="C429" s="3" t="s">
        <v>359</v>
      </c>
      <c r="D429" s="4" t="s">
        <v>564</v>
      </c>
      <c r="E429" s="8" t="s">
        <v>163</v>
      </c>
      <c r="F429" s="8" t="s">
        <v>190</v>
      </c>
      <c r="G429" s="13">
        <v>182</v>
      </c>
      <c r="H429" s="13">
        <v>26205000</v>
      </c>
      <c r="I429" s="13">
        <v>9</v>
      </c>
      <c r="J429" s="13">
        <v>1335000</v>
      </c>
      <c r="K429" s="13">
        <v>0</v>
      </c>
      <c r="L429" s="13">
        <v>0</v>
      </c>
      <c r="M429" s="4"/>
      <c r="N429" s="11">
        <f t="shared" si="12"/>
        <v>0</v>
      </c>
    </row>
    <row r="430" spans="2:14" x14ac:dyDescent="0.35">
      <c r="B430" s="4">
        <f t="shared" si="13"/>
        <v>420</v>
      </c>
      <c r="C430" s="3" t="s">
        <v>310</v>
      </c>
      <c r="D430" s="4" t="s">
        <v>423</v>
      </c>
      <c r="E430" s="8" t="s">
        <v>163</v>
      </c>
      <c r="F430" s="8" t="s">
        <v>20</v>
      </c>
      <c r="G430" s="13">
        <v>39</v>
      </c>
      <c r="H430" s="13">
        <v>6680000</v>
      </c>
      <c r="I430" s="13">
        <v>1</v>
      </c>
      <c r="J430" s="13">
        <v>175000</v>
      </c>
      <c r="K430" s="13">
        <v>0</v>
      </c>
      <c r="L430" s="13">
        <v>0</v>
      </c>
      <c r="M430" s="4"/>
      <c r="N430" s="11">
        <f t="shared" si="12"/>
        <v>0</v>
      </c>
    </row>
    <row r="431" spans="2:14" x14ac:dyDescent="0.35">
      <c r="B431" s="4">
        <f t="shared" si="13"/>
        <v>421</v>
      </c>
      <c r="C431" s="3" t="s">
        <v>310</v>
      </c>
      <c r="D431" s="4" t="s">
        <v>423</v>
      </c>
      <c r="E431" s="8" t="s">
        <v>163</v>
      </c>
      <c r="F431" s="8" t="s">
        <v>21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13">
        <v>0</v>
      </c>
      <c r="M431" s="4"/>
      <c r="N431" s="11">
        <f t="shared" si="12"/>
        <v>0</v>
      </c>
    </row>
    <row r="432" spans="2:14" x14ac:dyDescent="0.35">
      <c r="B432" s="4">
        <f t="shared" si="13"/>
        <v>422</v>
      </c>
      <c r="C432" s="3" t="s">
        <v>310</v>
      </c>
      <c r="D432" s="4" t="s">
        <v>423</v>
      </c>
      <c r="E432" s="8" t="s">
        <v>163</v>
      </c>
      <c r="F432" s="8" t="s">
        <v>22</v>
      </c>
      <c r="G432" s="13">
        <v>164</v>
      </c>
      <c r="H432" s="13">
        <v>13950000</v>
      </c>
      <c r="I432" s="13">
        <v>7</v>
      </c>
      <c r="J432" s="13">
        <v>525000</v>
      </c>
      <c r="K432" s="13">
        <v>8</v>
      </c>
      <c r="L432" s="13">
        <v>2000000</v>
      </c>
      <c r="M432" s="4"/>
      <c r="N432" s="11">
        <f t="shared" si="12"/>
        <v>0</v>
      </c>
    </row>
    <row r="433" spans="2:14" x14ac:dyDescent="0.35">
      <c r="B433" s="4">
        <f t="shared" si="13"/>
        <v>423</v>
      </c>
      <c r="C433" s="3" t="s">
        <v>310</v>
      </c>
      <c r="D433" s="4" t="s">
        <v>423</v>
      </c>
      <c r="E433" s="8" t="s">
        <v>163</v>
      </c>
      <c r="F433" s="8" t="s">
        <v>190</v>
      </c>
      <c r="G433" s="13">
        <v>255</v>
      </c>
      <c r="H433" s="13">
        <v>36600000</v>
      </c>
      <c r="I433" s="13">
        <v>9</v>
      </c>
      <c r="J433" s="13">
        <v>1335000</v>
      </c>
      <c r="K433" s="13">
        <v>0</v>
      </c>
      <c r="L433" s="13">
        <v>0</v>
      </c>
      <c r="M433" s="4"/>
      <c r="N433" s="11">
        <f t="shared" si="12"/>
        <v>0</v>
      </c>
    </row>
    <row r="434" spans="2:14" x14ac:dyDescent="0.35">
      <c r="B434" s="4">
        <f t="shared" si="13"/>
        <v>424</v>
      </c>
      <c r="C434" s="3" t="s">
        <v>301</v>
      </c>
      <c r="D434" s="4" t="s">
        <v>532</v>
      </c>
      <c r="E434" s="8" t="s">
        <v>147</v>
      </c>
      <c r="F434" s="8" t="s">
        <v>22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4"/>
      <c r="N434" s="11">
        <f t="shared" si="12"/>
        <v>0</v>
      </c>
    </row>
    <row r="435" spans="2:14" x14ac:dyDescent="0.35">
      <c r="B435" s="4">
        <f t="shared" si="13"/>
        <v>425</v>
      </c>
      <c r="C435" s="3" t="s">
        <v>301</v>
      </c>
      <c r="D435" s="4" t="s">
        <v>532</v>
      </c>
      <c r="E435" s="8" t="s">
        <v>147</v>
      </c>
      <c r="F435" s="8" t="s">
        <v>19</v>
      </c>
      <c r="G435" s="13">
        <v>2</v>
      </c>
      <c r="H435" s="13">
        <v>7200000</v>
      </c>
      <c r="I435" s="13">
        <v>0</v>
      </c>
      <c r="J435" s="13">
        <v>0</v>
      </c>
      <c r="K435" s="13">
        <v>0</v>
      </c>
      <c r="L435" s="13">
        <v>0</v>
      </c>
      <c r="M435" s="4"/>
      <c r="N435" s="11">
        <f t="shared" si="12"/>
        <v>0</v>
      </c>
    </row>
    <row r="436" spans="2:14" x14ac:dyDescent="0.35">
      <c r="B436" s="4">
        <f t="shared" si="13"/>
        <v>426</v>
      </c>
      <c r="C436" s="3" t="s">
        <v>301</v>
      </c>
      <c r="D436" s="4" t="s">
        <v>532</v>
      </c>
      <c r="E436" s="8" t="s">
        <v>147</v>
      </c>
      <c r="F436" s="8" t="s">
        <v>190</v>
      </c>
      <c r="G436" s="13">
        <v>2</v>
      </c>
      <c r="H436" s="13">
        <v>250000</v>
      </c>
      <c r="I436" s="13">
        <v>0</v>
      </c>
      <c r="J436" s="13">
        <v>0</v>
      </c>
      <c r="K436" s="13">
        <v>0</v>
      </c>
      <c r="L436" s="13">
        <v>0</v>
      </c>
      <c r="M436" s="4"/>
      <c r="N436" s="11">
        <f t="shared" si="12"/>
        <v>0</v>
      </c>
    </row>
    <row r="437" spans="2:14" x14ac:dyDescent="0.35">
      <c r="B437" s="4">
        <f t="shared" si="13"/>
        <v>427</v>
      </c>
      <c r="C437" s="3" t="s">
        <v>201</v>
      </c>
      <c r="D437" s="4" t="s">
        <v>429</v>
      </c>
      <c r="E437" s="8" t="s">
        <v>147</v>
      </c>
      <c r="F437" s="8" t="s">
        <v>20</v>
      </c>
      <c r="G437" s="13">
        <v>1</v>
      </c>
      <c r="H437" s="13">
        <v>160000</v>
      </c>
      <c r="I437" s="13">
        <v>0</v>
      </c>
      <c r="J437" s="13">
        <v>0</v>
      </c>
      <c r="K437" s="13">
        <v>0</v>
      </c>
      <c r="L437" s="13">
        <v>0</v>
      </c>
      <c r="M437" s="4"/>
      <c r="N437" s="11">
        <f t="shared" si="12"/>
        <v>0</v>
      </c>
    </row>
    <row r="438" spans="2:14" x14ac:dyDescent="0.35">
      <c r="B438" s="4">
        <f t="shared" si="13"/>
        <v>428</v>
      </c>
      <c r="C438" s="3" t="s">
        <v>201</v>
      </c>
      <c r="D438" s="4" t="s">
        <v>429</v>
      </c>
      <c r="E438" s="8" t="s">
        <v>147</v>
      </c>
      <c r="F438" s="8" t="s">
        <v>22</v>
      </c>
      <c r="G438" s="13">
        <v>234</v>
      </c>
      <c r="H438" s="13">
        <v>59189000</v>
      </c>
      <c r="I438" s="13">
        <v>9</v>
      </c>
      <c r="J438" s="13">
        <v>1575000</v>
      </c>
      <c r="K438" s="13">
        <v>120</v>
      </c>
      <c r="L438" s="13">
        <v>33565000</v>
      </c>
      <c r="M438" s="4"/>
      <c r="N438" s="11">
        <f t="shared" si="12"/>
        <v>0</v>
      </c>
    </row>
    <row r="439" spans="2:14" x14ac:dyDescent="0.35">
      <c r="B439" s="4">
        <f t="shared" si="13"/>
        <v>429</v>
      </c>
      <c r="C439" s="3" t="s">
        <v>201</v>
      </c>
      <c r="D439" s="4" t="s">
        <v>429</v>
      </c>
      <c r="E439" s="8" t="s">
        <v>147</v>
      </c>
      <c r="F439" s="8" t="s">
        <v>19</v>
      </c>
      <c r="G439" s="13">
        <v>42</v>
      </c>
      <c r="H439" s="13">
        <v>236300000</v>
      </c>
      <c r="I439" s="13">
        <v>0</v>
      </c>
      <c r="J439" s="13">
        <v>0</v>
      </c>
      <c r="K439" s="13">
        <v>0</v>
      </c>
      <c r="L439" s="13">
        <v>0</v>
      </c>
      <c r="M439" s="4"/>
      <c r="N439" s="11">
        <f t="shared" si="12"/>
        <v>0</v>
      </c>
    </row>
    <row r="440" spans="2:14" x14ac:dyDescent="0.35">
      <c r="B440" s="4">
        <f t="shared" si="13"/>
        <v>430</v>
      </c>
      <c r="C440" s="3" t="s">
        <v>201</v>
      </c>
      <c r="D440" s="4" t="s">
        <v>429</v>
      </c>
      <c r="E440" s="8" t="s">
        <v>147</v>
      </c>
      <c r="F440" s="8" t="s">
        <v>190</v>
      </c>
      <c r="G440" s="13">
        <v>53</v>
      </c>
      <c r="H440" s="13">
        <v>6735000</v>
      </c>
      <c r="I440" s="13">
        <v>0</v>
      </c>
      <c r="J440" s="13">
        <v>0</v>
      </c>
      <c r="K440" s="13">
        <v>0</v>
      </c>
      <c r="L440" s="13">
        <v>0</v>
      </c>
      <c r="M440" s="4"/>
      <c r="N440" s="11">
        <f t="shared" si="12"/>
        <v>0</v>
      </c>
    </row>
    <row r="441" spans="2:14" x14ac:dyDescent="0.35">
      <c r="B441" s="4">
        <f t="shared" si="13"/>
        <v>431</v>
      </c>
      <c r="C441" s="3" t="s">
        <v>233</v>
      </c>
      <c r="D441" s="4" t="s">
        <v>508</v>
      </c>
      <c r="E441" s="8" t="s">
        <v>147</v>
      </c>
      <c r="F441" s="8" t="s">
        <v>20</v>
      </c>
      <c r="G441" s="13">
        <v>1</v>
      </c>
      <c r="H441" s="13">
        <v>160000</v>
      </c>
      <c r="I441" s="13">
        <v>0</v>
      </c>
      <c r="J441" s="13">
        <v>0</v>
      </c>
      <c r="K441" s="13">
        <v>0</v>
      </c>
      <c r="L441" s="13">
        <v>0</v>
      </c>
      <c r="M441" s="4"/>
      <c r="N441" s="11">
        <f t="shared" si="12"/>
        <v>0</v>
      </c>
    </row>
    <row r="442" spans="2:14" x14ac:dyDescent="0.35">
      <c r="B442" s="4">
        <f t="shared" si="13"/>
        <v>432</v>
      </c>
      <c r="C442" s="3" t="s">
        <v>233</v>
      </c>
      <c r="D442" s="4" t="s">
        <v>508</v>
      </c>
      <c r="E442" s="8" t="s">
        <v>147</v>
      </c>
      <c r="F442" s="8" t="s">
        <v>22</v>
      </c>
      <c r="G442" s="13">
        <v>158</v>
      </c>
      <c r="H442" s="13">
        <v>30792000</v>
      </c>
      <c r="I442" s="13">
        <v>19</v>
      </c>
      <c r="J442" s="13">
        <v>3453000</v>
      </c>
      <c r="K442" s="13">
        <v>0</v>
      </c>
      <c r="L442" s="13">
        <v>0</v>
      </c>
      <c r="M442" s="4"/>
      <c r="N442" s="11">
        <f t="shared" si="12"/>
        <v>0</v>
      </c>
    </row>
    <row r="443" spans="2:14" x14ac:dyDescent="0.35">
      <c r="B443" s="4">
        <f t="shared" si="13"/>
        <v>433</v>
      </c>
      <c r="C443" s="3" t="s">
        <v>233</v>
      </c>
      <c r="D443" s="4" t="s">
        <v>508</v>
      </c>
      <c r="E443" s="8" t="s">
        <v>147</v>
      </c>
      <c r="F443" s="8" t="s">
        <v>19</v>
      </c>
      <c r="G443" s="13">
        <v>12</v>
      </c>
      <c r="H443" s="13">
        <v>44133000</v>
      </c>
      <c r="I443" s="13">
        <v>0</v>
      </c>
      <c r="J443" s="13">
        <v>0</v>
      </c>
      <c r="K443" s="13">
        <v>0</v>
      </c>
      <c r="L443" s="13">
        <v>0</v>
      </c>
      <c r="M443" s="4"/>
      <c r="N443" s="11">
        <f t="shared" si="12"/>
        <v>0</v>
      </c>
    </row>
    <row r="444" spans="2:14" x14ac:dyDescent="0.35">
      <c r="B444" s="4">
        <f t="shared" si="13"/>
        <v>434</v>
      </c>
      <c r="C444" s="3" t="s">
        <v>233</v>
      </c>
      <c r="D444" s="4" t="s">
        <v>508</v>
      </c>
      <c r="E444" s="8" t="s">
        <v>147</v>
      </c>
      <c r="F444" s="8" t="s">
        <v>190</v>
      </c>
      <c r="G444" s="13">
        <v>24</v>
      </c>
      <c r="H444" s="13">
        <v>3245000</v>
      </c>
      <c r="I444" s="13">
        <v>0</v>
      </c>
      <c r="J444" s="13">
        <v>0</v>
      </c>
      <c r="K444" s="13">
        <v>0</v>
      </c>
      <c r="L444" s="13">
        <v>0</v>
      </c>
      <c r="M444" s="4"/>
      <c r="N444" s="11">
        <f t="shared" si="12"/>
        <v>0</v>
      </c>
    </row>
    <row r="445" spans="2:14" x14ac:dyDescent="0.35">
      <c r="B445" s="4">
        <f t="shared" si="13"/>
        <v>435</v>
      </c>
      <c r="C445" s="3" t="s">
        <v>386</v>
      </c>
      <c r="D445" s="4" t="s">
        <v>604</v>
      </c>
      <c r="E445" s="8" t="s">
        <v>147</v>
      </c>
      <c r="F445" s="8" t="s">
        <v>20</v>
      </c>
      <c r="G445" s="13">
        <v>5</v>
      </c>
      <c r="H445" s="13">
        <v>815000</v>
      </c>
      <c r="I445" s="13">
        <v>1</v>
      </c>
      <c r="J445" s="13">
        <v>160000</v>
      </c>
      <c r="K445" s="13">
        <v>0</v>
      </c>
      <c r="L445" s="13">
        <v>0</v>
      </c>
      <c r="M445" s="4"/>
      <c r="N445" s="11">
        <f t="shared" si="12"/>
        <v>0</v>
      </c>
    </row>
    <row r="446" spans="2:14" x14ac:dyDescent="0.35">
      <c r="B446" s="4">
        <f t="shared" si="13"/>
        <v>436</v>
      </c>
      <c r="C446" s="3" t="s">
        <v>386</v>
      </c>
      <c r="D446" s="4" t="s">
        <v>604</v>
      </c>
      <c r="E446" s="8" t="s">
        <v>147</v>
      </c>
      <c r="F446" s="8" t="s">
        <v>22</v>
      </c>
      <c r="G446" s="13">
        <v>160</v>
      </c>
      <c r="H446" s="13">
        <v>15023000</v>
      </c>
      <c r="I446" s="13">
        <v>3</v>
      </c>
      <c r="J446" s="13">
        <v>225000</v>
      </c>
      <c r="K446" s="13">
        <v>0</v>
      </c>
      <c r="L446" s="13">
        <v>0</v>
      </c>
      <c r="M446" s="4"/>
      <c r="N446" s="11">
        <f t="shared" si="12"/>
        <v>0</v>
      </c>
    </row>
    <row r="447" spans="2:14" x14ac:dyDescent="0.35">
      <c r="B447" s="4">
        <f t="shared" si="13"/>
        <v>437</v>
      </c>
      <c r="C447" s="3" t="s">
        <v>386</v>
      </c>
      <c r="D447" s="4" t="s">
        <v>604</v>
      </c>
      <c r="E447" s="8" t="s">
        <v>147</v>
      </c>
      <c r="F447" s="8" t="s">
        <v>19</v>
      </c>
      <c r="G447" s="13">
        <v>24</v>
      </c>
      <c r="H447" s="13">
        <v>139211000</v>
      </c>
      <c r="I447" s="13">
        <v>0</v>
      </c>
      <c r="J447" s="13">
        <v>0</v>
      </c>
      <c r="K447" s="13">
        <v>0</v>
      </c>
      <c r="L447" s="13">
        <v>0</v>
      </c>
      <c r="M447" s="4"/>
      <c r="N447" s="11">
        <f t="shared" si="12"/>
        <v>0</v>
      </c>
    </row>
    <row r="448" spans="2:14" x14ac:dyDescent="0.35">
      <c r="B448" s="4">
        <f t="shared" si="13"/>
        <v>438</v>
      </c>
      <c r="C448" s="3" t="s">
        <v>386</v>
      </c>
      <c r="D448" s="4" t="s">
        <v>604</v>
      </c>
      <c r="E448" s="8" t="s">
        <v>147</v>
      </c>
      <c r="F448" s="8" t="s">
        <v>190</v>
      </c>
      <c r="G448" s="13">
        <v>45</v>
      </c>
      <c r="H448" s="13">
        <v>5660000</v>
      </c>
      <c r="I448" s="13">
        <v>0</v>
      </c>
      <c r="J448" s="13">
        <v>0</v>
      </c>
      <c r="K448" s="13">
        <v>0</v>
      </c>
      <c r="L448" s="13">
        <v>0</v>
      </c>
      <c r="M448" s="4"/>
      <c r="N448" s="11">
        <f t="shared" si="12"/>
        <v>0</v>
      </c>
    </row>
    <row r="449" spans="2:14" x14ac:dyDescent="0.35">
      <c r="B449" s="4">
        <f t="shared" si="13"/>
        <v>439</v>
      </c>
      <c r="C449" s="3" t="s">
        <v>385</v>
      </c>
      <c r="D449" s="4" t="s">
        <v>612</v>
      </c>
      <c r="E449" s="8" t="s">
        <v>147</v>
      </c>
      <c r="F449" s="8" t="s">
        <v>20</v>
      </c>
      <c r="G449" s="13">
        <v>6</v>
      </c>
      <c r="H449" s="13">
        <v>990000</v>
      </c>
      <c r="I449" s="13">
        <v>0</v>
      </c>
      <c r="J449" s="13">
        <v>0</v>
      </c>
      <c r="K449" s="13">
        <v>0</v>
      </c>
      <c r="L449" s="13">
        <v>0</v>
      </c>
      <c r="M449" s="4"/>
      <c r="N449" s="11">
        <f t="shared" si="12"/>
        <v>0</v>
      </c>
    </row>
    <row r="450" spans="2:14" x14ac:dyDescent="0.35">
      <c r="B450" s="4">
        <f t="shared" si="13"/>
        <v>440</v>
      </c>
      <c r="C450" s="3" t="s">
        <v>385</v>
      </c>
      <c r="D450" s="4" t="s">
        <v>612</v>
      </c>
      <c r="E450" s="8" t="s">
        <v>147</v>
      </c>
      <c r="F450" s="8" t="s">
        <v>22</v>
      </c>
      <c r="G450" s="13">
        <v>112</v>
      </c>
      <c r="H450" s="13">
        <v>24588000</v>
      </c>
      <c r="I450" s="13">
        <v>2</v>
      </c>
      <c r="J450" s="13">
        <v>150000</v>
      </c>
      <c r="K450" s="13">
        <v>43</v>
      </c>
      <c r="L450" s="13">
        <v>12384000</v>
      </c>
      <c r="M450" s="4"/>
      <c r="N450" s="11">
        <f t="shared" si="12"/>
        <v>0</v>
      </c>
    </row>
    <row r="451" spans="2:14" x14ac:dyDescent="0.35">
      <c r="B451" s="4">
        <f t="shared" si="13"/>
        <v>441</v>
      </c>
      <c r="C451" s="3" t="s">
        <v>385</v>
      </c>
      <c r="D451" s="4" t="s">
        <v>612</v>
      </c>
      <c r="E451" s="8" t="s">
        <v>147</v>
      </c>
      <c r="F451" s="8" t="s">
        <v>19</v>
      </c>
      <c r="G451" s="13">
        <v>25</v>
      </c>
      <c r="H451" s="13">
        <v>151350000</v>
      </c>
      <c r="I451" s="13">
        <v>0</v>
      </c>
      <c r="J451" s="13">
        <v>0</v>
      </c>
      <c r="K451" s="13">
        <v>4</v>
      </c>
      <c r="L451" s="13">
        <v>129408000</v>
      </c>
      <c r="M451" s="4"/>
      <c r="N451" s="11">
        <f t="shared" si="12"/>
        <v>0</v>
      </c>
    </row>
    <row r="452" spans="2:14" x14ac:dyDescent="0.35">
      <c r="B452" s="4">
        <f t="shared" si="13"/>
        <v>442</v>
      </c>
      <c r="C452" s="3" t="s">
        <v>385</v>
      </c>
      <c r="D452" s="4" t="s">
        <v>612</v>
      </c>
      <c r="E452" s="8" t="s">
        <v>147</v>
      </c>
      <c r="F452" s="8" t="s">
        <v>190</v>
      </c>
      <c r="G452" s="13">
        <v>42</v>
      </c>
      <c r="H452" s="13">
        <v>5520000</v>
      </c>
      <c r="I452" s="13">
        <v>0</v>
      </c>
      <c r="J452" s="13">
        <v>0</v>
      </c>
      <c r="K452" s="13">
        <v>6</v>
      </c>
      <c r="L452" s="13">
        <v>970000</v>
      </c>
      <c r="M452" s="4"/>
      <c r="N452" s="11">
        <f t="shared" si="12"/>
        <v>0</v>
      </c>
    </row>
    <row r="453" spans="2:14" x14ac:dyDescent="0.35">
      <c r="B453" s="4">
        <f t="shared" si="13"/>
        <v>443</v>
      </c>
      <c r="C453" s="3" t="s">
        <v>234</v>
      </c>
      <c r="D453" s="4" t="s">
        <v>452</v>
      </c>
      <c r="E453" s="8" t="s">
        <v>147</v>
      </c>
      <c r="F453" s="8" t="s">
        <v>20</v>
      </c>
      <c r="G453" s="13">
        <v>1</v>
      </c>
      <c r="H453" s="13">
        <v>145000</v>
      </c>
      <c r="I453" s="13">
        <v>0</v>
      </c>
      <c r="J453" s="13">
        <v>0</v>
      </c>
      <c r="K453" s="13">
        <v>0</v>
      </c>
      <c r="L453" s="13">
        <v>0</v>
      </c>
      <c r="M453" s="4"/>
      <c r="N453" s="11">
        <f t="shared" si="12"/>
        <v>0</v>
      </c>
    </row>
    <row r="454" spans="2:14" x14ac:dyDescent="0.35">
      <c r="B454" s="4">
        <f t="shared" si="13"/>
        <v>444</v>
      </c>
      <c r="C454" s="3" t="s">
        <v>234</v>
      </c>
      <c r="D454" s="4" t="s">
        <v>452</v>
      </c>
      <c r="E454" s="8" t="s">
        <v>147</v>
      </c>
      <c r="F454" s="8" t="s">
        <v>22</v>
      </c>
      <c r="G454" s="13">
        <v>163</v>
      </c>
      <c r="H454" s="13">
        <v>39946000</v>
      </c>
      <c r="I454" s="13">
        <v>8</v>
      </c>
      <c r="J454" s="13">
        <v>1602000</v>
      </c>
      <c r="K454" s="13">
        <v>9</v>
      </c>
      <c r="L454" s="13">
        <v>4620000</v>
      </c>
      <c r="M454" s="4"/>
      <c r="N454" s="11">
        <f t="shared" si="12"/>
        <v>0</v>
      </c>
    </row>
    <row r="455" spans="2:14" x14ac:dyDescent="0.35">
      <c r="B455" s="4">
        <f t="shared" si="13"/>
        <v>445</v>
      </c>
      <c r="C455" s="3" t="s">
        <v>235</v>
      </c>
      <c r="D455" s="4" t="s">
        <v>501</v>
      </c>
      <c r="E455" s="8" t="s">
        <v>147</v>
      </c>
      <c r="F455" s="8" t="s">
        <v>20</v>
      </c>
      <c r="G455" s="13">
        <v>18</v>
      </c>
      <c r="H455" s="13">
        <v>2985000</v>
      </c>
      <c r="I455" s="13">
        <v>0</v>
      </c>
      <c r="J455" s="13">
        <v>0</v>
      </c>
      <c r="K455" s="13">
        <v>0</v>
      </c>
      <c r="L455" s="13">
        <v>0</v>
      </c>
      <c r="M455" s="4"/>
      <c r="N455" s="11">
        <f t="shared" si="12"/>
        <v>0</v>
      </c>
    </row>
    <row r="456" spans="2:14" x14ac:dyDescent="0.35">
      <c r="B456" s="4">
        <f t="shared" si="13"/>
        <v>446</v>
      </c>
      <c r="C456" s="3" t="s">
        <v>235</v>
      </c>
      <c r="D456" s="4" t="s">
        <v>501</v>
      </c>
      <c r="E456" s="8" t="s">
        <v>147</v>
      </c>
      <c r="F456" s="8" t="s">
        <v>22</v>
      </c>
      <c r="G456" s="13">
        <v>176</v>
      </c>
      <c r="H456" s="13">
        <v>39122000</v>
      </c>
      <c r="I456" s="13">
        <v>1</v>
      </c>
      <c r="J456" s="13">
        <v>75000</v>
      </c>
      <c r="K456" s="13">
        <v>3</v>
      </c>
      <c r="L456" s="13">
        <v>680000</v>
      </c>
      <c r="M456" s="4"/>
      <c r="N456" s="11">
        <f t="shared" si="12"/>
        <v>0</v>
      </c>
    </row>
    <row r="457" spans="2:14" x14ac:dyDescent="0.35">
      <c r="B457" s="4">
        <f t="shared" si="13"/>
        <v>447</v>
      </c>
      <c r="C457" s="3" t="s">
        <v>235</v>
      </c>
      <c r="D457" s="4" t="s">
        <v>501</v>
      </c>
      <c r="E457" s="8" t="s">
        <v>147</v>
      </c>
      <c r="F457" s="8" t="s">
        <v>19</v>
      </c>
      <c r="G457" s="13">
        <v>38</v>
      </c>
      <c r="H457" s="13">
        <v>267850000</v>
      </c>
      <c r="I457" s="13">
        <v>0</v>
      </c>
      <c r="J457" s="13">
        <v>0</v>
      </c>
      <c r="K457" s="13">
        <v>1</v>
      </c>
      <c r="L457" s="13">
        <v>32352000</v>
      </c>
      <c r="M457" s="4"/>
      <c r="N457" s="11">
        <f t="shared" si="12"/>
        <v>0</v>
      </c>
    </row>
    <row r="458" spans="2:14" x14ac:dyDescent="0.35">
      <c r="B458" s="4">
        <f t="shared" si="13"/>
        <v>448</v>
      </c>
      <c r="C458" s="3" t="s">
        <v>235</v>
      </c>
      <c r="D458" s="4" t="s">
        <v>501</v>
      </c>
      <c r="E458" s="8" t="s">
        <v>147</v>
      </c>
      <c r="F458" s="8" t="s">
        <v>190</v>
      </c>
      <c r="G458" s="13">
        <v>87</v>
      </c>
      <c r="H458" s="13">
        <v>10995000</v>
      </c>
      <c r="I458" s="13">
        <v>0</v>
      </c>
      <c r="J458" s="13">
        <v>0</v>
      </c>
      <c r="K458" s="13">
        <v>3</v>
      </c>
      <c r="L458" s="13">
        <v>540000</v>
      </c>
      <c r="M458" s="4"/>
      <c r="N458" s="11">
        <f t="shared" si="12"/>
        <v>0</v>
      </c>
    </row>
    <row r="459" spans="2:14" x14ac:dyDescent="0.35">
      <c r="B459" s="4">
        <f t="shared" si="13"/>
        <v>449</v>
      </c>
      <c r="C459" s="3" t="s">
        <v>202</v>
      </c>
      <c r="D459" s="4" t="s">
        <v>482</v>
      </c>
      <c r="E459" s="8" t="s">
        <v>147</v>
      </c>
      <c r="F459" s="8" t="s">
        <v>22</v>
      </c>
      <c r="G459" s="13">
        <v>181</v>
      </c>
      <c r="H459" s="13">
        <v>40966000</v>
      </c>
      <c r="I459" s="13">
        <v>9</v>
      </c>
      <c r="J459" s="13">
        <v>1874000</v>
      </c>
      <c r="K459" s="13">
        <v>0</v>
      </c>
      <c r="L459" s="13">
        <v>0</v>
      </c>
      <c r="M459" s="4"/>
      <c r="N459" s="11">
        <f t="shared" ref="N459:N522" si="14">IFERROR((G459/M459)*100%, 0)</f>
        <v>0</v>
      </c>
    </row>
    <row r="460" spans="2:14" x14ac:dyDescent="0.35">
      <c r="B460" s="4">
        <f t="shared" si="13"/>
        <v>450</v>
      </c>
      <c r="C460" s="3" t="s">
        <v>202</v>
      </c>
      <c r="D460" s="4" t="s">
        <v>482</v>
      </c>
      <c r="E460" s="8" t="s">
        <v>147</v>
      </c>
      <c r="F460" s="8" t="s">
        <v>19</v>
      </c>
      <c r="G460" s="13">
        <v>6</v>
      </c>
      <c r="H460" s="13">
        <v>20322000</v>
      </c>
      <c r="I460" s="13">
        <v>0</v>
      </c>
      <c r="J460" s="13">
        <v>0</v>
      </c>
      <c r="K460" s="13">
        <v>0</v>
      </c>
      <c r="L460" s="13">
        <v>0</v>
      </c>
      <c r="M460" s="4"/>
      <c r="N460" s="11">
        <f t="shared" si="14"/>
        <v>0</v>
      </c>
    </row>
    <row r="461" spans="2:14" x14ac:dyDescent="0.35">
      <c r="B461" s="4">
        <f t="shared" ref="B461:B524" si="15">B460+1</f>
        <v>451</v>
      </c>
      <c r="C461" s="3" t="s">
        <v>202</v>
      </c>
      <c r="D461" s="4" t="s">
        <v>482</v>
      </c>
      <c r="E461" s="8" t="s">
        <v>147</v>
      </c>
      <c r="F461" s="8" t="s">
        <v>190</v>
      </c>
      <c r="G461" s="13">
        <v>5</v>
      </c>
      <c r="H461" s="13">
        <v>625000</v>
      </c>
      <c r="I461" s="13">
        <v>1</v>
      </c>
      <c r="J461" s="13">
        <v>125000</v>
      </c>
      <c r="K461" s="13">
        <v>0</v>
      </c>
      <c r="L461" s="13">
        <v>0</v>
      </c>
      <c r="M461" s="4"/>
      <c r="N461" s="11">
        <f t="shared" si="14"/>
        <v>0</v>
      </c>
    </row>
    <row r="462" spans="2:14" x14ac:dyDescent="0.35">
      <c r="B462" s="4">
        <f t="shared" si="15"/>
        <v>452</v>
      </c>
      <c r="C462" s="3" t="s">
        <v>302</v>
      </c>
      <c r="D462" s="4" t="s">
        <v>580</v>
      </c>
      <c r="E462" s="8" t="s">
        <v>147</v>
      </c>
      <c r="F462" s="8" t="s">
        <v>22</v>
      </c>
      <c r="G462" s="13">
        <v>148</v>
      </c>
      <c r="H462" s="13">
        <v>15109000</v>
      </c>
      <c r="I462" s="13">
        <v>3</v>
      </c>
      <c r="J462" s="13">
        <v>261000</v>
      </c>
      <c r="K462" s="13">
        <v>0</v>
      </c>
      <c r="L462" s="13">
        <v>0</v>
      </c>
      <c r="M462" s="4"/>
      <c r="N462" s="11">
        <f t="shared" si="14"/>
        <v>0</v>
      </c>
    </row>
    <row r="463" spans="2:14" x14ac:dyDescent="0.35">
      <c r="B463" s="4">
        <f t="shared" si="15"/>
        <v>453</v>
      </c>
      <c r="C463" s="3" t="s">
        <v>302</v>
      </c>
      <c r="D463" s="4" t="s">
        <v>580</v>
      </c>
      <c r="E463" s="8" t="s">
        <v>147</v>
      </c>
      <c r="F463" s="8" t="s">
        <v>19</v>
      </c>
      <c r="G463" s="13">
        <v>43</v>
      </c>
      <c r="H463" s="13">
        <v>253472000</v>
      </c>
      <c r="I463" s="13">
        <v>0</v>
      </c>
      <c r="J463" s="13">
        <v>0</v>
      </c>
      <c r="K463" s="13">
        <v>0</v>
      </c>
      <c r="L463" s="13">
        <v>0</v>
      </c>
      <c r="M463" s="4"/>
      <c r="N463" s="11">
        <f t="shared" si="14"/>
        <v>0</v>
      </c>
    </row>
    <row r="464" spans="2:14" x14ac:dyDescent="0.35">
      <c r="B464" s="4">
        <f t="shared" si="15"/>
        <v>454</v>
      </c>
      <c r="C464" s="3" t="s">
        <v>302</v>
      </c>
      <c r="D464" s="4" t="s">
        <v>580</v>
      </c>
      <c r="E464" s="8" t="s">
        <v>147</v>
      </c>
      <c r="F464" s="8" t="s">
        <v>190</v>
      </c>
      <c r="G464" s="13">
        <v>33</v>
      </c>
      <c r="H464" s="13">
        <v>4125000</v>
      </c>
      <c r="I464" s="13">
        <v>0</v>
      </c>
      <c r="J464" s="13">
        <v>0</v>
      </c>
      <c r="K464" s="13">
        <v>0</v>
      </c>
      <c r="L464" s="13">
        <v>0</v>
      </c>
      <c r="M464" s="4"/>
      <c r="N464" s="11">
        <f t="shared" si="14"/>
        <v>0</v>
      </c>
    </row>
    <row r="465" spans="2:14" x14ac:dyDescent="0.35">
      <c r="B465" s="4">
        <f t="shared" si="15"/>
        <v>455</v>
      </c>
      <c r="C465" s="3" t="s">
        <v>393</v>
      </c>
      <c r="D465" s="4" t="s">
        <v>607</v>
      </c>
      <c r="E465" s="8" t="s">
        <v>147</v>
      </c>
      <c r="F465" s="8" t="s">
        <v>22</v>
      </c>
      <c r="G465" s="13">
        <v>126</v>
      </c>
      <c r="H465" s="13">
        <v>13993000</v>
      </c>
      <c r="I465" s="13">
        <v>12</v>
      </c>
      <c r="J465" s="13">
        <v>2123000</v>
      </c>
      <c r="K465" s="13">
        <v>0</v>
      </c>
      <c r="L465" s="13">
        <v>0</v>
      </c>
      <c r="M465" s="4"/>
      <c r="N465" s="11">
        <f t="shared" si="14"/>
        <v>0</v>
      </c>
    </row>
    <row r="466" spans="2:14" x14ac:dyDescent="0.35">
      <c r="B466" s="4">
        <f t="shared" si="15"/>
        <v>456</v>
      </c>
      <c r="C466" s="3" t="s">
        <v>393</v>
      </c>
      <c r="D466" s="4" t="s">
        <v>607</v>
      </c>
      <c r="E466" s="8" t="s">
        <v>147</v>
      </c>
      <c r="F466" s="8" t="s">
        <v>19</v>
      </c>
      <c r="G466" s="13">
        <v>35</v>
      </c>
      <c r="H466" s="13">
        <v>200700000</v>
      </c>
      <c r="I466" s="13">
        <v>0</v>
      </c>
      <c r="J466" s="13">
        <v>0</v>
      </c>
      <c r="K466" s="13">
        <v>0</v>
      </c>
      <c r="L466" s="13">
        <v>0</v>
      </c>
      <c r="M466" s="4"/>
      <c r="N466" s="11">
        <f t="shared" si="14"/>
        <v>0</v>
      </c>
    </row>
    <row r="467" spans="2:14" x14ac:dyDescent="0.35">
      <c r="B467" s="4">
        <f t="shared" si="15"/>
        <v>457</v>
      </c>
      <c r="C467" s="3" t="s">
        <v>393</v>
      </c>
      <c r="D467" s="4" t="s">
        <v>607</v>
      </c>
      <c r="E467" s="8" t="s">
        <v>147</v>
      </c>
      <c r="F467" s="8" t="s">
        <v>190</v>
      </c>
      <c r="G467" s="13">
        <v>20</v>
      </c>
      <c r="H467" s="13">
        <v>2500000</v>
      </c>
      <c r="I467" s="13">
        <v>0</v>
      </c>
      <c r="J467" s="13">
        <v>0</v>
      </c>
      <c r="K467" s="13">
        <v>0</v>
      </c>
      <c r="L467" s="13">
        <v>0</v>
      </c>
      <c r="M467" s="4"/>
      <c r="N467" s="11">
        <f t="shared" si="14"/>
        <v>0</v>
      </c>
    </row>
    <row r="468" spans="2:14" x14ac:dyDescent="0.35">
      <c r="B468" s="4">
        <f t="shared" si="15"/>
        <v>458</v>
      </c>
      <c r="C468" s="3" t="s">
        <v>303</v>
      </c>
      <c r="D468" s="4" t="s">
        <v>585</v>
      </c>
      <c r="E468" s="8" t="s">
        <v>147</v>
      </c>
      <c r="F468" s="8" t="s">
        <v>20</v>
      </c>
      <c r="G468" s="13">
        <v>3</v>
      </c>
      <c r="H468" s="13">
        <v>495000</v>
      </c>
      <c r="I468" s="13">
        <v>0</v>
      </c>
      <c r="J468" s="13">
        <v>0</v>
      </c>
      <c r="K468" s="13">
        <v>0</v>
      </c>
      <c r="L468" s="13">
        <v>0</v>
      </c>
      <c r="M468" s="4"/>
      <c r="N468" s="11">
        <f t="shared" si="14"/>
        <v>0</v>
      </c>
    </row>
    <row r="469" spans="2:14" x14ac:dyDescent="0.35">
      <c r="B469" s="4">
        <f t="shared" si="15"/>
        <v>459</v>
      </c>
      <c r="C469" s="3" t="s">
        <v>303</v>
      </c>
      <c r="D469" s="4" t="s">
        <v>585</v>
      </c>
      <c r="E469" s="8" t="s">
        <v>147</v>
      </c>
      <c r="F469" s="8" t="s">
        <v>22</v>
      </c>
      <c r="G469" s="13">
        <v>164</v>
      </c>
      <c r="H469" s="13">
        <v>18150000</v>
      </c>
      <c r="I469" s="13">
        <v>2</v>
      </c>
      <c r="J469" s="13">
        <v>150000</v>
      </c>
      <c r="K469" s="13">
        <v>0</v>
      </c>
      <c r="L469" s="13">
        <v>0</v>
      </c>
      <c r="M469" s="4"/>
      <c r="N469" s="11">
        <f t="shared" si="14"/>
        <v>0</v>
      </c>
    </row>
    <row r="470" spans="2:14" x14ac:dyDescent="0.35">
      <c r="B470" s="4">
        <f t="shared" si="15"/>
        <v>460</v>
      </c>
      <c r="C470" s="3" t="s">
        <v>303</v>
      </c>
      <c r="D470" s="4" t="s">
        <v>585</v>
      </c>
      <c r="E470" s="8" t="s">
        <v>147</v>
      </c>
      <c r="F470" s="8" t="s">
        <v>19</v>
      </c>
      <c r="G470" s="13">
        <v>49</v>
      </c>
      <c r="H470" s="13">
        <v>314900000</v>
      </c>
      <c r="I470" s="13">
        <v>3</v>
      </c>
      <c r="J470" s="13">
        <v>11111000</v>
      </c>
      <c r="K470" s="13">
        <v>1</v>
      </c>
      <c r="L470" s="13">
        <v>22800000</v>
      </c>
      <c r="M470" s="4"/>
      <c r="N470" s="11">
        <f t="shared" si="14"/>
        <v>0</v>
      </c>
    </row>
    <row r="471" spans="2:14" x14ac:dyDescent="0.35">
      <c r="B471" s="4">
        <f t="shared" si="15"/>
        <v>461</v>
      </c>
      <c r="C471" s="3" t="s">
        <v>303</v>
      </c>
      <c r="D471" s="4" t="s">
        <v>585</v>
      </c>
      <c r="E471" s="8" t="s">
        <v>147</v>
      </c>
      <c r="F471" s="8" t="s">
        <v>190</v>
      </c>
      <c r="G471" s="13">
        <v>34</v>
      </c>
      <c r="H471" s="13">
        <v>4340000</v>
      </c>
      <c r="I471" s="13">
        <v>2</v>
      </c>
      <c r="J471" s="13">
        <v>280000</v>
      </c>
      <c r="K471" s="13">
        <v>3</v>
      </c>
      <c r="L471" s="13">
        <v>375000</v>
      </c>
      <c r="M471" s="4"/>
      <c r="N471" s="11">
        <f t="shared" si="14"/>
        <v>0</v>
      </c>
    </row>
    <row r="472" spans="2:14" x14ac:dyDescent="0.35">
      <c r="B472" s="4">
        <f t="shared" si="15"/>
        <v>462</v>
      </c>
      <c r="C472" s="3" t="s">
        <v>236</v>
      </c>
      <c r="D472" s="4" t="s">
        <v>516</v>
      </c>
      <c r="E472" s="8" t="s">
        <v>147</v>
      </c>
      <c r="F472" s="8" t="s">
        <v>20</v>
      </c>
      <c r="G472" s="13">
        <v>4</v>
      </c>
      <c r="H472" s="13">
        <v>640000</v>
      </c>
      <c r="I472" s="13">
        <v>0</v>
      </c>
      <c r="J472" s="13">
        <v>0</v>
      </c>
      <c r="K472" s="13">
        <v>0</v>
      </c>
      <c r="L472" s="13">
        <v>0</v>
      </c>
      <c r="M472" s="4"/>
      <c r="N472" s="11">
        <f t="shared" si="14"/>
        <v>0</v>
      </c>
    </row>
    <row r="473" spans="2:14" x14ac:dyDescent="0.35">
      <c r="B473" s="4">
        <f t="shared" si="15"/>
        <v>463</v>
      </c>
      <c r="C473" s="3" t="s">
        <v>236</v>
      </c>
      <c r="D473" s="4" t="s">
        <v>516</v>
      </c>
      <c r="E473" s="8" t="s">
        <v>147</v>
      </c>
      <c r="F473" s="8" t="s">
        <v>22</v>
      </c>
      <c r="G473" s="13">
        <v>67</v>
      </c>
      <c r="H473" s="13">
        <v>5524000</v>
      </c>
      <c r="I473" s="13">
        <v>3</v>
      </c>
      <c r="J473" s="13">
        <v>225000</v>
      </c>
      <c r="K473" s="13">
        <v>0</v>
      </c>
      <c r="L473" s="13">
        <v>0</v>
      </c>
      <c r="M473" s="4"/>
      <c r="N473" s="11">
        <f t="shared" si="14"/>
        <v>0</v>
      </c>
    </row>
    <row r="474" spans="2:14" x14ac:dyDescent="0.35">
      <c r="B474" s="4">
        <f t="shared" si="15"/>
        <v>464</v>
      </c>
      <c r="C474" s="3" t="s">
        <v>236</v>
      </c>
      <c r="D474" s="4" t="s">
        <v>516</v>
      </c>
      <c r="E474" s="8" t="s">
        <v>147</v>
      </c>
      <c r="F474" s="8" t="s">
        <v>19</v>
      </c>
      <c r="G474" s="13">
        <v>18</v>
      </c>
      <c r="H474" s="13">
        <v>99250000</v>
      </c>
      <c r="I474" s="13">
        <v>0</v>
      </c>
      <c r="J474" s="13">
        <v>0</v>
      </c>
      <c r="K474" s="13">
        <v>0</v>
      </c>
      <c r="L474" s="13">
        <v>0</v>
      </c>
      <c r="M474" s="4"/>
      <c r="N474" s="11">
        <f t="shared" si="14"/>
        <v>0</v>
      </c>
    </row>
    <row r="475" spans="2:14" x14ac:dyDescent="0.35">
      <c r="B475" s="4">
        <f t="shared" si="15"/>
        <v>465</v>
      </c>
      <c r="C475" s="3" t="s">
        <v>236</v>
      </c>
      <c r="D475" s="4" t="s">
        <v>516</v>
      </c>
      <c r="E475" s="8" t="s">
        <v>147</v>
      </c>
      <c r="F475" s="8" t="s">
        <v>190</v>
      </c>
      <c r="G475" s="13">
        <v>18</v>
      </c>
      <c r="H475" s="13">
        <v>2285000</v>
      </c>
      <c r="I475" s="13">
        <v>3</v>
      </c>
      <c r="J475" s="13">
        <v>375000</v>
      </c>
      <c r="K475" s="13">
        <v>0</v>
      </c>
      <c r="L475" s="13">
        <v>0</v>
      </c>
      <c r="M475" s="4"/>
      <c r="N475" s="11">
        <f t="shared" si="14"/>
        <v>0</v>
      </c>
    </row>
    <row r="476" spans="2:14" x14ac:dyDescent="0.35">
      <c r="B476" s="4">
        <f t="shared" si="15"/>
        <v>466</v>
      </c>
      <c r="C476" s="3" t="s">
        <v>237</v>
      </c>
      <c r="D476" s="4" t="s">
        <v>487</v>
      </c>
      <c r="E476" s="8" t="s">
        <v>147</v>
      </c>
      <c r="F476" s="8" t="s">
        <v>22</v>
      </c>
      <c r="G476" s="13">
        <v>159</v>
      </c>
      <c r="H476" s="13">
        <v>33315000</v>
      </c>
      <c r="I476" s="13">
        <v>15</v>
      </c>
      <c r="J476" s="13">
        <v>1875000</v>
      </c>
      <c r="K476" s="13">
        <v>0</v>
      </c>
      <c r="L476" s="13">
        <v>0</v>
      </c>
      <c r="M476" s="4"/>
      <c r="N476" s="11">
        <f t="shared" si="14"/>
        <v>0</v>
      </c>
    </row>
    <row r="477" spans="2:14" x14ac:dyDescent="0.35">
      <c r="B477" s="4">
        <f t="shared" si="15"/>
        <v>467</v>
      </c>
      <c r="C477" s="3" t="s">
        <v>237</v>
      </c>
      <c r="D477" s="4" t="s">
        <v>487</v>
      </c>
      <c r="E477" s="8" t="s">
        <v>147</v>
      </c>
      <c r="F477" s="8" t="s">
        <v>19</v>
      </c>
      <c r="G477" s="13">
        <v>31</v>
      </c>
      <c r="H477" s="13">
        <v>165561000</v>
      </c>
      <c r="I477" s="13">
        <v>0</v>
      </c>
      <c r="J477" s="13">
        <v>0</v>
      </c>
      <c r="K477" s="13">
        <v>1</v>
      </c>
      <c r="L477" s="13">
        <v>32352000</v>
      </c>
      <c r="M477" s="4"/>
      <c r="N477" s="11">
        <f t="shared" si="14"/>
        <v>0</v>
      </c>
    </row>
    <row r="478" spans="2:14" x14ac:dyDescent="0.35">
      <c r="B478" s="4">
        <f t="shared" si="15"/>
        <v>468</v>
      </c>
      <c r="C478" s="3" t="s">
        <v>237</v>
      </c>
      <c r="D478" s="4" t="s">
        <v>487</v>
      </c>
      <c r="E478" s="8" t="s">
        <v>147</v>
      </c>
      <c r="F478" s="8" t="s">
        <v>190</v>
      </c>
      <c r="G478" s="13">
        <v>23</v>
      </c>
      <c r="H478" s="13">
        <v>2875000</v>
      </c>
      <c r="I478" s="13">
        <v>0</v>
      </c>
      <c r="J478" s="13">
        <v>0</v>
      </c>
      <c r="K478" s="13">
        <v>1</v>
      </c>
      <c r="L478" s="13">
        <v>125000</v>
      </c>
      <c r="M478" s="4"/>
      <c r="N478" s="11">
        <f t="shared" si="14"/>
        <v>0</v>
      </c>
    </row>
    <row r="479" spans="2:14" x14ac:dyDescent="0.35">
      <c r="B479" s="4">
        <f t="shared" si="15"/>
        <v>469</v>
      </c>
      <c r="C479" s="3" t="s">
        <v>260</v>
      </c>
      <c r="D479" s="4" t="s">
        <v>450</v>
      </c>
      <c r="E479" s="8" t="s">
        <v>147</v>
      </c>
      <c r="F479" s="8" t="s">
        <v>20</v>
      </c>
      <c r="G479" s="13">
        <v>4</v>
      </c>
      <c r="H479" s="13">
        <v>670000</v>
      </c>
      <c r="I479" s="13">
        <v>0</v>
      </c>
      <c r="J479" s="13">
        <v>0</v>
      </c>
      <c r="K479" s="13">
        <v>0</v>
      </c>
      <c r="L479" s="13">
        <v>0</v>
      </c>
      <c r="M479" s="4"/>
      <c r="N479" s="11">
        <f t="shared" si="14"/>
        <v>0</v>
      </c>
    </row>
    <row r="480" spans="2:14" x14ac:dyDescent="0.35">
      <c r="B480" s="4">
        <f t="shared" si="15"/>
        <v>470</v>
      </c>
      <c r="C480" s="3" t="s">
        <v>260</v>
      </c>
      <c r="D480" s="4" t="s">
        <v>450</v>
      </c>
      <c r="E480" s="8" t="s">
        <v>147</v>
      </c>
      <c r="F480" s="8" t="s">
        <v>22</v>
      </c>
      <c r="G480" s="13">
        <v>75</v>
      </c>
      <c r="H480" s="13">
        <v>10567000</v>
      </c>
      <c r="I480" s="13">
        <v>3</v>
      </c>
      <c r="J480" s="13">
        <v>200000</v>
      </c>
      <c r="K480" s="13">
        <v>0</v>
      </c>
      <c r="L480" s="13">
        <v>0</v>
      </c>
      <c r="M480" s="4"/>
      <c r="N480" s="11">
        <f t="shared" si="14"/>
        <v>0</v>
      </c>
    </row>
    <row r="481" spans="2:14" x14ac:dyDescent="0.35">
      <c r="B481" s="4">
        <f t="shared" si="15"/>
        <v>471</v>
      </c>
      <c r="C481" s="3" t="s">
        <v>260</v>
      </c>
      <c r="D481" s="4" t="s">
        <v>450</v>
      </c>
      <c r="E481" s="8" t="s">
        <v>147</v>
      </c>
      <c r="F481" s="8" t="s">
        <v>19</v>
      </c>
      <c r="G481" s="13">
        <v>12</v>
      </c>
      <c r="H481" s="13">
        <v>61900000</v>
      </c>
      <c r="I481" s="13">
        <v>0</v>
      </c>
      <c r="J481" s="13">
        <v>0</v>
      </c>
      <c r="K481" s="13">
        <v>0</v>
      </c>
      <c r="L481" s="13">
        <v>0</v>
      </c>
      <c r="M481" s="4"/>
      <c r="N481" s="11">
        <f t="shared" si="14"/>
        <v>0</v>
      </c>
    </row>
    <row r="482" spans="2:14" x14ac:dyDescent="0.35">
      <c r="B482" s="4">
        <f t="shared" si="15"/>
        <v>472</v>
      </c>
      <c r="C482" s="3" t="s">
        <v>260</v>
      </c>
      <c r="D482" s="4" t="s">
        <v>450</v>
      </c>
      <c r="E482" s="8" t="s">
        <v>147</v>
      </c>
      <c r="F482" s="8" t="s">
        <v>190</v>
      </c>
      <c r="G482" s="13">
        <v>17</v>
      </c>
      <c r="H482" s="13">
        <v>2400000</v>
      </c>
      <c r="I482" s="13">
        <v>0</v>
      </c>
      <c r="J482" s="13">
        <v>0</v>
      </c>
      <c r="K482" s="13">
        <v>0</v>
      </c>
      <c r="L482" s="13">
        <v>0</v>
      </c>
      <c r="M482" s="4"/>
      <c r="N482" s="11">
        <f t="shared" si="14"/>
        <v>0</v>
      </c>
    </row>
    <row r="483" spans="2:14" x14ac:dyDescent="0.35">
      <c r="B483" s="4">
        <f t="shared" si="15"/>
        <v>473</v>
      </c>
      <c r="C483" s="3" t="s">
        <v>398</v>
      </c>
      <c r="D483" s="4" t="s">
        <v>605</v>
      </c>
      <c r="E483" s="8" t="s">
        <v>147</v>
      </c>
      <c r="F483" s="8" t="s">
        <v>20</v>
      </c>
      <c r="G483" s="13">
        <v>1</v>
      </c>
      <c r="H483" s="13">
        <v>160000</v>
      </c>
      <c r="I483" s="13">
        <v>0</v>
      </c>
      <c r="J483" s="13">
        <v>0</v>
      </c>
      <c r="K483" s="13">
        <v>0</v>
      </c>
      <c r="L483" s="13">
        <v>0</v>
      </c>
      <c r="M483" s="4"/>
      <c r="N483" s="11">
        <f t="shared" si="14"/>
        <v>0</v>
      </c>
    </row>
    <row r="484" spans="2:14" x14ac:dyDescent="0.35">
      <c r="B484" s="4">
        <f t="shared" si="15"/>
        <v>474</v>
      </c>
      <c r="C484" s="3" t="s">
        <v>398</v>
      </c>
      <c r="D484" s="4" t="s">
        <v>605</v>
      </c>
      <c r="E484" s="8" t="s">
        <v>147</v>
      </c>
      <c r="F484" s="8" t="s">
        <v>22</v>
      </c>
      <c r="G484" s="13">
        <v>113</v>
      </c>
      <c r="H484" s="13">
        <v>11980000</v>
      </c>
      <c r="I484" s="13">
        <v>6</v>
      </c>
      <c r="J484" s="13">
        <v>535000</v>
      </c>
      <c r="K484" s="13">
        <v>1</v>
      </c>
      <c r="L484" s="13">
        <v>250000</v>
      </c>
      <c r="M484" s="4"/>
      <c r="N484" s="11">
        <f t="shared" si="14"/>
        <v>0</v>
      </c>
    </row>
    <row r="485" spans="2:14" x14ac:dyDescent="0.35">
      <c r="B485" s="4">
        <f t="shared" si="15"/>
        <v>475</v>
      </c>
      <c r="C485" s="3" t="s">
        <v>398</v>
      </c>
      <c r="D485" s="4" t="s">
        <v>605</v>
      </c>
      <c r="E485" s="8" t="s">
        <v>147</v>
      </c>
      <c r="F485" s="8" t="s">
        <v>19</v>
      </c>
      <c r="G485" s="13">
        <v>34</v>
      </c>
      <c r="H485" s="13">
        <v>181161000</v>
      </c>
      <c r="I485" s="13">
        <v>0</v>
      </c>
      <c r="J485" s="13">
        <v>0</v>
      </c>
      <c r="K485" s="13">
        <v>0</v>
      </c>
      <c r="L485" s="13">
        <v>0</v>
      </c>
      <c r="M485" s="4"/>
      <c r="N485" s="11">
        <f t="shared" si="14"/>
        <v>0</v>
      </c>
    </row>
    <row r="486" spans="2:14" x14ac:dyDescent="0.35">
      <c r="B486" s="4">
        <f t="shared" si="15"/>
        <v>476</v>
      </c>
      <c r="C486" s="3" t="s">
        <v>398</v>
      </c>
      <c r="D486" s="4" t="s">
        <v>605</v>
      </c>
      <c r="E486" s="8" t="s">
        <v>147</v>
      </c>
      <c r="F486" s="8" t="s">
        <v>190</v>
      </c>
      <c r="G486" s="13">
        <v>32</v>
      </c>
      <c r="H486" s="13">
        <v>4245000</v>
      </c>
      <c r="I486" s="13">
        <v>2</v>
      </c>
      <c r="J486" s="13">
        <v>280000</v>
      </c>
      <c r="K486" s="13">
        <v>0</v>
      </c>
      <c r="L486" s="13">
        <v>0</v>
      </c>
      <c r="M486" s="4"/>
      <c r="N486" s="11">
        <f t="shared" si="14"/>
        <v>0</v>
      </c>
    </row>
    <row r="487" spans="2:14" x14ac:dyDescent="0.35">
      <c r="B487" s="4">
        <f t="shared" si="15"/>
        <v>477</v>
      </c>
      <c r="C487" s="3" t="s">
        <v>238</v>
      </c>
      <c r="D487" s="4" t="s">
        <v>503</v>
      </c>
      <c r="E487" s="8" t="s">
        <v>147</v>
      </c>
      <c r="F487" s="8" t="s">
        <v>20</v>
      </c>
      <c r="G487" s="13">
        <v>11</v>
      </c>
      <c r="H487" s="13">
        <v>1790000</v>
      </c>
      <c r="I487" s="13">
        <v>0</v>
      </c>
      <c r="J487" s="13">
        <v>0</v>
      </c>
      <c r="K487" s="13">
        <v>0</v>
      </c>
      <c r="L487" s="13">
        <v>0</v>
      </c>
      <c r="M487" s="4"/>
      <c r="N487" s="11">
        <f t="shared" si="14"/>
        <v>0</v>
      </c>
    </row>
    <row r="488" spans="2:14" x14ac:dyDescent="0.35">
      <c r="B488" s="4">
        <f t="shared" si="15"/>
        <v>478</v>
      </c>
      <c r="C488" s="3" t="s">
        <v>238</v>
      </c>
      <c r="D488" s="4" t="s">
        <v>503</v>
      </c>
      <c r="E488" s="8" t="s">
        <v>147</v>
      </c>
      <c r="F488" s="8" t="s">
        <v>22</v>
      </c>
      <c r="G488" s="13">
        <v>239</v>
      </c>
      <c r="H488" s="13">
        <v>45420000</v>
      </c>
      <c r="I488" s="13">
        <v>26</v>
      </c>
      <c r="J488" s="13">
        <v>3781000</v>
      </c>
      <c r="K488" s="13">
        <v>65</v>
      </c>
      <c r="L488" s="13">
        <v>30050000</v>
      </c>
      <c r="M488" s="4"/>
      <c r="N488" s="11">
        <f t="shared" si="14"/>
        <v>0</v>
      </c>
    </row>
    <row r="489" spans="2:14" x14ac:dyDescent="0.35">
      <c r="B489" s="4">
        <f t="shared" si="15"/>
        <v>479</v>
      </c>
      <c r="C489" s="3" t="s">
        <v>238</v>
      </c>
      <c r="D489" s="4" t="s">
        <v>503</v>
      </c>
      <c r="E489" s="8" t="s">
        <v>147</v>
      </c>
      <c r="F489" s="8" t="s">
        <v>19</v>
      </c>
      <c r="G489" s="13">
        <v>27</v>
      </c>
      <c r="H489" s="13">
        <v>124083000</v>
      </c>
      <c r="I489" s="13">
        <v>2</v>
      </c>
      <c r="J489" s="13">
        <v>5611000</v>
      </c>
      <c r="K489" s="13">
        <v>2</v>
      </c>
      <c r="L489" s="13">
        <v>26575000</v>
      </c>
      <c r="M489" s="4"/>
      <c r="N489" s="11">
        <f t="shared" si="14"/>
        <v>0</v>
      </c>
    </row>
    <row r="490" spans="2:14" x14ac:dyDescent="0.35">
      <c r="B490" s="4">
        <f t="shared" si="15"/>
        <v>480</v>
      </c>
      <c r="C490" s="3" t="s">
        <v>238</v>
      </c>
      <c r="D490" s="4" t="s">
        <v>503</v>
      </c>
      <c r="E490" s="8" t="s">
        <v>147</v>
      </c>
      <c r="F490" s="8" t="s">
        <v>190</v>
      </c>
      <c r="G490" s="13">
        <v>52</v>
      </c>
      <c r="H490" s="13">
        <v>6500000</v>
      </c>
      <c r="I490" s="13">
        <v>2</v>
      </c>
      <c r="J490" s="13">
        <v>250000</v>
      </c>
      <c r="K490" s="13">
        <v>3</v>
      </c>
      <c r="L490" s="13">
        <v>485000</v>
      </c>
      <c r="M490" s="4"/>
      <c r="N490" s="11">
        <f t="shared" si="14"/>
        <v>0</v>
      </c>
    </row>
    <row r="491" spans="2:14" x14ac:dyDescent="0.35">
      <c r="B491" s="4">
        <f t="shared" si="15"/>
        <v>481</v>
      </c>
      <c r="C491" s="3" t="s">
        <v>239</v>
      </c>
      <c r="D491" s="4" t="s">
        <v>481</v>
      </c>
      <c r="E491" s="8" t="s">
        <v>147</v>
      </c>
      <c r="F491" s="8" t="s">
        <v>19</v>
      </c>
      <c r="G491" s="13">
        <v>10</v>
      </c>
      <c r="H491" s="13">
        <v>61950000</v>
      </c>
      <c r="I491" s="13">
        <v>0</v>
      </c>
      <c r="J491" s="13">
        <v>0</v>
      </c>
      <c r="K491" s="13">
        <v>0</v>
      </c>
      <c r="L491" s="13">
        <v>0</v>
      </c>
      <c r="M491" s="4"/>
      <c r="N491" s="11">
        <f t="shared" si="14"/>
        <v>0</v>
      </c>
    </row>
    <row r="492" spans="2:14" x14ac:dyDescent="0.35">
      <c r="B492" s="4">
        <f t="shared" si="15"/>
        <v>482</v>
      </c>
      <c r="C492" s="3" t="s">
        <v>203</v>
      </c>
      <c r="D492" s="4" t="s">
        <v>453</v>
      </c>
      <c r="E492" s="8" t="s">
        <v>147</v>
      </c>
      <c r="F492" s="8" t="s">
        <v>20</v>
      </c>
      <c r="G492" s="13">
        <v>5</v>
      </c>
      <c r="H492" s="13">
        <v>845000</v>
      </c>
      <c r="I492" s="13">
        <v>0</v>
      </c>
      <c r="J492" s="13">
        <v>0</v>
      </c>
      <c r="K492" s="13">
        <v>0</v>
      </c>
      <c r="L492" s="13">
        <v>0</v>
      </c>
      <c r="M492" s="4"/>
      <c r="N492" s="11">
        <f t="shared" si="14"/>
        <v>0</v>
      </c>
    </row>
    <row r="493" spans="2:14" x14ac:dyDescent="0.35">
      <c r="B493" s="4">
        <f t="shared" si="15"/>
        <v>483</v>
      </c>
      <c r="C493" s="3" t="s">
        <v>203</v>
      </c>
      <c r="D493" s="4" t="s">
        <v>453</v>
      </c>
      <c r="E493" s="8" t="s">
        <v>147</v>
      </c>
      <c r="F493" s="8" t="s">
        <v>22</v>
      </c>
      <c r="G493" s="13">
        <v>209</v>
      </c>
      <c r="H493" s="13">
        <v>44926000</v>
      </c>
      <c r="I493" s="13">
        <v>2</v>
      </c>
      <c r="J493" s="13">
        <v>150000</v>
      </c>
      <c r="K493" s="13">
        <v>0</v>
      </c>
      <c r="L493" s="13">
        <v>0</v>
      </c>
      <c r="M493" s="4"/>
      <c r="N493" s="11">
        <f t="shared" si="14"/>
        <v>0</v>
      </c>
    </row>
    <row r="494" spans="2:14" x14ac:dyDescent="0.35">
      <c r="B494" s="4">
        <f t="shared" si="15"/>
        <v>484</v>
      </c>
      <c r="C494" s="3" t="s">
        <v>203</v>
      </c>
      <c r="D494" s="4" t="s">
        <v>453</v>
      </c>
      <c r="E494" s="8" t="s">
        <v>147</v>
      </c>
      <c r="F494" s="8" t="s">
        <v>19</v>
      </c>
      <c r="G494" s="13">
        <v>47</v>
      </c>
      <c r="H494" s="13">
        <v>335100000</v>
      </c>
      <c r="I494" s="13">
        <v>0</v>
      </c>
      <c r="J494" s="13">
        <v>0</v>
      </c>
      <c r="K494" s="13">
        <v>0</v>
      </c>
      <c r="L494" s="13">
        <v>0</v>
      </c>
      <c r="M494" s="4"/>
      <c r="N494" s="11">
        <f t="shared" si="14"/>
        <v>0</v>
      </c>
    </row>
    <row r="495" spans="2:14" x14ac:dyDescent="0.35">
      <c r="B495" s="4">
        <f t="shared" si="15"/>
        <v>485</v>
      </c>
      <c r="C495" s="3" t="s">
        <v>203</v>
      </c>
      <c r="D495" s="4" t="s">
        <v>453</v>
      </c>
      <c r="E495" s="8" t="s">
        <v>147</v>
      </c>
      <c r="F495" s="8" t="s">
        <v>190</v>
      </c>
      <c r="G495" s="13">
        <v>72</v>
      </c>
      <c r="H495" s="13">
        <v>9035000</v>
      </c>
      <c r="I495" s="13">
        <v>0</v>
      </c>
      <c r="J495" s="13">
        <v>0</v>
      </c>
      <c r="K495" s="13">
        <v>0</v>
      </c>
      <c r="L495" s="13">
        <v>0</v>
      </c>
      <c r="M495" s="4"/>
      <c r="N495" s="11">
        <f t="shared" si="14"/>
        <v>0</v>
      </c>
    </row>
    <row r="496" spans="2:14" x14ac:dyDescent="0.35">
      <c r="B496" s="4">
        <f t="shared" si="15"/>
        <v>486</v>
      </c>
      <c r="C496" s="3" t="s">
        <v>304</v>
      </c>
      <c r="D496" s="4" t="s">
        <v>511</v>
      </c>
      <c r="E496" s="8" t="s">
        <v>147</v>
      </c>
      <c r="F496" s="8" t="s">
        <v>22</v>
      </c>
      <c r="G496" s="13">
        <v>0</v>
      </c>
      <c r="H496" s="13">
        <v>0</v>
      </c>
      <c r="I496" s="13">
        <v>0</v>
      </c>
      <c r="J496" s="13">
        <v>0</v>
      </c>
      <c r="K496" s="13">
        <v>10</v>
      </c>
      <c r="L496" s="13">
        <v>2747000</v>
      </c>
      <c r="M496" s="4"/>
      <c r="N496" s="11">
        <f t="shared" si="14"/>
        <v>0</v>
      </c>
    </row>
    <row r="497" spans="2:14" x14ac:dyDescent="0.35">
      <c r="B497" s="4">
        <f t="shared" si="15"/>
        <v>487</v>
      </c>
      <c r="C497" s="3" t="s">
        <v>304</v>
      </c>
      <c r="D497" s="4" t="s">
        <v>511</v>
      </c>
      <c r="E497" s="8" t="s">
        <v>147</v>
      </c>
      <c r="F497" s="8" t="s">
        <v>19</v>
      </c>
      <c r="G497" s="13">
        <v>12</v>
      </c>
      <c r="H497" s="13">
        <v>68500000</v>
      </c>
      <c r="I497" s="13">
        <v>0</v>
      </c>
      <c r="J497" s="13">
        <v>0</v>
      </c>
      <c r="K497" s="13">
        <v>0</v>
      </c>
      <c r="L497" s="13">
        <v>0</v>
      </c>
      <c r="M497" s="4"/>
      <c r="N497" s="11">
        <f t="shared" si="14"/>
        <v>0</v>
      </c>
    </row>
    <row r="498" spans="2:14" x14ac:dyDescent="0.35">
      <c r="B498" s="4">
        <f t="shared" si="15"/>
        <v>488</v>
      </c>
      <c r="C498" s="3" t="s">
        <v>304</v>
      </c>
      <c r="D498" s="4" t="s">
        <v>511</v>
      </c>
      <c r="E498" s="8" t="s">
        <v>147</v>
      </c>
      <c r="F498" s="8" t="s">
        <v>190</v>
      </c>
      <c r="G498" s="13">
        <v>11</v>
      </c>
      <c r="H498" s="13">
        <v>1375000</v>
      </c>
      <c r="I498" s="13">
        <v>0</v>
      </c>
      <c r="J498" s="13">
        <v>0</v>
      </c>
      <c r="K498" s="13">
        <v>0</v>
      </c>
      <c r="L498" s="13">
        <v>0</v>
      </c>
      <c r="M498" s="4"/>
      <c r="N498" s="11">
        <f t="shared" si="14"/>
        <v>0</v>
      </c>
    </row>
    <row r="499" spans="2:14" x14ac:dyDescent="0.35">
      <c r="B499" s="4">
        <f t="shared" si="15"/>
        <v>489</v>
      </c>
      <c r="C499" s="3" t="s">
        <v>305</v>
      </c>
      <c r="D499" s="4" t="s">
        <v>566</v>
      </c>
      <c r="E499" s="8" t="s">
        <v>147</v>
      </c>
      <c r="F499" s="8" t="s">
        <v>20</v>
      </c>
      <c r="G499" s="13">
        <v>3</v>
      </c>
      <c r="H499" s="13">
        <v>510000</v>
      </c>
      <c r="I499" s="13">
        <v>0</v>
      </c>
      <c r="J499" s="13">
        <v>0</v>
      </c>
      <c r="K499" s="13">
        <v>0</v>
      </c>
      <c r="L499" s="13">
        <v>0</v>
      </c>
      <c r="M499" s="4"/>
      <c r="N499" s="11">
        <f t="shared" si="14"/>
        <v>0</v>
      </c>
    </row>
    <row r="500" spans="2:14" x14ac:dyDescent="0.35">
      <c r="B500" s="4">
        <f t="shared" si="15"/>
        <v>490</v>
      </c>
      <c r="C500" s="3" t="s">
        <v>305</v>
      </c>
      <c r="D500" s="4" t="s">
        <v>566</v>
      </c>
      <c r="E500" s="8" t="s">
        <v>147</v>
      </c>
      <c r="F500" s="8" t="s">
        <v>22</v>
      </c>
      <c r="G500" s="13">
        <v>0</v>
      </c>
      <c r="H500" s="13">
        <v>0</v>
      </c>
      <c r="I500" s="13">
        <v>0</v>
      </c>
      <c r="J500" s="13">
        <v>0</v>
      </c>
      <c r="K500" s="13">
        <v>0</v>
      </c>
      <c r="L500" s="13">
        <v>0</v>
      </c>
      <c r="M500" s="4"/>
      <c r="N500" s="11">
        <f t="shared" si="14"/>
        <v>0</v>
      </c>
    </row>
    <row r="501" spans="2:14" x14ac:dyDescent="0.35">
      <c r="B501" s="4">
        <f t="shared" si="15"/>
        <v>491</v>
      </c>
      <c r="C501" s="3" t="s">
        <v>305</v>
      </c>
      <c r="D501" s="4" t="s">
        <v>566</v>
      </c>
      <c r="E501" s="8" t="s">
        <v>147</v>
      </c>
      <c r="F501" s="8" t="s">
        <v>19</v>
      </c>
      <c r="G501" s="13">
        <v>5</v>
      </c>
      <c r="H501" s="13">
        <v>23700000</v>
      </c>
      <c r="I501" s="13">
        <v>0</v>
      </c>
      <c r="J501" s="13">
        <v>0</v>
      </c>
      <c r="K501" s="13">
        <v>0</v>
      </c>
      <c r="L501" s="13">
        <v>0</v>
      </c>
      <c r="M501" s="4"/>
      <c r="N501" s="11">
        <f t="shared" si="14"/>
        <v>0</v>
      </c>
    </row>
    <row r="502" spans="2:14" x14ac:dyDescent="0.35">
      <c r="B502" s="4">
        <f t="shared" si="15"/>
        <v>492</v>
      </c>
      <c r="C502" s="3" t="s">
        <v>305</v>
      </c>
      <c r="D502" s="4" t="s">
        <v>566</v>
      </c>
      <c r="E502" s="8" t="s">
        <v>147</v>
      </c>
      <c r="F502" s="8" t="s">
        <v>190</v>
      </c>
      <c r="G502" s="13">
        <v>6</v>
      </c>
      <c r="H502" s="13">
        <v>805000</v>
      </c>
      <c r="I502" s="13">
        <v>0</v>
      </c>
      <c r="J502" s="13">
        <v>0</v>
      </c>
      <c r="K502" s="13">
        <v>0</v>
      </c>
      <c r="L502" s="13">
        <v>0</v>
      </c>
      <c r="M502" s="4"/>
      <c r="N502" s="11">
        <f t="shared" si="14"/>
        <v>0</v>
      </c>
    </row>
    <row r="503" spans="2:14" x14ac:dyDescent="0.35">
      <c r="B503" s="4">
        <f t="shared" si="15"/>
        <v>493</v>
      </c>
      <c r="C503" s="3" t="s">
        <v>283</v>
      </c>
      <c r="D503" s="4" t="s">
        <v>593</v>
      </c>
      <c r="E503" s="8" t="s">
        <v>164</v>
      </c>
      <c r="F503" s="8" t="s">
        <v>20</v>
      </c>
      <c r="G503" s="13">
        <v>3</v>
      </c>
      <c r="H503" s="13">
        <v>480000</v>
      </c>
      <c r="I503" s="13">
        <v>0</v>
      </c>
      <c r="J503" s="13">
        <v>0</v>
      </c>
      <c r="K503" s="13">
        <v>1</v>
      </c>
      <c r="L503" s="13">
        <v>160000</v>
      </c>
      <c r="M503" s="4"/>
      <c r="N503" s="11">
        <f t="shared" si="14"/>
        <v>0</v>
      </c>
    </row>
    <row r="504" spans="2:14" x14ac:dyDescent="0.35">
      <c r="B504" s="4">
        <f t="shared" si="15"/>
        <v>494</v>
      </c>
      <c r="C504" s="3" t="s">
        <v>283</v>
      </c>
      <c r="D504" s="4" t="s">
        <v>593</v>
      </c>
      <c r="E504" s="8" t="s">
        <v>164</v>
      </c>
      <c r="F504" s="8" t="s">
        <v>22</v>
      </c>
      <c r="G504" s="13">
        <v>162</v>
      </c>
      <c r="H504" s="13">
        <v>12827000</v>
      </c>
      <c r="I504" s="13">
        <v>14</v>
      </c>
      <c r="J504" s="13">
        <v>1850000</v>
      </c>
      <c r="K504" s="13">
        <v>32</v>
      </c>
      <c r="L504" s="13">
        <v>9676000</v>
      </c>
      <c r="M504" s="4"/>
      <c r="N504" s="11">
        <f t="shared" si="14"/>
        <v>0</v>
      </c>
    </row>
    <row r="505" spans="2:14" x14ac:dyDescent="0.35">
      <c r="B505" s="4">
        <f t="shared" si="15"/>
        <v>495</v>
      </c>
      <c r="C505" s="3" t="s">
        <v>283</v>
      </c>
      <c r="D505" s="4" t="s">
        <v>593</v>
      </c>
      <c r="E505" s="8" t="s">
        <v>164</v>
      </c>
      <c r="F505" s="8" t="s">
        <v>19</v>
      </c>
      <c r="G505" s="13">
        <v>13</v>
      </c>
      <c r="H505" s="13">
        <v>147350000</v>
      </c>
      <c r="I505" s="13">
        <v>3</v>
      </c>
      <c r="J505" s="13">
        <v>19800000</v>
      </c>
      <c r="K505" s="13">
        <v>2</v>
      </c>
      <c r="L505" s="13">
        <v>69980000</v>
      </c>
      <c r="M505" s="4"/>
      <c r="N505" s="11">
        <f t="shared" si="14"/>
        <v>0</v>
      </c>
    </row>
    <row r="506" spans="2:14" x14ac:dyDescent="0.35">
      <c r="B506" s="4">
        <f t="shared" si="15"/>
        <v>496</v>
      </c>
      <c r="C506" s="3" t="s">
        <v>283</v>
      </c>
      <c r="D506" s="4" t="s">
        <v>593</v>
      </c>
      <c r="E506" s="8" t="s">
        <v>164</v>
      </c>
      <c r="F506" s="8" t="s">
        <v>190</v>
      </c>
      <c r="G506" s="13">
        <v>41</v>
      </c>
      <c r="H506" s="13">
        <v>5125000</v>
      </c>
      <c r="I506" s="13">
        <v>7</v>
      </c>
      <c r="J506" s="13">
        <v>1095000</v>
      </c>
      <c r="K506" s="13">
        <v>5</v>
      </c>
      <c r="L506" s="13">
        <v>845000</v>
      </c>
      <c r="M506" s="4"/>
      <c r="N506" s="11">
        <f t="shared" si="14"/>
        <v>0</v>
      </c>
    </row>
    <row r="507" spans="2:14" x14ac:dyDescent="0.35">
      <c r="B507" s="4">
        <f t="shared" si="15"/>
        <v>497</v>
      </c>
      <c r="C507" s="3" t="s">
        <v>284</v>
      </c>
      <c r="D507" s="4" t="s">
        <v>591</v>
      </c>
      <c r="E507" s="8" t="s">
        <v>164</v>
      </c>
      <c r="F507" s="8" t="s">
        <v>20</v>
      </c>
      <c r="G507" s="13">
        <v>2</v>
      </c>
      <c r="H507" s="13">
        <v>350000</v>
      </c>
      <c r="I507" s="13">
        <v>0</v>
      </c>
      <c r="J507" s="13">
        <v>0</v>
      </c>
      <c r="K507" s="13">
        <v>0</v>
      </c>
      <c r="L507" s="13">
        <v>0</v>
      </c>
      <c r="M507" s="4"/>
      <c r="N507" s="11">
        <f t="shared" si="14"/>
        <v>0</v>
      </c>
    </row>
    <row r="508" spans="2:14" x14ac:dyDescent="0.35">
      <c r="B508" s="4">
        <f t="shared" si="15"/>
        <v>498</v>
      </c>
      <c r="C508" s="3" t="s">
        <v>284</v>
      </c>
      <c r="D508" s="4" t="s">
        <v>591</v>
      </c>
      <c r="E508" s="8" t="s">
        <v>164</v>
      </c>
      <c r="F508" s="8" t="s">
        <v>21</v>
      </c>
      <c r="G508" s="13">
        <v>1</v>
      </c>
      <c r="H508" s="13">
        <v>230000</v>
      </c>
      <c r="I508" s="13">
        <v>0</v>
      </c>
      <c r="J508" s="13">
        <v>0</v>
      </c>
      <c r="K508" s="13">
        <v>0</v>
      </c>
      <c r="L508" s="13">
        <v>0</v>
      </c>
      <c r="M508" s="4"/>
      <c r="N508" s="11">
        <f t="shared" si="14"/>
        <v>0</v>
      </c>
    </row>
    <row r="509" spans="2:14" x14ac:dyDescent="0.35">
      <c r="B509" s="4">
        <f t="shared" si="15"/>
        <v>499</v>
      </c>
      <c r="C509" s="3" t="s">
        <v>284</v>
      </c>
      <c r="D509" s="4" t="s">
        <v>591</v>
      </c>
      <c r="E509" s="8" t="s">
        <v>164</v>
      </c>
      <c r="F509" s="8" t="s">
        <v>22</v>
      </c>
      <c r="G509" s="13">
        <v>95</v>
      </c>
      <c r="H509" s="13">
        <v>16117000</v>
      </c>
      <c r="I509" s="13">
        <v>4</v>
      </c>
      <c r="J509" s="13">
        <v>750000</v>
      </c>
      <c r="K509" s="13">
        <v>34</v>
      </c>
      <c r="L509" s="13">
        <v>10096000</v>
      </c>
      <c r="M509" s="4"/>
      <c r="N509" s="11">
        <f t="shared" si="14"/>
        <v>0</v>
      </c>
    </row>
    <row r="510" spans="2:14" x14ac:dyDescent="0.35">
      <c r="B510" s="4">
        <f t="shared" si="15"/>
        <v>500</v>
      </c>
      <c r="C510" s="3" t="s">
        <v>284</v>
      </c>
      <c r="D510" s="4" t="s">
        <v>591</v>
      </c>
      <c r="E510" s="8" t="s">
        <v>164</v>
      </c>
      <c r="F510" s="8" t="s">
        <v>19</v>
      </c>
      <c r="G510" s="13">
        <v>9</v>
      </c>
      <c r="H510" s="13">
        <v>130889000</v>
      </c>
      <c r="I510" s="13">
        <v>0</v>
      </c>
      <c r="J510" s="13">
        <v>0</v>
      </c>
      <c r="K510" s="13">
        <v>3</v>
      </c>
      <c r="L510" s="13">
        <v>80755000</v>
      </c>
      <c r="M510" s="4"/>
      <c r="N510" s="11">
        <f t="shared" si="14"/>
        <v>0</v>
      </c>
    </row>
    <row r="511" spans="2:14" x14ac:dyDescent="0.35">
      <c r="B511" s="4">
        <f t="shared" si="15"/>
        <v>501</v>
      </c>
      <c r="C511" s="3" t="s">
        <v>284</v>
      </c>
      <c r="D511" s="4" t="s">
        <v>591</v>
      </c>
      <c r="E511" s="8" t="s">
        <v>164</v>
      </c>
      <c r="F511" s="8" t="s">
        <v>190</v>
      </c>
      <c r="G511" s="13">
        <v>15</v>
      </c>
      <c r="H511" s="13">
        <v>1875000</v>
      </c>
      <c r="I511" s="13">
        <v>1</v>
      </c>
      <c r="J511" s="13">
        <v>125000</v>
      </c>
      <c r="K511" s="13">
        <v>5</v>
      </c>
      <c r="L511" s="13">
        <v>900000</v>
      </c>
      <c r="M511" s="4"/>
      <c r="N511" s="11">
        <f t="shared" si="14"/>
        <v>0</v>
      </c>
    </row>
    <row r="512" spans="2:14" x14ac:dyDescent="0.35">
      <c r="B512" s="4">
        <f t="shared" si="15"/>
        <v>502</v>
      </c>
      <c r="C512" s="3" t="s">
        <v>192</v>
      </c>
      <c r="D512" s="4" t="s">
        <v>470</v>
      </c>
      <c r="E512" s="8" t="s">
        <v>164</v>
      </c>
      <c r="F512" s="8" t="s">
        <v>22</v>
      </c>
      <c r="G512" s="13">
        <v>5</v>
      </c>
      <c r="H512" s="13">
        <v>825000</v>
      </c>
      <c r="I512" s="13">
        <v>0</v>
      </c>
      <c r="J512" s="13">
        <v>0</v>
      </c>
      <c r="K512" s="13">
        <v>0</v>
      </c>
      <c r="L512" s="13">
        <v>0</v>
      </c>
      <c r="M512" s="4"/>
      <c r="N512" s="11">
        <f t="shared" si="14"/>
        <v>0</v>
      </c>
    </row>
    <row r="513" spans="2:14" x14ac:dyDescent="0.35">
      <c r="B513" s="4">
        <f t="shared" si="15"/>
        <v>503</v>
      </c>
      <c r="C513" s="3" t="s">
        <v>192</v>
      </c>
      <c r="D513" s="4" t="s">
        <v>470</v>
      </c>
      <c r="E513" s="8" t="s">
        <v>164</v>
      </c>
      <c r="F513" s="8" t="s">
        <v>19</v>
      </c>
      <c r="G513" s="13">
        <v>4</v>
      </c>
      <c r="H513" s="13">
        <v>43500000</v>
      </c>
      <c r="I513" s="13">
        <v>0</v>
      </c>
      <c r="J513" s="13">
        <v>0</v>
      </c>
      <c r="K513" s="13">
        <v>0</v>
      </c>
      <c r="L513" s="13">
        <v>0</v>
      </c>
      <c r="M513" s="4"/>
      <c r="N513" s="11">
        <f t="shared" si="14"/>
        <v>0</v>
      </c>
    </row>
    <row r="514" spans="2:14" x14ac:dyDescent="0.35">
      <c r="B514" s="4">
        <f t="shared" si="15"/>
        <v>504</v>
      </c>
      <c r="C514" s="3" t="s">
        <v>192</v>
      </c>
      <c r="D514" s="4" t="s">
        <v>470</v>
      </c>
      <c r="E514" s="8" t="s">
        <v>164</v>
      </c>
      <c r="F514" s="8" t="s">
        <v>190</v>
      </c>
      <c r="G514" s="13">
        <v>5</v>
      </c>
      <c r="H514" s="13">
        <v>625000</v>
      </c>
      <c r="I514" s="13">
        <v>0</v>
      </c>
      <c r="J514" s="13">
        <v>0</v>
      </c>
      <c r="K514" s="13">
        <v>0</v>
      </c>
      <c r="L514" s="13">
        <v>0</v>
      </c>
      <c r="M514" s="4"/>
      <c r="N514" s="11">
        <f t="shared" si="14"/>
        <v>0</v>
      </c>
    </row>
    <row r="515" spans="2:14" x14ac:dyDescent="0.35">
      <c r="B515" s="4">
        <f t="shared" si="15"/>
        <v>505</v>
      </c>
      <c r="C515" s="3" t="s">
        <v>210</v>
      </c>
      <c r="D515" s="4" t="s">
        <v>535</v>
      </c>
      <c r="E515" s="8" t="s">
        <v>164</v>
      </c>
      <c r="F515" s="8" t="s">
        <v>22</v>
      </c>
      <c r="G515" s="13">
        <v>291</v>
      </c>
      <c r="H515" s="13">
        <v>32752000</v>
      </c>
      <c r="I515" s="13">
        <v>30</v>
      </c>
      <c r="J515" s="13">
        <v>2703000</v>
      </c>
      <c r="K515" s="13">
        <v>20</v>
      </c>
      <c r="L515" s="13">
        <v>7009000</v>
      </c>
      <c r="M515" s="4"/>
      <c r="N515" s="11">
        <f t="shared" si="14"/>
        <v>0</v>
      </c>
    </row>
    <row r="516" spans="2:14" x14ac:dyDescent="0.35">
      <c r="B516" s="4">
        <f t="shared" si="15"/>
        <v>506</v>
      </c>
      <c r="C516" s="3" t="s">
        <v>210</v>
      </c>
      <c r="D516" s="4" t="s">
        <v>535</v>
      </c>
      <c r="E516" s="8" t="s">
        <v>164</v>
      </c>
      <c r="F516" s="8" t="s">
        <v>19</v>
      </c>
      <c r="G516" s="13">
        <v>22</v>
      </c>
      <c r="H516" s="13">
        <v>193150000</v>
      </c>
      <c r="I516" s="13">
        <v>1</v>
      </c>
      <c r="J516" s="13">
        <v>5500000</v>
      </c>
      <c r="K516" s="13">
        <v>1</v>
      </c>
      <c r="L516" s="13">
        <v>24960000</v>
      </c>
      <c r="M516" s="4"/>
      <c r="N516" s="11">
        <f t="shared" si="14"/>
        <v>0</v>
      </c>
    </row>
    <row r="517" spans="2:14" x14ac:dyDescent="0.35">
      <c r="B517" s="4">
        <f t="shared" si="15"/>
        <v>507</v>
      </c>
      <c r="C517" s="3" t="s">
        <v>210</v>
      </c>
      <c r="D517" s="4" t="s">
        <v>535</v>
      </c>
      <c r="E517" s="8" t="s">
        <v>164</v>
      </c>
      <c r="F517" s="8" t="s">
        <v>190</v>
      </c>
      <c r="G517" s="13">
        <v>66</v>
      </c>
      <c r="H517" s="13">
        <v>8390000</v>
      </c>
      <c r="I517" s="13">
        <v>0</v>
      </c>
      <c r="J517" s="13">
        <v>0</v>
      </c>
      <c r="K517" s="13">
        <v>3</v>
      </c>
      <c r="L517" s="13">
        <v>540000</v>
      </c>
      <c r="M517" s="4"/>
      <c r="N517" s="11">
        <f t="shared" si="14"/>
        <v>0</v>
      </c>
    </row>
    <row r="518" spans="2:14" x14ac:dyDescent="0.35">
      <c r="B518" s="4">
        <f t="shared" si="15"/>
        <v>508</v>
      </c>
      <c r="C518" s="3" t="s">
        <v>193</v>
      </c>
      <c r="D518" s="4" t="s">
        <v>424</v>
      </c>
      <c r="E518" s="8" t="s">
        <v>164</v>
      </c>
      <c r="F518" s="8" t="s">
        <v>22</v>
      </c>
      <c r="G518" s="13">
        <v>6</v>
      </c>
      <c r="H518" s="13">
        <v>1003000</v>
      </c>
      <c r="I518" s="13">
        <v>1</v>
      </c>
      <c r="J518" s="13">
        <v>75000</v>
      </c>
      <c r="K518" s="13">
        <v>0</v>
      </c>
      <c r="L518" s="13">
        <v>0</v>
      </c>
      <c r="M518" s="4"/>
      <c r="N518" s="11">
        <f t="shared" si="14"/>
        <v>0</v>
      </c>
    </row>
    <row r="519" spans="2:14" x14ac:dyDescent="0.35">
      <c r="B519" s="4">
        <f t="shared" si="15"/>
        <v>509</v>
      </c>
      <c r="C519" s="3" t="s">
        <v>193</v>
      </c>
      <c r="D519" s="4" t="s">
        <v>424</v>
      </c>
      <c r="E519" s="8" t="s">
        <v>164</v>
      </c>
      <c r="F519" s="8" t="s">
        <v>19</v>
      </c>
      <c r="G519" s="13">
        <v>5</v>
      </c>
      <c r="H519" s="13">
        <v>58500000</v>
      </c>
      <c r="I519" s="13">
        <v>0</v>
      </c>
      <c r="J519" s="13">
        <v>0</v>
      </c>
      <c r="K519" s="13">
        <v>0</v>
      </c>
      <c r="L519" s="13">
        <v>0</v>
      </c>
      <c r="M519" s="4"/>
      <c r="N519" s="11">
        <f t="shared" si="14"/>
        <v>0</v>
      </c>
    </row>
    <row r="520" spans="2:14" x14ac:dyDescent="0.35">
      <c r="B520" s="4">
        <f t="shared" si="15"/>
        <v>510</v>
      </c>
      <c r="C520" s="3" t="s">
        <v>193</v>
      </c>
      <c r="D520" s="4" t="s">
        <v>424</v>
      </c>
      <c r="E520" s="8" t="s">
        <v>164</v>
      </c>
      <c r="F520" s="8" t="s">
        <v>190</v>
      </c>
      <c r="G520" s="13">
        <v>9</v>
      </c>
      <c r="H520" s="13">
        <v>1125000</v>
      </c>
      <c r="I520" s="13">
        <v>0</v>
      </c>
      <c r="J520" s="13">
        <v>0</v>
      </c>
      <c r="K520" s="13">
        <v>0</v>
      </c>
      <c r="L520" s="13">
        <v>0</v>
      </c>
      <c r="M520" s="4"/>
      <c r="N520" s="11">
        <f t="shared" si="14"/>
        <v>0</v>
      </c>
    </row>
    <row r="521" spans="2:14" x14ac:dyDescent="0.35">
      <c r="B521" s="4">
        <f t="shared" si="15"/>
        <v>511</v>
      </c>
      <c r="C521" s="3" t="s">
        <v>194</v>
      </c>
      <c r="D521" s="4" t="s">
        <v>409</v>
      </c>
      <c r="E521" s="8" t="s">
        <v>164</v>
      </c>
      <c r="F521" s="8" t="s">
        <v>22</v>
      </c>
      <c r="G521" s="13">
        <v>26</v>
      </c>
      <c r="H521" s="13">
        <v>3300000</v>
      </c>
      <c r="I521" s="13">
        <v>1</v>
      </c>
      <c r="J521" s="13">
        <v>75000</v>
      </c>
      <c r="K521" s="13">
        <v>0</v>
      </c>
      <c r="L521" s="13">
        <v>0</v>
      </c>
      <c r="M521" s="4"/>
      <c r="N521" s="11">
        <f t="shared" si="14"/>
        <v>0</v>
      </c>
    </row>
    <row r="522" spans="2:14" x14ac:dyDescent="0.35">
      <c r="B522" s="4">
        <f t="shared" si="15"/>
        <v>512</v>
      </c>
      <c r="C522" s="3" t="s">
        <v>194</v>
      </c>
      <c r="D522" s="4" t="s">
        <v>409</v>
      </c>
      <c r="E522" s="8" t="s">
        <v>164</v>
      </c>
      <c r="F522" s="8" t="s">
        <v>19</v>
      </c>
      <c r="G522" s="13">
        <v>6</v>
      </c>
      <c r="H522" s="13">
        <v>82139000</v>
      </c>
      <c r="I522" s="13">
        <v>0</v>
      </c>
      <c r="J522" s="13">
        <v>0</v>
      </c>
      <c r="K522" s="13">
        <v>0</v>
      </c>
      <c r="L522" s="13">
        <v>0</v>
      </c>
      <c r="M522" s="4"/>
      <c r="N522" s="11">
        <f t="shared" si="14"/>
        <v>0</v>
      </c>
    </row>
    <row r="523" spans="2:14" x14ac:dyDescent="0.35">
      <c r="B523" s="4">
        <f t="shared" si="15"/>
        <v>513</v>
      </c>
      <c r="C523" s="3" t="s">
        <v>194</v>
      </c>
      <c r="D523" s="4" t="s">
        <v>409</v>
      </c>
      <c r="E523" s="8" t="s">
        <v>164</v>
      </c>
      <c r="F523" s="8" t="s">
        <v>190</v>
      </c>
      <c r="G523" s="13">
        <v>14</v>
      </c>
      <c r="H523" s="13">
        <v>1820000</v>
      </c>
      <c r="I523" s="13">
        <v>0</v>
      </c>
      <c r="J523" s="13">
        <v>0</v>
      </c>
      <c r="K523" s="13">
        <v>0</v>
      </c>
      <c r="L523" s="13">
        <v>0</v>
      </c>
      <c r="M523" s="4"/>
      <c r="N523" s="11">
        <f t="shared" ref="N523:N586" si="16">IFERROR((G523/M523)*100%, 0)</f>
        <v>0</v>
      </c>
    </row>
    <row r="524" spans="2:14" x14ac:dyDescent="0.35">
      <c r="B524" s="4">
        <f t="shared" si="15"/>
        <v>514</v>
      </c>
      <c r="C524" s="3" t="s">
        <v>195</v>
      </c>
      <c r="D524" s="4" t="s">
        <v>493</v>
      </c>
      <c r="E524" s="8" t="s">
        <v>164</v>
      </c>
      <c r="F524" s="8" t="s">
        <v>20</v>
      </c>
      <c r="G524" s="13">
        <v>6</v>
      </c>
      <c r="H524" s="13">
        <v>1020000</v>
      </c>
      <c r="I524" s="13">
        <v>0</v>
      </c>
      <c r="J524" s="13">
        <v>0</v>
      </c>
      <c r="K524" s="13">
        <v>0</v>
      </c>
      <c r="L524" s="13">
        <v>0</v>
      </c>
      <c r="M524" s="4"/>
      <c r="N524" s="11">
        <f t="shared" si="16"/>
        <v>0</v>
      </c>
    </row>
    <row r="525" spans="2:14" x14ac:dyDescent="0.35">
      <c r="B525" s="4">
        <f t="shared" ref="B525:B588" si="17">B524+1</f>
        <v>515</v>
      </c>
      <c r="C525" s="3" t="s">
        <v>195</v>
      </c>
      <c r="D525" s="4" t="s">
        <v>493</v>
      </c>
      <c r="E525" s="8" t="s">
        <v>164</v>
      </c>
      <c r="F525" s="8" t="s">
        <v>22</v>
      </c>
      <c r="G525" s="13">
        <v>16</v>
      </c>
      <c r="H525" s="13">
        <v>3350000</v>
      </c>
      <c r="I525" s="13">
        <v>1</v>
      </c>
      <c r="J525" s="13">
        <v>300000</v>
      </c>
      <c r="K525" s="13">
        <v>5</v>
      </c>
      <c r="L525" s="13">
        <v>1500000</v>
      </c>
      <c r="M525" s="4"/>
      <c r="N525" s="11">
        <f t="shared" si="16"/>
        <v>0</v>
      </c>
    </row>
    <row r="526" spans="2:14" x14ac:dyDescent="0.35">
      <c r="B526" s="4">
        <f t="shared" si="17"/>
        <v>516</v>
      </c>
      <c r="C526" s="3" t="s">
        <v>195</v>
      </c>
      <c r="D526" s="4" t="s">
        <v>493</v>
      </c>
      <c r="E526" s="8" t="s">
        <v>164</v>
      </c>
      <c r="F526" s="8" t="s">
        <v>19</v>
      </c>
      <c r="G526" s="13">
        <v>13</v>
      </c>
      <c r="H526" s="13">
        <v>200500000</v>
      </c>
      <c r="I526" s="13">
        <v>0</v>
      </c>
      <c r="J526" s="13">
        <v>0</v>
      </c>
      <c r="K526" s="13">
        <v>0</v>
      </c>
      <c r="L526" s="13">
        <v>0</v>
      </c>
      <c r="M526" s="4"/>
      <c r="N526" s="11">
        <f t="shared" si="16"/>
        <v>0</v>
      </c>
    </row>
    <row r="527" spans="2:14" x14ac:dyDescent="0.35">
      <c r="B527" s="4">
        <f t="shared" si="17"/>
        <v>517</v>
      </c>
      <c r="C527" s="3" t="s">
        <v>195</v>
      </c>
      <c r="D527" s="4" t="s">
        <v>493</v>
      </c>
      <c r="E527" s="8" t="s">
        <v>164</v>
      </c>
      <c r="F527" s="8" t="s">
        <v>190</v>
      </c>
      <c r="G527" s="13">
        <v>29</v>
      </c>
      <c r="H527" s="13">
        <v>3625000</v>
      </c>
      <c r="I527" s="13">
        <v>0</v>
      </c>
      <c r="J527" s="13">
        <v>0</v>
      </c>
      <c r="K527" s="13">
        <v>0</v>
      </c>
      <c r="L527" s="13">
        <v>0</v>
      </c>
      <c r="M527" s="4"/>
      <c r="N527" s="11">
        <f t="shared" si="16"/>
        <v>0</v>
      </c>
    </row>
    <row r="528" spans="2:14" x14ac:dyDescent="0.35">
      <c r="B528" s="4">
        <f t="shared" si="17"/>
        <v>518</v>
      </c>
      <c r="C528" s="3" t="s">
        <v>211</v>
      </c>
      <c r="D528" s="4" t="s">
        <v>496</v>
      </c>
      <c r="E528" s="8" t="s">
        <v>164</v>
      </c>
      <c r="F528" s="8" t="s">
        <v>21</v>
      </c>
      <c r="G528" s="13">
        <v>0</v>
      </c>
      <c r="H528" s="13">
        <v>0</v>
      </c>
      <c r="I528" s="13">
        <v>1</v>
      </c>
      <c r="J528" s="13">
        <v>242000</v>
      </c>
      <c r="K528" s="13">
        <v>0</v>
      </c>
      <c r="L528" s="13">
        <v>0</v>
      </c>
      <c r="M528" s="4"/>
      <c r="N528" s="11">
        <f t="shared" si="16"/>
        <v>0</v>
      </c>
    </row>
    <row r="529" spans="2:14" x14ac:dyDescent="0.35">
      <c r="B529" s="4">
        <f t="shared" si="17"/>
        <v>519</v>
      </c>
      <c r="C529" s="3" t="s">
        <v>211</v>
      </c>
      <c r="D529" s="4" t="s">
        <v>496</v>
      </c>
      <c r="E529" s="8" t="s">
        <v>164</v>
      </c>
      <c r="F529" s="8" t="s">
        <v>22</v>
      </c>
      <c r="G529" s="13">
        <v>276</v>
      </c>
      <c r="H529" s="13">
        <v>60553000</v>
      </c>
      <c r="I529" s="13">
        <v>10</v>
      </c>
      <c r="J529" s="13">
        <v>750000</v>
      </c>
      <c r="K529" s="13">
        <v>28</v>
      </c>
      <c r="L529" s="13">
        <v>9292000</v>
      </c>
      <c r="M529" s="4"/>
      <c r="N529" s="11">
        <f t="shared" si="16"/>
        <v>0</v>
      </c>
    </row>
    <row r="530" spans="2:14" x14ac:dyDescent="0.35">
      <c r="B530" s="4">
        <f t="shared" si="17"/>
        <v>520</v>
      </c>
      <c r="C530" s="3" t="s">
        <v>211</v>
      </c>
      <c r="D530" s="4" t="s">
        <v>496</v>
      </c>
      <c r="E530" s="8" t="s">
        <v>164</v>
      </c>
      <c r="F530" s="8" t="s">
        <v>19</v>
      </c>
      <c r="G530" s="13">
        <v>24</v>
      </c>
      <c r="H530" s="13">
        <v>215950000</v>
      </c>
      <c r="I530" s="13">
        <v>1</v>
      </c>
      <c r="J530" s="13">
        <v>5500000</v>
      </c>
      <c r="K530" s="13">
        <v>5</v>
      </c>
      <c r="L530" s="13">
        <v>98510000</v>
      </c>
      <c r="M530" s="4"/>
      <c r="N530" s="11">
        <f t="shared" si="16"/>
        <v>0</v>
      </c>
    </row>
    <row r="531" spans="2:14" x14ac:dyDescent="0.35">
      <c r="B531" s="4">
        <f t="shared" si="17"/>
        <v>521</v>
      </c>
      <c r="C531" s="3" t="s">
        <v>211</v>
      </c>
      <c r="D531" s="4" t="s">
        <v>496</v>
      </c>
      <c r="E531" s="8" t="s">
        <v>164</v>
      </c>
      <c r="F531" s="8" t="s">
        <v>190</v>
      </c>
      <c r="G531" s="13">
        <v>37</v>
      </c>
      <c r="H531" s="13">
        <v>4625000</v>
      </c>
      <c r="I531" s="13">
        <v>2</v>
      </c>
      <c r="J531" s="13">
        <v>250000</v>
      </c>
      <c r="K531" s="13">
        <v>6</v>
      </c>
      <c r="L531" s="13">
        <v>1025000</v>
      </c>
      <c r="M531" s="4"/>
      <c r="N531" s="11">
        <f t="shared" si="16"/>
        <v>0</v>
      </c>
    </row>
    <row r="532" spans="2:14" x14ac:dyDescent="0.35">
      <c r="B532" s="4">
        <f t="shared" si="17"/>
        <v>522</v>
      </c>
      <c r="C532" s="3" t="s">
        <v>212</v>
      </c>
      <c r="D532" s="4" t="s">
        <v>541</v>
      </c>
      <c r="E532" s="8" t="s">
        <v>164</v>
      </c>
      <c r="F532" s="8" t="s">
        <v>20</v>
      </c>
      <c r="G532" s="13">
        <v>0</v>
      </c>
      <c r="H532" s="13">
        <v>0</v>
      </c>
      <c r="I532" s="13">
        <v>1</v>
      </c>
      <c r="J532" s="13">
        <v>175000</v>
      </c>
      <c r="K532" s="13">
        <v>0</v>
      </c>
      <c r="L532" s="13">
        <v>0</v>
      </c>
      <c r="M532" s="4"/>
      <c r="N532" s="11">
        <f t="shared" si="16"/>
        <v>0</v>
      </c>
    </row>
    <row r="533" spans="2:14" x14ac:dyDescent="0.35">
      <c r="B533" s="4">
        <f t="shared" si="17"/>
        <v>523</v>
      </c>
      <c r="C533" s="3" t="s">
        <v>212</v>
      </c>
      <c r="D533" s="4" t="s">
        <v>541</v>
      </c>
      <c r="E533" s="8" t="s">
        <v>164</v>
      </c>
      <c r="F533" s="8" t="s">
        <v>22</v>
      </c>
      <c r="G533" s="13">
        <v>91</v>
      </c>
      <c r="H533" s="13">
        <v>6984000</v>
      </c>
      <c r="I533" s="13">
        <v>13</v>
      </c>
      <c r="J533" s="13">
        <v>975000</v>
      </c>
      <c r="K533" s="13">
        <v>0</v>
      </c>
      <c r="L533" s="13">
        <v>0</v>
      </c>
      <c r="M533" s="4"/>
      <c r="N533" s="11">
        <f t="shared" si="16"/>
        <v>0</v>
      </c>
    </row>
    <row r="534" spans="2:14" x14ac:dyDescent="0.35">
      <c r="B534" s="4">
        <f t="shared" si="17"/>
        <v>524</v>
      </c>
      <c r="C534" s="3" t="s">
        <v>212</v>
      </c>
      <c r="D534" s="4" t="s">
        <v>541</v>
      </c>
      <c r="E534" s="8" t="s">
        <v>164</v>
      </c>
      <c r="F534" s="8" t="s">
        <v>19</v>
      </c>
      <c r="G534" s="13">
        <v>14</v>
      </c>
      <c r="H534" s="13">
        <v>161300000</v>
      </c>
      <c r="I534" s="13">
        <v>3</v>
      </c>
      <c r="J534" s="13">
        <v>30550000</v>
      </c>
      <c r="K534" s="13">
        <v>6</v>
      </c>
      <c r="L534" s="13">
        <v>144860000</v>
      </c>
      <c r="M534" s="4"/>
      <c r="N534" s="11">
        <f t="shared" si="16"/>
        <v>0</v>
      </c>
    </row>
    <row r="535" spans="2:14" x14ac:dyDescent="0.35">
      <c r="B535" s="4">
        <f t="shared" si="17"/>
        <v>525</v>
      </c>
      <c r="C535" s="3" t="s">
        <v>212</v>
      </c>
      <c r="D535" s="4" t="s">
        <v>541</v>
      </c>
      <c r="E535" s="8" t="s">
        <v>164</v>
      </c>
      <c r="F535" s="8" t="s">
        <v>190</v>
      </c>
      <c r="G535" s="13">
        <v>35</v>
      </c>
      <c r="H535" s="13">
        <v>4585000</v>
      </c>
      <c r="I535" s="13">
        <v>7</v>
      </c>
      <c r="J535" s="13">
        <v>985000</v>
      </c>
      <c r="K535" s="13">
        <v>10</v>
      </c>
      <c r="L535" s="13">
        <v>1635000</v>
      </c>
      <c r="M535" s="4"/>
      <c r="N535" s="11">
        <f t="shared" si="16"/>
        <v>0</v>
      </c>
    </row>
    <row r="536" spans="2:14" x14ac:dyDescent="0.35">
      <c r="B536" s="4">
        <f t="shared" si="17"/>
        <v>526</v>
      </c>
      <c r="C536" s="3" t="s">
        <v>213</v>
      </c>
      <c r="D536" s="4" t="s">
        <v>502</v>
      </c>
      <c r="E536" s="8" t="s">
        <v>164</v>
      </c>
      <c r="F536" s="8" t="s">
        <v>20</v>
      </c>
      <c r="G536" s="13">
        <v>2</v>
      </c>
      <c r="H536" s="13">
        <v>320000</v>
      </c>
      <c r="I536" s="13">
        <v>0</v>
      </c>
      <c r="J536" s="13">
        <v>0</v>
      </c>
      <c r="K536" s="13">
        <v>0</v>
      </c>
      <c r="L536" s="13">
        <v>0</v>
      </c>
      <c r="M536" s="4"/>
      <c r="N536" s="11">
        <f t="shared" si="16"/>
        <v>0</v>
      </c>
    </row>
    <row r="537" spans="2:14" x14ac:dyDescent="0.35">
      <c r="B537" s="4">
        <f t="shared" si="17"/>
        <v>527</v>
      </c>
      <c r="C537" s="3" t="s">
        <v>213</v>
      </c>
      <c r="D537" s="4" t="s">
        <v>502</v>
      </c>
      <c r="E537" s="8" t="s">
        <v>164</v>
      </c>
      <c r="F537" s="8" t="s">
        <v>22</v>
      </c>
      <c r="G537" s="13">
        <v>42</v>
      </c>
      <c r="H537" s="13">
        <v>10618000</v>
      </c>
      <c r="I537" s="13">
        <v>1</v>
      </c>
      <c r="J537" s="13">
        <v>250000</v>
      </c>
      <c r="K537" s="13">
        <v>11</v>
      </c>
      <c r="L537" s="13">
        <v>3414000</v>
      </c>
      <c r="M537" s="4"/>
      <c r="N537" s="11">
        <f t="shared" si="16"/>
        <v>0</v>
      </c>
    </row>
    <row r="538" spans="2:14" x14ac:dyDescent="0.35">
      <c r="B538" s="4">
        <f t="shared" si="17"/>
        <v>528</v>
      </c>
      <c r="C538" s="3" t="s">
        <v>213</v>
      </c>
      <c r="D538" s="4" t="s">
        <v>502</v>
      </c>
      <c r="E538" s="8" t="s">
        <v>164</v>
      </c>
      <c r="F538" s="8" t="s">
        <v>19</v>
      </c>
      <c r="G538" s="13">
        <v>37</v>
      </c>
      <c r="H538" s="13">
        <v>281100000</v>
      </c>
      <c r="I538" s="13">
        <v>2</v>
      </c>
      <c r="J538" s="13">
        <v>17600000</v>
      </c>
      <c r="K538" s="13">
        <v>0</v>
      </c>
      <c r="L538" s="13">
        <v>0</v>
      </c>
      <c r="M538" s="4"/>
      <c r="N538" s="11">
        <f t="shared" si="16"/>
        <v>0</v>
      </c>
    </row>
    <row r="539" spans="2:14" x14ac:dyDescent="0.35">
      <c r="B539" s="4">
        <f t="shared" si="17"/>
        <v>529</v>
      </c>
      <c r="C539" s="3" t="s">
        <v>213</v>
      </c>
      <c r="D539" s="4" t="s">
        <v>502</v>
      </c>
      <c r="E539" s="8" t="s">
        <v>164</v>
      </c>
      <c r="F539" s="8" t="s">
        <v>190</v>
      </c>
      <c r="G539" s="13">
        <v>61</v>
      </c>
      <c r="H539" s="13">
        <v>7730000</v>
      </c>
      <c r="I539" s="13">
        <v>0</v>
      </c>
      <c r="J539" s="13">
        <v>0</v>
      </c>
      <c r="K539" s="13">
        <v>1</v>
      </c>
      <c r="L539" s="13">
        <v>180000</v>
      </c>
      <c r="M539" s="4"/>
      <c r="N539" s="11">
        <f t="shared" si="16"/>
        <v>0</v>
      </c>
    </row>
    <row r="540" spans="2:14" x14ac:dyDescent="0.35">
      <c r="B540" s="4">
        <f t="shared" si="17"/>
        <v>530</v>
      </c>
      <c r="C540" s="3" t="s">
        <v>285</v>
      </c>
      <c r="D540" s="4" t="s">
        <v>545</v>
      </c>
      <c r="E540" s="8" t="s">
        <v>164</v>
      </c>
      <c r="F540" s="8" t="s">
        <v>20</v>
      </c>
      <c r="G540" s="13">
        <v>3</v>
      </c>
      <c r="H540" s="13">
        <v>495000</v>
      </c>
      <c r="I540" s="13">
        <v>0</v>
      </c>
      <c r="J540" s="13">
        <v>0</v>
      </c>
      <c r="K540" s="13">
        <v>0</v>
      </c>
      <c r="L540" s="13">
        <v>0</v>
      </c>
      <c r="M540" s="4"/>
      <c r="N540" s="11">
        <f t="shared" si="16"/>
        <v>0</v>
      </c>
    </row>
    <row r="541" spans="2:14" x14ac:dyDescent="0.35">
      <c r="B541" s="4">
        <f t="shared" si="17"/>
        <v>531</v>
      </c>
      <c r="C541" s="3" t="s">
        <v>285</v>
      </c>
      <c r="D541" s="4" t="s">
        <v>545</v>
      </c>
      <c r="E541" s="8" t="s">
        <v>164</v>
      </c>
      <c r="F541" s="8" t="s">
        <v>22</v>
      </c>
      <c r="G541" s="13">
        <v>240</v>
      </c>
      <c r="H541" s="13">
        <v>48123000</v>
      </c>
      <c r="I541" s="13">
        <v>8</v>
      </c>
      <c r="J541" s="13">
        <v>1350000</v>
      </c>
      <c r="K541" s="13">
        <v>5</v>
      </c>
      <c r="L541" s="13">
        <v>1500000</v>
      </c>
      <c r="M541" s="4"/>
      <c r="N541" s="11">
        <f t="shared" si="16"/>
        <v>0</v>
      </c>
    </row>
    <row r="542" spans="2:14" x14ac:dyDescent="0.35">
      <c r="B542" s="4">
        <f t="shared" si="17"/>
        <v>532</v>
      </c>
      <c r="C542" s="3" t="s">
        <v>285</v>
      </c>
      <c r="D542" s="4" t="s">
        <v>545</v>
      </c>
      <c r="E542" s="8" t="s">
        <v>164</v>
      </c>
      <c r="F542" s="8" t="s">
        <v>19</v>
      </c>
      <c r="G542" s="13">
        <v>19</v>
      </c>
      <c r="H542" s="13">
        <v>185900000</v>
      </c>
      <c r="I542" s="13">
        <v>0</v>
      </c>
      <c r="J542" s="13">
        <v>0</v>
      </c>
      <c r="K542" s="13">
        <v>2</v>
      </c>
      <c r="L542" s="13">
        <v>34175000</v>
      </c>
      <c r="M542" s="4"/>
      <c r="N542" s="11">
        <f t="shared" si="16"/>
        <v>0</v>
      </c>
    </row>
    <row r="543" spans="2:14" x14ac:dyDescent="0.35">
      <c r="B543" s="4">
        <f t="shared" si="17"/>
        <v>533</v>
      </c>
      <c r="C543" s="3" t="s">
        <v>285</v>
      </c>
      <c r="D543" s="4" t="s">
        <v>545</v>
      </c>
      <c r="E543" s="8" t="s">
        <v>164</v>
      </c>
      <c r="F543" s="8" t="s">
        <v>190</v>
      </c>
      <c r="G543" s="13">
        <v>70</v>
      </c>
      <c r="H543" s="13">
        <v>8850000</v>
      </c>
      <c r="I543" s="13">
        <v>1</v>
      </c>
      <c r="J543" s="13">
        <v>140000</v>
      </c>
      <c r="K543" s="13">
        <v>3</v>
      </c>
      <c r="L543" s="13">
        <v>485000</v>
      </c>
      <c r="M543" s="4"/>
      <c r="N543" s="11">
        <f t="shared" si="16"/>
        <v>0</v>
      </c>
    </row>
    <row r="544" spans="2:14" x14ac:dyDescent="0.35">
      <c r="B544" s="4">
        <f t="shared" si="17"/>
        <v>534</v>
      </c>
      <c r="C544" s="3" t="s">
        <v>286</v>
      </c>
      <c r="D544" s="4" t="s">
        <v>571</v>
      </c>
      <c r="E544" s="8" t="s">
        <v>164</v>
      </c>
      <c r="F544" s="8" t="s">
        <v>20</v>
      </c>
      <c r="G544" s="13">
        <v>2</v>
      </c>
      <c r="H544" s="13">
        <v>350000</v>
      </c>
      <c r="I544" s="13">
        <v>0</v>
      </c>
      <c r="J544" s="13">
        <v>0</v>
      </c>
      <c r="K544" s="13">
        <v>0</v>
      </c>
      <c r="L544" s="13">
        <v>0</v>
      </c>
      <c r="M544" s="4"/>
      <c r="N544" s="11">
        <f t="shared" si="16"/>
        <v>0</v>
      </c>
    </row>
    <row r="545" spans="2:14" x14ac:dyDescent="0.35">
      <c r="B545" s="4">
        <f t="shared" si="17"/>
        <v>535</v>
      </c>
      <c r="C545" s="3" t="s">
        <v>286</v>
      </c>
      <c r="D545" s="4" t="s">
        <v>571</v>
      </c>
      <c r="E545" s="8" t="s">
        <v>164</v>
      </c>
      <c r="F545" s="8" t="s">
        <v>22</v>
      </c>
      <c r="G545" s="13">
        <v>146</v>
      </c>
      <c r="H545" s="13">
        <v>18559000</v>
      </c>
      <c r="I545" s="13">
        <v>31</v>
      </c>
      <c r="J545" s="13">
        <v>4082000</v>
      </c>
      <c r="K545" s="13">
        <v>14</v>
      </c>
      <c r="L545" s="13">
        <v>4436000</v>
      </c>
      <c r="M545" s="4"/>
      <c r="N545" s="11">
        <f t="shared" si="16"/>
        <v>0</v>
      </c>
    </row>
    <row r="546" spans="2:14" x14ac:dyDescent="0.35">
      <c r="B546" s="4">
        <f t="shared" si="17"/>
        <v>536</v>
      </c>
      <c r="C546" s="3" t="s">
        <v>286</v>
      </c>
      <c r="D546" s="4" t="s">
        <v>571</v>
      </c>
      <c r="E546" s="8" t="s">
        <v>164</v>
      </c>
      <c r="F546" s="8" t="s">
        <v>19</v>
      </c>
      <c r="G546" s="13">
        <v>34</v>
      </c>
      <c r="H546" s="13">
        <v>248400000</v>
      </c>
      <c r="I546" s="13">
        <v>12</v>
      </c>
      <c r="J546" s="13">
        <v>80350000</v>
      </c>
      <c r="K546" s="13">
        <v>3</v>
      </c>
      <c r="L546" s="13">
        <v>68110000</v>
      </c>
      <c r="M546" s="4"/>
      <c r="N546" s="11">
        <f t="shared" si="16"/>
        <v>0</v>
      </c>
    </row>
    <row r="547" spans="2:14" x14ac:dyDescent="0.35">
      <c r="B547" s="4">
        <f t="shared" si="17"/>
        <v>537</v>
      </c>
      <c r="C547" s="3" t="s">
        <v>286</v>
      </c>
      <c r="D547" s="4" t="s">
        <v>571</v>
      </c>
      <c r="E547" s="8" t="s">
        <v>164</v>
      </c>
      <c r="F547" s="8" t="s">
        <v>190</v>
      </c>
      <c r="G547" s="13">
        <v>41</v>
      </c>
      <c r="H547" s="13">
        <v>5345000</v>
      </c>
      <c r="I547" s="13">
        <v>8</v>
      </c>
      <c r="J547" s="13">
        <v>1045000</v>
      </c>
      <c r="K547" s="13">
        <v>1</v>
      </c>
      <c r="L547" s="13">
        <v>180000</v>
      </c>
      <c r="M547" s="4"/>
      <c r="N547" s="11">
        <f t="shared" si="16"/>
        <v>0</v>
      </c>
    </row>
    <row r="548" spans="2:14" x14ac:dyDescent="0.35">
      <c r="B548" s="4">
        <f t="shared" si="17"/>
        <v>538</v>
      </c>
      <c r="C548" s="3" t="s">
        <v>214</v>
      </c>
      <c r="D548" s="4" t="s">
        <v>551</v>
      </c>
      <c r="E548" s="8" t="s">
        <v>164</v>
      </c>
      <c r="F548" s="8" t="s">
        <v>22</v>
      </c>
      <c r="G548" s="13">
        <v>17</v>
      </c>
      <c r="H548" s="13">
        <v>4200000</v>
      </c>
      <c r="I548" s="13">
        <v>0</v>
      </c>
      <c r="J548" s="13">
        <v>0</v>
      </c>
      <c r="K548" s="13">
        <v>6</v>
      </c>
      <c r="L548" s="13">
        <v>1800000</v>
      </c>
      <c r="M548" s="4"/>
      <c r="N548" s="11">
        <f t="shared" si="16"/>
        <v>0</v>
      </c>
    </row>
    <row r="549" spans="2:14" x14ac:dyDescent="0.35">
      <c r="B549" s="4">
        <f t="shared" si="17"/>
        <v>539</v>
      </c>
      <c r="C549" s="3" t="s">
        <v>214</v>
      </c>
      <c r="D549" s="4" t="s">
        <v>551</v>
      </c>
      <c r="E549" s="8" t="s">
        <v>164</v>
      </c>
      <c r="F549" s="8" t="s">
        <v>19</v>
      </c>
      <c r="G549" s="13">
        <v>7</v>
      </c>
      <c r="H549" s="13">
        <v>113750000</v>
      </c>
      <c r="I549" s="13">
        <v>0</v>
      </c>
      <c r="J549" s="13">
        <v>0</v>
      </c>
      <c r="K549" s="13">
        <v>0</v>
      </c>
      <c r="L549" s="13">
        <v>0</v>
      </c>
      <c r="M549" s="4"/>
      <c r="N549" s="11">
        <f t="shared" si="16"/>
        <v>0</v>
      </c>
    </row>
    <row r="550" spans="2:14" x14ac:dyDescent="0.35">
      <c r="B550" s="4">
        <f t="shared" si="17"/>
        <v>540</v>
      </c>
      <c r="C550" s="3" t="s">
        <v>214</v>
      </c>
      <c r="D550" s="4" t="s">
        <v>551</v>
      </c>
      <c r="E550" s="8" t="s">
        <v>164</v>
      </c>
      <c r="F550" s="8" t="s">
        <v>190</v>
      </c>
      <c r="G550" s="13">
        <v>9</v>
      </c>
      <c r="H550" s="13">
        <v>1125000</v>
      </c>
      <c r="I550" s="13">
        <v>0</v>
      </c>
      <c r="J550" s="13">
        <v>0</v>
      </c>
      <c r="K550" s="13">
        <v>0</v>
      </c>
      <c r="L550" s="13">
        <v>0</v>
      </c>
      <c r="M550" s="4"/>
      <c r="N550" s="11">
        <f t="shared" si="16"/>
        <v>0</v>
      </c>
    </row>
    <row r="551" spans="2:14" x14ac:dyDescent="0.35">
      <c r="B551" s="4">
        <f t="shared" si="17"/>
        <v>541</v>
      </c>
      <c r="C551" s="3" t="s">
        <v>287</v>
      </c>
      <c r="D551" s="4" t="s">
        <v>592</v>
      </c>
      <c r="E551" s="8" t="s">
        <v>164</v>
      </c>
      <c r="F551" s="8" t="s">
        <v>20</v>
      </c>
      <c r="G551" s="13">
        <v>1</v>
      </c>
      <c r="H551" s="13">
        <v>160000</v>
      </c>
      <c r="I551" s="13">
        <v>0</v>
      </c>
      <c r="J551" s="13">
        <v>0</v>
      </c>
      <c r="K551" s="13">
        <v>0</v>
      </c>
      <c r="L551" s="13">
        <v>0</v>
      </c>
      <c r="M551" s="4"/>
      <c r="N551" s="11">
        <f t="shared" si="16"/>
        <v>0</v>
      </c>
    </row>
    <row r="552" spans="2:14" x14ac:dyDescent="0.35">
      <c r="B552" s="4">
        <f t="shared" si="17"/>
        <v>542</v>
      </c>
      <c r="C552" s="3" t="s">
        <v>287</v>
      </c>
      <c r="D552" s="4" t="s">
        <v>592</v>
      </c>
      <c r="E552" s="8" t="s">
        <v>164</v>
      </c>
      <c r="F552" s="8" t="s">
        <v>22</v>
      </c>
      <c r="G552" s="13">
        <v>232</v>
      </c>
      <c r="H552" s="13">
        <v>62576000</v>
      </c>
      <c r="I552" s="13">
        <v>7</v>
      </c>
      <c r="J552" s="13">
        <v>1828000</v>
      </c>
      <c r="K552" s="13">
        <v>17</v>
      </c>
      <c r="L552" s="13">
        <v>5052000</v>
      </c>
      <c r="M552" s="4"/>
      <c r="N552" s="11">
        <f t="shared" si="16"/>
        <v>0</v>
      </c>
    </row>
    <row r="553" spans="2:14" x14ac:dyDescent="0.35">
      <c r="B553" s="4">
        <f t="shared" si="17"/>
        <v>543</v>
      </c>
      <c r="C553" s="3" t="s">
        <v>287</v>
      </c>
      <c r="D553" s="4" t="s">
        <v>592</v>
      </c>
      <c r="E553" s="8" t="s">
        <v>164</v>
      </c>
      <c r="F553" s="8" t="s">
        <v>19</v>
      </c>
      <c r="G553" s="13">
        <v>43</v>
      </c>
      <c r="H553" s="13">
        <v>327300000</v>
      </c>
      <c r="I553" s="13">
        <v>3</v>
      </c>
      <c r="J553" s="13">
        <v>26400000</v>
      </c>
      <c r="K553" s="13">
        <v>1</v>
      </c>
      <c r="L553" s="13">
        <v>25390000</v>
      </c>
      <c r="M553" s="4"/>
      <c r="N553" s="11">
        <f t="shared" si="16"/>
        <v>0</v>
      </c>
    </row>
    <row r="554" spans="2:14" x14ac:dyDescent="0.35">
      <c r="B554" s="4">
        <f t="shared" si="17"/>
        <v>544</v>
      </c>
      <c r="C554" s="3" t="s">
        <v>287</v>
      </c>
      <c r="D554" s="4" t="s">
        <v>592</v>
      </c>
      <c r="E554" s="8" t="s">
        <v>164</v>
      </c>
      <c r="F554" s="8" t="s">
        <v>190</v>
      </c>
      <c r="G554" s="13">
        <v>176</v>
      </c>
      <c r="H554" s="13">
        <v>22055000</v>
      </c>
      <c r="I554" s="13">
        <v>9</v>
      </c>
      <c r="J554" s="13">
        <v>1160000</v>
      </c>
      <c r="K554" s="13">
        <v>4</v>
      </c>
      <c r="L554" s="13">
        <v>500000</v>
      </c>
      <c r="M554" s="4"/>
      <c r="N554" s="11">
        <f t="shared" si="16"/>
        <v>0</v>
      </c>
    </row>
    <row r="555" spans="2:14" x14ac:dyDescent="0.35">
      <c r="B555" s="4">
        <f t="shared" si="17"/>
        <v>545</v>
      </c>
      <c r="C555" s="3" t="s">
        <v>342</v>
      </c>
      <c r="D555" s="4" t="s">
        <v>559</v>
      </c>
      <c r="E555" s="8" t="s">
        <v>165</v>
      </c>
      <c r="F555" s="8" t="s">
        <v>20</v>
      </c>
      <c r="G555" s="13">
        <v>51</v>
      </c>
      <c r="H555" s="13">
        <v>17187000</v>
      </c>
      <c r="I555" s="13">
        <v>30</v>
      </c>
      <c r="J555" s="13">
        <v>5307000</v>
      </c>
      <c r="K555" s="13">
        <v>0</v>
      </c>
      <c r="L555" s="13">
        <v>0</v>
      </c>
      <c r="M555" s="4"/>
      <c r="N555" s="11">
        <f t="shared" si="16"/>
        <v>0</v>
      </c>
    </row>
    <row r="556" spans="2:14" x14ac:dyDescent="0.35">
      <c r="B556" s="4">
        <f t="shared" si="17"/>
        <v>546</v>
      </c>
      <c r="C556" s="3" t="s">
        <v>342</v>
      </c>
      <c r="D556" s="4" t="s">
        <v>559</v>
      </c>
      <c r="E556" s="8" t="s">
        <v>165</v>
      </c>
      <c r="F556" s="8" t="s">
        <v>21</v>
      </c>
      <c r="G556" s="13">
        <v>8</v>
      </c>
      <c r="H556" s="13">
        <v>6364000</v>
      </c>
      <c r="I556" s="13">
        <v>0</v>
      </c>
      <c r="J556" s="13">
        <v>0</v>
      </c>
      <c r="K556" s="13">
        <v>0</v>
      </c>
      <c r="L556" s="13">
        <v>0</v>
      </c>
      <c r="M556" s="4"/>
      <c r="N556" s="11">
        <f t="shared" si="16"/>
        <v>0</v>
      </c>
    </row>
    <row r="557" spans="2:14" x14ac:dyDescent="0.35">
      <c r="B557" s="4">
        <f t="shared" si="17"/>
        <v>547</v>
      </c>
      <c r="C557" s="3" t="s">
        <v>342</v>
      </c>
      <c r="D557" s="4" t="s">
        <v>559</v>
      </c>
      <c r="E557" s="8" t="s">
        <v>165</v>
      </c>
      <c r="F557" s="8" t="s">
        <v>22</v>
      </c>
      <c r="G557" s="13">
        <v>168</v>
      </c>
      <c r="H557" s="13">
        <v>14823000</v>
      </c>
      <c r="I557" s="13">
        <v>47</v>
      </c>
      <c r="J557" s="13">
        <v>3525000</v>
      </c>
      <c r="K557" s="13">
        <v>0</v>
      </c>
      <c r="L557" s="13">
        <v>0</v>
      </c>
      <c r="M557" s="4"/>
      <c r="N557" s="11">
        <f t="shared" si="16"/>
        <v>0</v>
      </c>
    </row>
    <row r="558" spans="2:14" x14ac:dyDescent="0.35">
      <c r="B558" s="4">
        <f t="shared" si="17"/>
        <v>548</v>
      </c>
      <c r="C558" s="3" t="s">
        <v>342</v>
      </c>
      <c r="D558" s="4" t="s">
        <v>559</v>
      </c>
      <c r="E558" s="8" t="s">
        <v>165</v>
      </c>
      <c r="F558" s="8" t="s">
        <v>19</v>
      </c>
      <c r="G558" s="13">
        <v>2</v>
      </c>
      <c r="H558" s="13">
        <v>12750000</v>
      </c>
      <c r="I558" s="13">
        <v>0</v>
      </c>
      <c r="J558" s="13">
        <v>0</v>
      </c>
      <c r="K558" s="13">
        <v>0</v>
      </c>
      <c r="L558" s="13">
        <v>0</v>
      </c>
      <c r="M558" s="4"/>
      <c r="N558" s="11">
        <f t="shared" si="16"/>
        <v>0</v>
      </c>
    </row>
    <row r="559" spans="2:14" x14ac:dyDescent="0.35">
      <c r="B559" s="4">
        <f t="shared" si="17"/>
        <v>549</v>
      </c>
      <c r="C559" s="3" t="s">
        <v>342</v>
      </c>
      <c r="D559" s="4" t="s">
        <v>559</v>
      </c>
      <c r="E559" s="8" t="s">
        <v>165</v>
      </c>
      <c r="F559" s="8" t="s">
        <v>190</v>
      </c>
      <c r="G559" s="13">
        <v>234</v>
      </c>
      <c r="H559" s="13">
        <v>31640000</v>
      </c>
      <c r="I559" s="13">
        <v>18</v>
      </c>
      <c r="J559" s="13">
        <v>2520000</v>
      </c>
      <c r="K559" s="13">
        <v>0</v>
      </c>
      <c r="L559" s="13">
        <v>0</v>
      </c>
      <c r="M559" s="4"/>
      <c r="N559" s="11">
        <f t="shared" si="16"/>
        <v>0</v>
      </c>
    </row>
    <row r="560" spans="2:14" x14ac:dyDescent="0.35">
      <c r="B560" s="4">
        <f t="shared" si="17"/>
        <v>550</v>
      </c>
      <c r="C560" s="3" t="s">
        <v>270</v>
      </c>
      <c r="D560" s="4" t="s">
        <v>442</v>
      </c>
      <c r="E560" s="8" t="s">
        <v>165</v>
      </c>
      <c r="F560" s="8" t="s">
        <v>20</v>
      </c>
      <c r="G560" s="13">
        <v>62</v>
      </c>
      <c r="H560" s="13">
        <v>10510000</v>
      </c>
      <c r="I560" s="13">
        <v>5</v>
      </c>
      <c r="J560" s="13">
        <v>800000</v>
      </c>
      <c r="K560" s="13">
        <v>0</v>
      </c>
      <c r="L560" s="13">
        <v>0</v>
      </c>
      <c r="M560" s="4"/>
      <c r="N560" s="11">
        <f t="shared" si="16"/>
        <v>0</v>
      </c>
    </row>
    <row r="561" spans="2:14" x14ac:dyDescent="0.35">
      <c r="B561" s="4">
        <f t="shared" si="17"/>
        <v>551</v>
      </c>
      <c r="C561" s="3" t="s">
        <v>270</v>
      </c>
      <c r="D561" s="4" t="s">
        <v>442</v>
      </c>
      <c r="E561" s="8" t="s">
        <v>165</v>
      </c>
      <c r="F561" s="8" t="s">
        <v>21</v>
      </c>
      <c r="G561" s="13">
        <v>0</v>
      </c>
      <c r="H561" s="13">
        <v>0</v>
      </c>
      <c r="I561" s="13">
        <v>1</v>
      </c>
      <c r="J561" s="13">
        <v>573000</v>
      </c>
      <c r="K561" s="13">
        <v>0</v>
      </c>
      <c r="L561" s="13">
        <v>0</v>
      </c>
      <c r="M561" s="4"/>
      <c r="N561" s="11">
        <f t="shared" si="16"/>
        <v>0</v>
      </c>
    </row>
    <row r="562" spans="2:14" x14ac:dyDescent="0.35">
      <c r="B562" s="4">
        <f t="shared" si="17"/>
        <v>552</v>
      </c>
      <c r="C562" s="3" t="s">
        <v>270</v>
      </c>
      <c r="D562" s="4" t="s">
        <v>442</v>
      </c>
      <c r="E562" s="8" t="s">
        <v>165</v>
      </c>
      <c r="F562" s="8" t="s">
        <v>22</v>
      </c>
      <c r="G562" s="13">
        <v>150</v>
      </c>
      <c r="H562" s="13">
        <v>17132000</v>
      </c>
      <c r="I562" s="13">
        <v>49</v>
      </c>
      <c r="J562" s="13">
        <v>3751000</v>
      </c>
      <c r="K562" s="13">
        <v>118</v>
      </c>
      <c r="L562" s="13">
        <v>28774000</v>
      </c>
      <c r="M562" s="4"/>
      <c r="N562" s="11">
        <f t="shared" si="16"/>
        <v>0</v>
      </c>
    </row>
    <row r="563" spans="2:14" x14ac:dyDescent="0.35">
      <c r="B563" s="4">
        <f t="shared" si="17"/>
        <v>553</v>
      </c>
      <c r="C563" s="3" t="s">
        <v>270</v>
      </c>
      <c r="D563" s="4" t="s">
        <v>442</v>
      </c>
      <c r="E563" s="8" t="s">
        <v>165</v>
      </c>
      <c r="F563" s="8" t="s">
        <v>190</v>
      </c>
      <c r="G563" s="13">
        <v>263</v>
      </c>
      <c r="H563" s="13">
        <v>34670000</v>
      </c>
      <c r="I563" s="13">
        <v>52</v>
      </c>
      <c r="J563" s="13">
        <v>7250000</v>
      </c>
      <c r="K563" s="13">
        <v>0</v>
      </c>
      <c r="L563" s="13">
        <v>0</v>
      </c>
      <c r="M563" s="4"/>
      <c r="N563" s="11">
        <f t="shared" si="16"/>
        <v>0</v>
      </c>
    </row>
    <row r="564" spans="2:14" x14ac:dyDescent="0.35">
      <c r="B564" s="4">
        <f t="shared" si="17"/>
        <v>554</v>
      </c>
      <c r="C564" s="3" t="s">
        <v>343</v>
      </c>
      <c r="D564" s="4" t="s">
        <v>486</v>
      </c>
      <c r="E564" s="8" t="s">
        <v>165</v>
      </c>
      <c r="F564" s="8" t="s">
        <v>20</v>
      </c>
      <c r="G564" s="13">
        <v>18</v>
      </c>
      <c r="H564" s="13">
        <v>3060000</v>
      </c>
      <c r="I564" s="13">
        <v>11</v>
      </c>
      <c r="J564" s="13">
        <v>1925000</v>
      </c>
      <c r="K564" s="13">
        <v>0</v>
      </c>
      <c r="L564" s="13">
        <v>0</v>
      </c>
      <c r="M564" s="4"/>
      <c r="N564" s="11">
        <f t="shared" si="16"/>
        <v>0</v>
      </c>
    </row>
    <row r="565" spans="2:14" x14ac:dyDescent="0.35">
      <c r="B565" s="4">
        <f t="shared" si="17"/>
        <v>555</v>
      </c>
      <c r="C565" s="3" t="s">
        <v>343</v>
      </c>
      <c r="D565" s="4" t="s">
        <v>486</v>
      </c>
      <c r="E565" s="8" t="s">
        <v>165</v>
      </c>
      <c r="F565" s="8" t="s">
        <v>21</v>
      </c>
      <c r="G565" s="13">
        <v>5</v>
      </c>
      <c r="H565" s="13">
        <v>4645000</v>
      </c>
      <c r="I565" s="13">
        <v>0</v>
      </c>
      <c r="J565" s="13">
        <v>0</v>
      </c>
      <c r="K565" s="13">
        <v>0</v>
      </c>
      <c r="L565" s="13">
        <v>0</v>
      </c>
      <c r="M565" s="4"/>
      <c r="N565" s="11">
        <f t="shared" si="16"/>
        <v>0</v>
      </c>
    </row>
    <row r="566" spans="2:14" x14ac:dyDescent="0.35">
      <c r="B566" s="4">
        <f t="shared" si="17"/>
        <v>556</v>
      </c>
      <c r="C566" s="3" t="s">
        <v>343</v>
      </c>
      <c r="D566" s="4" t="s">
        <v>486</v>
      </c>
      <c r="E566" s="8" t="s">
        <v>165</v>
      </c>
      <c r="F566" s="8" t="s">
        <v>22</v>
      </c>
      <c r="G566" s="13">
        <v>187</v>
      </c>
      <c r="H566" s="13">
        <v>24300000</v>
      </c>
      <c r="I566" s="13">
        <v>53</v>
      </c>
      <c r="J566" s="13">
        <v>3975000</v>
      </c>
      <c r="K566" s="13">
        <v>20</v>
      </c>
      <c r="L566" s="13">
        <v>4805000</v>
      </c>
      <c r="M566" s="4"/>
      <c r="N566" s="11">
        <f t="shared" si="16"/>
        <v>0</v>
      </c>
    </row>
    <row r="567" spans="2:14" x14ac:dyDescent="0.35">
      <c r="B567" s="4">
        <f t="shared" si="17"/>
        <v>557</v>
      </c>
      <c r="C567" s="3" t="s">
        <v>343</v>
      </c>
      <c r="D567" s="4" t="s">
        <v>486</v>
      </c>
      <c r="E567" s="8" t="s">
        <v>165</v>
      </c>
      <c r="F567" s="8" t="s">
        <v>190</v>
      </c>
      <c r="G567" s="13">
        <v>248</v>
      </c>
      <c r="H567" s="13">
        <v>34045000</v>
      </c>
      <c r="I567" s="13">
        <v>7</v>
      </c>
      <c r="J567" s="13">
        <v>945000</v>
      </c>
      <c r="K567" s="13">
        <v>1</v>
      </c>
      <c r="L567" s="13">
        <v>125000</v>
      </c>
      <c r="M567" s="4"/>
      <c r="N567" s="11">
        <f t="shared" si="16"/>
        <v>0</v>
      </c>
    </row>
    <row r="568" spans="2:14" x14ac:dyDescent="0.35">
      <c r="B568" s="4">
        <f t="shared" si="17"/>
        <v>558</v>
      </c>
      <c r="C568" s="3" t="s">
        <v>344</v>
      </c>
      <c r="D568" s="4" t="s">
        <v>590</v>
      </c>
      <c r="E568" s="8" t="s">
        <v>165</v>
      </c>
      <c r="F568" s="8" t="s">
        <v>20</v>
      </c>
      <c r="G568" s="13">
        <v>64</v>
      </c>
      <c r="H568" s="13">
        <v>11725000</v>
      </c>
      <c r="I568" s="13">
        <v>27</v>
      </c>
      <c r="J568" s="13">
        <v>4725000</v>
      </c>
      <c r="K568" s="13">
        <v>0</v>
      </c>
      <c r="L568" s="13">
        <v>0</v>
      </c>
      <c r="M568" s="4"/>
      <c r="N568" s="11">
        <f t="shared" si="16"/>
        <v>0</v>
      </c>
    </row>
    <row r="569" spans="2:14" x14ac:dyDescent="0.35">
      <c r="B569" s="4">
        <f t="shared" si="17"/>
        <v>559</v>
      </c>
      <c r="C569" s="3" t="s">
        <v>344</v>
      </c>
      <c r="D569" s="4" t="s">
        <v>590</v>
      </c>
      <c r="E569" s="8" t="s">
        <v>165</v>
      </c>
      <c r="F569" s="8" t="s">
        <v>21</v>
      </c>
      <c r="G569" s="13">
        <v>2</v>
      </c>
      <c r="H569" s="13">
        <v>1146000</v>
      </c>
      <c r="I569" s="13">
        <v>0</v>
      </c>
      <c r="J569" s="13">
        <v>0</v>
      </c>
      <c r="K569" s="13">
        <v>0</v>
      </c>
      <c r="L569" s="13">
        <v>0</v>
      </c>
      <c r="M569" s="4"/>
      <c r="N569" s="11">
        <f t="shared" si="16"/>
        <v>0</v>
      </c>
    </row>
    <row r="570" spans="2:14" x14ac:dyDescent="0.35">
      <c r="B570" s="4">
        <f t="shared" si="17"/>
        <v>560</v>
      </c>
      <c r="C570" s="3" t="s">
        <v>344</v>
      </c>
      <c r="D570" s="4" t="s">
        <v>590</v>
      </c>
      <c r="E570" s="8" t="s">
        <v>165</v>
      </c>
      <c r="F570" s="8" t="s">
        <v>22</v>
      </c>
      <c r="G570" s="13">
        <v>126</v>
      </c>
      <c r="H570" s="13">
        <v>11106000</v>
      </c>
      <c r="I570" s="13">
        <v>86</v>
      </c>
      <c r="J570" s="13">
        <v>6469000</v>
      </c>
      <c r="K570" s="13">
        <v>4</v>
      </c>
      <c r="L570" s="13">
        <v>1000000</v>
      </c>
      <c r="M570" s="4"/>
      <c r="N570" s="11">
        <f t="shared" si="16"/>
        <v>0</v>
      </c>
    </row>
    <row r="571" spans="2:14" x14ac:dyDescent="0.35">
      <c r="B571" s="4">
        <f t="shared" si="17"/>
        <v>561</v>
      </c>
      <c r="C571" s="3" t="s">
        <v>344</v>
      </c>
      <c r="D571" s="4" t="s">
        <v>590</v>
      </c>
      <c r="E571" s="8" t="s">
        <v>165</v>
      </c>
      <c r="F571" s="8" t="s">
        <v>190</v>
      </c>
      <c r="G571" s="13">
        <v>190</v>
      </c>
      <c r="H571" s="13">
        <v>27325000</v>
      </c>
      <c r="I571" s="13">
        <v>11</v>
      </c>
      <c r="J571" s="13">
        <v>1540000</v>
      </c>
      <c r="K571" s="13">
        <v>0</v>
      </c>
      <c r="L571" s="13">
        <v>0</v>
      </c>
      <c r="M571" s="4"/>
      <c r="N571" s="11">
        <f t="shared" si="16"/>
        <v>0</v>
      </c>
    </row>
    <row r="572" spans="2:14" x14ac:dyDescent="0.35">
      <c r="B572" s="4">
        <f t="shared" si="17"/>
        <v>562</v>
      </c>
      <c r="C572" s="3" t="s">
        <v>345</v>
      </c>
      <c r="D572" s="4" t="s">
        <v>567</v>
      </c>
      <c r="E572" s="8" t="s">
        <v>165</v>
      </c>
      <c r="F572" s="8" t="s">
        <v>20</v>
      </c>
      <c r="G572" s="13">
        <v>106</v>
      </c>
      <c r="H572" s="13">
        <v>18100000</v>
      </c>
      <c r="I572" s="13">
        <v>8</v>
      </c>
      <c r="J572" s="13">
        <v>1400000</v>
      </c>
      <c r="K572" s="13">
        <v>1</v>
      </c>
      <c r="L572" s="13">
        <v>140000</v>
      </c>
      <c r="M572" s="4"/>
      <c r="N572" s="11">
        <f t="shared" si="16"/>
        <v>0</v>
      </c>
    </row>
    <row r="573" spans="2:14" x14ac:dyDescent="0.35">
      <c r="B573" s="4">
        <f t="shared" si="17"/>
        <v>563</v>
      </c>
      <c r="C573" s="3" t="s">
        <v>345</v>
      </c>
      <c r="D573" s="4" t="s">
        <v>567</v>
      </c>
      <c r="E573" s="8" t="s">
        <v>165</v>
      </c>
      <c r="F573" s="8" t="s">
        <v>21</v>
      </c>
      <c r="G573" s="13">
        <v>8</v>
      </c>
      <c r="H573" s="13">
        <v>8144000</v>
      </c>
      <c r="I573" s="13">
        <v>0</v>
      </c>
      <c r="J573" s="13">
        <v>0</v>
      </c>
      <c r="K573" s="13">
        <v>0</v>
      </c>
      <c r="L573" s="13">
        <v>0</v>
      </c>
      <c r="M573" s="4"/>
      <c r="N573" s="11">
        <f t="shared" si="16"/>
        <v>0</v>
      </c>
    </row>
    <row r="574" spans="2:14" x14ac:dyDescent="0.35">
      <c r="B574" s="4">
        <f t="shared" si="17"/>
        <v>564</v>
      </c>
      <c r="C574" s="3" t="s">
        <v>345</v>
      </c>
      <c r="D574" s="4" t="s">
        <v>567</v>
      </c>
      <c r="E574" s="8" t="s">
        <v>165</v>
      </c>
      <c r="F574" s="8" t="s">
        <v>22</v>
      </c>
      <c r="G574" s="13">
        <v>120</v>
      </c>
      <c r="H574" s="13">
        <v>9405000</v>
      </c>
      <c r="I574" s="13">
        <v>55</v>
      </c>
      <c r="J574" s="13">
        <v>4125000</v>
      </c>
      <c r="K574" s="13">
        <v>0</v>
      </c>
      <c r="L574" s="13">
        <v>0</v>
      </c>
      <c r="M574" s="4"/>
      <c r="N574" s="11">
        <f t="shared" si="16"/>
        <v>0</v>
      </c>
    </row>
    <row r="575" spans="2:14" x14ac:dyDescent="0.35">
      <c r="B575" s="4">
        <f t="shared" si="17"/>
        <v>565</v>
      </c>
      <c r="C575" s="3" t="s">
        <v>345</v>
      </c>
      <c r="D575" s="4" t="s">
        <v>567</v>
      </c>
      <c r="E575" s="8" t="s">
        <v>165</v>
      </c>
      <c r="F575" s="8" t="s">
        <v>19</v>
      </c>
      <c r="G575" s="13">
        <v>2</v>
      </c>
      <c r="H575" s="13">
        <v>17000000</v>
      </c>
      <c r="I575" s="13">
        <v>0</v>
      </c>
      <c r="J575" s="13">
        <v>0</v>
      </c>
      <c r="K575" s="13">
        <v>0</v>
      </c>
      <c r="L575" s="13">
        <v>0</v>
      </c>
      <c r="M575" s="4"/>
      <c r="N575" s="11">
        <f t="shared" si="16"/>
        <v>0</v>
      </c>
    </row>
    <row r="576" spans="2:14" x14ac:dyDescent="0.35">
      <c r="B576" s="4">
        <f t="shared" si="17"/>
        <v>566</v>
      </c>
      <c r="C576" s="3" t="s">
        <v>345</v>
      </c>
      <c r="D576" s="4" t="s">
        <v>567</v>
      </c>
      <c r="E576" s="8" t="s">
        <v>165</v>
      </c>
      <c r="F576" s="8" t="s">
        <v>190</v>
      </c>
      <c r="G576" s="13">
        <v>258</v>
      </c>
      <c r="H576" s="13">
        <v>35670000</v>
      </c>
      <c r="I576" s="13">
        <v>46</v>
      </c>
      <c r="J576" s="13">
        <v>6440000</v>
      </c>
      <c r="K576" s="13">
        <v>0</v>
      </c>
      <c r="L576" s="13">
        <v>0</v>
      </c>
      <c r="M576" s="4"/>
      <c r="N576" s="11">
        <f t="shared" si="16"/>
        <v>0</v>
      </c>
    </row>
    <row r="577" spans="2:14" x14ac:dyDescent="0.35">
      <c r="B577" s="4">
        <f t="shared" si="17"/>
        <v>567</v>
      </c>
      <c r="C577" s="3" t="s">
        <v>319</v>
      </c>
      <c r="D577" s="4" t="s">
        <v>426</v>
      </c>
      <c r="E577" s="8" t="s">
        <v>166</v>
      </c>
      <c r="F577" s="8" t="s">
        <v>22</v>
      </c>
      <c r="G577" s="13">
        <v>10</v>
      </c>
      <c r="H577" s="13">
        <v>8789000</v>
      </c>
      <c r="I577" s="13">
        <v>415</v>
      </c>
      <c r="J577" s="13">
        <v>261644800</v>
      </c>
      <c r="K577" s="13">
        <v>0</v>
      </c>
      <c r="L577" s="13">
        <v>0</v>
      </c>
      <c r="M577" s="4"/>
      <c r="N577" s="11">
        <f t="shared" si="16"/>
        <v>0</v>
      </c>
    </row>
    <row r="578" spans="2:14" x14ac:dyDescent="0.35">
      <c r="B578" s="4">
        <f t="shared" si="17"/>
        <v>568</v>
      </c>
      <c r="C578" s="3" t="s">
        <v>349</v>
      </c>
      <c r="D578" s="4" t="s">
        <v>467</v>
      </c>
      <c r="E578" s="8" t="s">
        <v>153</v>
      </c>
      <c r="F578" s="8" t="s">
        <v>21</v>
      </c>
      <c r="G578" s="13">
        <v>194</v>
      </c>
      <c r="H578" s="13">
        <v>104141000</v>
      </c>
      <c r="I578" s="13">
        <v>24</v>
      </c>
      <c r="J578" s="13">
        <v>14008000</v>
      </c>
      <c r="K578" s="13">
        <v>11</v>
      </c>
      <c r="L578" s="13">
        <v>11545000</v>
      </c>
      <c r="M578" s="4"/>
      <c r="N578" s="11">
        <f t="shared" si="16"/>
        <v>0</v>
      </c>
    </row>
    <row r="579" spans="2:14" x14ac:dyDescent="0.35">
      <c r="B579" s="4">
        <f t="shared" si="17"/>
        <v>569</v>
      </c>
      <c r="C579" s="3" t="s">
        <v>379</v>
      </c>
      <c r="D579" s="4" t="s">
        <v>517</v>
      </c>
      <c r="E579" s="8" t="s">
        <v>153</v>
      </c>
      <c r="F579" s="8" t="s">
        <v>21</v>
      </c>
      <c r="G579" s="13">
        <v>136</v>
      </c>
      <c r="H579" s="13">
        <v>70115500</v>
      </c>
      <c r="I579" s="13">
        <v>16</v>
      </c>
      <c r="J579" s="13">
        <v>9994500</v>
      </c>
      <c r="K579" s="13">
        <v>5</v>
      </c>
      <c r="L579" s="13">
        <v>5840000</v>
      </c>
      <c r="M579" s="4"/>
      <c r="N579" s="11">
        <f t="shared" si="16"/>
        <v>0</v>
      </c>
    </row>
    <row r="580" spans="2:14" x14ac:dyDescent="0.35">
      <c r="B580" s="4">
        <f t="shared" si="17"/>
        <v>570</v>
      </c>
      <c r="C580" s="3" t="s">
        <v>397</v>
      </c>
      <c r="D580" s="4" t="s">
        <v>606</v>
      </c>
      <c r="E580" s="8" t="s">
        <v>153</v>
      </c>
      <c r="F580" s="8" t="s">
        <v>21</v>
      </c>
      <c r="G580" s="13">
        <v>143</v>
      </c>
      <c r="H580" s="13">
        <v>76656000</v>
      </c>
      <c r="I580" s="13">
        <v>28</v>
      </c>
      <c r="J580" s="13">
        <v>12312500</v>
      </c>
      <c r="K580" s="13">
        <v>3</v>
      </c>
      <c r="L580" s="13">
        <v>3970000</v>
      </c>
      <c r="M580" s="4"/>
      <c r="N580" s="11">
        <f t="shared" si="16"/>
        <v>0</v>
      </c>
    </row>
    <row r="581" spans="2:14" x14ac:dyDescent="0.35">
      <c r="B581" s="4">
        <f t="shared" si="17"/>
        <v>571</v>
      </c>
      <c r="C581" s="3" t="s">
        <v>370</v>
      </c>
      <c r="D581" s="4" t="s">
        <v>565</v>
      </c>
      <c r="E581" s="8" t="s">
        <v>166</v>
      </c>
      <c r="F581" s="8" t="s">
        <v>22</v>
      </c>
      <c r="G581" s="13">
        <v>0</v>
      </c>
      <c r="H581" s="13">
        <v>0</v>
      </c>
      <c r="I581" s="13">
        <v>355</v>
      </c>
      <c r="J581" s="13">
        <v>266934100</v>
      </c>
      <c r="K581" s="13">
        <v>0</v>
      </c>
      <c r="L581" s="13">
        <v>0</v>
      </c>
      <c r="M581" s="4"/>
      <c r="N581" s="11">
        <f t="shared" si="16"/>
        <v>0</v>
      </c>
    </row>
    <row r="582" spans="2:14" x14ac:dyDescent="0.35">
      <c r="B582" s="4">
        <f t="shared" si="17"/>
        <v>572</v>
      </c>
      <c r="C582" s="3" t="s">
        <v>380</v>
      </c>
      <c r="D582" s="4" t="s">
        <v>533</v>
      </c>
      <c r="E582" s="8" t="s">
        <v>153</v>
      </c>
      <c r="F582" s="8" t="s">
        <v>20</v>
      </c>
      <c r="G582" s="13">
        <v>2</v>
      </c>
      <c r="H582" s="13">
        <v>320000</v>
      </c>
      <c r="I582" s="13">
        <v>0</v>
      </c>
      <c r="J582" s="13">
        <v>0</v>
      </c>
      <c r="K582" s="13">
        <v>0</v>
      </c>
      <c r="L582" s="13">
        <v>0</v>
      </c>
      <c r="M582" s="4"/>
      <c r="N582" s="11">
        <f t="shared" si="16"/>
        <v>0</v>
      </c>
    </row>
    <row r="583" spans="2:14" x14ac:dyDescent="0.35">
      <c r="B583" s="4">
        <f t="shared" si="17"/>
        <v>573</v>
      </c>
      <c r="C583" s="3" t="s">
        <v>380</v>
      </c>
      <c r="D583" s="4" t="s">
        <v>533</v>
      </c>
      <c r="E583" s="8" t="s">
        <v>153</v>
      </c>
      <c r="F583" s="8" t="s">
        <v>21</v>
      </c>
      <c r="G583" s="13">
        <v>177</v>
      </c>
      <c r="H583" s="13">
        <v>81144000</v>
      </c>
      <c r="I583" s="13">
        <v>16</v>
      </c>
      <c r="J583" s="13">
        <v>7551000</v>
      </c>
      <c r="K583" s="13">
        <v>6</v>
      </c>
      <c r="L583" s="13">
        <v>6285000</v>
      </c>
      <c r="M583" s="4"/>
      <c r="N583" s="11">
        <f t="shared" si="16"/>
        <v>0</v>
      </c>
    </row>
    <row r="584" spans="2:14" x14ac:dyDescent="0.35">
      <c r="B584" s="4">
        <f t="shared" si="17"/>
        <v>574</v>
      </c>
      <c r="C584" s="3" t="s">
        <v>326</v>
      </c>
      <c r="D584" s="4" t="s">
        <v>411</v>
      </c>
      <c r="E584" s="8" t="s">
        <v>152</v>
      </c>
      <c r="F584" s="8" t="s">
        <v>21</v>
      </c>
      <c r="G584" s="13">
        <v>12322</v>
      </c>
      <c r="H584" s="13">
        <v>1040834000</v>
      </c>
      <c r="I584" s="13">
        <v>928</v>
      </c>
      <c r="J584" s="13">
        <v>86096000</v>
      </c>
      <c r="K584" s="13">
        <v>23</v>
      </c>
      <c r="L584" s="13">
        <v>1832500</v>
      </c>
      <c r="M584" s="4"/>
      <c r="N584" s="11">
        <f t="shared" si="16"/>
        <v>0</v>
      </c>
    </row>
    <row r="585" spans="2:14" x14ac:dyDescent="0.35">
      <c r="B585" s="4">
        <f t="shared" si="17"/>
        <v>575</v>
      </c>
      <c r="C585" s="3" t="s">
        <v>326</v>
      </c>
      <c r="D585" s="4" t="s">
        <v>411</v>
      </c>
      <c r="E585" s="8" t="s">
        <v>152</v>
      </c>
      <c r="F585" s="8" t="s">
        <v>22</v>
      </c>
      <c r="G585" s="13">
        <v>18</v>
      </c>
      <c r="H585" s="13">
        <v>2520000</v>
      </c>
      <c r="I585" s="13">
        <v>3</v>
      </c>
      <c r="J585" s="13">
        <v>640000</v>
      </c>
      <c r="K585" s="13">
        <v>0</v>
      </c>
      <c r="L585" s="13">
        <v>0</v>
      </c>
      <c r="M585" s="4"/>
      <c r="N585" s="11">
        <f t="shared" si="16"/>
        <v>0</v>
      </c>
    </row>
    <row r="586" spans="2:14" x14ac:dyDescent="0.35">
      <c r="B586" s="4">
        <f t="shared" si="17"/>
        <v>576</v>
      </c>
      <c r="C586" s="3" t="s">
        <v>326</v>
      </c>
      <c r="D586" s="4" t="s">
        <v>411</v>
      </c>
      <c r="E586" s="8" t="s">
        <v>152</v>
      </c>
      <c r="F586" s="8" t="s">
        <v>190</v>
      </c>
      <c r="G586" s="13">
        <v>0</v>
      </c>
      <c r="H586" s="13">
        <v>0</v>
      </c>
      <c r="I586" s="13">
        <v>0</v>
      </c>
      <c r="J586" s="13">
        <v>0</v>
      </c>
      <c r="K586" s="13">
        <v>0</v>
      </c>
      <c r="L586" s="13">
        <v>0</v>
      </c>
      <c r="M586" s="4"/>
      <c r="N586" s="11">
        <f t="shared" si="16"/>
        <v>0</v>
      </c>
    </row>
    <row r="587" spans="2:14" x14ac:dyDescent="0.35">
      <c r="B587" s="4">
        <f t="shared" si="17"/>
        <v>577</v>
      </c>
      <c r="C587" s="3" t="s">
        <v>622</v>
      </c>
      <c r="D587" s="4" t="s">
        <v>614</v>
      </c>
      <c r="E587" s="8" t="s">
        <v>152</v>
      </c>
      <c r="F587" s="8" t="s">
        <v>21</v>
      </c>
      <c r="G587" s="13">
        <v>13509</v>
      </c>
      <c r="H587" s="13">
        <v>1052523000</v>
      </c>
      <c r="I587" s="13">
        <v>918</v>
      </c>
      <c r="J587" s="13">
        <v>75361500</v>
      </c>
      <c r="K587" s="13">
        <v>35</v>
      </c>
      <c r="L587" s="13">
        <v>2663500</v>
      </c>
      <c r="M587" s="4"/>
      <c r="N587" s="11">
        <f t="shared" ref="N587:N650" si="18">IFERROR((G587/M587)*100%, 0)</f>
        <v>0</v>
      </c>
    </row>
    <row r="588" spans="2:14" x14ac:dyDescent="0.35">
      <c r="B588" s="4">
        <f t="shared" si="17"/>
        <v>578</v>
      </c>
      <c r="C588" s="3" t="s">
        <v>623</v>
      </c>
      <c r="D588" s="4" t="s">
        <v>615</v>
      </c>
      <c r="E588" s="8" t="s">
        <v>152</v>
      </c>
      <c r="F588" s="8" t="s">
        <v>21</v>
      </c>
      <c r="G588" s="13">
        <v>12195</v>
      </c>
      <c r="H588" s="13">
        <v>991332000</v>
      </c>
      <c r="I588" s="13">
        <v>1140</v>
      </c>
      <c r="J588" s="13">
        <v>105548000</v>
      </c>
      <c r="K588" s="13">
        <v>15</v>
      </c>
      <c r="L588" s="13">
        <v>1281500</v>
      </c>
      <c r="M588" s="4"/>
      <c r="N588" s="11">
        <f t="shared" si="18"/>
        <v>0</v>
      </c>
    </row>
    <row r="589" spans="2:14" x14ac:dyDescent="0.35">
      <c r="B589" s="4">
        <f t="shared" ref="B589:B652" si="19">B588+1</f>
        <v>579</v>
      </c>
      <c r="C589" s="3" t="s">
        <v>624</v>
      </c>
      <c r="D589" s="4" t="s">
        <v>616</v>
      </c>
      <c r="E589" s="8" t="s">
        <v>152</v>
      </c>
      <c r="F589" s="8" t="s">
        <v>21</v>
      </c>
      <c r="G589" s="13">
        <v>10791</v>
      </c>
      <c r="H589" s="13">
        <v>854955500</v>
      </c>
      <c r="I589" s="13">
        <v>797</v>
      </c>
      <c r="J589" s="13">
        <v>73960000</v>
      </c>
      <c r="K589" s="13">
        <v>31</v>
      </c>
      <c r="L589" s="13">
        <v>2361000</v>
      </c>
      <c r="M589" s="4"/>
      <c r="N589" s="11">
        <f t="shared" si="18"/>
        <v>0</v>
      </c>
    </row>
    <row r="590" spans="2:14" x14ac:dyDescent="0.35">
      <c r="B590" s="4">
        <f t="shared" si="19"/>
        <v>580</v>
      </c>
      <c r="C590" s="3" t="s">
        <v>381</v>
      </c>
      <c r="D590" s="4" t="s">
        <v>582</v>
      </c>
      <c r="E590" s="8" t="s">
        <v>152</v>
      </c>
      <c r="F590" s="8" t="s">
        <v>21</v>
      </c>
      <c r="G590" s="13">
        <v>805</v>
      </c>
      <c r="H590" s="13">
        <v>296709000</v>
      </c>
      <c r="I590" s="13">
        <v>86</v>
      </c>
      <c r="J590" s="13">
        <v>16607000</v>
      </c>
      <c r="K590" s="13">
        <v>2</v>
      </c>
      <c r="L590" s="13">
        <v>1100000</v>
      </c>
      <c r="M590" s="4"/>
      <c r="N590" s="11">
        <f t="shared" si="18"/>
        <v>0</v>
      </c>
    </row>
    <row r="591" spans="2:14" x14ac:dyDescent="0.35">
      <c r="B591" s="4">
        <f t="shared" si="19"/>
        <v>581</v>
      </c>
      <c r="C591" s="3" t="s">
        <v>381</v>
      </c>
      <c r="D591" s="4" t="s">
        <v>582</v>
      </c>
      <c r="E591" s="8" t="s">
        <v>152</v>
      </c>
      <c r="F591" s="8" t="s">
        <v>22</v>
      </c>
      <c r="G591" s="13">
        <v>5</v>
      </c>
      <c r="H591" s="13">
        <v>700000</v>
      </c>
      <c r="I591" s="13">
        <v>0</v>
      </c>
      <c r="J591" s="13">
        <v>0</v>
      </c>
      <c r="K591" s="13">
        <v>0</v>
      </c>
      <c r="L591" s="13">
        <v>0</v>
      </c>
      <c r="M591" s="4"/>
      <c r="N591" s="11">
        <f t="shared" si="18"/>
        <v>0</v>
      </c>
    </row>
    <row r="592" spans="2:14" x14ac:dyDescent="0.35">
      <c r="B592" s="4">
        <f t="shared" si="19"/>
        <v>582</v>
      </c>
      <c r="C592" s="3" t="s">
        <v>625</v>
      </c>
      <c r="D592" s="4" t="s">
        <v>617</v>
      </c>
      <c r="E592" s="8" t="s">
        <v>152</v>
      </c>
      <c r="F592" s="8" t="s">
        <v>21</v>
      </c>
      <c r="G592" s="13">
        <v>9534</v>
      </c>
      <c r="H592" s="13">
        <v>728534500</v>
      </c>
      <c r="I592" s="13">
        <v>723</v>
      </c>
      <c r="J592" s="13">
        <v>61172500</v>
      </c>
      <c r="K592" s="13">
        <v>15</v>
      </c>
      <c r="L592" s="13">
        <v>934000</v>
      </c>
      <c r="M592" s="4"/>
      <c r="N592" s="11">
        <f t="shared" si="18"/>
        <v>0</v>
      </c>
    </row>
    <row r="593" spans="2:14" x14ac:dyDescent="0.35">
      <c r="B593" s="4">
        <f t="shared" si="19"/>
        <v>583</v>
      </c>
      <c r="C593" s="3" t="s">
        <v>383</v>
      </c>
      <c r="D593" s="4" t="s">
        <v>599</v>
      </c>
      <c r="E593" s="8" t="s">
        <v>146</v>
      </c>
      <c r="F593" s="8" t="s">
        <v>20</v>
      </c>
      <c r="G593" s="13">
        <v>34</v>
      </c>
      <c r="H593" s="13">
        <v>5905000</v>
      </c>
      <c r="I593" s="13">
        <v>52</v>
      </c>
      <c r="J593" s="13">
        <v>9055000</v>
      </c>
      <c r="K593" s="13">
        <v>0</v>
      </c>
      <c r="L593" s="13">
        <v>0</v>
      </c>
      <c r="M593" s="4"/>
      <c r="N593" s="11">
        <f t="shared" si="18"/>
        <v>0</v>
      </c>
    </row>
    <row r="594" spans="2:14" x14ac:dyDescent="0.35">
      <c r="B594" s="4">
        <f t="shared" si="19"/>
        <v>584</v>
      </c>
      <c r="C594" s="3" t="s">
        <v>383</v>
      </c>
      <c r="D594" s="4" t="s">
        <v>599</v>
      </c>
      <c r="E594" s="8" t="s">
        <v>146</v>
      </c>
      <c r="F594" s="8" t="s">
        <v>22</v>
      </c>
      <c r="G594" s="13">
        <v>301</v>
      </c>
      <c r="H594" s="13">
        <v>23355000</v>
      </c>
      <c r="I594" s="13">
        <v>5</v>
      </c>
      <c r="J594" s="13">
        <v>375000</v>
      </c>
      <c r="K594" s="13">
        <v>0</v>
      </c>
      <c r="L594" s="13">
        <v>0</v>
      </c>
      <c r="M594" s="4"/>
      <c r="N594" s="11">
        <f t="shared" si="18"/>
        <v>0</v>
      </c>
    </row>
    <row r="595" spans="2:14" x14ac:dyDescent="0.35">
      <c r="B595" s="4">
        <f t="shared" si="19"/>
        <v>585</v>
      </c>
      <c r="C595" s="3" t="s">
        <v>383</v>
      </c>
      <c r="D595" s="4" t="s">
        <v>599</v>
      </c>
      <c r="E595" s="8" t="s">
        <v>146</v>
      </c>
      <c r="F595" s="8" t="s">
        <v>190</v>
      </c>
      <c r="G595" s="13">
        <v>182</v>
      </c>
      <c r="H595" s="13">
        <v>27510000</v>
      </c>
      <c r="I595" s="13">
        <v>1</v>
      </c>
      <c r="J595" s="13">
        <v>125000</v>
      </c>
      <c r="K595" s="13">
        <v>0</v>
      </c>
      <c r="L595" s="13">
        <v>0</v>
      </c>
      <c r="M595" s="4"/>
      <c r="N595" s="11">
        <f t="shared" si="18"/>
        <v>0</v>
      </c>
    </row>
    <row r="596" spans="2:14" x14ac:dyDescent="0.35">
      <c r="B596" s="4">
        <f t="shared" si="19"/>
        <v>586</v>
      </c>
      <c r="C596" s="3" t="s">
        <v>363</v>
      </c>
      <c r="D596" s="4" t="s">
        <v>553</v>
      </c>
      <c r="E596" s="8" t="s">
        <v>146</v>
      </c>
      <c r="F596" s="8" t="s">
        <v>20</v>
      </c>
      <c r="G596" s="13">
        <v>2</v>
      </c>
      <c r="H596" s="13">
        <v>3450000</v>
      </c>
      <c r="I596" s="13">
        <v>0</v>
      </c>
      <c r="J596" s="13">
        <v>0</v>
      </c>
      <c r="K596" s="13">
        <v>0</v>
      </c>
      <c r="L596" s="13">
        <v>0</v>
      </c>
      <c r="M596" s="4"/>
      <c r="N596" s="11">
        <f t="shared" si="18"/>
        <v>0</v>
      </c>
    </row>
    <row r="597" spans="2:14" x14ac:dyDescent="0.35">
      <c r="B597" s="4">
        <f t="shared" si="19"/>
        <v>587</v>
      </c>
      <c r="C597" s="3" t="s">
        <v>363</v>
      </c>
      <c r="D597" s="4" t="s">
        <v>553</v>
      </c>
      <c r="E597" s="8" t="s">
        <v>146</v>
      </c>
      <c r="F597" s="8" t="s">
        <v>22</v>
      </c>
      <c r="G597" s="13">
        <v>614</v>
      </c>
      <c r="H597" s="13">
        <v>582940000</v>
      </c>
      <c r="I597" s="13">
        <v>13</v>
      </c>
      <c r="J597" s="13">
        <v>12600000</v>
      </c>
      <c r="K597" s="13">
        <v>0</v>
      </c>
      <c r="L597" s="13">
        <v>0</v>
      </c>
      <c r="M597" s="4"/>
      <c r="N597" s="11">
        <f t="shared" si="18"/>
        <v>0</v>
      </c>
    </row>
    <row r="598" spans="2:14" x14ac:dyDescent="0.35">
      <c r="B598" s="4">
        <f t="shared" si="19"/>
        <v>588</v>
      </c>
      <c r="C598" s="3" t="s">
        <v>363</v>
      </c>
      <c r="D598" s="4" t="s">
        <v>553</v>
      </c>
      <c r="E598" s="8" t="s">
        <v>146</v>
      </c>
      <c r="F598" s="8" t="s">
        <v>190</v>
      </c>
      <c r="G598" s="13">
        <v>16</v>
      </c>
      <c r="H598" s="13">
        <v>2525000</v>
      </c>
      <c r="I598" s="13">
        <v>2</v>
      </c>
      <c r="J598" s="13">
        <v>320000</v>
      </c>
      <c r="K598" s="13">
        <v>0</v>
      </c>
      <c r="L598" s="13">
        <v>0</v>
      </c>
      <c r="M598" s="4"/>
      <c r="N598" s="11">
        <f t="shared" si="18"/>
        <v>0</v>
      </c>
    </row>
    <row r="599" spans="2:14" x14ac:dyDescent="0.35">
      <c r="B599" s="4">
        <f t="shared" si="19"/>
        <v>589</v>
      </c>
      <c r="C599" s="3" t="s">
        <v>364</v>
      </c>
      <c r="D599" s="4" t="s">
        <v>578</v>
      </c>
      <c r="E599" s="8" t="s">
        <v>146</v>
      </c>
      <c r="F599" s="8" t="s">
        <v>20</v>
      </c>
      <c r="G599" s="13">
        <v>8</v>
      </c>
      <c r="H599" s="13">
        <v>1280000</v>
      </c>
      <c r="I599" s="13">
        <v>0</v>
      </c>
      <c r="J599" s="13">
        <v>0</v>
      </c>
      <c r="K599" s="13">
        <v>0</v>
      </c>
      <c r="L599" s="13">
        <v>0</v>
      </c>
      <c r="M599" s="4"/>
      <c r="N599" s="11">
        <f t="shared" si="18"/>
        <v>0</v>
      </c>
    </row>
    <row r="600" spans="2:14" x14ac:dyDescent="0.35">
      <c r="B600" s="4">
        <f t="shared" si="19"/>
        <v>590</v>
      </c>
      <c r="C600" s="3" t="s">
        <v>364</v>
      </c>
      <c r="D600" s="4" t="s">
        <v>578</v>
      </c>
      <c r="E600" s="8" t="s">
        <v>146</v>
      </c>
      <c r="F600" s="8" t="s">
        <v>22</v>
      </c>
      <c r="G600" s="13">
        <v>917</v>
      </c>
      <c r="H600" s="13">
        <v>655885000</v>
      </c>
      <c r="I600" s="13">
        <v>9</v>
      </c>
      <c r="J600" s="13">
        <v>6940000</v>
      </c>
      <c r="K600" s="13">
        <v>4</v>
      </c>
      <c r="L600" s="13">
        <v>1000000</v>
      </c>
      <c r="M600" s="4"/>
      <c r="N600" s="11">
        <f t="shared" si="18"/>
        <v>0</v>
      </c>
    </row>
    <row r="601" spans="2:14" x14ac:dyDescent="0.35">
      <c r="B601" s="4">
        <f t="shared" si="19"/>
        <v>591</v>
      </c>
      <c r="C601" s="3" t="s">
        <v>364</v>
      </c>
      <c r="D601" s="4" t="s">
        <v>578</v>
      </c>
      <c r="E601" s="8" t="s">
        <v>146</v>
      </c>
      <c r="F601" s="8" t="s">
        <v>190</v>
      </c>
      <c r="G601" s="13">
        <v>80</v>
      </c>
      <c r="H601" s="13">
        <v>12625000</v>
      </c>
      <c r="I601" s="13">
        <v>8</v>
      </c>
      <c r="J601" s="13">
        <v>1120000</v>
      </c>
      <c r="K601" s="13">
        <v>0</v>
      </c>
      <c r="L601" s="13">
        <v>0</v>
      </c>
      <c r="M601" s="4"/>
      <c r="N601" s="11">
        <f t="shared" si="18"/>
        <v>0</v>
      </c>
    </row>
    <row r="602" spans="2:14" x14ac:dyDescent="0.35">
      <c r="B602" s="4">
        <f t="shared" si="19"/>
        <v>592</v>
      </c>
      <c r="C602" s="3" t="s">
        <v>384</v>
      </c>
      <c r="D602" s="4" t="s">
        <v>610</v>
      </c>
      <c r="E602" s="8" t="s">
        <v>146</v>
      </c>
      <c r="F602" s="8" t="s">
        <v>20</v>
      </c>
      <c r="G602" s="13">
        <v>11</v>
      </c>
      <c r="H602" s="13">
        <v>1890000</v>
      </c>
      <c r="I602" s="13">
        <v>0</v>
      </c>
      <c r="J602" s="13">
        <v>0</v>
      </c>
      <c r="K602" s="13">
        <v>0</v>
      </c>
      <c r="L602" s="13">
        <v>0</v>
      </c>
      <c r="M602" s="4"/>
      <c r="N602" s="11">
        <f t="shared" si="18"/>
        <v>0</v>
      </c>
    </row>
    <row r="603" spans="2:14" x14ac:dyDescent="0.35">
      <c r="B603" s="4">
        <f t="shared" si="19"/>
        <v>593</v>
      </c>
      <c r="C603" s="3" t="s">
        <v>384</v>
      </c>
      <c r="D603" s="4" t="s">
        <v>610</v>
      </c>
      <c r="E603" s="8" t="s">
        <v>146</v>
      </c>
      <c r="F603" s="8" t="s">
        <v>22</v>
      </c>
      <c r="G603" s="13">
        <v>269</v>
      </c>
      <c r="H603" s="13">
        <v>21800000</v>
      </c>
      <c r="I603" s="13">
        <v>8</v>
      </c>
      <c r="J603" s="13">
        <v>600000</v>
      </c>
      <c r="K603" s="13">
        <v>0</v>
      </c>
      <c r="L603" s="13">
        <v>0</v>
      </c>
      <c r="M603" s="4"/>
      <c r="N603" s="11">
        <f t="shared" si="18"/>
        <v>0</v>
      </c>
    </row>
    <row r="604" spans="2:14" x14ac:dyDescent="0.35">
      <c r="B604" s="4">
        <f t="shared" si="19"/>
        <v>594</v>
      </c>
      <c r="C604" s="3" t="s">
        <v>384</v>
      </c>
      <c r="D604" s="4" t="s">
        <v>610</v>
      </c>
      <c r="E604" s="8" t="s">
        <v>146</v>
      </c>
      <c r="F604" s="8" t="s">
        <v>190</v>
      </c>
      <c r="G604" s="13">
        <v>265</v>
      </c>
      <c r="H604" s="13">
        <v>35170000</v>
      </c>
      <c r="I604" s="13">
        <v>14</v>
      </c>
      <c r="J604" s="13">
        <v>1990000</v>
      </c>
      <c r="K604" s="13">
        <v>1</v>
      </c>
      <c r="L604" s="13">
        <v>180000</v>
      </c>
      <c r="M604" s="4"/>
      <c r="N604" s="11">
        <f t="shared" si="18"/>
        <v>0</v>
      </c>
    </row>
    <row r="605" spans="2:14" x14ac:dyDescent="0.35">
      <c r="B605" s="4">
        <f t="shared" si="19"/>
        <v>595</v>
      </c>
      <c r="C605" s="3" t="s">
        <v>313</v>
      </c>
      <c r="D605" s="4" t="s">
        <v>495</v>
      </c>
      <c r="E605" s="8" t="s">
        <v>146</v>
      </c>
      <c r="F605" s="8" t="s">
        <v>20</v>
      </c>
      <c r="G605" s="13">
        <v>22</v>
      </c>
      <c r="H605" s="13">
        <v>3710000</v>
      </c>
      <c r="I605" s="13">
        <v>1</v>
      </c>
      <c r="J605" s="13">
        <v>140000</v>
      </c>
      <c r="K605" s="13">
        <v>0</v>
      </c>
      <c r="L605" s="13">
        <v>0</v>
      </c>
      <c r="M605" s="4"/>
      <c r="N605" s="11">
        <f t="shared" si="18"/>
        <v>0</v>
      </c>
    </row>
    <row r="606" spans="2:14" x14ac:dyDescent="0.35">
      <c r="B606" s="4">
        <f t="shared" si="19"/>
        <v>596</v>
      </c>
      <c r="C606" s="3" t="s">
        <v>313</v>
      </c>
      <c r="D606" s="4" t="s">
        <v>495</v>
      </c>
      <c r="E606" s="8" t="s">
        <v>146</v>
      </c>
      <c r="F606" s="8" t="s">
        <v>21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4"/>
      <c r="N606" s="11">
        <f t="shared" si="18"/>
        <v>0</v>
      </c>
    </row>
    <row r="607" spans="2:14" x14ac:dyDescent="0.35">
      <c r="B607" s="4">
        <f t="shared" si="19"/>
        <v>597</v>
      </c>
      <c r="C607" s="3" t="s">
        <v>313</v>
      </c>
      <c r="D607" s="4" t="s">
        <v>495</v>
      </c>
      <c r="E607" s="8" t="s">
        <v>146</v>
      </c>
      <c r="F607" s="8" t="s">
        <v>22</v>
      </c>
      <c r="G607" s="13">
        <v>314</v>
      </c>
      <c r="H607" s="13">
        <v>46300000</v>
      </c>
      <c r="I607" s="13">
        <v>2</v>
      </c>
      <c r="J607" s="13">
        <v>325000</v>
      </c>
      <c r="K607" s="13">
        <v>9</v>
      </c>
      <c r="L607" s="13">
        <v>2735000</v>
      </c>
      <c r="M607" s="4"/>
      <c r="N607" s="11">
        <f t="shared" si="18"/>
        <v>0</v>
      </c>
    </row>
    <row r="608" spans="2:14" x14ac:dyDescent="0.35">
      <c r="B608" s="4">
        <f t="shared" si="19"/>
        <v>598</v>
      </c>
      <c r="C608" s="3" t="s">
        <v>313</v>
      </c>
      <c r="D608" s="4" t="s">
        <v>495</v>
      </c>
      <c r="E608" s="8" t="s">
        <v>146</v>
      </c>
      <c r="F608" s="8" t="s">
        <v>190</v>
      </c>
      <c r="G608" s="13">
        <v>32</v>
      </c>
      <c r="H608" s="13">
        <v>4090000</v>
      </c>
      <c r="I608" s="13">
        <v>0</v>
      </c>
      <c r="J608" s="13">
        <v>0</v>
      </c>
      <c r="K608" s="13">
        <v>0</v>
      </c>
      <c r="L608" s="13">
        <v>0</v>
      </c>
      <c r="M608" s="4"/>
      <c r="N608" s="11">
        <f t="shared" si="18"/>
        <v>0</v>
      </c>
    </row>
    <row r="609" spans="2:14" x14ac:dyDescent="0.35">
      <c r="B609" s="4">
        <f t="shared" si="19"/>
        <v>599</v>
      </c>
      <c r="C609" s="3" t="s">
        <v>251</v>
      </c>
      <c r="D609" s="4" t="s">
        <v>445</v>
      </c>
      <c r="E609" s="8" t="s">
        <v>146</v>
      </c>
      <c r="F609" s="8" t="s">
        <v>21</v>
      </c>
      <c r="G609" s="13">
        <v>0</v>
      </c>
      <c r="H609" s="13">
        <v>0</v>
      </c>
      <c r="I609" s="13">
        <v>0</v>
      </c>
      <c r="J609" s="13">
        <v>0</v>
      </c>
      <c r="K609" s="13">
        <v>0</v>
      </c>
      <c r="L609" s="13">
        <v>0</v>
      </c>
      <c r="M609" s="4"/>
      <c r="N609" s="11">
        <f t="shared" si="18"/>
        <v>0</v>
      </c>
    </row>
    <row r="610" spans="2:14" x14ac:dyDescent="0.35">
      <c r="B610" s="4">
        <f t="shared" si="19"/>
        <v>600</v>
      </c>
      <c r="C610" s="3" t="s">
        <v>251</v>
      </c>
      <c r="D610" s="4" t="s">
        <v>445</v>
      </c>
      <c r="E610" s="8" t="s">
        <v>146</v>
      </c>
      <c r="F610" s="8" t="s">
        <v>22</v>
      </c>
      <c r="G610" s="13">
        <v>202</v>
      </c>
      <c r="H610" s="13">
        <v>58675000</v>
      </c>
      <c r="I610" s="13">
        <v>3</v>
      </c>
      <c r="J610" s="13">
        <v>740000</v>
      </c>
      <c r="K610" s="13">
        <v>52</v>
      </c>
      <c r="L610" s="13">
        <v>15600000</v>
      </c>
      <c r="M610" s="4"/>
      <c r="N610" s="11">
        <f t="shared" si="18"/>
        <v>0</v>
      </c>
    </row>
    <row r="611" spans="2:14" x14ac:dyDescent="0.35">
      <c r="B611" s="4">
        <f t="shared" si="19"/>
        <v>601</v>
      </c>
      <c r="C611" s="3" t="s">
        <v>251</v>
      </c>
      <c r="D611" s="4" t="s">
        <v>445</v>
      </c>
      <c r="E611" s="8" t="s">
        <v>146</v>
      </c>
      <c r="F611" s="8" t="s">
        <v>190</v>
      </c>
      <c r="G611" s="13">
        <v>106</v>
      </c>
      <c r="H611" s="13">
        <v>13250000</v>
      </c>
      <c r="I611" s="13">
        <v>7</v>
      </c>
      <c r="J611" s="13">
        <v>875000</v>
      </c>
      <c r="K611" s="13">
        <v>0</v>
      </c>
      <c r="L611" s="13">
        <v>0</v>
      </c>
      <c r="M611" s="4"/>
      <c r="N611" s="11">
        <f t="shared" si="18"/>
        <v>0</v>
      </c>
    </row>
    <row r="612" spans="2:14" x14ac:dyDescent="0.35">
      <c r="B612" s="4">
        <f t="shared" si="19"/>
        <v>602</v>
      </c>
      <c r="C612" s="3" t="s">
        <v>314</v>
      </c>
      <c r="D612" s="4" t="s">
        <v>554</v>
      </c>
      <c r="E612" s="8" t="s">
        <v>146</v>
      </c>
      <c r="F612" s="8" t="s">
        <v>20</v>
      </c>
      <c r="G612" s="13">
        <v>13</v>
      </c>
      <c r="H612" s="13">
        <v>3795000</v>
      </c>
      <c r="I612" s="13">
        <v>0</v>
      </c>
      <c r="J612" s="13">
        <v>0</v>
      </c>
      <c r="K612" s="13">
        <v>0</v>
      </c>
      <c r="L612" s="13">
        <v>0</v>
      </c>
      <c r="M612" s="4"/>
      <c r="N612" s="11">
        <f t="shared" si="18"/>
        <v>0</v>
      </c>
    </row>
    <row r="613" spans="2:14" x14ac:dyDescent="0.35">
      <c r="B613" s="4">
        <f t="shared" si="19"/>
        <v>603</v>
      </c>
      <c r="C613" s="3" t="s">
        <v>314</v>
      </c>
      <c r="D613" s="4" t="s">
        <v>554</v>
      </c>
      <c r="E613" s="8" t="s">
        <v>146</v>
      </c>
      <c r="F613" s="8" t="s">
        <v>22</v>
      </c>
      <c r="G613" s="13">
        <v>1055</v>
      </c>
      <c r="H613" s="13">
        <v>862547000</v>
      </c>
      <c r="I613" s="13">
        <v>11</v>
      </c>
      <c r="J613" s="13">
        <v>9060000</v>
      </c>
      <c r="K613" s="13">
        <v>29</v>
      </c>
      <c r="L613" s="13">
        <v>8700000</v>
      </c>
      <c r="M613" s="4"/>
      <c r="N613" s="11">
        <f t="shared" si="18"/>
        <v>0</v>
      </c>
    </row>
    <row r="614" spans="2:14" x14ac:dyDescent="0.35">
      <c r="B614" s="4">
        <f t="shared" si="19"/>
        <v>604</v>
      </c>
      <c r="C614" s="3" t="s">
        <v>314</v>
      </c>
      <c r="D614" s="4" t="s">
        <v>554</v>
      </c>
      <c r="E614" s="8" t="s">
        <v>146</v>
      </c>
      <c r="F614" s="8" t="s">
        <v>190</v>
      </c>
      <c r="G614" s="13">
        <v>15</v>
      </c>
      <c r="H614" s="13">
        <v>2120000</v>
      </c>
      <c r="I614" s="13">
        <v>0</v>
      </c>
      <c r="J614" s="13">
        <v>0</v>
      </c>
      <c r="K614" s="13">
        <v>0</v>
      </c>
      <c r="L614" s="13">
        <v>0</v>
      </c>
      <c r="M614" s="4"/>
      <c r="N614" s="11">
        <f t="shared" si="18"/>
        <v>0</v>
      </c>
    </row>
    <row r="615" spans="2:14" x14ac:dyDescent="0.35">
      <c r="B615" s="4">
        <f t="shared" si="19"/>
        <v>605</v>
      </c>
      <c r="C615" s="3" t="s">
        <v>315</v>
      </c>
      <c r="D615" s="4" t="s">
        <v>422</v>
      </c>
      <c r="E615" s="8" t="s">
        <v>146</v>
      </c>
      <c r="F615" s="8" t="s">
        <v>22</v>
      </c>
      <c r="G615" s="13">
        <v>185</v>
      </c>
      <c r="H615" s="13">
        <v>22020000</v>
      </c>
      <c r="I615" s="13">
        <v>6</v>
      </c>
      <c r="J615" s="13">
        <v>675000</v>
      </c>
      <c r="K615" s="13">
        <v>24</v>
      </c>
      <c r="L615" s="13">
        <v>7150000</v>
      </c>
      <c r="M615" s="4"/>
      <c r="N615" s="11">
        <f t="shared" si="18"/>
        <v>0</v>
      </c>
    </row>
    <row r="616" spans="2:14" x14ac:dyDescent="0.35">
      <c r="B616" s="4">
        <f t="shared" si="19"/>
        <v>606</v>
      </c>
      <c r="C616" s="3" t="s">
        <v>315</v>
      </c>
      <c r="D616" s="4" t="s">
        <v>422</v>
      </c>
      <c r="E616" s="8" t="s">
        <v>146</v>
      </c>
      <c r="F616" s="8" t="s">
        <v>190</v>
      </c>
      <c r="G616" s="13">
        <v>260</v>
      </c>
      <c r="H616" s="13">
        <v>32500000</v>
      </c>
      <c r="I616" s="13">
        <v>4</v>
      </c>
      <c r="J616" s="13">
        <v>500000</v>
      </c>
      <c r="K616" s="13">
        <v>0</v>
      </c>
      <c r="L616" s="13">
        <v>0</v>
      </c>
      <c r="M616" s="4"/>
      <c r="N616" s="11">
        <f t="shared" si="18"/>
        <v>0</v>
      </c>
    </row>
    <row r="617" spans="2:14" x14ac:dyDescent="0.35">
      <c r="B617" s="4">
        <f t="shared" si="19"/>
        <v>607</v>
      </c>
      <c r="C617" s="3" t="s">
        <v>390</v>
      </c>
      <c r="D617" s="4" t="s">
        <v>602</v>
      </c>
      <c r="E617" s="8" t="s">
        <v>146</v>
      </c>
      <c r="F617" s="8" t="s">
        <v>20</v>
      </c>
      <c r="G617" s="13">
        <v>26</v>
      </c>
      <c r="H617" s="13">
        <v>4160000</v>
      </c>
      <c r="I617" s="13">
        <v>3</v>
      </c>
      <c r="J617" s="13">
        <v>480000</v>
      </c>
      <c r="K617" s="13">
        <v>0</v>
      </c>
      <c r="L617" s="13">
        <v>0</v>
      </c>
      <c r="M617" s="4"/>
      <c r="N617" s="11">
        <f t="shared" si="18"/>
        <v>0</v>
      </c>
    </row>
    <row r="618" spans="2:14" x14ac:dyDescent="0.35">
      <c r="B618" s="4">
        <f t="shared" si="19"/>
        <v>608</v>
      </c>
      <c r="C618" s="3" t="s">
        <v>390</v>
      </c>
      <c r="D618" s="4" t="s">
        <v>602</v>
      </c>
      <c r="E618" s="8" t="s">
        <v>146</v>
      </c>
      <c r="F618" s="8" t="s">
        <v>22</v>
      </c>
      <c r="G618" s="13">
        <v>220</v>
      </c>
      <c r="H618" s="13">
        <v>16695000</v>
      </c>
      <c r="I618" s="13">
        <v>10</v>
      </c>
      <c r="J618" s="13">
        <v>815000</v>
      </c>
      <c r="K618" s="13">
        <v>0</v>
      </c>
      <c r="L618" s="13">
        <v>0</v>
      </c>
      <c r="M618" s="4"/>
      <c r="N618" s="11">
        <f t="shared" si="18"/>
        <v>0</v>
      </c>
    </row>
    <row r="619" spans="2:14" x14ac:dyDescent="0.35">
      <c r="B619" s="4">
        <f t="shared" si="19"/>
        <v>609</v>
      </c>
      <c r="C619" s="3" t="s">
        <v>390</v>
      </c>
      <c r="D619" s="4" t="s">
        <v>602</v>
      </c>
      <c r="E619" s="8" t="s">
        <v>146</v>
      </c>
      <c r="F619" s="8" t="s">
        <v>190</v>
      </c>
      <c r="G619" s="13">
        <v>297</v>
      </c>
      <c r="H619" s="13">
        <v>42325000</v>
      </c>
      <c r="I619" s="13">
        <v>4</v>
      </c>
      <c r="J619" s="13">
        <v>625000</v>
      </c>
      <c r="K619" s="13">
        <v>0</v>
      </c>
      <c r="L619" s="13">
        <v>0</v>
      </c>
      <c r="M619" s="4"/>
      <c r="N619" s="11">
        <f t="shared" si="18"/>
        <v>0</v>
      </c>
    </row>
    <row r="620" spans="2:14" x14ac:dyDescent="0.35">
      <c r="B620" s="4">
        <f t="shared" si="19"/>
        <v>610</v>
      </c>
      <c r="C620" s="3" t="s">
        <v>340</v>
      </c>
      <c r="D620" s="4" t="s">
        <v>537</v>
      </c>
      <c r="E620" s="8" t="s">
        <v>146</v>
      </c>
      <c r="F620" s="8" t="s">
        <v>22</v>
      </c>
      <c r="G620" s="13">
        <v>111</v>
      </c>
      <c r="H620" s="13">
        <v>9885000</v>
      </c>
      <c r="I620" s="13">
        <v>6</v>
      </c>
      <c r="J620" s="13">
        <v>580000</v>
      </c>
      <c r="K620" s="13">
        <v>0</v>
      </c>
      <c r="L620" s="13">
        <v>0</v>
      </c>
      <c r="M620" s="4"/>
      <c r="N620" s="11">
        <f t="shared" si="18"/>
        <v>0</v>
      </c>
    </row>
    <row r="621" spans="2:14" x14ac:dyDescent="0.35">
      <c r="B621" s="4">
        <f t="shared" si="19"/>
        <v>611</v>
      </c>
      <c r="C621" s="3" t="s">
        <v>340</v>
      </c>
      <c r="D621" s="4" t="s">
        <v>537</v>
      </c>
      <c r="E621" s="8" t="s">
        <v>146</v>
      </c>
      <c r="F621" s="8" t="s">
        <v>190</v>
      </c>
      <c r="G621" s="13">
        <v>213</v>
      </c>
      <c r="H621" s="13">
        <v>33625000</v>
      </c>
      <c r="I621" s="13">
        <v>5</v>
      </c>
      <c r="J621" s="13">
        <v>800000</v>
      </c>
      <c r="K621" s="13">
        <v>0</v>
      </c>
      <c r="L621" s="13">
        <v>0</v>
      </c>
      <c r="M621" s="4"/>
      <c r="N621" s="11">
        <f t="shared" si="18"/>
        <v>0</v>
      </c>
    </row>
    <row r="622" spans="2:14" x14ac:dyDescent="0.35">
      <c r="B622" s="4">
        <f t="shared" si="19"/>
        <v>612</v>
      </c>
      <c r="C622" s="3" t="s">
        <v>252</v>
      </c>
      <c r="D622" s="4" t="s">
        <v>403</v>
      </c>
      <c r="E622" s="8" t="s">
        <v>146</v>
      </c>
      <c r="F622" s="8" t="s">
        <v>20</v>
      </c>
      <c r="G622" s="13">
        <v>66</v>
      </c>
      <c r="H622" s="13">
        <v>11165000</v>
      </c>
      <c r="I622" s="13">
        <v>0</v>
      </c>
      <c r="J622" s="13">
        <v>0</v>
      </c>
      <c r="K622" s="13">
        <v>0</v>
      </c>
      <c r="L622" s="13">
        <v>0</v>
      </c>
      <c r="M622" s="4"/>
      <c r="N622" s="11">
        <f t="shared" si="18"/>
        <v>0</v>
      </c>
    </row>
    <row r="623" spans="2:14" x14ac:dyDescent="0.35">
      <c r="B623" s="4">
        <f t="shared" si="19"/>
        <v>613</v>
      </c>
      <c r="C623" s="3" t="s">
        <v>252</v>
      </c>
      <c r="D623" s="4" t="s">
        <v>403</v>
      </c>
      <c r="E623" s="8" t="s">
        <v>146</v>
      </c>
      <c r="F623" s="8" t="s">
        <v>22</v>
      </c>
      <c r="G623" s="13">
        <v>294</v>
      </c>
      <c r="H623" s="13">
        <v>66231000</v>
      </c>
      <c r="I623" s="13">
        <v>10</v>
      </c>
      <c r="J623" s="13">
        <v>979000</v>
      </c>
      <c r="K623" s="13">
        <v>12</v>
      </c>
      <c r="L623" s="13">
        <v>3600000</v>
      </c>
      <c r="M623" s="4"/>
      <c r="N623" s="11">
        <f t="shared" si="18"/>
        <v>0</v>
      </c>
    </row>
    <row r="624" spans="2:14" x14ac:dyDescent="0.35">
      <c r="B624" s="4">
        <f t="shared" si="19"/>
        <v>614</v>
      </c>
      <c r="C624" s="3" t="s">
        <v>252</v>
      </c>
      <c r="D624" s="4" t="s">
        <v>403</v>
      </c>
      <c r="E624" s="8" t="s">
        <v>146</v>
      </c>
      <c r="F624" s="8" t="s">
        <v>190</v>
      </c>
      <c r="G624" s="13">
        <v>152</v>
      </c>
      <c r="H624" s="13">
        <v>19000000</v>
      </c>
      <c r="I624" s="13">
        <v>2</v>
      </c>
      <c r="J624" s="13">
        <v>250000</v>
      </c>
      <c r="K624" s="13">
        <v>0</v>
      </c>
      <c r="L624" s="13">
        <v>0</v>
      </c>
      <c r="M624" s="4"/>
      <c r="N624" s="11">
        <f t="shared" si="18"/>
        <v>0</v>
      </c>
    </row>
    <row r="625" spans="2:14" x14ac:dyDescent="0.35">
      <c r="B625" s="4">
        <f t="shared" si="19"/>
        <v>615</v>
      </c>
      <c r="C625" s="3" t="s">
        <v>253</v>
      </c>
      <c r="D625" s="4" t="s">
        <v>449</v>
      </c>
      <c r="E625" s="8" t="s">
        <v>146</v>
      </c>
      <c r="F625" s="8" t="s">
        <v>20</v>
      </c>
      <c r="G625" s="13">
        <v>2</v>
      </c>
      <c r="H625" s="13">
        <v>280000</v>
      </c>
      <c r="I625" s="13">
        <v>1</v>
      </c>
      <c r="J625" s="13">
        <v>140000</v>
      </c>
      <c r="K625" s="13">
        <v>0</v>
      </c>
      <c r="L625" s="13">
        <v>0</v>
      </c>
      <c r="M625" s="4"/>
      <c r="N625" s="11">
        <f t="shared" si="18"/>
        <v>0</v>
      </c>
    </row>
    <row r="626" spans="2:14" x14ac:dyDescent="0.35">
      <c r="B626" s="4">
        <f t="shared" si="19"/>
        <v>616</v>
      </c>
      <c r="C626" s="3" t="s">
        <v>253</v>
      </c>
      <c r="D626" s="4" t="s">
        <v>449</v>
      </c>
      <c r="E626" s="8" t="s">
        <v>146</v>
      </c>
      <c r="F626" s="8" t="s">
        <v>22</v>
      </c>
      <c r="G626" s="13">
        <v>374</v>
      </c>
      <c r="H626" s="13">
        <v>85500000</v>
      </c>
      <c r="I626" s="13">
        <v>9</v>
      </c>
      <c r="J626" s="13">
        <v>2040000</v>
      </c>
      <c r="K626" s="13">
        <v>13</v>
      </c>
      <c r="L626" s="13">
        <v>3900000</v>
      </c>
      <c r="M626" s="4"/>
      <c r="N626" s="11">
        <f t="shared" si="18"/>
        <v>0</v>
      </c>
    </row>
    <row r="627" spans="2:14" x14ac:dyDescent="0.35">
      <c r="B627" s="4">
        <f t="shared" si="19"/>
        <v>617</v>
      </c>
      <c r="C627" s="3" t="s">
        <v>253</v>
      </c>
      <c r="D627" s="4" t="s">
        <v>449</v>
      </c>
      <c r="E627" s="8" t="s">
        <v>146</v>
      </c>
      <c r="F627" s="8" t="s">
        <v>190</v>
      </c>
      <c r="G627" s="13">
        <v>203</v>
      </c>
      <c r="H627" s="13">
        <v>26565000</v>
      </c>
      <c r="I627" s="13">
        <v>0</v>
      </c>
      <c r="J627" s="13">
        <v>0</v>
      </c>
      <c r="K627" s="13">
        <v>0</v>
      </c>
      <c r="L627" s="13">
        <v>0</v>
      </c>
      <c r="M627" s="4"/>
      <c r="N627" s="11">
        <f t="shared" si="18"/>
        <v>0</v>
      </c>
    </row>
    <row r="628" spans="2:14" x14ac:dyDescent="0.35">
      <c r="B628" s="4">
        <f t="shared" si="19"/>
        <v>618</v>
      </c>
      <c r="C628" s="3" t="s">
        <v>365</v>
      </c>
      <c r="D628" s="4" t="s">
        <v>573</v>
      </c>
      <c r="E628" s="8" t="s">
        <v>146</v>
      </c>
      <c r="F628" s="8" t="s">
        <v>20</v>
      </c>
      <c r="G628" s="13">
        <v>10</v>
      </c>
      <c r="H628" s="13">
        <v>1750000</v>
      </c>
      <c r="I628" s="13">
        <v>2</v>
      </c>
      <c r="J628" s="13">
        <v>350000</v>
      </c>
      <c r="K628" s="13">
        <v>0</v>
      </c>
      <c r="L628" s="13">
        <v>0</v>
      </c>
      <c r="M628" s="4"/>
      <c r="N628" s="11">
        <f t="shared" si="18"/>
        <v>0</v>
      </c>
    </row>
    <row r="629" spans="2:14" x14ac:dyDescent="0.35">
      <c r="B629" s="4">
        <f t="shared" si="19"/>
        <v>619</v>
      </c>
      <c r="C629" s="3" t="s">
        <v>365</v>
      </c>
      <c r="D629" s="4" t="s">
        <v>573</v>
      </c>
      <c r="E629" s="8" t="s">
        <v>146</v>
      </c>
      <c r="F629" s="8" t="s">
        <v>22</v>
      </c>
      <c r="G629" s="13">
        <v>35</v>
      </c>
      <c r="H629" s="13">
        <v>3390000</v>
      </c>
      <c r="I629" s="13">
        <v>1</v>
      </c>
      <c r="J629" s="13">
        <v>75000</v>
      </c>
      <c r="K629" s="13">
        <v>0</v>
      </c>
      <c r="L629" s="13">
        <v>0</v>
      </c>
      <c r="M629" s="4"/>
      <c r="N629" s="11">
        <f t="shared" si="18"/>
        <v>0</v>
      </c>
    </row>
    <row r="630" spans="2:14" x14ac:dyDescent="0.35">
      <c r="B630" s="4">
        <f t="shared" si="19"/>
        <v>620</v>
      </c>
      <c r="C630" s="3" t="s">
        <v>365</v>
      </c>
      <c r="D630" s="4" t="s">
        <v>573</v>
      </c>
      <c r="E630" s="8" t="s">
        <v>146</v>
      </c>
      <c r="F630" s="8" t="s">
        <v>190</v>
      </c>
      <c r="G630" s="13">
        <v>319</v>
      </c>
      <c r="H630" s="13">
        <v>43775000</v>
      </c>
      <c r="I630" s="13">
        <v>37</v>
      </c>
      <c r="J630" s="13">
        <v>5375000</v>
      </c>
      <c r="K630" s="13">
        <v>1</v>
      </c>
      <c r="L630" s="13">
        <v>180000</v>
      </c>
      <c r="M630" s="4"/>
      <c r="N630" s="11">
        <f t="shared" si="18"/>
        <v>0</v>
      </c>
    </row>
    <row r="631" spans="2:14" x14ac:dyDescent="0.35">
      <c r="B631" s="4">
        <f t="shared" si="19"/>
        <v>621</v>
      </c>
      <c r="C631" s="3" t="s">
        <v>366</v>
      </c>
      <c r="D631" s="4" t="s">
        <v>584</v>
      </c>
      <c r="E631" s="8" t="s">
        <v>146</v>
      </c>
      <c r="F631" s="8" t="s">
        <v>20</v>
      </c>
      <c r="G631" s="13">
        <v>0</v>
      </c>
      <c r="H631" s="13">
        <v>0</v>
      </c>
      <c r="I631" s="13">
        <v>8</v>
      </c>
      <c r="J631" s="13">
        <v>1400000</v>
      </c>
      <c r="K631" s="13">
        <v>0</v>
      </c>
      <c r="L631" s="13">
        <v>0</v>
      </c>
      <c r="M631" s="4"/>
      <c r="N631" s="11">
        <f t="shared" si="18"/>
        <v>0</v>
      </c>
    </row>
    <row r="632" spans="2:14" x14ac:dyDescent="0.35">
      <c r="B632" s="4">
        <f t="shared" si="19"/>
        <v>622</v>
      </c>
      <c r="C632" s="3" t="s">
        <v>366</v>
      </c>
      <c r="D632" s="4" t="s">
        <v>584</v>
      </c>
      <c r="E632" s="8" t="s">
        <v>146</v>
      </c>
      <c r="F632" s="8" t="s">
        <v>22</v>
      </c>
      <c r="G632" s="13">
        <v>414</v>
      </c>
      <c r="H632" s="13">
        <v>31028000</v>
      </c>
      <c r="I632" s="13">
        <v>9</v>
      </c>
      <c r="J632" s="13">
        <v>675000</v>
      </c>
      <c r="K632" s="13">
        <v>0</v>
      </c>
      <c r="L632" s="13">
        <v>0</v>
      </c>
      <c r="M632" s="4"/>
      <c r="N632" s="11">
        <f t="shared" si="18"/>
        <v>0</v>
      </c>
    </row>
    <row r="633" spans="2:14" x14ac:dyDescent="0.35">
      <c r="B633" s="4">
        <f t="shared" si="19"/>
        <v>623</v>
      </c>
      <c r="C633" s="3" t="s">
        <v>366</v>
      </c>
      <c r="D633" s="4" t="s">
        <v>584</v>
      </c>
      <c r="E633" s="8" t="s">
        <v>146</v>
      </c>
      <c r="F633" s="8" t="s">
        <v>190</v>
      </c>
      <c r="G633" s="13">
        <v>420</v>
      </c>
      <c r="H633" s="13">
        <v>60655000</v>
      </c>
      <c r="I633" s="13">
        <v>12</v>
      </c>
      <c r="J633" s="13">
        <v>1885000</v>
      </c>
      <c r="K633" s="13">
        <v>0</v>
      </c>
      <c r="L633" s="13">
        <v>0</v>
      </c>
      <c r="M633" s="4"/>
      <c r="N633" s="11">
        <f t="shared" si="18"/>
        <v>0</v>
      </c>
    </row>
    <row r="634" spans="2:14" x14ac:dyDescent="0.35">
      <c r="B634" s="4">
        <f t="shared" si="19"/>
        <v>624</v>
      </c>
      <c r="C634" s="3" t="s">
        <v>316</v>
      </c>
      <c r="D634" s="4" t="s">
        <v>536</v>
      </c>
      <c r="E634" s="8" t="s">
        <v>146</v>
      </c>
      <c r="F634" s="8" t="s">
        <v>21</v>
      </c>
      <c r="G634" s="13">
        <v>0</v>
      </c>
      <c r="H634" s="13">
        <v>0</v>
      </c>
      <c r="I634" s="13">
        <v>0</v>
      </c>
      <c r="J634" s="13">
        <v>0</v>
      </c>
      <c r="K634" s="13">
        <v>0</v>
      </c>
      <c r="L634" s="13">
        <v>0</v>
      </c>
      <c r="M634" s="4"/>
      <c r="N634" s="11">
        <f t="shared" si="18"/>
        <v>0</v>
      </c>
    </row>
    <row r="635" spans="2:14" x14ac:dyDescent="0.35">
      <c r="B635" s="4">
        <f t="shared" si="19"/>
        <v>625</v>
      </c>
      <c r="C635" s="3" t="s">
        <v>316</v>
      </c>
      <c r="D635" s="4" t="s">
        <v>536</v>
      </c>
      <c r="E635" s="8" t="s">
        <v>146</v>
      </c>
      <c r="F635" s="8" t="s">
        <v>22</v>
      </c>
      <c r="G635" s="13">
        <v>265</v>
      </c>
      <c r="H635" s="13">
        <v>35289000</v>
      </c>
      <c r="I635" s="13">
        <v>3</v>
      </c>
      <c r="J635" s="13">
        <v>200000</v>
      </c>
      <c r="K635" s="13">
        <v>44</v>
      </c>
      <c r="L635" s="13">
        <v>13200000</v>
      </c>
      <c r="M635" s="4"/>
      <c r="N635" s="11">
        <f t="shared" si="18"/>
        <v>0</v>
      </c>
    </row>
    <row r="636" spans="2:14" x14ac:dyDescent="0.35">
      <c r="B636" s="4">
        <f t="shared" si="19"/>
        <v>626</v>
      </c>
      <c r="C636" s="4" t="s">
        <v>316</v>
      </c>
      <c r="D636" s="4" t="s">
        <v>536</v>
      </c>
      <c r="E636" s="8" t="s">
        <v>146</v>
      </c>
      <c r="F636" s="8" t="s">
        <v>190</v>
      </c>
      <c r="G636" s="13">
        <v>50</v>
      </c>
      <c r="H636" s="13">
        <v>7685000</v>
      </c>
      <c r="I636" s="13">
        <v>84</v>
      </c>
      <c r="J636" s="13">
        <v>11980000</v>
      </c>
      <c r="K636" s="13">
        <v>0</v>
      </c>
      <c r="L636" s="13">
        <v>0</v>
      </c>
      <c r="M636" s="4"/>
      <c r="N636" s="11">
        <f t="shared" si="18"/>
        <v>0</v>
      </c>
    </row>
    <row r="637" spans="2:14" x14ac:dyDescent="0.35">
      <c r="B637" s="4">
        <f t="shared" si="19"/>
        <v>627</v>
      </c>
      <c r="C637" s="3" t="s">
        <v>317</v>
      </c>
      <c r="D637" s="4" t="s">
        <v>534</v>
      </c>
      <c r="E637" s="8" t="s">
        <v>146</v>
      </c>
      <c r="F637" s="8" t="s">
        <v>20</v>
      </c>
      <c r="G637" s="13">
        <v>0</v>
      </c>
      <c r="H637" s="13">
        <v>0</v>
      </c>
      <c r="I637" s="13">
        <v>1</v>
      </c>
      <c r="J637" s="13">
        <v>140000</v>
      </c>
      <c r="K637" s="13">
        <v>0</v>
      </c>
      <c r="L637" s="13">
        <v>0</v>
      </c>
      <c r="M637" s="4"/>
      <c r="N637" s="11">
        <f t="shared" si="18"/>
        <v>0</v>
      </c>
    </row>
    <row r="638" spans="2:14" x14ac:dyDescent="0.35">
      <c r="B638" s="4">
        <f t="shared" si="19"/>
        <v>628</v>
      </c>
      <c r="C638" s="3" t="s">
        <v>317</v>
      </c>
      <c r="D638" s="4" t="s">
        <v>534</v>
      </c>
      <c r="E638" s="8" t="s">
        <v>146</v>
      </c>
      <c r="F638" s="8" t="s">
        <v>21</v>
      </c>
      <c r="G638" s="13">
        <v>0</v>
      </c>
      <c r="H638" s="13">
        <v>0</v>
      </c>
      <c r="I638" s="13">
        <v>0</v>
      </c>
      <c r="J638" s="13">
        <v>0</v>
      </c>
      <c r="K638" s="13">
        <v>0</v>
      </c>
      <c r="L638" s="13">
        <v>0</v>
      </c>
      <c r="M638" s="4"/>
      <c r="N638" s="11">
        <f t="shared" si="18"/>
        <v>0</v>
      </c>
    </row>
    <row r="639" spans="2:14" x14ac:dyDescent="0.35">
      <c r="B639" s="4">
        <f t="shared" si="19"/>
        <v>629</v>
      </c>
      <c r="C639" s="3" t="s">
        <v>317</v>
      </c>
      <c r="D639" s="4" t="s">
        <v>534</v>
      </c>
      <c r="E639" s="8" t="s">
        <v>146</v>
      </c>
      <c r="F639" s="8" t="s">
        <v>22</v>
      </c>
      <c r="G639" s="13">
        <v>316</v>
      </c>
      <c r="H639" s="13">
        <v>28206000</v>
      </c>
      <c r="I639" s="13">
        <v>6</v>
      </c>
      <c r="J639" s="13">
        <v>515000</v>
      </c>
      <c r="K639" s="13">
        <v>0</v>
      </c>
      <c r="L639" s="13">
        <v>0</v>
      </c>
      <c r="M639" s="4"/>
      <c r="N639" s="11">
        <f t="shared" si="18"/>
        <v>0</v>
      </c>
    </row>
    <row r="640" spans="2:14" x14ac:dyDescent="0.35">
      <c r="B640" s="4">
        <f t="shared" si="19"/>
        <v>630</v>
      </c>
      <c r="C640" s="3" t="s">
        <v>317</v>
      </c>
      <c r="D640" s="4" t="s">
        <v>534</v>
      </c>
      <c r="E640" s="8" t="s">
        <v>146</v>
      </c>
      <c r="F640" s="8" t="s">
        <v>190</v>
      </c>
      <c r="G640" s="13">
        <v>61</v>
      </c>
      <c r="H640" s="13">
        <v>8045000</v>
      </c>
      <c r="I640" s="13">
        <v>1</v>
      </c>
      <c r="J640" s="13">
        <v>140000</v>
      </c>
      <c r="K640" s="13">
        <v>0</v>
      </c>
      <c r="L640" s="13">
        <v>0</v>
      </c>
      <c r="M640" s="4"/>
      <c r="N640" s="11">
        <f t="shared" si="18"/>
        <v>0</v>
      </c>
    </row>
    <row r="641" spans="2:14" x14ac:dyDescent="0.35">
      <c r="B641" s="4">
        <f t="shared" si="19"/>
        <v>631</v>
      </c>
      <c r="C641" s="3" t="s">
        <v>318</v>
      </c>
      <c r="D641" s="4" t="s">
        <v>586</v>
      </c>
      <c r="E641" s="8" t="s">
        <v>146</v>
      </c>
      <c r="F641" s="8" t="s">
        <v>20</v>
      </c>
      <c r="G641" s="13">
        <v>12</v>
      </c>
      <c r="H641" s="13">
        <v>2100000</v>
      </c>
      <c r="I641" s="13">
        <v>1</v>
      </c>
      <c r="J641" s="13">
        <v>160000</v>
      </c>
      <c r="K641" s="13">
        <v>0</v>
      </c>
      <c r="L641" s="13">
        <v>0</v>
      </c>
      <c r="M641" s="4"/>
      <c r="N641" s="11">
        <f t="shared" si="18"/>
        <v>0</v>
      </c>
    </row>
    <row r="642" spans="2:14" x14ac:dyDescent="0.35">
      <c r="B642" s="4">
        <f t="shared" si="19"/>
        <v>632</v>
      </c>
      <c r="C642" s="3" t="s">
        <v>318</v>
      </c>
      <c r="D642" s="4" t="s">
        <v>586</v>
      </c>
      <c r="E642" s="8" t="s">
        <v>146</v>
      </c>
      <c r="F642" s="8" t="s">
        <v>21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4"/>
      <c r="N642" s="11">
        <f t="shared" si="18"/>
        <v>0</v>
      </c>
    </row>
    <row r="643" spans="2:14" x14ac:dyDescent="0.35">
      <c r="B643" s="4">
        <f t="shared" si="19"/>
        <v>633</v>
      </c>
      <c r="C643" s="3" t="s">
        <v>318</v>
      </c>
      <c r="D643" s="4" t="s">
        <v>586</v>
      </c>
      <c r="E643" s="8" t="s">
        <v>146</v>
      </c>
      <c r="F643" s="8" t="s">
        <v>22</v>
      </c>
      <c r="G643" s="13">
        <v>112</v>
      </c>
      <c r="H643" s="13">
        <v>26607000</v>
      </c>
      <c r="I643" s="13">
        <v>5</v>
      </c>
      <c r="J643" s="13">
        <v>705000</v>
      </c>
      <c r="K643" s="13">
        <v>11</v>
      </c>
      <c r="L643" s="13">
        <v>3250000</v>
      </c>
      <c r="M643" s="4"/>
      <c r="N643" s="11">
        <f t="shared" si="18"/>
        <v>0</v>
      </c>
    </row>
    <row r="644" spans="2:14" x14ac:dyDescent="0.35">
      <c r="B644" s="4">
        <f t="shared" si="19"/>
        <v>634</v>
      </c>
      <c r="C644" s="3" t="s">
        <v>318</v>
      </c>
      <c r="D644" s="4" t="s">
        <v>586</v>
      </c>
      <c r="E644" s="8" t="s">
        <v>146</v>
      </c>
      <c r="F644" s="8" t="s">
        <v>190</v>
      </c>
      <c r="G644" s="13">
        <v>179</v>
      </c>
      <c r="H644" s="13">
        <v>24460000</v>
      </c>
      <c r="I644" s="13">
        <v>5</v>
      </c>
      <c r="J644" s="13">
        <v>740000</v>
      </c>
      <c r="K644" s="13">
        <v>0</v>
      </c>
      <c r="L644" s="13">
        <v>0</v>
      </c>
      <c r="M644" s="4"/>
      <c r="N644" s="11">
        <f t="shared" si="18"/>
        <v>0</v>
      </c>
    </row>
    <row r="645" spans="2:14" x14ac:dyDescent="0.35">
      <c r="B645" s="4">
        <f t="shared" si="19"/>
        <v>635</v>
      </c>
      <c r="C645" s="3" t="s">
        <v>367</v>
      </c>
      <c r="D645" s="4" t="s">
        <v>560</v>
      </c>
      <c r="E645" s="8" t="s">
        <v>146</v>
      </c>
      <c r="F645" s="8" t="s">
        <v>20</v>
      </c>
      <c r="G645" s="13">
        <v>2</v>
      </c>
      <c r="H645" s="13">
        <v>315000</v>
      </c>
      <c r="I645" s="13">
        <v>0</v>
      </c>
      <c r="J645" s="13">
        <v>0</v>
      </c>
      <c r="K645" s="13">
        <v>0</v>
      </c>
      <c r="L645" s="13">
        <v>0</v>
      </c>
      <c r="M645" s="4"/>
      <c r="N645" s="11">
        <f t="shared" si="18"/>
        <v>0</v>
      </c>
    </row>
    <row r="646" spans="2:14" x14ac:dyDescent="0.35">
      <c r="B646" s="4">
        <f t="shared" si="19"/>
        <v>636</v>
      </c>
      <c r="C646" s="3" t="s">
        <v>367</v>
      </c>
      <c r="D646" s="4" t="s">
        <v>560</v>
      </c>
      <c r="E646" s="8" t="s">
        <v>146</v>
      </c>
      <c r="F646" s="8" t="s">
        <v>21</v>
      </c>
      <c r="G646" s="13">
        <v>1</v>
      </c>
      <c r="H646" s="13">
        <v>780000</v>
      </c>
      <c r="I646" s="13">
        <v>0</v>
      </c>
      <c r="J646" s="13">
        <v>0</v>
      </c>
      <c r="K646" s="13">
        <v>0</v>
      </c>
      <c r="L646" s="13">
        <v>0</v>
      </c>
      <c r="M646" s="4"/>
      <c r="N646" s="11">
        <f t="shared" si="18"/>
        <v>0</v>
      </c>
    </row>
    <row r="647" spans="2:14" x14ac:dyDescent="0.35">
      <c r="B647" s="4">
        <f t="shared" si="19"/>
        <v>637</v>
      </c>
      <c r="C647" s="3" t="s">
        <v>367</v>
      </c>
      <c r="D647" s="4" t="s">
        <v>560</v>
      </c>
      <c r="E647" s="8" t="s">
        <v>146</v>
      </c>
      <c r="F647" s="8" t="s">
        <v>22</v>
      </c>
      <c r="G647" s="13">
        <v>66</v>
      </c>
      <c r="H647" s="13">
        <v>16565000</v>
      </c>
      <c r="I647" s="13">
        <v>2</v>
      </c>
      <c r="J647" s="13">
        <v>215000</v>
      </c>
      <c r="K647" s="13">
        <v>34</v>
      </c>
      <c r="L647" s="13">
        <v>8500000</v>
      </c>
      <c r="M647" s="4"/>
      <c r="N647" s="11">
        <f t="shared" si="18"/>
        <v>0</v>
      </c>
    </row>
    <row r="648" spans="2:14" x14ac:dyDescent="0.35">
      <c r="B648" s="4">
        <f t="shared" si="19"/>
        <v>638</v>
      </c>
      <c r="C648" s="3" t="s">
        <v>367</v>
      </c>
      <c r="D648" s="4" t="s">
        <v>560</v>
      </c>
      <c r="E648" s="8" t="s">
        <v>146</v>
      </c>
      <c r="F648" s="8" t="s">
        <v>190</v>
      </c>
      <c r="G648" s="13">
        <v>56</v>
      </c>
      <c r="H648" s="13">
        <v>7845000</v>
      </c>
      <c r="I648" s="13">
        <v>2</v>
      </c>
      <c r="J648" s="13">
        <v>250000</v>
      </c>
      <c r="K648" s="13">
        <v>0</v>
      </c>
      <c r="L648" s="13">
        <v>0</v>
      </c>
      <c r="M648" s="4"/>
      <c r="N648" s="11">
        <f t="shared" si="18"/>
        <v>0</v>
      </c>
    </row>
    <row r="649" spans="2:14" x14ac:dyDescent="0.35">
      <c r="B649" s="4">
        <f t="shared" si="19"/>
        <v>639</v>
      </c>
      <c r="C649" s="3" t="s">
        <v>368</v>
      </c>
      <c r="D649" s="4" t="s">
        <v>572</v>
      </c>
      <c r="E649" s="8" t="s">
        <v>146</v>
      </c>
      <c r="F649" s="8" t="s">
        <v>20</v>
      </c>
      <c r="G649" s="13">
        <v>6</v>
      </c>
      <c r="H649" s="13">
        <v>1050000</v>
      </c>
      <c r="I649" s="13">
        <v>7</v>
      </c>
      <c r="J649" s="13">
        <v>1225000</v>
      </c>
      <c r="K649" s="13">
        <v>0</v>
      </c>
      <c r="L649" s="13">
        <v>0</v>
      </c>
      <c r="M649" s="4"/>
      <c r="N649" s="11">
        <f t="shared" si="18"/>
        <v>0</v>
      </c>
    </row>
    <row r="650" spans="2:14" x14ac:dyDescent="0.35">
      <c r="B650" s="4">
        <f t="shared" si="19"/>
        <v>640</v>
      </c>
      <c r="C650" s="3" t="s">
        <v>368</v>
      </c>
      <c r="D650" s="4" t="s">
        <v>572</v>
      </c>
      <c r="E650" s="8" t="s">
        <v>146</v>
      </c>
      <c r="F650" s="8" t="s">
        <v>22</v>
      </c>
      <c r="G650" s="13">
        <v>268</v>
      </c>
      <c r="H650" s="13">
        <v>21010000</v>
      </c>
      <c r="I650" s="13">
        <v>8</v>
      </c>
      <c r="J650" s="13">
        <v>730000</v>
      </c>
      <c r="K650" s="13">
        <v>0</v>
      </c>
      <c r="L650" s="13">
        <v>0</v>
      </c>
      <c r="M650" s="4"/>
      <c r="N650" s="11">
        <f t="shared" si="18"/>
        <v>0</v>
      </c>
    </row>
    <row r="651" spans="2:14" x14ac:dyDescent="0.35">
      <c r="B651" s="4">
        <f t="shared" si="19"/>
        <v>641</v>
      </c>
      <c r="C651" s="3" t="s">
        <v>368</v>
      </c>
      <c r="D651" s="4" t="s">
        <v>572</v>
      </c>
      <c r="E651" s="8" t="s">
        <v>146</v>
      </c>
      <c r="F651" s="8" t="s">
        <v>190</v>
      </c>
      <c r="G651" s="13">
        <v>251</v>
      </c>
      <c r="H651" s="13">
        <v>31690000</v>
      </c>
      <c r="I651" s="13">
        <v>0</v>
      </c>
      <c r="J651" s="13">
        <v>0</v>
      </c>
      <c r="K651" s="13">
        <v>0</v>
      </c>
      <c r="L651" s="13">
        <v>0</v>
      </c>
      <c r="M651" s="4"/>
      <c r="N651" s="11">
        <f t="shared" ref="N651:N673" si="20">IFERROR((G651/M651)*100%, 0)</f>
        <v>0</v>
      </c>
    </row>
    <row r="652" spans="2:14" x14ac:dyDescent="0.35">
      <c r="B652" s="4">
        <f t="shared" si="19"/>
        <v>642</v>
      </c>
      <c r="C652" s="3" t="s">
        <v>369</v>
      </c>
      <c r="D652" s="4" t="s">
        <v>587</v>
      </c>
      <c r="E652" s="8" t="s">
        <v>146</v>
      </c>
      <c r="F652" s="8" t="s">
        <v>22</v>
      </c>
      <c r="G652" s="13">
        <v>155</v>
      </c>
      <c r="H652" s="13">
        <v>6939000</v>
      </c>
      <c r="I652" s="13">
        <v>5</v>
      </c>
      <c r="J652" s="13">
        <v>243000</v>
      </c>
      <c r="K652" s="13">
        <v>3</v>
      </c>
      <c r="L652" s="13">
        <v>770000</v>
      </c>
      <c r="M652" s="4"/>
      <c r="N652" s="11">
        <f t="shared" si="20"/>
        <v>0</v>
      </c>
    </row>
    <row r="653" spans="2:14" x14ac:dyDescent="0.35">
      <c r="B653" s="4">
        <f t="shared" ref="B653:B697" si="21">B652+1</f>
        <v>643</v>
      </c>
      <c r="C653" s="3" t="s">
        <v>369</v>
      </c>
      <c r="D653" s="4" t="s">
        <v>587</v>
      </c>
      <c r="E653" s="8" t="s">
        <v>146</v>
      </c>
      <c r="F653" s="8" t="s">
        <v>190</v>
      </c>
      <c r="G653" s="13">
        <v>177</v>
      </c>
      <c r="H653" s="13">
        <v>22125000</v>
      </c>
      <c r="I653" s="13">
        <v>0</v>
      </c>
      <c r="J653" s="13">
        <v>0</v>
      </c>
      <c r="K653" s="13">
        <v>0</v>
      </c>
      <c r="L653" s="13">
        <v>0</v>
      </c>
      <c r="M653" s="4"/>
      <c r="N653" s="11">
        <f t="shared" si="20"/>
        <v>0</v>
      </c>
    </row>
    <row r="654" spans="2:14" x14ac:dyDescent="0.35">
      <c r="B654" s="4">
        <f t="shared" si="21"/>
        <v>644</v>
      </c>
      <c r="C654" s="3" t="s">
        <v>341</v>
      </c>
      <c r="D654" s="4" t="s">
        <v>472</v>
      </c>
      <c r="E654" s="8" t="s">
        <v>146</v>
      </c>
      <c r="F654" s="8" t="s">
        <v>20</v>
      </c>
      <c r="G654" s="13">
        <v>4</v>
      </c>
      <c r="H654" s="13">
        <v>665000</v>
      </c>
      <c r="I654" s="13">
        <v>0</v>
      </c>
      <c r="J654" s="13">
        <v>0</v>
      </c>
      <c r="K654" s="13">
        <v>0</v>
      </c>
      <c r="L654" s="13">
        <v>0</v>
      </c>
      <c r="M654" s="4"/>
      <c r="N654" s="11">
        <f t="shared" si="20"/>
        <v>0</v>
      </c>
    </row>
    <row r="655" spans="2:14" x14ac:dyDescent="0.35">
      <c r="B655" s="4">
        <f t="shared" si="21"/>
        <v>645</v>
      </c>
      <c r="C655" s="3" t="s">
        <v>341</v>
      </c>
      <c r="D655" s="4" t="s">
        <v>472</v>
      </c>
      <c r="E655" s="8" t="s">
        <v>146</v>
      </c>
      <c r="F655" s="8" t="s">
        <v>22</v>
      </c>
      <c r="G655" s="13">
        <v>276</v>
      </c>
      <c r="H655" s="13">
        <v>56295000</v>
      </c>
      <c r="I655" s="13">
        <v>3</v>
      </c>
      <c r="J655" s="13">
        <v>400000</v>
      </c>
      <c r="K655" s="13">
        <v>13</v>
      </c>
      <c r="L655" s="13">
        <v>3850000</v>
      </c>
      <c r="M655" s="4"/>
      <c r="N655" s="11">
        <f t="shared" si="20"/>
        <v>0</v>
      </c>
    </row>
    <row r="656" spans="2:14" x14ac:dyDescent="0.35">
      <c r="B656" s="4">
        <f t="shared" si="21"/>
        <v>646</v>
      </c>
      <c r="C656" s="3" t="s">
        <v>341</v>
      </c>
      <c r="D656" s="4" t="s">
        <v>472</v>
      </c>
      <c r="E656" s="8" t="s">
        <v>146</v>
      </c>
      <c r="F656" s="8" t="s">
        <v>190</v>
      </c>
      <c r="G656" s="13">
        <v>175</v>
      </c>
      <c r="H656" s="13">
        <v>22215000</v>
      </c>
      <c r="I656" s="13">
        <v>0</v>
      </c>
      <c r="J656" s="13">
        <v>0</v>
      </c>
      <c r="K656" s="13">
        <v>0</v>
      </c>
      <c r="L656" s="13">
        <v>0</v>
      </c>
      <c r="M656" s="4"/>
      <c r="N656" s="11">
        <f t="shared" si="20"/>
        <v>0</v>
      </c>
    </row>
    <row r="657" spans="2:14" x14ac:dyDescent="0.35">
      <c r="B657" s="4">
        <f t="shared" si="21"/>
        <v>647</v>
      </c>
      <c r="C657" s="3" t="s">
        <v>335</v>
      </c>
      <c r="D657" s="4" t="s">
        <v>589</v>
      </c>
      <c r="E657" s="8" t="s">
        <v>150</v>
      </c>
      <c r="F657" s="8" t="s">
        <v>21</v>
      </c>
      <c r="G657" s="13">
        <v>446</v>
      </c>
      <c r="H657" s="13">
        <v>507769800</v>
      </c>
      <c r="I657" s="13">
        <v>39</v>
      </c>
      <c r="J657" s="13">
        <v>18465000</v>
      </c>
      <c r="K657" s="13">
        <v>1</v>
      </c>
      <c r="L657" s="13">
        <v>230000</v>
      </c>
      <c r="M657" s="4"/>
      <c r="N657" s="11">
        <f t="shared" si="20"/>
        <v>0</v>
      </c>
    </row>
    <row r="658" spans="2:14" x14ac:dyDescent="0.35">
      <c r="B658" s="4">
        <f t="shared" si="21"/>
        <v>648</v>
      </c>
      <c r="C658" s="3" t="s">
        <v>335</v>
      </c>
      <c r="D658" s="4" t="s">
        <v>589</v>
      </c>
      <c r="E658" s="8" t="s">
        <v>150</v>
      </c>
      <c r="F658" s="8" t="s">
        <v>22</v>
      </c>
      <c r="G658" s="13">
        <v>2</v>
      </c>
      <c r="H658" s="13">
        <v>87526000</v>
      </c>
      <c r="I658" s="13">
        <v>0</v>
      </c>
      <c r="J658" s="13">
        <v>0</v>
      </c>
      <c r="K658" s="13">
        <v>0</v>
      </c>
      <c r="L658" s="13">
        <v>0</v>
      </c>
      <c r="M658" s="4"/>
      <c r="N658" s="11">
        <f t="shared" si="20"/>
        <v>0</v>
      </c>
    </row>
    <row r="659" spans="2:14" x14ac:dyDescent="0.35">
      <c r="B659" s="4">
        <f t="shared" si="21"/>
        <v>649</v>
      </c>
      <c r="C659" s="3" t="s">
        <v>335</v>
      </c>
      <c r="D659" s="4" t="s">
        <v>589</v>
      </c>
      <c r="E659" s="8" t="s">
        <v>150</v>
      </c>
      <c r="F659" s="8" t="s">
        <v>190</v>
      </c>
      <c r="G659" s="13">
        <v>1</v>
      </c>
      <c r="H659" s="13">
        <v>160000</v>
      </c>
      <c r="I659" s="13">
        <v>0</v>
      </c>
      <c r="J659" s="13">
        <v>0</v>
      </c>
      <c r="K659" s="13">
        <v>0</v>
      </c>
      <c r="L659" s="13">
        <v>0</v>
      </c>
      <c r="M659" s="4"/>
      <c r="N659" s="11">
        <f t="shared" si="20"/>
        <v>0</v>
      </c>
    </row>
    <row r="660" spans="2:14" x14ac:dyDescent="0.35">
      <c r="B660" s="4">
        <f t="shared" si="21"/>
        <v>650</v>
      </c>
      <c r="C660" s="3" t="s">
        <v>265</v>
      </c>
      <c r="D660" s="4" t="s">
        <v>404</v>
      </c>
      <c r="E660" s="8" t="s">
        <v>150</v>
      </c>
      <c r="F660" s="8" t="s">
        <v>21</v>
      </c>
      <c r="G660" s="13">
        <v>296</v>
      </c>
      <c r="H660" s="13">
        <v>247863000</v>
      </c>
      <c r="I660" s="13">
        <v>36</v>
      </c>
      <c r="J660" s="13">
        <v>20460000</v>
      </c>
      <c r="K660" s="13">
        <v>4</v>
      </c>
      <c r="L660" s="13">
        <v>4162000</v>
      </c>
      <c r="M660" s="4"/>
      <c r="N660" s="11">
        <f t="shared" si="20"/>
        <v>0</v>
      </c>
    </row>
    <row r="661" spans="2:14" x14ac:dyDescent="0.35">
      <c r="B661" s="4">
        <f t="shared" si="21"/>
        <v>651</v>
      </c>
      <c r="C661" s="3" t="s">
        <v>356</v>
      </c>
      <c r="D661" s="4" t="s">
        <v>539</v>
      </c>
      <c r="E661" s="8" t="s">
        <v>150</v>
      </c>
      <c r="F661" s="8" t="s">
        <v>21</v>
      </c>
      <c r="G661" s="13">
        <v>626</v>
      </c>
      <c r="H661" s="13">
        <v>509646000</v>
      </c>
      <c r="I661" s="13">
        <v>72</v>
      </c>
      <c r="J661" s="13">
        <v>41392200</v>
      </c>
      <c r="K661" s="13">
        <v>5</v>
      </c>
      <c r="L661" s="13">
        <v>1011000</v>
      </c>
      <c r="M661" s="4"/>
      <c r="N661" s="11">
        <f t="shared" si="20"/>
        <v>0</v>
      </c>
    </row>
    <row r="662" spans="2:14" x14ac:dyDescent="0.35">
      <c r="B662" s="4">
        <f t="shared" si="21"/>
        <v>652</v>
      </c>
      <c r="C662" s="3" t="s">
        <v>395</v>
      </c>
      <c r="D662" s="4" t="s">
        <v>597</v>
      </c>
      <c r="E662" s="8" t="s">
        <v>150</v>
      </c>
      <c r="F662" s="8" t="s">
        <v>21</v>
      </c>
      <c r="G662" s="13">
        <v>181</v>
      </c>
      <c r="H662" s="13">
        <v>302345200</v>
      </c>
      <c r="I662" s="13">
        <v>10</v>
      </c>
      <c r="J662" s="13">
        <v>10646000</v>
      </c>
      <c r="K662" s="13">
        <v>0</v>
      </c>
      <c r="L662" s="13">
        <v>0</v>
      </c>
      <c r="M662" s="4"/>
      <c r="N662" s="11">
        <f t="shared" si="20"/>
        <v>0</v>
      </c>
    </row>
    <row r="663" spans="2:14" x14ac:dyDescent="0.35">
      <c r="B663" s="4">
        <f t="shared" si="21"/>
        <v>653</v>
      </c>
      <c r="C663" s="3" t="s">
        <v>266</v>
      </c>
      <c r="D663" s="4" t="s">
        <v>432</v>
      </c>
      <c r="E663" s="8" t="s">
        <v>150</v>
      </c>
      <c r="F663" s="8" t="s">
        <v>21</v>
      </c>
      <c r="G663" s="13">
        <v>750</v>
      </c>
      <c r="H663" s="13">
        <v>760837600</v>
      </c>
      <c r="I663" s="13">
        <v>43</v>
      </c>
      <c r="J663" s="13">
        <v>29873600</v>
      </c>
      <c r="K663" s="13">
        <v>0</v>
      </c>
      <c r="L663" s="13">
        <v>0</v>
      </c>
      <c r="M663" s="4"/>
      <c r="N663" s="11">
        <f t="shared" si="20"/>
        <v>0</v>
      </c>
    </row>
    <row r="664" spans="2:14" x14ac:dyDescent="0.35">
      <c r="B664" s="4">
        <f t="shared" si="21"/>
        <v>654</v>
      </c>
      <c r="C664" s="3" t="s">
        <v>267</v>
      </c>
      <c r="D664" s="4" t="s">
        <v>408</v>
      </c>
      <c r="E664" s="8" t="s">
        <v>150</v>
      </c>
      <c r="F664" s="8" t="s">
        <v>21</v>
      </c>
      <c r="G664" s="13">
        <v>389</v>
      </c>
      <c r="H664" s="13">
        <v>460777800</v>
      </c>
      <c r="I664" s="13">
        <v>39</v>
      </c>
      <c r="J664" s="13">
        <v>22572000</v>
      </c>
      <c r="K664" s="13">
        <v>1</v>
      </c>
      <c r="L664" s="13">
        <v>241000</v>
      </c>
      <c r="M664" s="4"/>
      <c r="N664" s="11">
        <f t="shared" si="20"/>
        <v>0</v>
      </c>
    </row>
    <row r="665" spans="2:14" x14ac:dyDescent="0.35">
      <c r="B665" s="4">
        <f t="shared" si="21"/>
        <v>655</v>
      </c>
      <c r="C665" s="3" t="s">
        <v>268</v>
      </c>
      <c r="D665" s="4" t="s">
        <v>401</v>
      </c>
      <c r="E665" s="8" t="s">
        <v>150</v>
      </c>
      <c r="F665" s="8" t="s">
        <v>21</v>
      </c>
      <c r="G665" s="13">
        <v>514</v>
      </c>
      <c r="H665" s="13">
        <v>404190200</v>
      </c>
      <c r="I665" s="13">
        <v>42</v>
      </c>
      <c r="J665" s="13">
        <v>19613000</v>
      </c>
      <c r="K665" s="13">
        <v>2</v>
      </c>
      <c r="L665" s="13">
        <v>421000</v>
      </c>
      <c r="M665" s="4"/>
      <c r="N665" s="11">
        <f t="shared" si="20"/>
        <v>0</v>
      </c>
    </row>
    <row r="666" spans="2:14" x14ac:dyDescent="0.35">
      <c r="B666" s="4">
        <f t="shared" si="21"/>
        <v>656</v>
      </c>
      <c r="C666" s="3" t="s">
        <v>269</v>
      </c>
      <c r="D666" s="4" t="s">
        <v>457</v>
      </c>
      <c r="E666" s="8" t="s">
        <v>150</v>
      </c>
      <c r="F666" s="8" t="s">
        <v>21</v>
      </c>
      <c r="G666" s="13">
        <v>363</v>
      </c>
      <c r="H666" s="13">
        <v>459328400</v>
      </c>
      <c r="I666" s="13">
        <v>31</v>
      </c>
      <c r="J666" s="13">
        <v>25291600</v>
      </c>
      <c r="K666" s="13">
        <v>1</v>
      </c>
      <c r="L666" s="13">
        <v>242000</v>
      </c>
      <c r="M666" s="4"/>
      <c r="N666" s="11">
        <f t="shared" si="20"/>
        <v>0</v>
      </c>
    </row>
    <row r="667" spans="2:14" x14ac:dyDescent="0.35">
      <c r="B667" s="4">
        <f t="shared" si="21"/>
        <v>657</v>
      </c>
      <c r="C667" s="3" t="s">
        <v>336</v>
      </c>
      <c r="D667" s="4" t="s">
        <v>576</v>
      </c>
      <c r="E667" s="8" t="s">
        <v>150</v>
      </c>
      <c r="F667" s="8" t="s">
        <v>21</v>
      </c>
      <c r="G667" s="13">
        <v>314</v>
      </c>
      <c r="H667" s="13">
        <v>381711000</v>
      </c>
      <c r="I667" s="13">
        <v>31</v>
      </c>
      <c r="J667" s="13">
        <v>38687000</v>
      </c>
      <c r="K667" s="13">
        <v>1</v>
      </c>
      <c r="L667" s="13">
        <v>230000</v>
      </c>
      <c r="M667" s="4"/>
      <c r="N667" s="11">
        <f t="shared" si="20"/>
        <v>0</v>
      </c>
    </row>
    <row r="668" spans="2:14" x14ac:dyDescent="0.35">
      <c r="B668" s="4">
        <f t="shared" si="21"/>
        <v>658</v>
      </c>
      <c r="C668" s="3" t="s">
        <v>242</v>
      </c>
      <c r="D668" s="4" t="s">
        <v>510</v>
      </c>
      <c r="E668" s="8" t="s">
        <v>174</v>
      </c>
      <c r="F668" s="8" t="s">
        <v>20</v>
      </c>
      <c r="G668" s="13">
        <v>2</v>
      </c>
      <c r="H668" s="13">
        <v>350000</v>
      </c>
      <c r="I668" s="13">
        <v>0</v>
      </c>
      <c r="J668" s="13">
        <v>0</v>
      </c>
      <c r="K668" s="13">
        <v>0</v>
      </c>
      <c r="L668" s="13">
        <v>0</v>
      </c>
      <c r="M668" s="4"/>
      <c r="N668" s="11">
        <f t="shared" si="20"/>
        <v>0</v>
      </c>
    </row>
    <row r="669" spans="2:14" x14ac:dyDescent="0.35">
      <c r="B669" s="4">
        <f t="shared" si="21"/>
        <v>659</v>
      </c>
      <c r="C669" s="3" t="s">
        <v>242</v>
      </c>
      <c r="D669" s="4" t="s">
        <v>510</v>
      </c>
      <c r="E669" s="8" t="s">
        <v>174</v>
      </c>
      <c r="F669" s="8" t="s">
        <v>22</v>
      </c>
      <c r="G669" s="13">
        <v>271</v>
      </c>
      <c r="H669" s="13">
        <v>31546000</v>
      </c>
      <c r="I669" s="13">
        <v>17</v>
      </c>
      <c r="J669" s="13">
        <v>1600000</v>
      </c>
      <c r="K669" s="13">
        <v>0</v>
      </c>
      <c r="L669" s="13">
        <v>0</v>
      </c>
      <c r="M669" s="4"/>
      <c r="N669" s="11">
        <f t="shared" si="20"/>
        <v>0</v>
      </c>
    </row>
    <row r="670" spans="2:14" x14ac:dyDescent="0.35">
      <c r="B670" s="4">
        <f t="shared" si="21"/>
        <v>660</v>
      </c>
      <c r="C670" s="3" t="s">
        <v>242</v>
      </c>
      <c r="D670" s="4" t="s">
        <v>510</v>
      </c>
      <c r="E670" s="8" t="s">
        <v>174</v>
      </c>
      <c r="F670" s="8" t="s">
        <v>19</v>
      </c>
      <c r="G670" s="13">
        <v>41</v>
      </c>
      <c r="H670" s="13">
        <v>348500000</v>
      </c>
      <c r="I670" s="13">
        <v>0</v>
      </c>
      <c r="J670" s="13">
        <v>0</v>
      </c>
      <c r="K670" s="13">
        <v>0</v>
      </c>
      <c r="L670" s="13">
        <v>0</v>
      </c>
      <c r="M670" s="4"/>
      <c r="N670" s="11">
        <f t="shared" si="20"/>
        <v>0</v>
      </c>
    </row>
    <row r="671" spans="2:14" x14ac:dyDescent="0.35">
      <c r="B671" s="4">
        <f t="shared" si="21"/>
        <v>661</v>
      </c>
      <c r="C671" s="3" t="s">
        <v>242</v>
      </c>
      <c r="D671" s="4" t="s">
        <v>510</v>
      </c>
      <c r="E671" s="8" t="s">
        <v>174</v>
      </c>
      <c r="F671" s="8" t="s">
        <v>190</v>
      </c>
      <c r="G671" s="13">
        <v>20</v>
      </c>
      <c r="H671" s="13">
        <v>2590000</v>
      </c>
      <c r="I671" s="13">
        <v>0</v>
      </c>
      <c r="J671" s="13">
        <v>0</v>
      </c>
      <c r="K671" s="13">
        <v>0</v>
      </c>
      <c r="L671" s="13">
        <v>0</v>
      </c>
      <c r="M671" s="4"/>
      <c r="N671" s="11">
        <f t="shared" si="20"/>
        <v>0</v>
      </c>
    </row>
    <row r="672" spans="2:14" x14ac:dyDescent="0.35">
      <c r="B672" s="4">
        <f t="shared" si="21"/>
        <v>662</v>
      </c>
      <c r="C672" s="3" t="s">
        <v>306</v>
      </c>
      <c r="D672" s="4" t="s">
        <v>594</v>
      </c>
      <c r="E672" s="8" t="s">
        <v>174</v>
      </c>
      <c r="F672" s="8" t="s">
        <v>20</v>
      </c>
      <c r="G672" s="13">
        <v>2</v>
      </c>
      <c r="H672" s="13">
        <v>315000</v>
      </c>
      <c r="I672" s="13">
        <v>0</v>
      </c>
      <c r="J672" s="13">
        <v>0</v>
      </c>
      <c r="K672" s="13">
        <v>0</v>
      </c>
      <c r="L672" s="13">
        <v>0</v>
      </c>
      <c r="M672" s="4"/>
      <c r="N672" s="11">
        <f t="shared" si="20"/>
        <v>0</v>
      </c>
    </row>
    <row r="673" spans="2:14" x14ac:dyDescent="0.35">
      <c r="B673" s="4">
        <f t="shared" si="21"/>
        <v>663</v>
      </c>
      <c r="C673" s="3" t="s">
        <v>306</v>
      </c>
      <c r="D673" s="4" t="s">
        <v>594</v>
      </c>
      <c r="E673" s="8" t="s">
        <v>174</v>
      </c>
      <c r="F673" s="8" t="s">
        <v>22</v>
      </c>
      <c r="G673" s="13">
        <v>224</v>
      </c>
      <c r="H673" s="13">
        <v>25360000</v>
      </c>
      <c r="I673" s="13">
        <v>10</v>
      </c>
      <c r="J673" s="13">
        <v>898000</v>
      </c>
      <c r="K673" s="13">
        <v>7</v>
      </c>
      <c r="L673" s="13">
        <v>1870000</v>
      </c>
      <c r="M673" s="4"/>
      <c r="N673" s="11">
        <f t="shared" si="20"/>
        <v>0</v>
      </c>
    </row>
    <row r="674" spans="2:14" x14ac:dyDescent="0.35">
      <c r="B674" s="4">
        <f t="shared" si="21"/>
        <v>664</v>
      </c>
      <c r="C674" s="4" t="s">
        <v>306</v>
      </c>
      <c r="D674" s="4" t="s">
        <v>594</v>
      </c>
      <c r="E674" s="8" t="s">
        <v>174</v>
      </c>
      <c r="F674" s="8" t="s">
        <v>19</v>
      </c>
      <c r="G674" s="13">
        <v>33</v>
      </c>
      <c r="H674" s="13">
        <v>280500000</v>
      </c>
      <c r="I674" s="13">
        <v>0</v>
      </c>
      <c r="J674" s="13">
        <v>0</v>
      </c>
      <c r="K674" s="13">
        <v>0</v>
      </c>
      <c r="L674" s="13">
        <v>0</v>
      </c>
      <c r="M674" s="4"/>
      <c r="N674" s="11">
        <f t="shared" ref="N674:N697" si="22">IFERROR((G674/M674)*100%, 0)</f>
        <v>0</v>
      </c>
    </row>
    <row r="675" spans="2:14" x14ac:dyDescent="0.35">
      <c r="B675" s="4">
        <f t="shared" si="21"/>
        <v>665</v>
      </c>
      <c r="C675" s="4" t="s">
        <v>306</v>
      </c>
      <c r="D675" s="4" t="s">
        <v>594</v>
      </c>
      <c r="E675" s="8" t="s">
        <v>174</v>
      </c>
      <c r="F675" s="8" t="s">
        <v>190</v>
      </c>
      <c r="G675" s="13">
        <v>7</v>
      </c>
      <c r="H675" s="13">
        <v>945000</v>
      </c>
      <c r="I675" s="13">
        <v>0</v>
      </c>
      <c r="J675" s="13">
        <v>0</v>
      </c>
      <c r="K675" s="13">
        <v>0</v>
      </c>
      <c r="L675" s="13">
        <v>0</v>
      </c>
      <c r="M675" s="4"/>
      <c r="N675" s="11">
        <f t="shared" si="22"/>
        <v>0</v>
      </c>
    </row>
    <row r="676" spans="2:14" x14ac:dyDescent="0.35">
      <c r="B676" s="4">
        <f t="shared" si="21"/>
        <v>666</v>
      </c>
      <c r="C676" s="4" t="s">
        <v>261</v>
      </c>
      <c r="D676" s="4" t="s">
        <v>477</v>
      </c>
      <c r="E676" s="8" t="s">
        <v>174</v>
      </c>
      <c r="F676" s="8" t="s">
        <v>21</v>
      </c>
      <c r="G676" s="13">
        <v>0</v>
      </c>
      <c r="H676" s="13">
        <v>0</v>
      </c>
      <c r="I676" s="13">
        <v>0</v>
      </c>
      <c r="J676" s="13">
        <v>0</v>
      </c>
      <c r="K676" s="13">
        <v>0</v>
      </c>
      <c r="L676" s="13">
        <v>0</v>
      </c>
      <c r="M676" s="4"/>
      <c r="N676" s="11">
        <f t="shared" si="22"/>
        <v>0</v>
      </c>
    </row>
    <row r="677" spans="2:14" x14ac:dyDescent="0.35">
      <c r="B677" s="4">
        <f t="shared" si="21"/>
        <v>667</v>
      </c>
      <c r="C677" s="4" t="s">
        <v>261</v>
      </c>
      <c r="D677" s="4" t="s">
        <v>477</v>
      </c>
      <c r="E677" s="8" t="s">
        <v>174</v>
      </c>
      <c r="F677" s="8" t="s">
        <v>22</v>
      </c>
      <c r="G677" s="13">
        <v>87</v>
      </c>
      <c r="H677" s="13">
        <v>10101000</v>
      </c>
      <c r="I677" s="13">
        <v>24</v>
      </c>
      <c r="J677" s="13">
        <v>2060000</v>
      </c>
      <c r="K677" s="13">
        <v>0</v>
      </c>
      <c r="L677" s="13">
        <v>0</v>
      </c>
      <c r="M677" s="4"/>
      <c r="N677" s="11">
        <f t="shared" si="22"/>
        <v>0</v>
      </c>
    </row>
    <row r="678" spans="2:14" x14ac:dyDescent="0.35">
      <c r="B678" s="4">
        <f t="shared" si="21"/>
        <v>668</v>
      </c>
      <c r="C678" s="4" t="s">
        <v>262</v>
      </c>
      <c r="D678" s="4" t="s">
        <v>416</v>
      </c>
      <c r="E678" s="8" t="s">
        <v>174</v>
      </c>
      <c r="F678" s="8" t="s">
        <v>22</v>
      </c>
      <c r="G678" s="13">
        <v>159</v>
      </c>
      <c r="H678" s="13">
        <v>16080000</v>
      </c>
      <c r="I678" s="13">
        <v>33</v>
      </c>
      <c r="J678" s="13">
        <v>3360000</v>
      </c>
      <c r="K678" s="13">
        <v>34</v>
      </c>
      <c r="L678" s="13">
        <v>6625000</v>
      </c>
      <c r="M678" s="4"/>
      <c r="N678" s="11">
        <f t="shared" si="22"/>
        <v>0</v>
      </c>
    </row>
    <row r="679" spans="2:14" x14ac:dyDescent="0.35">
      <c r="B679" s="4">
        <f t="shared" si="21"/>
        <v>669</v>
      </c>
      <c r="C679" s="4" t="s">
        <v>262</v>
      </c>
      <c r="D679" s="4" t="s">
        <v>416</v>
      </c>
      <c r="E679" s="8" t="s">
        <v>174</v>
      </c>
      <c r="F679" s="8" t="s">
        <v>19</v>
      </c>
      <c r="G679" s="13">
        <v>10</v>
      </c>
      <c r="H679" s="13">
        <v>74500000</v>
      </c>
      <c r="I679" s="13">
        <v>0</v>
      </c>
      <c r="J679" s="13">
        <v>0</v>
      </c>
      <c r="K679" s="13">
        <v>0</v>
      </c>
      <c r="L679" s="13">
        <v>0</v>
      </c>
      <c r="M679" s="4"/>
      <c r="N679" s="11">
        <f t="shared" si="22"/>
        <v>0</v>
      </c>
    </row>
    <row r="680" spans="2:14" x14ac:dyDescent="0.35">
      <c r="B680" s="4">
        <f t="shared" si="21"/>
        <v>670</v>
      </c>
      <c r="C680" s="4" t="s">
        <v>262</v>
      </c>
      <c r="D680" s="4" t="s">
        <v>416</v>
      </c>
      <c r="E680" s="8" t="s">
        <v>174</v>
      </c>
      <c r="F680" s="8" t="s">
        <v>190</v>
      </c>
      <c r="G680" s="13">
        <v>9</v>
      </c>
      <c r="H680" s="13">
        <v>1140000</v>
      </c>
      <c r="I680" s="13">
        <v>0</v>
      </c>
      <c r="J680" s="13">
        <v>0</v>
      </c>
      <c r="K680" s="13">
        <v>0</v>
      </c>
      <c r="L680" s="13">
        <v>0</v>
      </c>
      <c r="M680" s="4"/>
      <c r="N680" s="11">
        <f t="shared" si="22"/>
        <v>0</v>
      </c>
    </row>
    <row r="681" spans="2:14" x14ac:dyDescent="0.35">
      <c r="B681" s="4">
        <f t="shared" si="21"/>
        <v>671</v>
      </c>
      <c r="C681" s="4" t="s">
        <v>263</v>
      </c>
      <c r="D681" s="4" t="s">
        <v>526</v>
      </c>
      <c r="E681" s="8" t="s">
        <v>174</v>
      </c>
      <c r="F681" s="8" t="s">
        <v>20</v>
      </c>
      <c r="G681" s="13">
        <v>0</v>
      </c>
      <c r="H681" s="13">
        <v>0</v>
      </c>
      <c r="I681" s="13">
        <v>3</v>
      </c>
      <c r="J681" s="13">
        <v>525000</v>
      </c>
      <c r="K681" s="13">
        <v>0</v>
      </c>
      <c r="L681" s="13">
        <v>0</v>
      </c>
      <c r="M681" s="4"/>
      <c r="N681" s="11">
        <f t="shared" si="22"/>
        <v>0</v>
      </c>
    </row>
    <row r="682" spans="2:14" x14ac:dyDescent="0.35">
      <c r="B682" s="4">
        <f t="shared" si="21"/>
        <v>672</v>
      </c>
      <c r="C682" s="4" t="s">
        <v>263</v>
      </c>
      <c r="D682" s="4" t="s">
        <v>526</v>
      </c>
      <c r="E682" s="8" t="s">
        <v>174</v>
      </c>
      <c r="F682" s="8" t="s">
        <v>21</v>
      </c>
      <c r="G682" s="13">
        <v>0</v>
      </c>
      <c r="H682" s="13">
        <v>0</v>
      </c>
      <c r="I682" s="13">
        <v>0</v>
      </c>
      <c r="J682" s="13">
        <v>0</v>
      </c>
      <c r="K682" s="13">
        <v>0</v>
      </c>
      <c r="L682" s="13">
        <v>0</v>
      </c>
      <c r="M682" s="4"/>
      <c r="N682" s="11">
        <f t="shared" si="22"/>
        <v>0</v>
      </c>
    </row>
    <row r="683" spans="2:14" x14ac:dyDescent="0.35">
      <c r="B683" s="4">
        <f t="shared" si="21"/>
        <v>673</v>
      </c>
      <c r="C683" s="4" t="s">
        <v>263</v>
      </c>
      <c r="D683" s="4" t="s">
        <v>526</v>
      </c>
      <c r="E683" s="8" t="s">
        <v>174</v>
      </c>
      <c r="F683" s="8" t="s">
        <v>22</v>
      </c>
      <c r="G683" s="13">
        <v>158</v>
      </c>
      <c r="H683" s="13">
        <v>24570000</v>
      </c>
      <c r="I683" s="13">
        <v>14</v>
      </c>
      <c r="J683" s="13">
        <v>1245000</v>
      </c>
      <c r="K683" s="13">
        <v>0</v>
      </c>
      <c r="L683" s="13">
        <v>0</v>
      </c>
      <c r="M683" s="4"/>
      <c r="N683" s="11">
        <f t="shared" si="22"/>
        <v>0</v>
      </c>
    </row>
    <row r="684" spans="2:14" x14ac:dyDescent="0.35">
      <c r="B684" s="4">
        <f t="shared" si="21"/>
        <v>674</v>
      </c>
      <c r="C684" s="4" t="s">
        <v>263</v>
      </c>
      <c r="D684" s="4" t="s">
        <v>526</v>
      </c>
      <c r="E684" s="8" t="s">
        <v>174</v>
      </c>
      <c r="F684" s="8" t="s">
        <v>19</v>
      </c>
      <c r="G684" s="13">
        <v>0</v>
      </c>
      <c r="H684" s="13">
        <v>0</v>
      </c>
      <c r="I684" s="13">
        <v>1</v>
      </c>
      <c r="J684" s="13">
        <v>8500000</v>
      </c>
      <c r="K684" s="13">
        <v>0</v>
      </c>
      <c r="L684" s="13">
        <v>0</v>
      </c>
      <c r="M684" s="4"/>
      <c r="N684" s="11">
        <f t="shared" si="22"/>
        <v>0</v>
      </c>
    </row>
    <row r="685" spans="2:14" x14ac:dyDescent="0.35">
      <c r="B685" s="4">
        <f t="shared" si="21"/>
        <v>675</v>
      </c>
      <c r="C685" s="4" t="s">
        <v>263</v>
      </c>
      <c r="D685" s="4" t="s">
        <v>526</v>
      </c>
      <c r="E685" s="8" t="s">
        <v>174</v>
      </c>
      <c r="F685" s="8" t="s">
        <v>190</v>
      </c>
      <c r="G685" s="13">
        <v>5</v>
      </c>
      <c r="H685" s="13">
        <v>730000</v>
      </c>
      <c r="I685" s="13">
        <v>0</v>
      </c>
      <c r="J685" s="13">
        <v>0</v>
      </c>
      <c r="K685" s="13">
        <v>0</v>
      </c>
      <c r="L685" s="13">
        <v>0</v>
      </c>
      <c r="M685" s="4"/>
      <c r="N685" s="11">
        <f t="shared" si="22"/>
        <v>0</v>
      </c>
    </row>
    <row r="686" spans="2:14" x14ac:dyDescent="0.35">
      <c r="B686" s="4">
        <f t="shared" si="21"/>
        <v>676</v>
      </c>
      <c r="C686" s="4" t="s">
        <v>400</v>
      </c>
      <c r="D686" s="4" t="s">
        <v>595</v>
      </c>
      <c r="E686" s="8" t="s">
        <v>174</v>
      </c>
      <c r="F686" s="8" t="s">
        <v>20</v>
      </c>
      <c r="G686" s="13">
        <v>2</v>
      </c>
      <c r="H686" s="13">
        <v>350000</v>
      </c>
      <c r="I686" s="13">
        <v>0</v>
      </c>
      <c r="J686" s="13">
        <v>0</v>
      </c>
      <c r="K686" s="13">
        <v>0</v>
      </c>
      <c r="L686" s="13">
        <v>0</v>
      </c>
      <c r="M686" s="4"/>
      <c r="N686" s="11">
        <f t="shared" si="22"/>
        <v>0</v>
      </c>
    </row>
    <row r="687" spans="2:14" x14ac:dyDescent="0.35">
      <c r="B687" s="4">
        <f t="shared" si="21"/>
        <v>677</v>
      </c>
      <c r="C687" s="4" t="s">
        <v>400</v>
      </c>
      <c r="D687" s="4" t="s">
        <v>595</v>
      </c>
      <c r="E687" s="8" t="s">
        <v>174</v>
      </c>
      <c r="F687" s="8" t="s">
        <v>22</v>
      </c>
      <c r="G687" s="13">
        <v>250</v>
      </c>
      <c r="H687" s="13">
        <v>32320000</v>
      </c>
      <c r="I687" s="13">
        <v>13</v>
      </c>
      <c r="J687" s="13">
        <v>1170000</v>
      </c>
      <c r="K687" s="13">
        <v>40</v>
      </c>
      <c r="L687" s="13">
        <v>10735000</v>
      </c>
      <c r="M687" s="4"/>
      <c r="N687" s="11">
        <f t="shared" si="22"/>
        <v>0</v>
      </c>
    </row>
    <row r="688" spans="2:14" x14ac:dyDescent="0.35">
      <c r="B688" s="4">
        <f t="shared" si="21"/>
        <v>678</v>
      </c>
      <c r="C688" s="4" t="s">
        <v>400</v>
      </c>
      <c r="D688" s="4" t="s">
        <v>595</v>
      </c>
      <c r="E688" s="8" t="s">
        <v>174</v>
      </c>
      <c r="F688" s="8" t="s">
        <v>19</v>
      </c>
      <c r="G688" s="13">
        <v>41</v>
      </c>
      <c r="H688" s="13">
        <v>326500000</v>
      </c>
      <c r="I688" s="13">
        <v>0</v>
      </c>
      <c r="J688" s="13">
        <v>0</v>
      </c>
      <c r="K688" s="13">
        <v>0</v>
      </c>
      <c r="L688" s="13">
        <v>0</v>
      </c>
      <c r="M688" s="4"/>
      <c r="N688" s="11">
        <f t="shared" si="22"/>
        <v>0</v>
      </c>
    </row>
    <row r="689" spans="2:14" x14ac:dyDescent="0.35">
      <c r="B689" s="4">
        <f t="shared" si="21"/>
        <v>679</v>
      </c>
      <c r="C689" s="4" t="s">
        <v>400</v>
      </c>
      <c r="D689" s="4" t="s">
        <v>595</v>
      </c>
      <c r="E689" s="8" t="s">
        <v>174</v>
      </c>
      <c r="F689" s="8" t="s">
        <v>190</v>
      </c>
      <c r="G689" s="13">
        <v>9</v>
      </c>
      <c r="H689" s="13">
        <v>1250000</v>
      </c>
      <c r="I689" s="13">
        <v>2</v>
      </c>
      <c r="J689" s="13">
        <v>250000</v>
      </c>
      <c r="K689" s="13">
        <v>0</v>
      </c>
      <c r="L689" s="13">
        <v>0</v>
      </c>
      <c r="M689" s="4"/>
      <c r="N689" s="11">
        <f t="shared" si="22"/>
        <v>0</v>
      </c>
    </row>
    <row r="690" spans="2:14" x14ac:dyDescent="0.35">
      <c r="B690" s="4">
        <f t="shared" si="21"/>
        <v>680</v>
      </c>
      <c r="C690" s="4" t="s">
        <v>264</v>
      </c>
      <c r="D690" s="4" t="s">
        <v>478</v>
      </c>
      <c r="E690" s="8" t="s">
        <v>174</v>
      </c>
      <c r="F690" s="8" t="s">
        <v>20</v>
      </c>
      <c r="G690" s="13">
        <v>5</v>
      </c>
      <c r="H690" s="13">
        <v>825000</v>
      </c>
      <c r="I690" s="13">
        <v>0</v>
      </c>
      <c r="J690" s="13">
        <v>0</v>
      </c>
      <c r="K690" s="13">
        <v>0</v>
      </c>
      <c r="L690" s="13">
        <v>0</v>
      </c>
      <c r="M690" s="4"/>
      <c r="N690" s="11">
        <f t="shared" si="22"/>
        <v>0</v>
      </c>
    </row>
    <row r="691" spans="2:14" x14ac:dyDescent="0.35">
      <c r="B691" s="4">
        <f t="shared" si="21"/>
        <v>681</v>
      </c>
      <c r="C691" s="4" t="s">
        <v>264</v>
      </c>
      <c r="D691" s="4" t="s">
        <v>478</v>
      </c>
      <c r="E691" s="8" t="s">
        <v>174</v>
      </c>
      <c r="F691" s="8" t="s">
        <v>22</v>
      </c>
      <c r="G691" s="13">
        <v>180</v>
      </c>
      <c r="H691" s="13">
        <v>20440000</v>
      </c>
      <c r="I691" s="13">
        <v>1</v>
      </c>
      <c r="J691" s="13">
        <v>75000</v>
      </c>
      <c r="K691" s="13">
        <v>22</v>
      </c>
      <c r="L691" s="13">
        <v>5545000</v>
      </c>
      <c r="M691" s="4"/>
      <c r="N691" s="11">
        <f t="shared" si="22"/>
        <v>0</v>
      </c>
    </row>
    <row r="692" spans="2:14" x14ac:dyDescent="0.35">
      <c r="B692" s="4">
        <f t="shared" si="21"/>
        <v>682</v>
      </c>
      <c r="C692" s="4" t="s">
        <v>264</v>
      </c>
      <c r="D692" s="4" t="s">
        <v>478</v>
      </c>
      <c r="E692" s="8" t="s">
        <v>174</v>
      </c>
      <c r="F692" s="8" t="s">
        <v>19</v>
      </c>
      <c r="G692" s="13">
        <v>37</v>
      </c>
      <c r="H692" s="13">
        <v>304250000</v>
      </c>
      <c r="I692" s="13">
        <v>0</v>
      </c>
      <c r="J692" s="13">
        <v>0</v>
      </c>
      <c r="K692" s="13">
        <v>0</v>
      </c>
      <c r="L692" s="13">
        <v>0</v>
      </c>
      <c r="M692" s="4"/>
      <c r="N692" s="11">
        <f t="shared" si="22"/>
        <v>0</v>
      </c>
    </row>
    <row r="693" spans="2:14" x14ac:dyDescent="0.35">
      <c r="B693" s="4">
        <f t="shared" si="21"/>
        <v>683</v>
      </c>
      <c r="C693" s="4" t="s">
        <v>264</v>
      </c>
      <c r="D693" s="4" t="s">
        <v>478</v>
      </c>
      <c r="E693" s="8" t="s">
        <v>174</v>
      </c>
      <c r="F693" s="8" t="s">
        <v>190</v>
      </c>
      <c r="G693" s="13">
        <v>10</v>
      </c>
      <c r="H693" s="13">
        <v>1250000</v>
      </c>
      <c r="I693" s="13">
        <v>0</v>
      </c>
      <c r="J693" s="13">
        <v>0</v>
      </c>
      <c r="K693" s="13">
        <v>0</v>
      </c>
      <c r="L693" s="13">
        <v>0</v>
      </c>
      <c r="M693" s="4"/>
      <c r="N693" s="11">
        <f t="shared" si="22"/>
        <v>0</v>
      </c>
    </row>
    <row r="694" spans="2:14" x14ac:dyDescent="0.35">
      <c r="B694" s="4">
        <f t="shared" si="21"/>
        <v>684</v>
      </c>
      <c r="C694" s="4" t="s">
        <v>243</v>
      </c>
      <c r="D694" s="4" t="s">
        <v>475</v>
      </c>
      <c r="E694" s="8" t="s">
        <v>174</v>
      </c>
      <c r="F694" s="8" t="s">
        <v>20</v>
      </c>
      <c r="G694" s="13">
        <v>1</v>
      </c>
      <c r="H694" s="13">
        <v>160000</v>
      </c>
      <c r="I694" s="13">
        <v>0</v>
      </c>
      <c r="J694" s="13">
        <v>0</v>
      </c>
      <c r="K694" s="13">
        <v>0</v>
      </c>
      <c r="L694" s="13">
        <v>0</v>
      </c>
      <c r="M694" s="4"/>
      <c r="N694" s="11">
        <f t="shared" si="22"/>
        <v>0</v>
      </c>
    </row>
    <row r="695" spans="2:14" x14ac:dyDescent="0.35">
      <c r="B695" s="4">
        <f t="shared" si="21"/>
        <v>685</v>
      </c>
      <c r="C695" s="4" t="s">
        <v>243</v>
      </c>
      <c r="D695" s="4" t="s">
        <v>475</v>
      </c>
      <c r="E695" s="8" t="s">
        <v>174</v>
      </c>
      <c r="F695" s="8" t="s">
        <v>22</v>
      </c>
      <c r="G695" s="13">
        <v>246</v>
      </c>
      <c r="H695" s="13">
        <v>32572000</v>
      </c>
      <c r="I695" s="13">
        <v>3</v>
      </c>
      <c r="J695" s="13">
        <v>290000</v>
      </c>
      <c r="K695" s="13">
        <v>48</v>
      </c>
      <c r="L695" s="13">
        <v>12160000</v>
      </c>
      <c r="M695" s="4"/>
      <c r="N695" s="11">
        <f t="shared" si="22"/>
        <v>0</v>
      </c>
    </row>
    <row r="696" spans="2:14" x14ac:dyDescent="0.35">
      <c r="B696" s="4">
        <f t="shared" si="21"/>
        <v>686</v>
      </c>
      <c r="C696" s="4" t="s">
        <v>243</v>
      </c>
      <c r="D696" s="4" t="s">
        <v>475</v>
      </c>
      <c r="E696" s="8" t="s">
        <v>174</v>
      </c>
      <c r="F696" s="8" t="s">
        <v>19</v>
      </c>
      <c r="G696" s="13">
        <v>29</v>
      </c>
      <c r="H696" s="13">
        <v>190750000</v>
      </c>
      <c r="I696" s="13">
        <v>0</v>
      </c>
      <c r="J696" s="13">
        <v>0</v>
      </c>
      <c r="K696" s="13">
        <v>5</v>
      </c>
      <c r="L696" s="13">
        <v>123935000</v>
      </c>
      <c r="M696" s="4"/>
      <c r="N696" s="11">
        <f t="shared" si="22"/>
        <v>0</v>
      </c>
    </row>
    <row r="697" spans="2:14" x14ac:dyDescent="0.35">
      <c r="B697" s="4">
        <f t="shared" si="21"/>
        <v>687</v>
      </c>
      <c r="C697" s="4" t="s">
        <v>243</v>
      </c>
      <c r="D697" s="4" t="s">
        <v>475</v>
      </c>
      <c r="E697" s="8" t="s">
        <v>174</v>
      </c>
      <c r="F697" s="8" t="s">
        <v>190</v>
      </c>
      <c r="G697" s="13">
        <v>27</v>
      </c>
      <c r="H697" s="13">
        <v>3480000</v>
      </c>
      <c r="I697" s="13">
        <v>0</v>
      </c>
      <c r="J697" s="13">
        <v>0</v>
      </c>
      <c r="K697" s="13">
        <v>3</v>
      </c>
      <c r="L697" s="13">
        <v>540000</v>
      </c>
      <c r="M697" s="4"/>
      <c r="N697" s="11">
        <f t="shared" si="22"/>
        <v>0</v>
      </c>
    </row>
  </sheetData>
  <autoFilter ref="A10:N834" xr:uid="{D47603B4-A21A-40CF-9F05-4553DE94AF71}"/>
  <sortState xmlns:xlrd2="http://schemas.microsoft.com/office/spreadsheetml/2017/richdata2" ref="C11:N673">
    <sortCondition ref="D11:D673"/>
    <sortCondition ref="F11:F673"/>
  </sortState>
  <mergeCells count="3">
    <mergeCell ref="G9:H9"/>
    <mergeCell ref="I9:J9"/>
    <mergeCell ref="K9:L9"/>
  </mergeCells>
  <conditionalFormatting sqref="A11:A666"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C969758-8DAA-4186-BD3D-F43FFE1D0AAC}">
          <x14:formula1>
            <xm:f>Lookup!$B$5:$B$17</xm:f>
          </x14:formula1>
          <xm:sqref>F3</xm:sqref>
        </x14:dataValidation>
        <x14:dataValidation type="list" allowBlank="1" showInputMessage="1" showErrorMessage="1" xr:uid="{5A5EFAFE-F8E7-4AEF-B260-DE6E170AC76C}">
          <x14:formula1>
            <xm:f>Lookup!$J$5:$J$48</xm:f>
          </x14:formula1>
          <xm:sqref>F5</xm:sqref>
        </x14:dataValidation>
        <x14:dataValidation type="list" allowBlank="1" showInputMessage="1" showErrorMessage="1" xr:uid="{B9567777-66AC-4823-81C4-12AF875BD059}">
          <x14:formula1>
            <xm:f>Lookup!$D$5:$D$50</xm:f>
          </x14:formula1>
          <xm:sqref>E11:E697</xm:sqref>
        </x14:dataValidation>
        <x14:dataValidation type="list" allowBlank="1" showInputMessage="1" showErrorMessage="1" xr:uid="{F078655F-698F-4D55-BB47-4C5434545C88}">
          <x14:formula1>
            <xm:f>Lookup!$F$5:$F$10</xm:f>
          </x14:formula1>
          <xm:sqref>F11:F697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DB5A-2258-4E0A-A5C0-0C84EBD97F72}">
  <dimension ref="B2:N50"/>
  <sheetViews>
    <sheetView showGridLines="0" topLeftCell="A3" workbookViewId="0">
      <selection activeCell="F8" sqref="F8"/>
    </sheetView>
  </sheetViews>
  <sheetFormatPr defaultRowHeight="14.5" x14ac:dyDescent="0.35"/>
  <cols>
    <col min="1" max="1" width="1.81640625" customWidth="1"/>
    <col min="2" max="2" width="15.54296875" bestFit="1" customWidth="1"/>
    <col min="3" max="3" width="6.26953125" customWidth="1"/>
    <col min="4" max="4" width="58.26953125" bestFit="1" customWidth="1"/>
    <col min="6" max="6" width="33" bestFit="1" customWidth="1"/>
    <col min="8" max="8" width="18" bestFit="1" customWidth="1"/>
    <col min="10" max="10" width="66.81640625" customWidth="1"/>
    <col min="12" max="12" width="17" bestFit="1" customWidth="1"/>
    <col min="14" max="14" width="42" customWidth="1"/>
    <col min="15" max="15" width="15.7265625" customWidth="1"/>
  </cols>
  <sheetData>
    <row r="2" spans="2:14" x14ac:dyDescent="0.35">
      <c r="B2" s="1" t="s">
        <v>1</v>
      </c>
      <c r="C2" s="1"/>
      <c r="D2" s="1"/>
    </row>
    <row r="4" spans="2:14" x14ac:dyDescent="0.35">
      <c r="B4" s="2" t="s">
        <v>2</v>
      </c>
      <c r="C4" s="1"/>
      <c r="D4" s="2" t="s">
        <v>143</v>
      </c>
      <c r="F4" s="2" t="s">
        <v>18</v>
      </c>
      <c r="H4" s="2" t="s">
        <v>23</v>
      </c>
      <c r="J4" s="2" t="s">
        <v>34</v>
      </c>
      <c r="L4" s="2" t="s">
        <v>77</v>
      </c>
      <c r="N4" s="2" t="s">
        <v>121</v>
      </c>
    </row>
    <row r="5" spans="2:14" x14ac:dyDescent="0.35">
      <c r="B5" s="3" t="s">
        <v>3</v>
      </c>
      <c r="C5" s="12"/>
      <c r="D5" s="3" t="s">
        <v>144</v>
      </c>
      <c r="F5" s="4" t="s">
        <v>19</v>
      </c>
      <c r="H5" s="4" t="s">
        <v>24</v>
      </c>
      <c r="J5" s="6" t="s">
        <v>35</v>
      </c>
      <c r="L5" s="6" t="s">
        <v>78</v>
      </c>
      <c r="N5" s="6" t="s">
        <v>122</v>
      </c>
    </row>
    <row r="6" spans="2:14" x14ac:dyDescent="0.35">
      <c r="B6" s="3" t="s">
        <v>4</v>
      </c>
      <c r="C6" s="12"/>
      <c r="D6" s="3" t="s">
        <v>145</v>
      </c>
      <c r="F6" s="4" t="s">
        <v>20</v>
      </c>
      <c r="H6" s="4" t="s">
        <v>25</v>
      </c>
      <c r="J6" s="6" t="s">
        <v>36</v>
      </c>
      <c r="L6" s="6" t="s">
        <v>79</v>
      </c>
      <c r="N6" s="6" t="s">
        <v>122</v>
      </c>
    </row>
    <row r="7" spans="2:14" x14ac:dyDescent="0.35">
      <c r="B7" s="3" t="s">
        <v>5</v>
      </c>
      <c r="C7" s="12"/>
      <c r="D7" s="3" t="s">
        <v>146</v>
      </c>
      <c r="F7" s="4" t="s">
        <v>21</v>
      </c>
      <c r="H7" s="4" t="s">
        <v>26</v>
      </c>
      <c r="J7" s="6" t="s">
        <v>37</v>
      </c>
      <c r="L7" s="6" t="s">
        <v>80</v>
      </c>
      <c r="N7" s="6" t="s">
        <v>123</v>
      </c>
    </row>
    <row r="8" spans="2:14" x14ac:dyDescent="0.35">
      <c r="B8" s="3"/>
      <c r="C8" s="12"/>
      <c r="D8" s="3"/>
      <c r="F8" s="4" t="s">
        <v>191</v>
      </c>
      <c r="J8" s="6"/>
      <c r="L8" s="6"/>
      <c r="N8" s="6"/>
    </row>
    <row r="9" spans="2:14" x14ac:dyDescent="0.35">
      <c r="B9" s="3" t="s">
        <v>6</v>
      </c>
      <c r="C9" s="12"/>
      <c r="D9" s="3" t="s">
        <v>147</v>
      </c>
      <c r="F9" s="4" t="s">
        <v>190</v>
      </c>
      <c r="J9" s="6" t="s">
        <v>38</v>
      </c>
      <c r="L9" s="6" t="s">
        <v>81</v>
      </c>
      <c r="N9" s="6" t="s">
        <v>122</v>
      </c>
    </row>
    <row r="10" spans="2:14" x14ac:dyDescent="0.35">
      <c r="B10" s="3" t="s">
        <v>7</v>
      </c>
      <c r="C10" s="12"/>
      <c r="D10" s="3" t="s">
        <v>148</v>
      </c>
      <c r="F10" s="4" t="s">
        <v>22</v>
      </c>
      <c r="J10" s="6" t="s">
        <v>39</v>
      </c>
      <c r="L10" s="6" t="s">
        <v>82</v>
      </c>
      <c r="N10" s="6" t="s">
        <v>122</v>
      </c>
    </row>
    <row r="11" spans="2:14" x14ac:dyDescent="0.35">
      <c r="B11" s="3" t="s">
        <v>8</v>
      </c>
      <c r="C11" s="12"/>
      <c r="D11" s="3" t="s">
        <v>149</v>
      </c>
      <c r="J11" s="6" t="s">
        <v>40</v>
      </c>
      <c r="L11" s="6" t="s">
        <v>83</v>
      </c>
      <c r="N11" s="6" t="s">
        <v>122</v>
      </c>
    </row>
    <row r="12" spans="2:14" x14ac:dyDescent="0.35">
      <c r="B12" s="3" t="s">
        <v>9</v>
      </c>
      <c r="C12" s="12"/>
      <c r="D12" s="3" t="s">
        <v>150</v>
      </c>
      <c r="J12" s="6" t="s">
        <v>41</v>
      </c>
      <c r="L12" s="6" t="s">
        <v>84</v>
      </c>
      <c r="N12" s="6" t="s">
        <v>122</v>
      </c>
    </row>
    <row r="13" spans="2:14" x14ac:dyDescent="0.35">
      <c r="B13" s="3" t="s">
        <v>10</v>
      </c>
      <c r="C13" s="12"/>
      <c r="D13" s="3" t="s">
        <v>151</v>
      </c>
      <c r="J13" s="6" t="s">
        <v>42</v>
      </c>
      <c r="L13" s="6" t="s">
        <v>85</v>
      </c>
      <c r="N13" s="6" t="s">
        <v>124</v>
      </c>
    </row>
    <row r="14" spans="2:14" x14ac:dyDescent="0.35">
      <c r="B14" s="3" t="s">
        <v>11</v>
      </c>
      <c r="C14" s="12"/>
      <c r="D14" s="3" t="s">
        <v>152</v>
      </c>
      <c r="J14" s="6" t="s">
        <v>43</v>
      </c>
      <c r="L14" s="6" t="s">
        <v>86</v>
      </c>
      <c r="N14" s="6" t="s">
        <v>125</v>
      </c>
    </row>
    <row r="15" spans="2:14" x14ac:dyDescent="0.35">
      <c r="B15" s="3" t="s">
        <v>12</v>
      </c>
      <c r="C15" s="12"/>
      <c r="D15" s="3" t="s">
        <v>153</v>
      </c>
      <c r="J15" s="6" t="s">
        <v>44</v>
      </c>
      <c r="L15" s="6" t="s">
        <v>87</v>
      </c>
      <c r="N15" s="6" t="s">
        <v>126</v>
      </c>
    </row>
    <row r="16" spans="2:14" x14ac:dyDescent="0.35">
      <c r="B16" s="3" t="s">
        <v>13</v>
      </c>
      <c r="C16" s="12"/>
      <c r="D16" s="3" t="s">
        <v>154</v>
      </c>
      <c r="J16" s="6" t="s">
        <v>45</v>
      </c>
      <c r="L16" s="6" t="s">
        <v>88</v>
      </c>
      <c r="N16" s="6" t="s">
        <v>125</v>
      </c>
    </row>
    <row r="17" spans="2:14" x14ac:dyDescent="0.35">
      <c r="B17" s="3" t="s">
        <v>14</v>
      </c>
      <c r="C17" s="12"/>
      <c r="D17" s="3" t="s">
        <v>155</v>
      </c>
      <c r="J17" s="6" t="s">
        <v>46</v>
      </c>
      <c r="L17" s="6" t="s">
        <v>89</v>
      </c>
      <c r="N17" s="6" t="s">
        <v>125</v>
      </c>
    </row>
    <row r="18" spans="2:14" x14ac:dyDescent="0.35">
      <c r="D18" s="4" t="s">
        <v>156</v>
      </c>
      <c r="J18" s="6" t="s">
        <v>47</v>
      </c>
      <c r="L18" s="6" t="s">
        <v>90</v>
      </c>
      <c r="N18" s="6" t="s">
        <v>125</v>
      </c>
    </row>
    <row r="19" spans="2:14" x14ac:dyDescent="0.35">
      <c r="D19" s="4" t="s">
        <v>157</v>
      </c>
      <c r="J19" s="6" t="s">
        <v>48</v>
      </c>
      <c r="L19" s="6" t="s">
        <v>91</v>
      </c>
      <c r="N19" s="6" t="s">
        <v>122</v>
      </c>
    </row>
    <row r="20" spans="2:14" x14ac:dyDescent="0.35">
      <c r="D20" s="4" t="s">
        <v>158</v>
      </c>
      <c r="J20" s="6" t="s">
        <v>49</v>
      </c>
      <c r="L20" s="6" t="s">
        <v>92</v>
      </c>
      <c r="N20" s="6" t="s">
        <v>127</v>
      </c>
    </row>
    <row r="21" spans="2:14" x14ac:dyDescent="0.35">
      <c r="D21" s="4" t="s">
        <v>159</v>
      </c>
      <c r="J21" s="6" t="s">
        <v>50</v>
      </c>
      <c r="L21" s="6" t="s">
        <v>93</v>
      </c>
      <c r="N21" s="6" t="s">
        <v>128</v>
      </c>
    </row>
    <row r="22" spans="2:14" x14ac:dyDescent="0.35">
      <c r="D22" s="4" t="s">
        <v>160</v>
      </c>
      <c r="J22" s="6" t="s">
        <v>51</v>
      </c>
      <c r="L22" s="6" t="s">
        <v>94</v>
      </c>
      <c r="N22" s="6" t="s">
        <v>129</v>
      </c>
    </row>
    <row r="23" spans="2:14" x14ac:dyDescent="0.35">
      <c r="D23" s="4" t="s">
        <v>161</v>
      </c>
      <c r="J23" s="6" t="s">
        <v>52</v>
      </c>
      <c r="L23" s="6" t="s">
        <v>95</v>
      </c>
      <c r="N23" s="6" t="s">
        <v>130</v>
      </c>
    </row>
    <row r="24" spans="2:14" x14ac:dyDescent="0.35">
      <c r="D24" s="4" t="s">
        <v>162</v>
      </c>
      <c r="J24" s="6" t="s">
        <v>53</v>
      </c>
      <c r="L24" s="6" t="s">
        <v>96</v>
      </c>
      <c r="N24" s="6" t="s">
        <v>131</v>
      </c>
    </row>
    <row r="25" spans="2:14" x14ac:dyDescent="0.35">
      <c r="D25" s="4" t="s">
        <v>163</v>
      </c>
      <c r="J25" s="6" t="s">
        <v>54</v>
      </c>
      <c r="L25" s="6" t="s">
        <v>97</v>
      </c>
      <c r="N25" s="6" t="s">
        <v>132</v>
      </c>
    </row>
    <row r="26" spans="2:14" x14ac:dyDescent="0.35">
      <c r="D26" s="4" t="s">
        <v>164</v>
      </c>
      <c r="J26" s="6" t="s">
        <v>55</v>
      </c>
      <c r="L26" s="6" t="s">
        <v>98</v>
      </c>
      <c r="N26" s="6" t="s">
        <v>127</v>
      </c>
    </row>
    <row r="27" spans="2:14" x14ac:dyDescent="0.35">
      <c r="D27" s="4" t="s">
        <v>165</v>
      </c>
      <c r="J27" s="6" t="s">
        <v>56</v>
      </c>
      <c r="L27" s="6" t="s">
        <v>99</v>
      </c>
      <c r="N27" s="6" t="s">
        <v>122</v>
      </c>
    </row>
    <row r="28" spans="2:14" x14ac:dyDescent="0.35">
      <c r="D28" s="4" t="s">
        <v>166</v>
      </c>
      <c r="J28" s="6" t="s">
        <v>57</v>
      </c>
      <c r="L28" s="6" t="s">
        <v>100</v>
      </c>
      <c r="N28" s="6" t="s">
        <v>133</v>
      </c>
    </row>
    <row r="29" spans="2:14" x14ac:dyDescent="0.35">
      <c r="D29" s="4" t="s">
        <v>167</v>
      </c>
      <c r="J29" s="6" t="s">
        <v>58</v>
      </c>
      <c r="L29" s="6" t="s">
        <v>101</v>
      </c>
      <c r="N29" s="6" t="s">
        <v>132</v>
      </c>
    </row>
    <row r="30" spans="2:14" x14ac:dyDescent="0.35">
      <c r="D30" s="4" t="s">
        <v>168</v>
      </c>
      <c r="J30" s="6" t="s">
        <v>59</v>
      </c>
      <c r="L30" s="6" t="s">
        <v>102</v>
      </c>
      <c r="N30" s="6" t="s">
        <v>122</v>
      </c>
    </row>
    <row r="31" spans="2:14" x14ac:dyDescent="0.35">
      <c r="D31" s="4" t="s">
        <v>169</v>
      </c>
      <c r="J31" s="6" t="s">
        <v>60</v>
      </c>
      <c r="L31" s="6" t="s">
        <v>103</v>
      </c>
      <c r="N31" s="6" t="s">
        <v>134</v>
      </c>
    </row>
    <row r="32" spans="2:14" x14ac:dyDescent="0.35">
      <c r="D32" s="4" t="s">
        <v>170</v>
      </c>
      <c r="J32" s="6" t="s">
        <v>61</v>
      </c>
      <c r="L32" s="6" t="s">
        <v>104</v>
      </c>
      <c r="N32" s="6" t="s">
        <v>127</v>
      </c>
    </row>
    <row r="33" spans="4:14" x14ac:dyDescent="0.35">
      <c r="D33" s="4" t="s">
        <v>171</v>
      </c>
      <c r="J33" s="6" t="s">
        <v>62</v>
      </c>
      <c r="L33" s="6" t="s">
        <v>105</v>
      </c>
      <c r="N33" s="6" t="s">
        <v>122</v>
      </c>
    </row>
    <row r="34" spans="4:14" x14ac:dyDescent="0.35">
      <c r="D34" s="4" t="s">
        <v>172</v>
      </c>
      <c r="J34" s="6" t="s">
        <v>63</v>
      </c>
      <c r="L34" s="6" t="s">
        <v>106</v>
      </c>
      <c r="N34" s="6" t="s">
        <v>132</v>
      </c>
    </row>
    <row r="35" spans="4:14" x14ac:dyDescent="0.35">
      <c r="D35" s="4" t="s">
        <v>173</v>
      </c>
      <c r="J35" s="6" t="s">
        <v>64</v>
      </c>
      <c r="L35" s="6" t="s">
        <v>107</v>
      </c>
      <c r="N35" s="6" t="s">
        <v>122</v>
      </c>
    </row>
    <row r="36" spans="4:14" x14ac:dyDescent="0.35">
      <c r="D36" s="4" t="s">
        <v>174</v>
      </c>
      <c r="J36" s="6" t="s">
        <v>65</v>
      </c>
      <c r="L36" s="6" t="s">
        <v>108</v>
      </c>
      <c r="N36" s="6" t="s">
        <v>122</v>
      </c>
    </row>
    <row r="37" spans="4:14" x14ac:dyDescent="0.35">
      <c r="D37" s="4" t="s">
        <v>175</v>
      </c>
      <c r="J37" s="6" t="s">
        <v>66</v>
      </c>
      <c r="L37" s="6" t="s">
        <v>109</v>
      </c>
      <c r="N37" s="6" t="s">
        <v>127</v>
      </c>
    </row>
    <row r="38" spans="4:14" x14ac:dyDescent="0.35">
      <c r="D38" s="4" t="s">
        <v>176</v>
      </c>
      <c r="J38" s="6" t="s">
        <v>67</v>
      </c>
      <c r="L38" s="6" t="s">
        <v>110</v>
      </c>
      <c r="N38" s="6" t="s">
        <v>122</v>
      </c>
    </row>
    <row r="39" spans="4:14" x14ac:dyDescent="0.35">
      <c r="D39" s="4" t="s">
        <v>177</v>
      </c>
      <c r="J39" s="6" t="s">
        <v>68</v>
      </c>
      <c r="L39" s="6" t="s">
        <v>111</v>
      </c>
      <c r="N39" s="6" t="s">
        <v>122</v>
      </c>
    </row>
    <row r="40" spans="4:14" x14ac:dyDescent="0.35">
      <c r="D40" s="4" t="s">
        <v>178</v>
      </c>
      <c r="J40" s="6" t="s">
        <v>69</v>
      </c>
      <c r="L40" s="6" t="s">
        <v>112</v>
      </c>
      <c r="N40" s="6" t="s">
        <v>122</v>
      </c>
    </row>
    <row r="41" spans="4:14" x14ac:dyDescent="0.35">
      <c r="D41" s="4" t="s">
        <v>179</v>
      </c>
      <c r="J41" s="6" t="s">
        <v>70</v>
      </c>
      <c r="L41" s="6" t="s">
        <v>113</v>
      </c>
      <c r="N41" s="6" t="s">
        <v>122</v>
      </c>
    </row>
    <row r="42" spans="4:14" x14ac:dyDescent="0.35">
      <c r="D42" s="4" t="s">
        <v>180</v>
      </c>
      <c r="J42" s="6" t="s">
        <v>71</v>
      </c>
      <c r="L42" s="6" t="s">
        <v>114</v>
      </c>
      <c r="N42" s="6" t="s">
        <v>122</v>
      </c>
    </row>
    <row r="43" spans="4:14" x14ac:dyDescent="0.35">
      <c r="D43" s="4" t="s">
        <v>181</v>
      </c>
      <c r="J43" s="6" t="s">
        <v>72</v>
      </c>
      <c r="L43" s="6" t="s">
        <v>115</v>
      </c>
      <c r="N43" s="6" t="s">
        <v>133</v>
      </c>
    </row>
    <row r="44" spans="4:14" x14ac:dyDescent="0.35">
      <c r="D44" s="4" t="s">
        <v>182</v>
      </c>
      <c r="J44" s="6" t="s">
        <v>73</v>
      </c>
      <c r="L44" s="6" t="s">
        <v>116</v>
      </c>
      <c r="N44" s="6" t="s">
        <v>122</v>
      </c>
    </row>
    <row r="45" spans="4:14" x14ac:dyDescent="0.35">
      <c r="D45" s="4" t="s">
        <v>183</v>
      </c>
      <c r="J45" s="6" t="s">
        <v>74</v>
      </c>
      <c r="L45" s="6" t="s">
        <v>117</v>
      </c>
      <c r="N45" s="6" t="s">
        <v>132</v>
      </c>
    </row>
    <row r="46" spans="4:14" x14ac:dyDescent="0.35">
      <c r="D46" s="4" t="s">
        <v>184</v>
      </c>
      <c r="J46" s="6" t="s">
        <v>75</v>
      </c>
      <c r="L46" s="6" t="s">
        <v>118</v>
      </c>
      <c r="N46" s="6" t="s">
        <v>122</v>
      </c>
    </row>
    <row r="47" spans="4:14" x14ac:dyDescent="0.35">
      <c r="D47" s="4" t="s">
        <v>185</v>
      </c>
      <c r="J47" s="6" t="s">
        <v>74</v>
      </c>
      <c r="L47" s="6" t="s">
        <v>119</v>
      </c>
      <c r="N47" s="6" t="s">
        <v>132</v>
      </c>
    </row>
    <row r="48" spans="4:14" x14ac:dyDescent="0.35">
      <c r="D48" s="4" t="s">
        <v>186</v>
      </c>
      <c r="J48" s="6" t="s">
        <v>76</v>
      </c>
      <c r="L48" s="6" t="s">
        <v>120</v>
      </c>
      <c r="N48" s="6" t="s">
        <v>122</v>
      </c>
    </row>
    <row r="49" spans="4:4" x14ac:dyDescent="0.35">
      <c r="D49" s="4" t="s">
        <v>187</v>
      </c>
    </row>
    <row r="50" spans="4:4" x14ac:dyDescent="0.35">
      <c r="D50" s="4" t="s">
        <v>188</v>
      </c>
    </row>
  </sheetData>
  <autoFilter ref="B4:N50" xr:uid="{D8BDDB5A-2258-4E0A-A5C0-0C84EBD97F72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Pelaporan Data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Rickent Putra Haki</dc:creator>
  <cp:lastModifiedBy>MyBook PRO K7</cp:lastModifiedBy>
  <dcterms:created xsi:type="dcterms:W3CDTF">2023-04-28T07:01:46Z</dcterms:created>
  <dcterms:modified xsi:type="dcterms:W3CDTF">2023-05-17T02:22:15Z</dcterms:modified>
</cp:coreProperties>
</file>