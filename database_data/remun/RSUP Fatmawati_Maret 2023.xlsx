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MU BARU\"/>
    </mc:Choice>
  </mc:AlternateContent>
  <xr:revisionPtr revIDLastSave="0" documentId="13_ncr:1_{DE03119F-F1D2-461C-9DE1-684D2790FE31}" xr6:coauthVersionLast="47" xr6:coauthVersionMax="47" xr10:uidLastSave="{00000000-0000-0000-0000-000000000000}"/>
  <bookViews>
    <workbookView xWindow="-110" yWindow="-110" windowWidth="19420" windowHeight="10420" firstSheet="1" activeTab="1" xr2:uid="{3B46568F-7C9B-4F94-B33E-43D4FF70D337}"/>
  </bookViews>
  <sheets>
    <sheet name="Pelaporan Data (2)" sheetId="5" state="hidden" r:id="rId1"/>
    <sheet name="Pelaporan Data" sheetId="1" r:id="rId2"/>
    <sheet name="Lookup" sheetId="2" r:id="rId3"/>
  </sheets>
  <definedNames>
    <definedName name="_xlnm._FilterDatabase" localSheetId="2" hidden="1">Lookup!$B$4:$N$50</definedName>
    <definedName name="_xlnm._FilterDatabase" localSheetId="1" hidden="1">'Pelaporan Data'!$A$10:$N$819</definedName>
    <definedName name="_xlnm._FilterDatabase" localSheetId="0" hidden="1">'Pelaporan Data (2)'!$B$10:$O$677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5" l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12" i="5"/>
  <c r="F7" i="5"/>
  <c r="F6" i="5"/>
  <c r="M167" i="5"/>
  <c r="N167" i="5" s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N466" i="1" l="1"/>
  <c r="N497" i="1"/>
  <c r="N489" i="1"/>
  <c r="N457" i="1"/>
  <c r="N447" i="1"/>
  <c r="N460" i="1"/>
  <c r="N491" i="1"/>
  <c r="N451" i="1"/>
  <c r="N435" i="1"/>
  <c r="N477" i="1"/>
  <c r="N470" i="1"/>
  <c r="N494" i="1"/>
  <c r="N485" i="1"/>
  <c r="M195" i="5"/>
  <c r="N195" i="5" s="1"/>
  <c r="N71" i="1"/>
  <c r="N63" i="1"/>
  <c r="N55" i="1"/>
  <c r="N11" i="1"/>
  <c r="N45" i="1"/>
  <c r="N18" i="1"/>
  <c r="N40" i="1"/>
  <c r="N426" i="1"/>
  <c r="N418" i="1"/>
  <c r="N410" i="1"/>
  <c r="N400" i="1"/>
  <c r="N414" i="1"/>
  <c r="N430" i="1"/>
  <c r="N404" i="1"/>
  <c r="N395" i="1"/>
  <c r="N225" i="1"/>
  <c r="N219" i="1"/>
  <c r="N274" i="1"/>
  <c r="N266" i="1"/>
  <c r="N258" i="1"/>
  <c r="N278" i="1"/>
  <c r="N254" i="1"/>
  <c r="N528" i="1"/>
  <c r="N569" i="1"/>
  <c r="N573" i="1"/>
  <c r="N565" i="1"/>
  <c r="N305" i="1"/>
  <c r="N297" i="1"/>
  <c r="N309" i="1"/>
  <c r="N301" i="1"/>
  <c r="N293" i="1"/>
  <c r="N682" i="1"/>
  <c r="N676" i="1"/>
  <c r="N498" i="1"/>
  <c r="N482" i="1"/>
  <c r="N464" i="1"/>
  <c r="N448" i="1"/>
  <c r="N440" i="1"/>
  <c r="N471" i="1"/>
  <c r="N444" i="1"/>
  <c r="N467" i="1"/>
  <c r="N486" i="1"/>
  <c r="N218" i="1"/>
  <c r="N213" i="1"/>
  <c r="M57" i="5"/>
  <c r="N57" i="5" s="1"/>
  <c r="N65" i="1"/>
  <c r="N27" i="1"/>
  <c r="N81" i="1"/>
  <c r="N72" i="1"/>
  <c r="N16" i="1"/>
  <c r="N42" i="1"/>
  <c r="N77" i="1"/>
  <c r="N32" i="1"/>
  <c r="N85" i="1"/>
  <c r="N402" i="1"/>
  <c r="N416" i="1"/>
  <c r="N420" i="1"/>
  <c r="N412" i="1"/>
  <c r="N406" i="1"/>
  <c r="M64" i="5"/>
  <c r="N64" i="5" s="1"/>
  <c r="N581" i="1"/>
  <c r="N383" i="1"/>
  <c r="N387" i="1"/>
  <c r="N389" i="1"/>
  <c r="N234" i="1"/>
  <c r="N232" i="1"/>
  <c r="N231" i="1"/>
  <c r="N229" i="1"/>
  <c r="N220" i="1"/>
  <c r="N230" i="1"/>
  <c r="N114" i="1"/>
  <c r="N193" i="1"/>
  <c r="N161" i="1"/>
  <c r="N145" i="1"/>
  <c r="N129" i="1"/>
  <c r="N97" i="1"/>
  <c r="N89" i="1"/>
  <c r="N168" i="1"/>
  <c r="N149" i="1"/>
  <c r="N117" i="1"/>
  <c r="N106" i="1"/>
  <c r="N180" i="1"/>
  <c r="N93" i="1"/>
  <c r="N157" i="1"/>
  <c r="N110" i="1"/>
  <c r="N188" i="1"/>
  <c r="N172" i="1"/>
  <c r="N449" i="1"/>
  <c r="N472" i="1"/>
  <c r="N455" i="1"/>
  <c r="N492" i="1"/>
  <c r="N499" i="1"/>
  <c r="N445" i="1"/>
  <c r="N453" i="1"/>
  <c r="N409" i="1"/>
  <c r="N401" i="1"/>
  <c r="N415" i="1"/>
  <c r="N419" i="1"/>
  <c r="N405" i="1"/>
  <c r="N422" i="1"/>
  <c r="M116" i="5"/>
  <c r="N116" i="5" s="1"/>
  <c r="N178" i="1"/>
  <c r="N154" i="1"/>
  <c r="N138" i="1"/>
  <c r="N130" i="1"/>
  <c r="N185" i="1"/>
  <c r="N121" i="1"/>
  <c r="N181" i="1"/>
  <c r="N115" i="1"/>
  <c r="N102" i="1"/>
  <c r="N142" i="1"/>
  <c r="N189" i="1"/>
  <c r="N173" i="1"/>
  <c r="N90" i="1"/>
  <c r="N98" i="1"/>
  <c r="N150" i="1"/>
  <c r="N118" i="1"/>
  <c r="M151" i="5"/>
  <c r="N151" i="5" s="1"/>
  <c r="N202" i="1"/>
  <c r="N206" i="1"/>
  <c r="N198" i="1"/>
  <c r="M174" i="5"/>
  <c r="N174" i="5" s="1"/>
  <c r="N633" i="1"/>
  <c r="N656" i="1"/>
  <c r="N640" i="1"/>
  <c r="N624" i="1"/>
  <c r="N616" i="1"/>
  <c r="N644" i="1"/>
  <c r="N636" i="1"/>
  <c r="N604" i="1"/>
  <c r="N651" i="1"/>
  <c r="N627" i="1"/>
  <c r="N619" i="1"/>
  <c r="N611" i="1"/>
  <c r="N630" i="1"/>
  <c r="N598" i="1"/>
  <c r="N653" i="1"/>
  <c r="N621" i="1"/>
  <c r="N614" i="1"/>
  <c r="M161" i="5"/>
  <c r="N161" i="5" s="1"/>
  <c r="N314" i="1"/>
  <c r="N345" i="1"/>
  <c r="N321" i="1"/>
  <c r="N368" i="1"/>
  <c r="N360" i="1"/>
  <c r="N328" i="1"/>
  <c r="N371" i="1"/>
  <c r="N331" i="1"/>
  <c r="N349" i="1"/>
  <c r="N318" i="1"/>
  <c r="N379" i="1"/>
  <c r="N374" i="1"/>
  <c r="N242" i="1"/>
  <c r="N245" i="1"/>
  <c r="N450" i="1"/>
  <c r="N473" i="1"/>
  <c r="N496" i="1"/>
  <c r="N488" i="1"/>
  <c r="N480" i="1"/>
  <c r="N456" i="1"/>
  <c r="N500" i="1"/>
  <c r="N476" i="1"/>
  <c r="N438" i="1"/>
  <c r="N462" i="1"/>
  <c r="N493" i="1"/>
  <c r="N454" i="1"/>
  <c r="N585" i="1"/>
  <c r="M169" i="5"/>
  <c r="N169" i="5" s="1"/>
  <c r="N217" i="1"/>
  <c r="N212" i="1"/>
  <c r="N211" i="1"/>
  <c r="N214" i="1"/>
  <c r="N201" i="1"/>
  <c r="N205" i="1"/>
  <c r="N352" i="1"/>
  <c r="N344" i="1"/>
  <c r="N336" i="1"/>
  <c r="N367" i="1"/>
  <c r="N317" i="1"/>
  <c r="N31" i="1"/>
  <c r="N12" i="1"/>
  <c r="N46" i="1"/>
  <c r="N19" i="1"/>
  <c r="N80" i="1"/>
  <c r="N68" i="1"/>
  <c r="N578" i="1"/>
  <c r="N583" i="1"/>
  <c r="N580" i="1"/>
  <c r="M97" i="5"/>
  <c r="N97" i="5" s="1"/>
  <c r="N538" i="1"/>
  <c r="N522" i="1"/>
  <c r="N553" i="1"/>
  <c r="N513" i="1"/>
  <c r="N519" i="1"/>
  <c r="N534" i="1"/>
  <c r="N526" i="1"/>
  <c r="N549" i="1"/>
  <c r="N542" i="1"/>
  <c r="N510" i="1"/>
  <c r="N558" i="1"/>
  <c r="N674" i="1"/>
  <c r="N688" i="1"/>
  <c r="N679" i="1"/>
  <c r="N692" i="1"/>
  <c r="N684" i="1"/>
  <c r="M135" i="5"/>
  <c r="N135" i="5" s="1"/>
  <c r="N170" i="1"/>
  <c r="N151" i="1"/>
  <c r="N143" i="1"/>
  <c r="N103" i="1"/>
  <c r="N95" i="1"/>
  <c r="N87" i="1"/>
  <c r="N131" i="1"/>
  <c r="N174" i="1"/>
  <c r="N112" i="1"/>
  <c r="N99" i="1"/>
  <c r="N155" i="1"/>
  <c r="N139" i="1"/>
  <c r="N182" i="1"/>
  <c r="M152" i="5"/>
  <c r="N152" i="5" s="1"/>
  <c r="N207" i="1"/>
  <c r="N199" i="1"/>
  <c r="N195" i="1"/>
  <c r="N203" i="1"/>
  <c r="M74" i="5"/>
  <c r="N74" i="5" s="1"/>
  <c r="N602" i="1"/>
  <c r="N641" i="1"/>
  <c r="N617" i="1"/>
  <c r="N631" i="1"/>
  <c r="N599" i="1"/>
  <c r="N628" i="1"/>
  <c r="N596" i="1"/>
  <c r="N605" i="1"/>
  <c r="N654" i="1"/>
  <c r="N622" i="1"/>
  <c r="N645" i="1"/>
  <c r="M162" i="5"/>
  <c r="N162" i="5" s="1"/>
  <c r="N346" i="1"/>
  <c r="N322" i="1"/>
  <c r="N361" i="1"/>
  <c r="N329" i="1"/>
  <c r="N312" i="1"/>
  <c r="N319" i="1"/>
  <c r="N333" i="1"/>
  <c r="N332" i="1"/>
  <c r="N365" i="1"/>
  <c r="N357" i="1"/>
  <c r="N240" i="1"/>
  <c r="N237" i="1"/>
  <c r="N584" i="1"/>
  <c r="N588" i="1"/>
  <c r="N587" i="1"/>
  <c r="N589" i="1"/>
  <c r="N665" i="1"/>
  <c r="N664" i="1"/>
  <c r="N663" i="1"/>
  <c r="N660" i="1"/>
  <c r="N667" i="1"/>
  <c r="N662" i="1"/>
  <c r="N280" i="1"/>
  <c r="N272" i="1"/>
  <c r="N264" i="1"/>
  <c r="N248" i="1"/>
  <c r="N268" i="1"/>
  <c r="N284" i="1"/>
  <c r="N260" i="1"/>
  <c r="N276" i="1"/>
  <c r="N554" i="1"/>
  <c r="N514" i="1"/>
  <c r="N520" i="1"/>
  <c r="N543" i="1"/>
  <c r="N527" i="1"/>
  <c r="N547" i="1"/>
  <c r="N531" i="1"/>
  <c r="N550" i="1"/>
  <c r="N517" i="1"/>
  <c r="N576" i="1"/>
  <c r="N559" i="1"/>
  <c r="N571" i="1"/>
  <c r="N563" i="1"/>
  <c r="N289" i="1"/>
  <c r="N311" i="1"/>
  <c r="N303" i="1"/>
  <c r="N295" i="1"/>
  <c r="N287" i="1"/>
  <c r="N307" i="1"/>
  <c r="N299" i="1"/>
  <c r="N292" i="1"/>
  <c r="N689" i="1"/>
  <c r="N680" i="1"/>
  <c r="N671" i="1"/>
  <c r="N675" i="1"/>
  <c r="N693" i="1"/>
  <c r="N685" i="1"/>
  <c r="M136" i="5"/>
  <c r="N136" i="5" s="1"/>
  <c r="N113" i="1"/>
  <c r="N105" i="1"/>
  <c r="N192" i="1"/>
  <c r="N176" i="1"/>
  <c r="N160" i="1"/>
  <c r="N152" i="1"/>
  <c r="N144" i="1"/>
  <c r="N136" i="1"/>
  <c r="N128" i="1"/>
  <c r="N183" i="1"/>
  <c r="N167" i="1"/>
  <c r="N119" i="1"/>
  <c r="N132" i="1"/>
  <c r="N179" i="1"/>
  <c r="N163" i="1"/>
  <c r="N92" i="1"/>
  <c r="N100" i="1"/>
  <c r="N156" i="1"/>
  <c r="N109" i="1"/>
  <c r="N187" i="1"/>
  <c r="N171" i="1"/>
  <c r="N123" i="1"/>
  <c r="N96" i="1"/>
  <c r="M38" i="5"/>
  <c r="N38" i="5" s="1"/>
  <c r="N200" i="1"/>
  <c r="N196" i="1"/>
  <c r="N204" i="1"/>
  <c r="M56" i="5"/>
  <c r="N56" i="5" s="1"/>
  <c r="N650" i="1"/>
  <c r="N626" i="1"/>
  <c r="N618" i="1"/>
  <c r="N594" i="1"/>
  <c r="N632" i="1"/>
  <c r="N600" i="1"/>
  <c r="N647" i="1"/>
  <c r="N639" i="1"/>
  <c r="N623" i="1"/>
  <c r="N607" i="1"/>
  <c r="N652" i="1"/>
  <c r="N620" i="1"/>
  <c r="N643" i="1"/>
  <c r="N635" i="1"/>
  <c r="N603" i="1"/>
  <c r="N629" i="1"/>
  <c r="N613" i="1"/>
  <c r="M156" i="5"/>
  <c r="N156" i="5" s="1"/>
  <c r="N370" i="1"/>
  <c r="N362" i="1"/>
  <c r="N330" i="1"/>
  <c r="N313" i="1"/>
  <c r="N320" i="1"/>
  <c r="N351" i="1"/>
  <c r="N335" i="1"/>
  <c r="N327" i="1"/>
  <c r="N355" i="1"/>
  <c r="N323" i="1"/>
  <c r="N366" i="1"/>
  <c r="N325" i="1"/>
  <c r="N364" i="1"/>
  <c r="N316" i="1"/>
  <c r="M180" i="5"/>
  <c r="N180" i="5" s="1"/>
  <c r="N378" i="1"/>
  <c r="N377" i="1"/>
  <c r="N375" i="1"/>
  <c r="N372" i="1"/>
  <c r="N241" i="1"/>
  <c r="N244" i="1"/>
  <c r="M58" i="5"/>
  <c r="N58" i="5" s="1"/>
  <c r="N84" i="1"/>
  <c r="N66" i="1"/>
  <c r="N48" i="1"/>
  <c r="N38" i="1"/>
  <c r="N82" i="1"/>
  <c r="N73" i="1"/>
  <c r="N53" i="1"/>
  <c r="N17" i="1"/>
  <c r="N61" i="1"/>
  <c r="N25" i="1"/>
  <c r="N78" i="1"/>
  <c r="N33" i="1"/>
  <c r="N86" i="1"/>
  <c r="N14" i="1"/>
  <c r="N58" i="1"/>
  <c r="N21" i="1"/>
  <c r="M419" i="5"/>
  <c r="N419" i="5" s="1"/>
  <c r="N424" i="1"/>
  <c r="N407" i="1"/>
  <c r="N393" i="1"/>
  <c r="N384" i="1"/>
  <c r="N390" i="1"/>
  <c r="N381" i="1"/>
  <c r="M332" i="5"/>
  <c r="N332" i="5" s="1"/>
  <c r="N227" i="1"/>
  <c r="N221" i="1"/>
  <c r="M163" i="5"/>
  <c r="N163" i="5" s="1"/>
  <c r="N281" i="1"/>
  <c r="N273" i="1"/>
  <c r="N265" i="1"/>
  <c r="N257" i="1"/>
  <c r="N249" i="1"/>
  <c r="N246" i="1"/>
  <c r="N261" i="1"/>
  <c r="N277" i="1"/>
  <c r="N544" i="1"/>
  <c r="N503" i="1"/>
  <c r="N540" i="1"/>
  <c r="N532" i="1"/>
  <c r="N524" i="1"/>
  <c r="N568" i="1"/>
  <c r="N560" i="1"/>
  <c r="N572" i="1"/>
  <c r="N304" i="1"/>
  <c r="N296" i="1"/>
  <c r="N300" i="1"/>
  <c r="N690" i="1"/>
  <c r="N681" i="1"/>
  <c r="N672" i="1"/>
  <c r="N668" i="1"/>
  <c r="N686" i="1"/>
  <c r="N175" i="1"/>
  <c r="N127" i="1"/>
  <c r="N104" i="1"/>
  <c r="N642" i="1"/>
  <c r="N634" i="1"/>
  <c r="N609" i="1"/>
  <c r="N606" i="1"/>
  <c r="N369" i="1"/>
  <c r="N347" i="1"/>
  <c r="N342" i="1"/>
  <c r="N358" i="1"/>
  <c r="N334" i="1"/>
  <c r="N39" i="1"/>
  <c r="N29" i="1"/>
  <c r="N83" i="1"/>
  <c r="N74" i="1"/>
  <c r="N54" i="1"/>
  <c r="N44" i="1"/>
  <c r="N26" i="1"/>
  <c r="N34" i="1"/>
  <c r="N15" i="1"/>
  <c r="N59" i="1"/>
  <c r="N22" i="1"/>
  <c r="N67" i="1"/>
  <c r="N49" i="1"/>
  <c r="N433" i="1"/>
  <c r="N425" i="1"/>
  <c r="N417" i="1"/>
  <c r="N408" i="1"/>
  <c r="N403" i="1"/>
  <c r="N413" i="1"/>
  <c r="N394" i="1"/>
  <c r="N385" i="1"/>
  <c r="N388" i="1"/>
  <c r="N398" i="1"/>
  <c r="N228" i="1"/>
  <c r="N222" i="1"/>
  <c r="N279" i="1"/>
  <c r="N271" i="1"/>
  <c r="N255" i="1"/>
  <c r="N247" i="1"/>
  <c r="N283" i="1"/>
  <c r="N275" i="1"/>
  <c r="N267" i="1"/>
  <c r="N259" i="1"/>
  <c r="N251" i="1"/>
  <c r="M46" i="5"/>
  <c r="N46" i="5" s="1"/>
  <c r="N545" i="1"/>
  <c r="N529" i="1"/>
  <c r="N521" i="1"/>
  <c r="N552" i="1"/>
  <c r="N512" i="1"/>
  <c r="N504" i="1"/>
  <c r="N515" i="1"/>
  <c r="N541" i="1"/>
  <c r="N509" i="1"/>
  <c r="N533" i="1"/>
  <c r="N525" i="1"/>
  <c r="N518" i="1"/>
  <c r="M62" i="5"/>
  <c r="N62" i="5" s="1"/>
  <c r="N562" i="1"/>
  <c r="N557" i="1"/>
  <c r="N574" i="1"/>
  <c r="N306" i="1"/>
  <c r="N298" i="1"/>
  <c r="N288" i="1"/>
  <c r="N291" i="1"/>
  <c r="N310" i="1"/>
  <c r="N302" i="1"/>
  <c r="N294" i="1"/>
  <c r="N673" i="1"/>
  <c r="N687" i="1"/>
  <c r="N691" i="1"/>
  <c r="N683" i="1"/>
  <c r="N678" i="1"/>
  <c r="N677" i="1"/>
  <c r="M146" i="5"/>
  <c r="N146" i="5" s="1"/>
  <c r="M148" i="5"/>
  <c r="N148" i="5" s="1"/>
  <c r="M79" i="5"/>
  <c r="N79" i="5" s="1"/>
  <c r="M16" i="5"/>
  <c r="N16" i="5" s="1"/>
  <c r="M672" i="5"/>
  <c r="N672" i="5" s="1"/>
  <c r="M590" i="5"/>
  <c r="N590" i="5" s="1"/>
  <c r="M472" i="5"/>
  <c r="N472" i="5" s="1"/>
  <c r="M402" i="5"/>
  <c r="N402" i="5" s="1"/>
  <c r="M617" i="5"/>
  <c r="N617" i="5" s="1"/>
  <c r="M368" i="5"/>
  <c r="N368" i="5" s="1"/>
  <c r="M638" i="5"/>
  <c r="N638" i="5" s="1"/>
  <c r="M554" i="5"/>
  <c r="N554" i="5" s="1"/>
  <c r="M343" i="5"/>
  <c r="N343" i="5" s="1"/>
  <c r="M295" i="5"/>
  <c r="N295" i="5" s="1"/>
  <c r="M433" i="5"/>
  <c r="N433" i="5" s="1"/>
  <c r="M264" i="5"/>
  <c r="N264" i="5" s="1"/>
  <c r="M537" i="5"/>
  <c r="N537" i="5" s="1"/>
  <c r="M347" i="5"/>
  <c r="N347" i="5" s="1"/>
  <c r="M244" i="5"/>
  <c r="N244" i="5" s="1"/>
  <c r="M606" i="5"/>
  <c r="N606" i="5" s="1"/>
  <c r="M327" i="5"/>
  <c r="N327" i="5" s="1"/>
  <c r="M297" i="5"/>
  <c r="N297" i="5" s="1"/>
  <c r="M283" i="5"/>
  <c r="N283" i="5" s="1"/>
  <c r="M417" i="5"/>
  <c r="N417" i="5" s="1"/>
  <c r="M668" i="5"/>
  <c r="N668" i="5" s="1"/>
  <c r="M330" i="5"/>
  <c r="N330" i="5" s="1"/>
  <c r="M559" i="5"/>
  <c r="N559" i="5" s="1"/>
  <c r="M597" i="5"/>
  <c r="N597" i="5" s="1"/>
  <c r="M552" i="5"/>
  <c r="N552" i="5" s="1"/>
  <c r="M340" i="5"/>
  <c r="N340" i="5" s="1"/>
  <c r="M534" i="5"/>
  <c r="N534" i="5" s="1"/>
  <c r="M261" i="5"/>
  <c r="N261" i="5" s="1"/>
  <c r="M470" i="5"/>
  <c r="N470" i="5" s="1"/>
  <c r="M345" i="5"/>
  <c r="N345" i="5" s="1"/>
  <c r="M670" i="5"/>
  <c r="N670" i="5" s="1"/>
  <c r="M241" i="5"/>
  <c r="N241" i="5" s="1"/>
  <c r="M615" i="5"/>
  <c r="N615" i="5" s="1"/>
  <c r="M400" i="5"/>
  <c r="N400" i="5" s="1"/>
  <c r="M365" i="5"/>
  <c r="N365" i="5" s="1"/>
  <c r="M635" i="5"/>
  <c r="N635" i="5" s="1"/>
  <c r="M431" i="5"/>
  <c r="N431" i="5" s="1"/>
  <c r="M293" i="5"/>
  <c r="N293" i="5" s="1"/>
  <c r="M313" i="5"/>
  <c r="N313" i="5" s="1"/>
  <c r="M607" i="5"/>
  <c r="N607" i="5" s="1"/>
  <c r="M298" i="5"/>
  <c r="N298" i="5" s="1"/>
  <c r="M328" i="5"/>
  <c r="N328" i="5" s="1"/>
  <c r="M418" i="5"/>
  <c r="N418" i="5" s="1"/>
  <c r="M284" i="5"/>
  <c r="N284" i="5" s="1"/>
  <c r="M669" i="5"/>
  <c r="N669" i="5" s="1"/>
  <c r="M618" i="5"/>
  <c r="N618" i="5" s="1"/>
  <c r="M518" i="5"/>
  <c r="N518" i="5" s="1"/>
  <c r="M351" i="5"/>
  <c r="N351" i="5" s="1"/>
  <c r="M285" i="5"/>
  <c r="N285" i="5" s="1"/>
  <c r="M424" i="5"/>
  <c r="N424" i="5" s="1"/>
  <c r="M599" i="5"/>
  <c r="N599" i="5" s="1"/>
  <c r="M522" i="5"/>
  <c r="N522" i="5" s="1"/>
  <c r="M331" i="5"/>
  <c r="N331" i="5" s="1"/>
  <c r="M563" i="5"/>
  <c r="N563" i="5" s="1"/>
  <c r="M486" i="5"/>
  <c r="N486" i="5" s="1"/>
  <c r="M573" i="5"/>
  <c r="N573" i="5" s="1"/>
  <c r="M529" i="5"/>
  <c r="N529" i="5" s="1"/>
  <c r="M644" i="5"/>
  <c r="N644" i="5" s="1"/>
  <c r="M235" i="5"/>
  <c r="N235" i="5" s="1"/>
  <c r="M614" i="5"/>
  <c r="N614" i="5" s="1"/>
  <c r="M581" i="5"/>
  <c r="N581" i="5" s="1"/>
  <c r="M570" i="5"/>
  <c r="N570" i="5" s="1"/>
  <c r="M307" i="5"/>
  <c r="N307" i="5" s="1"/>
  <c r="M228" i="5"/>
  <c r="N228" i="5" s="1"/>
  <c r="M658" i="5"/>
  <c r="N658" i="5" s="1"/>
  <c r="M467" i="5"/>
  <c r="N467" i="5" s="1"/>
  <c r="M399" i="5"/>
  <c r="N399" i="5" s="1"/>
  <c r="M281" i="5"/>
  <c r="N281" i="5" s="1"/>
  <c r="M455" i="5"/>
  <c r="N455" i="5" s="1"/>
  <c r="M220" i="5"/>
  <c r="N220" i="5" s="1"/>
  <c r="M273" i="5"/>
  <c r="N273" i="5" s="1"/>
  <c r="M533" i="5"/>
  <c r="N533" i="5" s="1"/>
  <c r="M458" i="5"/>
  <c r="N458" i="5" s="1"/>
  <c r="M216" i="5"/>
  <c r="N216" i="5" s="1"/>
  <c r="M364" i="5"/>
  <c r="N364" i="5" s="1"/>
  <c r="M358" i="5"/>
  <c r="N358" i="5" s="1"/>
  <c r="M408" i="5"/>
  <c r="N408" i="5" s="1"/>
  <c r="M196" i="5"/>
  <c r="N196" i="5" s="1"/>
  <c r="M197" i="5"/>
  <c r="N197" i="5" s="1"/>
  <c r="M11" i="5"/>
  <c r="N11" i="5" s="1"/>
  <c r="M15" i="5"/>
  <c r="N15" i="5" s="1"/>
  <c r="M21" i="5"/>
  <c r="N21" i="5" s="1"/>
  <c r="M27" i="5"/>
  <c r="N27" i="5" s="1"/>
  <c r="M33" i="5"/>
  <c r="N33" i="5" s="1"/>
  <c r="M44" i="5"/>
  <c r="N44" i="5" s="1"/>
  <c r="M50" i="5"/>
  <c r="N50" i="5" s="1"/>
  <c r="M85" i="5"/>
  <c r="N85" i="5" s="1"/>
  <c r="M91" i="5"/>
  <c r="N91" i="5" s="1"/>
  <c r="M102" i="5"/>
  <c r="N102" i="5" s="1"/>
  <c r="M113" i="5"/>
  <c r="N113" i="5" s="1"/>
  <c r="M120" i="5"/>
  <c r="N120" i="5" s="1"/>
  <c r="M141" i="5"/>
  <c r="N141" i="5" s="1"/>
  <c r="M166" i="5"/>
  <c r="N166" i="5" s="1"/>
  <c r="M173" i="5"/>
  <c r="N173" i="5" s="1"/>
  <c r="M179" i="5"/>
  <c r="N179" i="5" s="1"/>
  <c r="M193" i="5"/>
  <c r="N193" i="5" s="1"/>
  <c r="M39" i="5"/>
  <c r="N39" i="5" s="1"/>
  <c r="M45" i="5"/>
  <c r="N45" i="5" s="1"/>
  <c r="M51" i="5"/>
  <c r="N51" i="5" s="1"/>
  <c r="M68" i="5"/>
  <c r="N68" i="5" s="1"/>
  <c r="M80" i="5"/>
  <c r="N80" i="5" s="1"/>
  <c r="M92" i="5"/>
  <c r="N92" i="5" s="1"/>
  <c r="M103" i="5"/>
  <c r="N103" i="5" s="1"/>
  <c r="M108" i="5"/>
  <c r="N108" i="5" s="1"/>
  <c r="M114" i="5"/>
  <c r="N114" i="5" s="1"/>
  <c r="M125" i="5"/>
  <c r="N125" i="5" s="1"/>
  <c r="M130" i="5"/>
  <c r="N130" i="5" s="1"/>
  <c r="M147" i="5"/>
  <c r="N147" i="5" s="1"/>
  <c r="M186" i="5"/>
  <c r="N186" i="5" s="1"/>
  <c r="M677" i="5"/>
  <c r="N677" i="5" s="1"/>
  <c r="M624" i="5"/>
  <c r="N624" i="5" s="1"/>
  <c r="M381" i="5"/>
  <c r="N381" i="5" s="1"/>
  <c r="M232" i="5"/>
  <c r="N232" i="5" s="1"/>
  <c r="M490" i="5"/>
  <c r="N490" i="5" s="1"/>
  <c r="M655" i="5"/>
  <c r="N655" i="5" s="1"/>
  <c r="M610" i="5"/>
  <c r="N610" i="5" s="1"/>
  <c r="M538" i="5"/>
  <c r="N538" i="5" s="1"/>
  <c r="M511" i="5"/>
  <c r="N511" i="5" s="1"/>
  <c r="M349" i="5"/>
  <c r="N349" i="5" s="1"/>
  <c r="M289" i="5"/>
  <c r="N289" i="5" s="1"/>
  <c r="M603" i="5"/>
  <c r="N603" i="5" s="1"/>
  <c r="M521" i="5"/>
  <c r="N521" i="5" s="1"/>
  <c r="M319" i="5"/>
  <c r="N319" i="5" s="1"/>
  <c r="M653" i="5"/>
  <c r="N653" i="5" s="1"/>
  <c r="M619" i="5"/>
  <c r="N619" i="5" s="1"/>
  <c r="M651" i="5"/>
  <c r="N651" i="5" s="1"/>
  <c r="M375" i="5"/>
  <c r="N375" i="5" s="1"/>
  <c r="M628" i="5"/>
  <c r="N628" i="5" s="1"/>
  <c r="M650" i="5"/>
  <c r="N650" i="5" s="1"/>
  <c r="M550" i="5"/>
  <c r="N550" i="5" s="1"/>
  <c r="M406" i="5"/>
  <c r="N406" i="5" s="1"/>
  <c r="M517" i="5"/>
  <c r="N517" i="5" s="1"/>
  <c r="M476" i="5"/>
  <c r="N476" i="5" s="1"/>
  <c r="M609" i="5"/>
  <c r="N609" i="5" s="1"/>
  <c r="M468" i="5"/>
  <c r="N468" i="5" s="1"/>
  <c r="M444" i="5"/>
  <c r="N444" i="5" s="1"/>
  <c r="M276" i="5"/>
  <c r="N276" i="5" s="1"/>
  <c r="M198" i="5"/>
  <c r="N198" i="5" s="1"/>
  <c r="M324" i="5"/>
  <c r="N324" i="5" s="1"/>
  <c r="M514" i="5"/>
  <c r="N514" i="5" s="1"/>
  <c r="M312" i="5"/>
  <c r="N312" i="5" s="1"/>
  <c r="M508" i="5"/>
  <c r="N508" i="5" s="1"/>
  <c r="M484" i="5"/>
  <c r="N484" i="5" s="1"/>
  <c r="M222" i="5"/>
  <c r="N222" i="5" s="1"/>
  <c r="M462" i="5"/>
  <c r="N462" i="5" s="1"/>
  <c r="M370" i="5"/>
  <c r="N370" i="5" s="1"/>
  <c r="M535" i="5"/>
  <c r="N535" i="5" s="1"/>
  <c r="M346" i="5"/>
  <c r="N346" i="5" s="1"/>
  <c r="M471" i="5"/>
  <c r="N471" i="5" s="1"/>
  <c r="M242" i="5"/>
  <c r="N242" i="5" s="1"/>
  <c r="M671" i="5"/>
  <c r="N671" i="5" s="1"/>
  <c r="M401" i="5"/>
  <c r="N401" i="5" s="1"/>
  <c r="M366" i="5"/>
  <c r="N366" i="5" s="1"/>
  <c r="M636" i="5"/>
  <c r="N636" i="5" s="1"/>
  <c r="M553" i="5"/>
  <c r="N553" i="5" s="1"/>
  <c r="M432" i="5"/>
  <c r="N432" i="5" s="1"/>
  <c r="M341" i="5"/>
  <c r="N341" i="5" s="1"/>
  <c r="M262" i="5"/>
  <c r="N262" i="5" s="1"/>
  <c r="M666" i="5"/>
  <c r="N666" i="5" s="1"/>
  <c r="M315" i="5"/>
  <c r="N315" i="5" s="1"/>
  <c r="N223" i="1"/>
  <c r="M425" i="5"/>
  <c r="N425" i="5" s="1"/>
  <c r="M435" i="5"/>
  <c r="N435" i="5" s="1"/>
  <c r="M356" i="5"/>
  <c r="N356" i="5" s="1"/>
  <c r="M532" i="5"/>
  <c r="N532" i="5" s="1"/>
  <c r="M361" i="5"/>
  <c r="N361" i="5" s="1"/>
  <c r="M270" i="5"/>
  <c r="N270" i="5" s="1"/>
  <c r="M620" i="5"/>
  <c r="N620" i="5" s="1"/>
  <c r="M487" i="5"/>
  <c r="N487" i="5" s="1"/>
  <c r="M457" i="5"/>
  <c r="N457" i="5" s="1"/>
  <c r="M480" i="5"/>
  <c r="N480" i="5" s="1"/>
  <c r="M382" i="5"/>
  <c r="N382" i="5" s="1"/>
  <c r="M509" i="5"/>
  <c r="N509" i="5" s="1"/>
  <c r="M503" i="5"/>
  <c r="N503" i="5" s="1"/>
  <c r="M214" i="5"/>
  <c r="N214" i="5" s="1"/>
  <c r="M496" i="5"/>
  <c r="N496" i="5" s="1"/>
  <c r="M560" i="5"/>
  <c r="N560" i="5" s="1"/>
  <c r="M544" i="5"/>
  <c r="N544" i="5" s="1"/>
  <c r="M491" i="5"/>
  <c r="N491" i="5" s="1"/>
  <c r="M304" i="5"/>
  <c r="N304" i="5" s="1"/>
  <c r="M622" i="5"/>
  <c r="N622" i="5" s="1"/>
  <c r="M539" i="5"/>
  <c r="N539" i="5" s="1"/>
  <c r="M350" i="5"/>
  <c r="N350" i="5" s="1"/>
  <c r="M290" i="5"/>
  <c r="N290" i="5" s="1"/>
  <c r="M224" i="5"/>
  <c r="N224" i="5" s="1"/>
  <c r="M206" i="5"/>
  <c r="N206" i="5" s="1"/>
  <c r="M512" i="5"/>
  <c r="N512" i="5" s="1"/>
  <c r="M344" i="5"/>
  <c r="N344" i="5" s="1"/>
  <c r="M654" i="5"/>
  <c r="N654" i="5" s="1"/>
  <c r="M604" i="5"/>
  <c r="N604" i="5" s="1"/>
  <c r="M372" i="5"/>
  <c r="N372" i="5" s="1"/>
  <c r="M664" i="5"/>
  <c r="N664" i="5" s="1"/>
  <c r="M543" i="5"/>
  <c r="N543" i="5" s="1"/>
  <c r="M288" i="5"/>
  <c r="N288" i="5" s="1"/>
  <c r="M336" i="5"/>
  <c r="N336" i="5" s="1"/>
  <c r="M662" i="5"/>
  <c r="N662" i="5" s="1"/>
  <c r="M334" i="5"/>
  <c r="N334" i="5" s="1"/>
  <c r="M501" i="5"/>
  <c r="N501" i="5" s="1"/>
  <c r="M391" i="5"/>
  <c r="N391" i="5" s="1"/>
  <c r="M260" i="5"/>
  <c r="N260" i="5" s="1"/>
  <c r="M248" i="5"/>
  <c r="N248" i="5" s="1"/>
  <c r="M495" i="5"/>
  <c r="N495" i="5" s="1"/>
  <c r="M355" i="5"/>
  <c r="N355" i="5" s="1"/>
  <c r="M451" i="5"/>
  <c r="N451" i="5" s="1"/>
  <c r="M395" i="5"/>
  <c r="N395" i="5" s="1"/>
  <c r="M203" i="5"/>
  <c r="N203" i="5" s="1"/>
  <c r="M657" i="5"/>
  <c r="N657" i="5" s="1"/>
  <c r="M612" i="5"/>
  <c r="N612" i="5" s="1"/>
  <c r="M568" i="5"/>
  <c r="N568" i="5" s="1"/>
  <c r="M305" i="5"/>
  <c r="N305" i="5" s="1"/>
  <c r="M578" i="5"/>
  <c r="N578" i="5" s="1"/>
  <c r="M279" i="5"/>
  <c r="N279" i="5" s="1"/>
  <c r="M225" i="5"/>
  <c r="N225" i="5" s="1"/>
  <c r="M218" i="5"/>
  <c r="N218" i="5" s="1"/>
  <c r="M453" i="5"/>
  <c r="N453" i="5" s="1"/>
  <c r="M643" i="5"/>
  <c r="N643" i="5" s="1"/>
  <c r="M571" i="5"/>
  <c r="N571" i="5" s="1"/>
  <c r="M528" i="5"/>
  <c r="N528" i="5" s="1"/>
  <c r="M464" i="5"/>
  <c r="N464" i="5" s="1"/>
  <c r="M234" i="5"/>
  <c r="N234" i="5" s="1"/>
  <c r="M524" i="5"/>
  <c r="N524" i="5" s="1"/>
  <c r="M317" i="5"/>
  <c r="N317" i="5" s="1"/>
  <c r="M413" i="5"/>
  <c r="N413" i="5" s="1"/>
  <c r="M477" i="5"/>
  <c r="N477" i="5" s="1"/>
  <c r="M446" i="5"/>
  <c r="N446" i="5" s="1"/>
  <c r="M230" i="5"/>
  <c r="N230" i="5" s="1"/>
  <c r="M410" i="5"/>
  <c r="N410" i="5" s="1"/>
  <c r="M378" i="5"/>
  <c r="N378" i="5" s="1"/>
  <c r="M634" i="5"/>
  <c r="N634" i="5" s="1"/>
  <c r="M380" i="5"/>
  <c r="N380" i="5" s="1"/>
  <c r="M339" i="5"/>
  <c r="N339" i="5" s="1"/>
  <c r="M489" i="5"/>
  <c r="N489" i="5" s="1"/>
  <c r="M211" i="5"/>
  <c r="N211" i="5" s="1"/>
  <c r="M626" i="5"/>
  <c r="N626" i="5" s="1"/>
  <c r="M547" i="5"/>
  <c r="N547" i="5" s="1"/>
  <c r="M420" i="5"/>
  <c r="N420" i="5" s="1"/>
  <c r="M254" i="5"/>
  <c r="N254" i="5" s="1"/>
  <c r="M600" i="5"/>
  <c r="N600" i="5" s="1"/>
  <c r="M385" i="5"/>
  <c r="N385" i="5" s="1"/>
  <c r="M565" i="5"/>
  <c r="N565" i="5" s="1"/>
  <c r="M251" i="5"/>
  <c r="N251" i="5" s="1"/>
  <c r="M421" i="5"/>
  <c r="N421" i="5" s="1"/>
  <c r="M448" i="5"/>
  <c r="N448" i="5" s="1"/>
  <c r="M393" i="5"/>
  <c r="N393" i="5" s="1"/>
  <c r="M352" i="5"/>
  <c r="N352" i="5" s="1"/>
  <c r="M660" i="5"/>
  <c r="N660" i="5" s="1"/>
  <c r="M390" i="5"/>
  <c r="N390" i="5" s="1"/>
  <c r="M333" i="5"/>
  <c r="N333" i="5" s="1"/>
  <c r="M499" i="5"/>
  <c r="N499" i="5" s="1"/>
  <c r="M258" i="5"/>
  <c r="N258" i="5" s="1"/>
  <c r="M245" i="5"/>
  <c r="N245" i="5" s="1"/>
  <c r="M492" i="5"/>
  <c r="N492" i="5" s="1"/>
  <c r="M202" i="5"/>
  <c r="N202" i="5" s="1"/>
  <c r="M557" i="5"/>
  <c r="N557" i="5" s="1"/>
  <c r="M540" i="5"/>
  <c r="N540" i="5" s="1"/>
  <c r="M207" i="5"/>
  <c r="N207" i="5" s="1"/>
  <c r="M594" i="5"/>
  <c r="N594" i="5" s="1"/>
  <c r="M639" i="5"/>
  <c r="N639" i="5" s="1"/>
  <c r="M587" i="5"/>
  <c r="N587" i="5" s="1"/>
  <c r="M337" i="5"/>
  <c r="N337" i="5" s="1"/>
  <c r="M591" i="5"/>
  <c r="N591" i="5" s="1"/>
  <c r="M238" i="5"/>
  <c r="N238" i="5" s="1"/>
  <c r="M584" i="5"/>
  <c r="N584" i="5" s="1"/>
  <c r="M266" i="5"/>
  <c r="N266" i="5" s="1"/>
  <c r="M631" i="5"/>
  <c r="N631" i="5" s="1"/>
  <c r="M439" i="5"/>
  <c r="N439" i="5" s="1"/>
  <c r="M673" i="5"/>
  <c r="N673" i="5" s="1"/>
  <c r="M300" i="5"/>
  <c r="N300" i="5" s="1"/>
  <c r="M454" i="5"/>
  <c r="N454" i="5" s="1"/>
  <c r="M280" i="5"/>
  <c r="N280" i="5" s="1"/>
  <c r="M219" i="5"/>
  <c r="N219" i="5" s="1"/>
  <c r="M645" i="5"/>
  <c r="N645" i="5" s="1"/>
  <c r="M236" i="5"/>
  <c r="N236" i="5" s="1"/>
  <c r="M659" i="5"/>
  <c r="N659" i="5" s="1"/>
  <c r="M308" i="5"/>
  <c r="N308" i="5" s="1"/>
  <c r="M580" i="5"/>
  <c r="N580" i="5" s="1"/>
  <c r="M287" i="5"/>
  <c r="N287" i="5" s="1"/>
  <c r="M227" i="5"/>
  <c r="N227" i="5" s="1"/>
  <c r="M613" i="5"/>
  <c r="N613" i="5" s="1"/>
  <c r="M574" i="5"/>
  <c r="N574" i="5" s="1"/>
  <c r="M569" i="5"/>
  <c r="N569" i="5" s="1"/>
  <c r="M530" i="5"/>
  <c r="N530" i="5" s="1"/>
  <c r="M466" i="5"/>
  <c r="N466" i="5" s="1"/>
  <c r="M398" i="5"/>
  <c r="N398" i="5" s="1"/>
  <c r="M428" i="5"/>
  <c r="N428" i="5" s="1"/>
  <c r="M438" i="5"/>
  <c r="N438" i="5" s="1"/>
  <c r="M292" i="5"/>
  <c r="N292" i="5" s="1"/>
  <c r="M447" i="5"/>
  <c r="N447" i="5" s="1"/>
  <c r="M231" i="5"/>
  <c r="N231" i="5" s="1"/>
  <c r="M213" i="5"/>
  <c r="N213" i="5" s="1"/>
  <c r="M379" i="5"/>
  <c r="N379" i="5" s="1"/>
  <c r="M577" i="5"/>
  <c r="N577" i="5" s="1"/>
  <c r="M411" i="5"/>
  <c r="N411" i="5" s="1"/>
  <c r="M321" i="5"/>
  <c r="N321" i="5" s="1"/>
  <c r="M265" i="5"/>
  <c r="N265" i="5" s="1"/>
  <c r="M389" i="5"/>
  <c r="N389" i="5" s="1"/>
  <c r="M360" i="5"/>
  <c r="N360" i="5" s="1"/>
  <c r="M318" i="5"/>
  <c r="N318" i="5" s="1"/>
  <c r="M250" i="5"/>
  <c r="N250" i="5" s="1"/>
  <c r="M525" i="5"/>
  <c r="N525" i="5" s="1"/>
  <c r="M520" i="5"/>
  <c r="N520" i="5" s="1"/>
  <c r="M479" i="5"/>
  <c r="N479" i="5" s="1"/>
  <c r="M414" i="5"/>
  <c r="N414" i="5" s="1"/>
  <c r="M430" i="5"/>
  <c r="N430" i="5" s="1"/>
  <c r="M363" i="5"/>
  <c r="N363" i="5" s="1"/>
  <c r="M459" i="5"/>
  <c r="N459" i="5" s="1"/>
  <c r="M272" i="5"/>
  <c r="N272" i="5" s="1"/>
  <c r="M621" i="5"/>
  <c r="N621" i="5" s="1"/>
  <c r="M488" i="5"/>
  <c r="N488" i="5" s="1"/>
  <c r="M384" i="5"/>
  <c r="N384" i="5" s="1"/>
  <c r="M510" i="5"/>
  <c r="N510" i="5" s="1"/>
  <c r="M505" i="5"/>
  <c r="N505" i="5" s="1"/>
  <c r="M481" i="5"/>
  <c r="N481" i="5" s="1"/>
  <c r="M623" i="5"/>
  <c r="N623" i="5" s="1"/>
  <c r="M548" i="5"/>
  <c r="N548" i="5" s="1"/>
  <c r="M325" i="5"/>
  <c r="N325" i="5" s="1"/>
  <c r="M415" i="5"/>
  <c r="N415" i="5" s="1"/>
  <c r="M562" i="5"/>
  <c r="N562" i="5" s="1"/>
  <c r="M546" i="5"/>
  <c r="N546" i="5" s="1"/>
  <c r="M498" i="5"/>
  <c r="N498" i="5" s="1"/>
  <c r="M17" i="5"/>
  <c r="N17" i="5" s="1"/>
  <c r="M22" i="5"/>
  <c r="N22" i="5" s="1"/>
  <c r="M28" i="5"/>
  <c r="N28" i="5" s="1"/>
  <c r="M34" i="5"/>
  <c r="N34" i="5" s="1"/>
  <c r="M40" i="5"/>
  <c r="N40" i="5" s="1"/>
  <c r="M63" i="5"/>
  <c r="N63" i="5" s="1"/>
  <c r="M69" i="5"/>
  <c r="N69" i="5" s="1"/>
  <c r="M75" i="5"/>
  <c r="N75" i="5" s="1"/>
  <c r="M86" i="5"/>
  <c r="N86" i="5" s="1"/>
  <c r="M93" i="5"/>
  <c r="N93" i="5" s="1"/>
  <c r="M98" i="5"/>
  <c r="N98" i="5" s="1"/>
  <c r="M109" i="5"/>
  <c r="N109" i="5" s="1"/>
  <c r="M115" i="5"/>
  <c r="N115" i="5" s="1"/>
  <c r="M121" i="5"/>
  <c r="N121" i="5" s="1"/>
  <c r="M131" i="5"/>
  <c r="N131" i="5" s="1"/>
  <c r="M137" i="5"/>
  <c r="N137" i="5" s="1"/>
  <c r="M142" i="5"/>
  <c r="N142" i="5" s="1"/>
  <c r="M157" i="5"/>
  <c r="N157" i="5" s="1"/>
  <c r="M168" i="5"/>
  <c r="N168" i="5" s="1"/>
  <c r="M181" i="5"/>
  <c r="N181" i="5" s="1"/>
  <c r="M187" i="5"/>
  <c r="N187" i="5" s="1"/>
  <c r="N399" i="1"/>
  <c r="M598" i="5"/>
  <c r="N598" i="5" s="1"/>
  <c r="M675" i="5"/>
  <c r="N675" i="5" s="1"/>
  <c r="M441" i="5"/>
  <c r="N441" i="5" s="1"/>
  <c r="M633" i="5"/>
  <c r="N633" i="5" s="1"/>
  <c r="M302" i="5"/>
  <c r="N302" i="5" s="1"/>
  <c r="M586" i="5"/>
  <c r="N586" i="5" s="1"/>
  <c r="M268" i="5"/>
  <c r="N268" i="5" s="1"/>
  <c r="M436" i="5"/>
  <c r="N436" i="5" s="1"/>
  <c r="M426" i="5"/>
  <c r="N426" i="5" s="1"/>
  <c r="M357" i="5"/>
  <c r="N357" i="5" s="1"/>
  <c r="M429" i="5"/>
  <c r="N429" i="5" s="1"/>
  <c r="M362" i="5"/>
  <c r="N362" i="5" s="1"/>
  <c r="M482" i="5"/>
  <c r="N482" i="5" s="1"/>
  <c r="M271" i="5"/>
  <c r="N271" i="5" s="1"/>
  <c r="M531" i="5"/>
  <c r="N531" i="5" s="1"/>
  <c r="M383" i="5"/>
  <c r="N383" i="5" s="1"/>
  <c r="M504" i="5"/>
  <c r="N504" i="5" s="1"/>
  <c r="M456" i="5"/>
  <c r="N456" i="5" s="1"/>
  <c r="M215" i="5"/>
  <c r="N215" i="5" s="1"/>
  <c r="M497" i="5"/>
  <c r="N497" i="5" s="1"/>
  <c r="M561" i="5"/>
  <c r="N561" i="5" s="1"/>
  <c r="M545" i="5"/>
  <c r="N545" i="5" s="1"/>
  <c r="M369" i="5"/>
  <c r="N369" i="5" s="1"/>
  <c r="M12" i="5"/>
  <c r="N12" i="5" s="1"/>
  <c r="M23" i="5"/>
  <c r="N23" i="5" s="1"/>
  <c r="M29" i="5"/>
  <c r="N29" i="5" s="1"/>
  <c r="M35" i="5"/>
  <c r="N35" i="5" s="1"/>
  <c r="M41" i="5"/>
  <c r="N41" i="5" s="1"/>
  <c r="M52" i="5"/>
  <c r="N52" i="5" s="1"/>
  <c r="M81" i="5"/>
  <c r="N81" i="5" s="1"/>
  <c r="M87" i="5"/>
  <c r="N87" i="5" s="1"/>
  <c r="M99" i="5"/>
  <c r="N99" i="5" s="1"/>
  <c r="M104" i="5"/>
  <c r="N104" i="5" s="1"/>
  <c r="M126" i="5"/>
  <c r="N126" i="5" s="1"/>
  <c r="M143" i="5"/>
  <c r="N143" i="5" s="1"/>
  <c r="M153" i="5"/>
  <c r="N153" i="5" s="1"/>
  <c r="M175" i="5"/>
  <c r="N175" i="5" s="1"/>
  <c r="M188" i="5"/>
  <c r="N188" i="5" s="1"/>
  <c r="N134" i="1"/>
  <c r="M442" i="5"/>
  <c r="N442" i="5" s="1"/>
  <c r="M322" i="5"/>
  <c r="N322" i="5" s="1"/>
  <c r="M201" i="5"/>
  <c r="N201" i="5" s="1"/>
  <c r="M627" i="5"/>
  <c r="N627" i="5" s="1"/>
  <c r="M309" i="5"/>
  <c r="N309" i="5" s="1"/>
  <c r="M515" i="5"/>
  <c r="N515" i="5" s="1"/>
  <c r="M474" i="5"/>
  <c r="N474" i="5" s="1"/>
  <c r="M404" i="5"/>
  <c r="N404" i="5" s="1"/>
  <c r="M376" i="5"/>
  <c r="N376" i="5" s="1"/>
  <c r="M274" i="5"/>
  <c r="N274" i="5" s="1"/>
  <c r="M461" i="5"/>
  <c r="N461" i="5" s="1"/>
  <c r="M549" i="5"/>
  <c r="N549" i="5" s="1"/>
  <c r="M437" i="5"/>
  <c r="N437" i="5" s="1"/>
  <c r="M427" i="5"/>
  <c r="N427" i="5" s="1"/>
  <c r="M303" i="5"/>
  <c r="N303" i="5" s="1"/>
  <c r="M625" i="5"/>
  <c r="N625" i="5" s="1"/>
  <c r="M237" i="5"/>
  <c r="N237" i="5" s="1"/>
  <c r="M582" i="5"/>
  <c r="N582" i="5" s="1"/>
  <c r="M526" i="5"/>
  <c r="N526" i="5" s="1"/>
  <c r="M611" i="5"/>
  <c r="N611" i="5" s="1"/>
  <c r="M567" i="5"/>
  <c r="N567" i="5" s="1"/>
  <c r="M465" i="5"/>
  <c r="N465" i="5" s="1"/>
  <c r="M397" i="5"/>
  <c r="N397" i="5" s="1"/>
  <c r="M656" i="5"/>
  <c r="N656" i="5" s="1"/>
  <c r="M572" i="5"/>
  <c r="N572" i="5" s="1"/>
  <c r="M278" i="5"/>
  <c r="N278" i="5" s="1"/>
  <c r="M452" i="5"/>
  <c r="N452" i="5" s="1"/>
  <c r="M217" i="5"/>
  <c r="N217" i="5" s="1"/>
  <c r="M527" i="5"/>
  <c r="N527" i="5" s="1"/>
  <c r="M642" i="5"/>
  <c r="N642" i="5" s="1"/>
  <c r="M306" i="5"/>
  <c r="N306" i="5" s="1"/>
  <c r="M233" i="5"/>
  <c r="N233" i="5" s="1"/>
  <c r="M579" i="5"/>
  <c r="N579" i="5" s="1"/>
  <c r="M286" i="5"/>
  <c r="N286" i="5" s="1"/>
  <c r="M226" i="5"/>
  <c r="N226" i="5" s="1"/>
  <c r="M519" i="5"/>
  <c r="N519" i="5" s="1"/>
  <c r="M478" i="5"/>
  <c r="N478" i="5" s="1"/>
  <c r="M249" i="5"/>
  <c r="N249" i="5" s="1"/>
  <c r="M523" i="5"/>
  <c r="N523" i="5" s="1"/>
  <c r="M316" i="5"/>
  <c r="N316" i="5" s="1"/>
  <c r="M291" i="5"/>
  <c r="N291" i="5" s="1"/>
  <c r="M412" i="5"/>
  <c r="N412" i="5" s="1"/>
  <c r="M212" i="5"/>
  <c r="N212" i="5" s="1"/>
  <c r="M445" i="5"/>
  <c r="N445" i="5" s="1"/>
  <c r="M320" i="5"/>
  <c r="N320" i="5" s="1"/>
  <c r="M229" i="5"/>
  <c r="N229" i="5" s="1"/>
  <c r="M576" i="5"/>
  <c r="N576" i="5" s="1"/>
  <c r="M409" i="5"/>
  <c r="N409" i="5" s="1"/>
  <c r="M388" i="5"/>
  <c r="N388" i="5" s="1"/>
  <c r="M377" i="5"/>
  <c r="N377" i="5" s="1"/>
  <c r="M359" i="5"/>
  <c r="N359" i="5" s="1"/>
  <c r="M243" i="5"/>
  <c r="N243" i="5" s="1"/>
  <c r="M589" i="5"/>
  <c r="N589" i="5" s="1"/>
  <c r="M555" i="5"/>
  <c r="N555" i="5" s="1"/>
  <c r="M616" i="5"/>
  <c r="N616" i="5" s="1"/>
  <c r="M434" i="5"/>
  <c r="N434" i="5" s="1"/>
  <c r="M367" i="5"/>
  <c r="N367" i="5" s="1"/>
  <c r="M637" i="5"/>
  <c r="N637" i="5" s="1"/>
  <c r="M348" i="5"/>
  <c r="N348" i="5" s="1"/>
  <c r="M342" i="5"/>
  <c r="N342" i="5" s="1"/>
  <c r="M294" i="5"/>
  <c r="N294" i="5" s="1"/>
  <c r="M263" i="5"/>
  <c r="N263" i="5" s="1"/>
  <c r="M536" i="5"/>
  <c r="N536" i="5" s="1"/>
  <c r="M473" i="5"/>
  <c r="N473" i="5" s="1"/>
  <c r="M403" i="5"/>
  <c r="N403" i="5" s="1"/>
  <c r="M392" i="5"/>
  <c r="N392" i="5" s="1"/>
  <c r="M665" i="5"/>
  <c r="N665" i="5" s="1"/>
  <c r="M314" i="5"/>
  <c r="N314" i="5" s="1"/>
  <c r="M629" i="5"/>
  <c r="N629" i="5" s="1"/>
  <c r="M311" i="5"/>
  <c r="N311" i="5" s="1"/>
  <c r="M551" i="5"/>
  <c r="N551" i="5" s="1"/>
  <c r="M513" i="5"/>
  <c r="N513" i="5" s="1"/>
  <c r="M407" i="5"/>
  <c r="N407" i="5" s="1"/>
  <c r="M374" i="5"/>
  <c r="N374" i="5" s="1"/>
  <c r="M200" i="5"/>
  <c r="N200" i="5" s="1"/>
  <c r="M649" i="5"/>
  <c r="N649" i="5" s="1"/>
  <c r="M516" i="5"/>
  <c r="N516" i="5" s="1"/>
  <c r="M475" i="5"/>
  <c r="N475" i="5" s="1"/>
  <c r="M469" i="5"/>
  <c r="N469" i="5" s="1"/>
  <c r="M277" i="5"/>
  <c r="N277" i="5" s="1"/>
  <c r="M443" i="5"/>
  <c r="N443" i="5" s="1"/>
  <c r="M652" i="5"/>
  <c r="N652" i="5" s="1"/>
  <c r="M646" i="5"/>
  <c r="N646" i="5" s="1"/>
  <c r="M608" i="5"/>
  <c r="N608" i="5" s="1"/>
  <c r="M323" i="5"/>
  <c r="N323" i="5" s="1"/>
  <c r="M485" i="5"/>
  <c r="N485" i="5" s="1"/>
  <c r="M507" i="5"/>
  <c r="N507" i="5" s="1"/>
  <c r="M223" i="5"/>
  <c r="N223" i="5" s="1"/>
  <c r="M463" i="5"/>
  <c r="N463" i="5" s="1"/>
  <c r="M371" i="5"/>
  <c r="N371" i="5" s="1"/>
  <c r="M255" i="5"/>
  <c r="N255" i="5" s="1"/>
  <c r="M601" i="5"/>
  <c r="N601" i="5" s="1"/>
  <c r="M386" i="5"/>
  <c r="N386" i="5" s="1"/>
  <c r="M422" i="5"/>
  <c r="N422" i="5" s="1"/>
  <c r="M252" i="5"/>
  <c r="N252" i="5" s="1"/>
  <c r="M564" i="5"/>
  <c r="N564" i="5" s="1"/>
  <c r="M661" i="5"/>
  <c r="N661" i="5" s="1"/>
  <c r="M500" i="5"/>
  <c r="N500" i="5" s="1"/>
  <c r="M246" i="5"/>
  <c r="N246" i="5" s="1"/>
  <c r="M493" i="5"/>
  <c r="N493" i="5" s="1"/>
  <c r="M394" i="5"/>
  <c r="N394" i="5" s="1"/>
  <c r="M449" i="5"/>
  <c r="N449" i="5" s="1"/>
  <c r="M353" i="5"/>
  <c r="N353" i="5" s="1"/>
  <c r="N597" i="1"/>
  <c r="M595" i="5"/>
  <c r="N595" i="5" s="1"/>
  <c r="M541" i="5"/>
  <c r="N541" i="5" s="1"/>
  <c r="M208" i="5"/>
  <c r="N208" i="5" s="1"/>
  <c r="M556" i="5"/>
  <c r="N556" i="5" s="1"/>
  <c r="M647" i="5"/>
  <c r="N647" i="5" s="1"/>
  <c r="M592" i="5"/>
  <c r="N592" i="5" s="1"/>
  <c r="M239" i="5"/>
  <c r="N239" i="5" s="1"/>
  <c r="M641" i="5"/>
  <c r="N641" i="5" s="1"/>
  <c r="M267" i="5"/>
  <c r="N267" i="5" s="1"/>
  <c r="M583" i="5"/>
  <c r="N583" i="5" s="1"/>
  <c r="M674" i="5"/>
  <c r="N674" i="5" s="1"/>
  <c r="M630" i="5"/>
  <c r="N630" i="5" s="1"/>
  <c r="M299" i="5"/>
  <c r="N299" i="5" s="1"/>
  <c r="M310" i="5"/>
  <c r="N310" i="5" s="1"/>
  <c r="M194" i="5"/>
  <c r="N194" i="5" s="1"/>
  <c r="M373" i="5"/>
  <c r="N373" i="5" s="1"/>
  <c r="M405" i="5"/>
  <c r="N405" i="5" s="1"/>
  <c r="M275" i="5"/>
  <c r="N275" i="5" s="1"/>
  <c r="M605" i="5"/>
  <c r="N605" i="5" s="1"/>
  <c r="M326" i="5"/>
  <c r="N326" i="5" s="1"/>
  <c r="M296" i="5"/>
  <c r="N296" i="5" s="1"/>
  <c r="M282" i="5"/>
  <c r="N282" i="5" s="1"/>
  <c r="M416" i="5"/>
  <c r="N416" i="5" s="1"/>
  <c r="M667" i="5"/>
  <c r="N667" i="5" s="1"/>
  <c r="M460" i="5"/>
  <c r="N460" i="5" s="1"/>
  <c r="M483" i="5"/>
  <c r="N483" i="5" s="1"/>
  <c r="M506" i="5"/>
  <c r="N506" i="5" s="1"/>
  <c r="M221" i="5"/>
  <c r="N221" i="5" s="1"/>
  <c r="M329" i="5"/>
  <c r="N329" i="5" s="1"/>
  <c r="N484" i="1"/>
  <c r="M566" i="5"/>
  <c r="N566" i="5" s="1"/>
  <c r="M423" i="5"/>
  <c r="N423" i="5" s="1"/>
  <c r="M253" i="5"/>
  <c r="N253" i="5" s="1"/>
  <c r="M257" i="5"/>
  <c r="N257" i="5" s="1"/>
  <c r="M602" i="5"/>
  <c r="N602" i="5" s="1"/>
  <c r="M387" i="5"/>
  <c r="N387" i="5" s="1"/>
  <c r="M256" i="5"/>
  <c r="N256" i="5" s="1"/>
  <c r="M502" i="5"/>
  <c r="N502" i="5" s="1"/>
  <c r="M335" i="5"/>
  <c r="N335" i="5" s="1"/>
  <c r="M396" i="5"/>
  <c r="N396" i="5" s="1"/>
  <c r="M259" i="5"/>
  <c r="N259" i="5" s="1"/>
  <c r="M247" i="5"/>
  <c r="N247" i="5" s="1"/>
  <c r="M494" i="5"/>
  <c r="N494" i="5" s="1"/>
  <c r="M450" i="5"/>
  <c r="N450" i="5" s="1"/>
  <c r="M354" i="5"/>
  <c r="N354" i="5" s="1"/>
  <c r="M204" i="5"/>
  <c r="N204" i="5" s="1"/>
  <c r="M663" i="5"/>
  <c r="N663" i="5" s="1"/>
  <c r="M190" i="5"/>
  <c r="N190" i="5" s="1"/>
  <c r="M558" i="5"/>
  <c r="N558" i="5" s="1"/>
  <c r="M542" i="5"/>
  <c r="N542" i="5" s="1"/>
  <c r="M209" i="5"/>
  <c r="N209" i="5" s="1"/>
  <c r="M596" i="5"/>
  <c r="N596" i="5" s="1"/>
  <c r="M640" i="5"/>
  <c r="N640" i="5" s="1"/>
  <c r="M588" i="5"/>
  <c r="N588" i="5" s="1"/>
  <c r="M338" i="5"/>
  <c r="N338" i="5" s="1"/>
  <c r="M593" i="5"/>
  <c r="N593" i="5" s="1"/>
  <c r="M648" i="5"/>
  <c r="N648" i="5" s="1"/>
  <c r="M240" i="5"/>
  <c r="N240" i="5" s="1"/>
  <c r="M585" i="5"/>
  <c r="N585" i="5" s="1"/>
  <c r="M676" i="5"/>
  <c r="N676" i="5" s="1"/>
  <c r="M632" i="5"/>
  <c r="N632" i="5" s="1"/>
  <c r="M440" i="5"/>
  <c r="N440" i="5" s="1"/>
  <c r="M301" i="5"/>
  <c r="N301" i="5" s="1"/>
  <c r="M575" i="5"/>
  <c r="N575" i="5" s="1"/>
  <c r="M269" i="5"/>
  <c r="N269" i="5" s="1"/>
  <c r="M18" i="5"/>
  <c r="N18" i="5" s="1"/>
  <c r="M24" i="5"/>
  <c r="N24" i="5" s="1"/>
  <c r="M47" i="5"/>
  <c r="N47" i="5" s="1"/>
  <c r="M53" i="5"/>
  <c r="N53" i="5" s="1"/>
  <c r="M59" i="5"/>
  <c r="N59" i="5" s="1"/>
  <c r="M65" i="5"/>
  <c r="N65" i="5" s="1"/>
  <c r="M70" i="5"/>
  <c r="N70" i="5" s="1"/>
  <c r="M76" i="5"/>
  <c r="N76" i="5" s="1"/>
  <c r="M82" i="5"/>
  <c r="N82" i="5" s="1"/>
  <c r="M94" i="5"/>
  <c r="N94" i="5" s="1"/>
  <c r="M110" i="5"/>
  <c r="N110" i="5" s="1"/>
  <c r="M117" i="5"/>
  <c r="N117" i="5" s="1"/>
  <c r="M122" i="5"/>
  <c r="N122" i="5" s="1"/>
  <c r="M127" i="5"/>
  <c r="N127" i="5" s="1"/>
  <c r="M132" i="5"/>
  <c r="N132" i="5" s="1"/>
  <c r="M138" i="5"/>
  <c r="N138" i="5" s="1"/>
  <c r="M144" i="5"/>
  <c r="N144" i="5" s="1"/>
  <c r="M158" i="5"/>
  <c r="N158" i="5" s="1"/>
  <c r="M176" i="5"/>
  <c r="N176" i="5" s="1"/>
  <c r="M182" i="5"/>
  <c r="N182" i="5" s="1"/>
  <c r="M189" i="5"/>
  <c r="N189" i="5" s="1"/>
  <c r="M199" i="5"/>
  <c r="N199" i="5" s="1"/>
  <c r="M13" i="5"/>
  <c r="N13" i="5" s="1"/>
  <c r="M19" i="5"/>
  <c r="N19" i="5" s="1"/>
  <c r="M25" i="5"/>
  <c r="N25" i="5" s="1"/>
  <c r="M30" i="5"/>
  <c r="N30" i="5" s="1"/>
  <c r="M36" i="5"/>
  <c r="N36" i="5" s="1"/>
  <c r="M42" i="5"/>
  <c r="N42" i="5" s="1"/>
  <c r="M48" i="5"/>
  <c r="N48" i="5" s="1"/>
  <c r="M71" i="5"/>
  <c r="N71" i="5" s="1"/>
  <c r="M77" i="5"/>
  <c r="N77" i="5" s="1"/>
  <c r="M83" i="5"/>
  <c r="N83" i="5" s="1"/>
  <c r="M88" i="5"/>
  <c r="N88" i="5" s="1"/>
  <c r="M95" i="5"/>
  <c r="N95" i="5" s="1"/>
  <c r="M100" i="5"/>
  <c r="N100" i="5" s="1"/>
  <c r="M105" i="5"/>
  <c r="N105" i="5" s="1"/>
  <c r="M123" i="5"/>
  <c r="N123" i="5" s="1"/>
  <c r="M128" i="5"/>
  <c r="N128" i="5" s="1"/>
  <c r="M133" i="5"/>
  <c r="N133" i="5" s="1"/>
  <c r="M139" i="5"/>
  <c r="N139" i="5" s="1"/>
  <c r="M149" i="5"/>
  <c r="N149" i="5" s="1"/>
  <c r="M154" i="5"/>
  <c r="N154" i="5" s="1"/>
  <c r="M159" i="5"/>
  <c r="N159" i="5" s="1"/>
  <c r="M164" i="5"/>
  <c r="N164" i="5" s="1"/>
  <c r="M170" i="5"/>
  <c r="N170" i="5" s="1"/>
  <c r="M177" i="5"/>
  <c r="N177" i="5" s="1"/>
  <c r="M183" i="5"/>
  <c r="N183" i="5" s="1"/>
  <c r="M205" i="5"/>
  <c r="N205" i="5" s="1"/>
  <c r="M31" i="5"/>
  <c r="N31" i="5" s="1"/>
  <c r="M37" i="5"/>
  <c r="N37" i="5" s="1"/>
  <c r="M43" i="5"/>
  <c r="N43" i="5" s="1"/>
  <c r="M49" i="5"/>
  <c r="N49" i="5" s="1"/>
  <c r="M54" i="5"/>
  <c r="N54" i="5" s="1"/>
  <c r="M60" i="5"/>
  <c r="N60" i="5" s="1"/>
  <c r="M66" i="5"/>
  <c r="N66" i="5" s="1"/>
  <c r="M72" i="5"/>
  <c r="N72" i="5" s="1"/>
  <c r="M89" i="5"/>
  <c r="N89" i="5" s="1"/>
  <c r="M101" i="5"/>
  <c r="N101" i="5" s="1"/>
  <c r="M106" i="5"/>
  <c r="N106" i="5" s="1"/>
  <c r="M111" i="5"/>
  <c r="N111" i="5" s="1"/>
  <c r="M118" i="5"/>
  <c r="N118" i="5" s="1"/>
  <c r="M140" i="5"/>
  <c r="N140" i="5" s="1"/>
  <c r="M145" i="5"/>
  <c r="N145" i="5" s="1"/>
  <c r="M155" i="5"/>
  <c r="N155" i="5" s="1"/>
  <c r="M160" i="5"/>
  <c r="N160" i="5" s="1"/>
  <c r="M165" i="5"/>
  <c r="N165" i="5" s="1"/>
  <c r="M171" i="5"/>
  <c r="N171" i="5" s="1"/>
  <c r="M184" i="5"/>
  <c r="N184" i="5" s="1"/>
  <c r="M191" i="5"/>
  <c r="N191" i="5" s="1"/>
  <c r="M210" i="5"/>
  <c r="N210" i="5" s="1"/>
  <c r="M14" i="5"/>
  <c r="N14" i="5" s="1"/>
  <c r="M20" i="5"/>
  <c r="N20" i="5" s="1"/>
  <c r="M26" i="5"/>
  <c r="N26" i="5" s="1"/>
  <c r="M32" i="5"/>
  <c r="N32" i="5" s="1"/>
  <c r="M55" i="5"/>
  <c r="N55" i="5" s="1"/>
  <c r="M61" i="5"/>
  <c r="N61" i="5" s="1"/>
  <c r="M67" i="5"/>
  <c r="N67" i="5" s="1"/>
  <c r="M73" i="5"/>
  <c r="N73" i="5" s="1"/>
  <c r="M78" i="5"/>
  <c r="N78" i="5" s="1"/>
  <c r="M84" i="5"/>
  <c r="N84" i="5" s="1"/>
  <c r="M90" i="5"/>
  <c r="N90" i="5" s="1"/>
  <c r="M96" i="5"/>
  <c r="N96" i="5" s="1"/>
  <c r="M107" i="5"/>
  <c r="N107" i="5" s="1"/>
  <c r="M112" i="5"/>
  <c r="N112" i="5" s="1"/>
  <c r="M119" i="5"/>
  <c r="N119" i="5" s="1"/>
  <c r="M124" i="5"/>
  <c r="N124" i="5" s="1"/>
  <c r="M129" i="5"/>
  <c r="N129" i="5" s="1"/>
  <c r="M134" i="5"/>
  <c r="N134" i="5" s="1"/>
  <c r="M150" i="5"/>
  <c r="N150" i="5" s="1"/>
  <c r="M172" i="5"/>
  <c r="N172" i="5" s="1"/>
  <c r="M178" i="5"/>
  <c r="N178" i="5" s="1"/>
  <c r="M185" i="5"/>
  <c r="N185" i="5" s="1"/>
  <c r="M192" i="5"/>
  <c r="N192" i="5" s="1"/>
  <c r="N458" i="1"/>
  <c r="N270" i="1"/>
  <c r="N446" i="1"/>
  <c r="N216" i="1"/>
  <c r="N135" i="1"/>
  <c r="N75" i="1"/>
  <c r="N88" i="1"/>
  <c r="N190" i="1"/>
  <c r="N141" i="1"/>
  <c r="N147" i="1"/>
  <c r="N386" i="1"/>
  <c r="N591" i="1"/>
  <c r="N209" i="1"/>
  <c r="N324" i="1"/>
  <c r="N428" i="1"/>
  <c r="N437" i="1"/>
  <c r="N666" i="1"/>
  <c r="N481" i="1"/>
  <c r="N459" i="1"/>
  <c r="N382" i="1"/>
  <c r="N343" i="1"/>
  <c r="N60" i="1"/>
  <c r="N465" i="1"/>
  <c r="N76" i="1"/>
  <c r="N57" i="1"/>
  <c r="N396" i="1"/>
  <c r="N94" i="1"/>
  <c r="N165" i="1"/>
  <c r="N508" i="1"/>
  <c r="N243" i="1"/>
  <c r="N354" i="1"/>
  <c r="N432" i="1"/>
  <c r="N657" i="1"/>
  <c r="N253" i="1"/>
  <c r="N125" i="1"/>
  <c r="N429" i="1"/>
  <c r="N579" i="1"/>
  <c r="N601" i="1"/>
  <c r="N595" i="1"/>
  <c r="N530" i="1"/>
  <c r="N658" i="1"/>
  <c r="N43" i="1"/>
  <c r="N133" i="1"/>
  <c r="N575" i="1"/>
  <c r="N107" i="1"/>
  <c r="N567" i="1"/>
  <c r="N468" i="1"/>
  <c r="N30" i="1"/>
  <c r="N162" i="1"/>
  <c r="N423" i="1"/>
  <c r="N236" i="1"/>
  <c r="N610" i="1"/>
  <c r="N341" i="1"/>
  <c r="N436" i="1"/>
  <c r="N434" i="1"/>
  <c r="N442" i="1"/>
  <c r="N483" i="1"/>
  <c r="N479" i="1"/>
  <c r="N326" i="1"/>
  <c r="N146" i="1"/>
  <c r="N194" i="1"/>
  <c r="N353" i="1"/>
  <c r="N546" i="1"/>
  <c r="N431" i="1"/>
  <c r="N490" i="1"/>
  <c r="N555" i="1"/>
  <c r="N191" i="1"/>
  <c r="N23" i="1"/>
  <c r="N338" i="1"/>
  <c r="N164" i="1"/>
  <c r="N661" i="1"/>
  <c r="N41" i="1"/>
  <c r="N478" i="1"/>
  <c r="N262" i="1"/>
  <c r="N376" i="1"/>
  <c r="N582" i="1"/>
  <c r="N153" i="1"/>
  <c r="N148" i="1"/>
  <c r="N285" i="1"/>
  <c r="N101" i="1"/>
  <c r="N126" i="1"/>
  <c r="N35" i="1"/>
  <c r="N350" i="1"/>
  <c r="N670" i="1"/>
  <c r="N561" i="1"/>
  <c r="N570" i="1"/>
  <c r="N359" i="1"/>
  <c r="N648" i="1"/>
  <c r="N282" i="1"/>
  <c r="N441" i="1"/>
  <c r="N233" i="1"/>
  <c r="N638" i="1"/>
  <c r="N373" i="1"/>
  <c r="N339" i="1"/>
  <c r="N625" i="1"/>
  <c r="N586" i="1"/>
  <c r="N166" i="1"/>
  <c r="N62" i="1"/>
  <c r="N637" i="1"/>
  <c r="N566" i="1"/>
  <c r="N411" i="1"/>
  <c r="N577" i="1"/>
  <c r="N536" i="1"/>
  <c r="N239" i="1"/>
  <c r="N421" i="1"/>
  <c r="N215" i="1"/>
  <c r="N52" i="1"/>
  <c r="N495" i="1"/>
  <c r="N122" i="1"/>
  <c r="N50" i="1"/>
  <c r="N208" i="1"/>
  <c r="N169" i="1"/>
  <c r="N159" i="1"/>
  <c r="N501" i="1"/>
  <c r="N461" i="1"/>
  <c r="N452" i="1"/>
  <c r="N615" i="1"/>
  <c r="N337" i="1"/>
  <c r="N443" i="1"/>
  <c r="N111" i="1"/>
  <c r="N511" i="1"/>
  <c r="N391" i="1"/>
  <c r="N649" i="1"/>
  <c r="N502" i="1"/>
  <c r="N36" i="1"/>
  <c r="N20" i="1"/>
  <c r="N608" i="1"/>
  <c r="N592" i="1"/>
  <c r="N224" i="1"/>
  <c r="N269" i="1"/>
  <c r="N263" i="1"/>
  <c r="N120" i="1"/>
  <c r="N186" i="1"/>
  <c r="N116" i="1"/>
  <c r="N348" i="1"/>
  <c r="N340" i="1"/>
  <c r="N427" i="1"/>
  <c r="N64" i="1"/>
  <c r="N463" i="1"/>
  <c r="N158" i="1"/>
  <c r="N539" i="1"/>
  <c r="N184" i="1"/>
  <c r="N226" i="1"/>
  <c r="N659" i="1"/>
  <c r="N475" i="1"/>
  <c r="N315" i="1"/>
  <c r="N37" i="1"/>
  <c r="N210" i="1"/>
  <c r="N250" i="1"/>
  <c r="N551" i="1"/>
  <c r="N238" i="1"/>
  <c r="N256" i="1"/>
  <c r="N137" i="1"/>
  <c r="N24" i="1"/>
  <c r="N197" i="1"/>
  <c r="N506" i="1"/>
  <c r="N523" i="1"/>
  <c r="N140" i="1"/>
  <c r="N252" i="1"/>
  <c r="N28" i="1"/>
  <c r="N537" i="1"/>
  <c r="N56" i="1"/>
  <c r="N380" i="1"/>
  <c r="N474" i="1"/>
  <c r="N548" i="1"/>
  <c r="N612" i="1"/>
  <c r="N235" i="1"/>
  <c r="N47" i="1"/>
  <c r="N363" i="1"/>
  <c r="N564" i="1"/>
  <c r="N397" i="1"/>
  <c r="N669" i="1"/>
  <c r="N590" i="1"/>
  <c r="N556" i="1"/>
  <c r="N91" i="1"/>
  <c r="N69" i="1"/>
  <c r="N505" i="1"/>
  <c r="N286" i="1"/>
  <c r="N655" i="1"/>
  <c r="N70" i="1"/>
  <c r="N79" i="1"/>
  <c r="N487" i="1"/>
  <c r="N593" i="1"/>
  <c r="N108" i="1"/>
  <c r="N507" i="1"/>
  <c r="N535" i="1"/>
  <c r="N51" i="1"/>
  <c r="N290" i="1"/>
  <c r="N177" i="1"/>
  <c r="N439" i="1"/>
  <c r="N392" i="1"/>
  <c r="N356" i="1"/>
  <c r="N516" i="1"/>
  <c r="N13" i="1"/>
  <c r="N308" i="1"/>
  <c r="N469" i="1"/>
  <c r="N124" i="1"/>
  <c r="N646" i="1" l="1"/>
  <c r="F7" i="1"/>
  <c r="F6" i="1"/>
</calcChain>
</file>

<file path=xl/sharedStrings.xml><?xml version="1.0" encoding="utf-8"?>
<sst xmlns="http://schemas.openxmlformats.org/spreadsheetml/2006/main" count="6325" uniqueCount="940">
  <si>
    <t>Worksheet Pelaporan Remunerasi Dokter Spesialis</t>
  </si>
  <si>
    <t>Lookup Data</t>
  </si>
  <si>
    <t>Bulan Pelaporan</t>
  </si>
  <si>
    <t>Januari 2023</t>
  </si>
  <si>
    <t>Februari 2023</t>
  </si>
  <si>
    <t>Maret 2023</t>
  </si>
  <si>
    <t>April 2023</t>
  </si>
  <si>
    <t>Mei 2023</t>
  </si>
  <si>
    <t>Juni 2023</t>
  </si>
  <si>
    <t>Juli 2023</t>
  </si>
  <si>
    <t>Agustus 2023</t>
  </si>
  <si>
    <t>September 2023</t>
  </si>
  <si>
    <t>Oktober 2023</t>
  </si>
  <si>
    <t>November 2023</t>
  </si>
  <si>
    <t>Desember 2023</t>
  </si>
  <si>
    <t>No</t>
  </si>
  <si>
    <t>NIK Dokter</t>
  </si>
  <si>
    <t>Nama Dokter</t>
  </si>
  <si>
    <t>Jenis Kegiatan</t>
  </si>
  <si>
    <t>Tindakan</t>
  </si>
  <si>
    <t>Intensif</t>
  </si>
  <si>
    <t>Penunjang</t>
  </si>
  <si>
    <t>Rawat Jalan</t>
  </si>
  <si>
    <t>Penjamin</t>
  </si>
  <si>
    <t>BPJS</t>
  </si>
  <si>
    <t>Non BPJS Reguler</t>
  </si>
  <si>
    <t>Non BPJS Eksekutif</t>
  </si>
  <si>
    <t>Total Jumlah Tindakan - BPJS</t>
  </si>
  <si>
    <t>Total Jumlah Tarif (Rp) - BPJS</t>
  </si>
  <si>
    <t>Total Jumlah Tindakan - Non BPJS Reguler</t>
  </si>
  <si>
    <t>Total Jumlah Tarif (Rp) - Non BPJS Reguler</t>
  </si>
  <si>
    <t>Total Jumlah Tindakan - Non BPJS Eksekutif</t>
  </si>
  <si>
    <t>Total Jumlah Tarif (Rp) - Non BPJS Eksekutif</t>
  </si>
  <si>
    <t>Target Layanan BPJS</t>
  </si>
  <si>
    <t>Nama Rumah Sakit</t>
  </si>
  <si>
    <t>RS Umum Pusat H. Adam Malik</t>
  </si>
  <si>
    <t>RSUP Dr. M. Djamil</t>
  </si>
  <si>
    <t>RS Otak DR. Drs. M. Hatta Bukittinggi</t>
  </si>
  <si>
    <t>RS Umum Pusat Dr. Rivai Abdullah</t>
  </si>
  <si>
    <t>RS Umum Pusat Dr. Mohammad Hoesin Palembang</t>
  </si>
  <si>
    <t>RSUP Fatmawati</t>
  </si>
  <si>
    <t>RSUP Persahabatan</t>
  </si>
  <si>
    <t>RS Pusat Otak Nasional Prof DR. dr. Mahar Mardjono</t>
  </si>
  <si>
    <t>RSDC Wisma Haji A (RS Kanker Dharmais)</t>
  </si>
  <si>
    <t>RS Ketergantungan Obat</t>
  </si>
  <si>
    <t>RSDC Wisma Haji B (RSJP Harapan Kita)</t>
  </si>
  <si>
    <t>RSDC Wisma Haji C (RS Pusat Otak Nasional)</t>
  </si>
  <si>
    <t>RSDC Wisma Haji D (RS Jiwa Dr. H. Marzoeki Mahdi)</t>
  </si>
  <si>
    <t>RSUPN Dr. Cipto Mangunkusumo</t>
  </si>
  <si>
    <t>RS Jiwa Dr. Soeharto Heerjan</t>
  </si>
  <si>
    <t>RS Kanker Dharmais</t>
  </si>
  <si>
    <t>RS Anak dan Bunda Harapan Kita</t>
  </si>
  <si>
    <t>RS Jantung dan Pembuluh Darah Harapan Kita</t>
  </si>
  <si>
    <t>RS Penyakit Infeksi Prof. Dr. Sulianti Saroso</t>
  </si>
  <si>
    <t>RS Paru Dr. M. Goenawan Partowidigdo</t>
  </si>
  <si>
    <t>RS Jiwa dr. H. Marzoeki Mahdi</t>
  </si>
  <si>
    <t>RS Umum Pusat Dr. Hasan Sadikin</t>
  </si>
  <si>
    <t>RS Khusus Mata Cicendo</t>
  </si>
  <si>
    <t>RS Paru Dr. H. A. Rotinsulu</t>
  </si>
  <si>
    <t>RS Umum Pusat Dr. Soeradji Tirtonegoro</t>
  </si>
  <si>
    <t>RS Orthopedi Prof. Dr. R. Soeharso</t>
  </si>
  <si>
    <t>RS Jiwa Prof. Dr. Soerojo</t>
  </si>
  <si>
    <t>RS Umum Pusat Surakarta</t>
  </si>
  <si>
    <t>RS Paru Dr. Ario Wirawan</t>
  </si>
  <si>
    <t>RS Umum Pusat Dr. Kariadi</t>
  </si>
  <si>
    <t>RSUP Dr. Sardjito</t>
  </si>
  <si>
    <t>RS Jiwa Dr. Radjiman Wediodiningrat Lawang</t>
  </si>
  <si>
    <t>RSUP Dr. Sitanala Tangerang</t>
  </si>
  <si>
    <t>RSUP Prof. Dr. I.G.N.G. Ngoerah</t>
  </si>
  <si>
    <t>RS Umum Pusat dr. Ben Mboi</t>
  </si>
  <si>
    <t>RSU Ratatotok Buyat</t>
  </si>
  <si>
    <t>RSUP Prof. Dr. R. D. Kandou</t>
  </si>
  <si>
    <t>RS Mata Makassar</t>
  </si>
  <si>
    <t>RS Dr. Tadjuddin Chalid, MPH</t>
  </si>
  <si>
    <t>Balai Besar Kesehatan Paru Masyarakat Makassar</t>
  </si>
  <si>
    <t>RSUP Dr. Wahidin Sudirohusodo</t>
  </si>
  <si>
    <t>RS Umum Pusat Dr. Johannes Leimena Ambon</t>
  </si>
  <si>
    <t>Kode Rumah Sakit</t>
  </si>
  <si>
    <t>1275655</t>
  </si>
  <si>
    <t>1371010</t>
  </si>
  <si>
    <t>1375036</t>
  </si>
  <si>
    <t>1671072</t>
  </si>
  <si>
    <t>1671013</t>
  </si>
  <si>
    <t>3171012</t>
  </si>
  <si>
    <t>3172013</t>
  </si>
  <si>
    <t>3172749</t>
  </si>
  <si>
    <t>3172900S</t>
  </si>
  <si>
    <t>3171435</t>
  </si>
  <si>
    <t>3172901S</t>
  </si>
  <si>
    <t>3172902S</t>
  </si>
  <si>
    <t>3172903S</t>
  </si>
  <si>
    <t>3173014</t>
  </si>
  <si>
    <t>3174041</t>
  </si>
  <si>
    <t>3174063</t>
  </si>
  <si>
    <t>3174260</t>
  </si>
  <si>
    <t>3174282</t>
  </si>
  <si>
    <t>3175064</t>
  </si>
  <si>
    <t>3201024</t>
  </si>
  <si>
    <t>3271046</t>
  </si>
  <si>
    <t>3273015</t>
  </si>
  <si>
    <t>3273191</t>
  </si>
  <si>
    <t>3273201</t>
  </si>
  <si>
    <t>3310015</t>
  </si>
  <si>
    <t>3372063</t>
  </si>
  <si>
    <t>3371040</t>
  </si>
  <si>
    <t>3372201</t>
  </si>
  <si>
    <t>3373042</t>
  </si>
  <si>
    <t>3374010</t>
  </si>
  <si>
    <t>3404015</t>
  </si>
  <si>
    <t>3507026</t>
  </si>
  <si>
    <t>3671032</t>
  </si>
  <si>
    <t>5171016</t>
  </si>
  <si>
    <t>5303056</t>
  </si>
  <si>
    <t>7109028</t>
  </si>
  <si>
    <t>7171013</t>
  </si>
  <si>
    <t>7371436</t>
  </si>
  <si>
    <t>7371314</t>
  </si>
  <si>
    <t>7371121</t>
  </si>
  <si>
    <t>7371325</t>
  </si>
  <si>
    <t>7371435</t>
  </si>
  <si>
    <t>8171123</t>
  </si>
  <si>
    <t>Tipe Rumah Sakit</t>
  </si>
  <si>
    <t>Rumah Sakit Umum</t>
  </si>
  <si>
    <t>Rumah Sakit Khusus Stroke</t>
  </si>
  <si>
    <t>Rumah Sakit Khusus Otak</t>
  </si>
  <si>
    <t>RS Darurat dan Lapangan</t>
  </si>
  <si>
    <t>Rumah Sakit Ketergantungan Obat</t>
  </si>
  <si>
    <t>Rumah Sakit Khusus Jiwa</t>
  </si>
  <si>
    <t>Rumah Sakit Khusus Kanker</t>
  </si>
  <si>
    <t>Rumah Sakit Khusus Ibu dan Anak</t>
  </si>
  <si>
    <t>Rumah Sakit Khusus Jantung</t>
  </si>
  <si>
    <t>Rumah Sakit Khusus Infeksi</t>
  </si>
  <si>
    <t>Rumah Sakit Khusus Paru</t>
  </si>
  <si>
    <t>Rumah Sakit Khusus Mata</t>
  </si>
  <si>
    <t>Rumah Sakit Khusus Orthopedi</t>
  </si>
  <si>
    <t>Kode Rumah Sakit (Jangan di input Manual, Otomatis Terisi) :</t>
  </si>
  <si>
    <t>Periode Pelaporan (Silahkan Pilih dari Dropdown) :</t>
  </si>
  <si>
    <t>Nama Rumah Sakit (Silahkan Pilih dari Dropdown) :</t>
  </si>
  <si>
    <t>Tipe Rumah Sakit (Jangan di input Manual, Otomatis Terisi) :</t>
  </si>
  <si>
    <t>Pilih di kotak ini</t>
  </si>
  <si>
    <t>Otomatis terisi</t>
  </si>
  <si>
    <t>Jenis Kegiatan (Silahkan Pilih dari Dropdown)</t>
  </si>
  <si>
    <t>Capaian Layanan (Otomatis terisi)</t>
  </si>
  <si>
    <t>Kelompok Staf Medis</t>
  </si>
  <si>
    <t>Dokter Spesialis Rehabilitasi Medik (Sp.RM)</t>
  </si>
  <si>
    <t>Dokter Spesialis Ofthalmologi</t>
  </si>
  <si>
    <t>Dokter Spesialis Penyakit Dalam (Sp.PD)</t>
  </si>
  <si>
    <t>Dokter Spesialis Obstetri &amp; Ginekologi (Sp.OG)</t>
  </si>
  <si>
    <t>Dokter Spesialis Anak (Sp.A)</t>
  </si>
  <si>
    <t>Dokter Spesialis Bedah (Sp.B)</t>
  </si>
  <si>
    <t>Dokter Spesialis Radiologi (Sp.Rad)</t>
  </si>
  <si>
    <t>Dokter Spesialis Anastesiologi (Sp.An)</t>
  </si>
  <si>
    <t>Dokter Spesialis Patologi Klinik (SP.PK)</t>
  </si>
  <si>
    <t>Dokter Spesialis Patologi Anatomi (Sp.PA)</t>
  </si>
  <si>
    <t>Dokter Spesialis Okupasi (Sp.OK)</t>
  </si>
  <si>
    <t>Dokter Spesialis Penerbangan (Sp.KP)</t>
  </si>
  <si>
    <t>Dokter Spesialis Gizi Klinik (Sp.GK)</t>
  </si>
  <si>
    <t>Dokter Spesialis Bedah Thoraks Dan Kardiovaskuler (Sp.BTKV)</t>
  </si>
  <si>
    <t>Dokter Spesialis Mikrobiologi Klinik (Sp.MK)</t>
  </si>
  <si>
    <t>Dokter Spesialis Bedah Syaraf (Sp.BS)</t>
  </si>
  <si>
    <t>Dokter Spesialis Kelautan</t>
  </si>
  <si>
    <t>Dokter Spesialis Urologi (Sp.U)</t>
  </si>
  <si>
    <t>Dokter Spesialis Ilmu Kesehatan Kulit Dan Kelamin (Sp.KK)</t>
  </si>
  <si>
    <t>Dokter Spesialis Neorologi/Saraf (Sp.S)</t>
  </si>
  <si>
    <t>Dokter Spesialis Orthopedi &amp; Traumatologi (Sp.OT)</t>
  </si>
  <si>
    <t>Dokter Spesialis Paru - Pulmonologi (Sp.P)</t>
  </si>
  <si>
    <t>Dokter Spesialis Forensik (Sp.F)</t>
  </si>
  <si>
    <t>Dokter Spesialis Parasitologi Klinik (Sp.ParK)</t>
  </si>
  <si>
    <t>Dokter Spesialis Bedah Anak (Sp.BA)</t>
  </si>
  <si>
    <t>Dokter Spesialis Farmakologi Klinik (Sp.FK)</t>
  </si>
  <si>
    <t>Dokter Spesialis Kedokteran Olah Raga (Sp.KO)</t>
  </si>
  <si>
    <t>Dokter Spesialis Psikiatri - Kedokteran Jiwa (Sp.KJ)</t>
  </si>
  <si>
    <t>Dokter Spesialis Kedokteran Fisik Dan Rehabilitasi (Sp.KFR)</t>
  </si>
  <si>
    <t>Dokter Spesialis Nuklir (Sp.KN)</t>
  </si>
  <si>
    <t>Dokter Spesialis Ilmu Kesehatan THT Kl (Sp.THT-KL)</t>
  </si>
  <si>
    <t>Dokter Spesialis Bedah Plastik (Sp.BP)</t>
  </si>
  <si>
    <t>Dokter Spesialis Andrologi (Sp.And)</t>
  </si>
  <si>
    <t>Dokter Spesialis Mata (Sp.M)</t>
  </si>
  <si>
    <t>Dokter Spesialis Jantung dan Pembuluh Darah (Sp.JP)</t>
  </si>
  <si>
    <t>Dokter Spesialis Bedah Orthopedi</t>
  </si>
  <si>
    <t>Dokter Spesialis Patologi Forensik</t>
  </si>
  <si>
    <t>Dokter Spesialis Gizi Medik</t>
  </si>
  <si>
    <t>Dokter Spesialis Kedaruratan Medik - Emergency (Sp.EM)</t>
  </si>
  <si>
    <t>Dokter Spesialis Akupunktur Klinik (Sp.Ak)</t>
  </si>
  <si>
    <t>Dokter Spesialis Onkologi Radiasi (Sp.Onk.Rad)</t>
  </si>
  <si>
    <t>Dokter Spesialis Lainnya yang belum tercantum</t>
  </si>
  <si>
    <t>Dokter Spesialis Radioterapi</t>
  </si>
  <si>
    <t>Dokter Spesialis Anastesi - Konsultan Neuro Anastesi (AN-KNA)</t>
  </si>
  <si>
    <t>Dokter Spesialis Bedah Konsultan Vaskuler (Sp. B Vaskular)</t>
  </si>
  <si>
    <t>Kelompok Staf Medis (Silahkan Pilih dari Dropdown)</t>
  </si>
  <si>
    <t>Visitase</t>
  </si>
  <si>
    <t>Visitase Berdasarkan Jumlah Pasien</t>
  </si>
  <si>
    <t>3174072609690004</t>
  </si>
  <si>
    <t>3174062708610002</t>
  </si>
  <si>
    <t>3174062301590001</t>
  </si>
  <si>
    <t>3175032002750005</t>
  </si>
  <si>
    <t>3175027001630002</t>
  </si>
  <si>
    <t>3175096804770001</t>
  </si>
  <si>
    <t>3175032701760006</t>
  </si>
  <si>
    <t>3173021209580002</t>
  </si>
  <si>
    <t>3174040806670010</t>
  </si>
  <si>
    <t>3175021807700006</t>
  </si>
  <si>
    <t>3275082107620011</t>
  </si>
  <si>
    <t>3174060708720008</t>
  </si>
  <si>
    <t>3175021508660004</t>
  </si>
  <si>
    <t>3174054101650022</t>
  </si>
  <si>
    <t>3174064205580001</t>
  </si>
  <si>
    <t>3171071812600002</t>
  </si>
  <si>
    <t>3275102307640003</t>
  </si>
  <si>
    <t>3174061110670004</t>
  </si>
  <si>
    <t>3276041105600002</t>
  </si>
  <si>
    <t>3175023003800008</t>
  </si>
  <si>
    <t>3174072606750003</t>
  </si>
  <si>
    <t>3171042608800003</t>
  </si>
  <si>
    <t>3175040704760008</t>
  </si>
  <si>
    <t>3172011002831002</t>
  </si>
  <si>
    <t>3174056106800005</t>
  </si>
  <si>
    <t>3276106401640004</t>
  </si>
  <si>
    <t>3171062711650005</t>
  </si>
  <si>
    <t>3174042712650001</t>
  </si>
  <si>
    <t>3674016009670002</t>
  </si>
  <si>
    <t>3174080201630005</t>
  </si>
  <si>
    <t>3174082111630008</t>
  </si>
  <si>
    <t>3174091011580006</t>
  </si>
  <si>
    <t>3174094910790003</t>
  </si>
  <si>
    <t>3174084508630003</t>
  </si>
  <si>
    <t>3276040504610003</t>
  </si>
  <si>
    <t>3674053010600002</t>
  </si>
  <si>
    <t>3174046708660002</t>
  </si>
  <si>
    <t>3175040909750003</t>
  </si>
  <si>
    <t>3275031109790026</t>
  </si>
  <si>
    <t>3171051102620003</t>
  </si>
  <si>
    <t>3174041004680004</t>
  </si>
  <si>
    <t>3174062112780003</t>
  </si>
  <si>
    <t>3674034504770002</t>
  </si>
  <si>
    <t>3174067007660002</t>
  </si>
  <si>
    <t>3171016003760003</t>
  </si>
  <si>
    <t>3276041402780004</t>
  </si>
  <si>
    <t>3174063003740002</t>
  </si>
  <si>
    <t>3174022907760001</t>
  </si>
  <si>
    <t>3674034204720007</t>
  </si>
  <si>
    <t>3174071504790009</t>
  </si>
  <si>
    <t>3174024711790001</t>
  </si>
  <si>
    <t>3201075205770011</t>
  </si>
  <si>
    <t>3276061909700002</t>
  </si>
  <si>
    <t>3174054409630003</t>
  </si>
  <si>
    <t>3275101309740002</t>
  </si>
  <si>
    <t>3275027105660005</t>
  </si>
  <si>
    <t>3174065302630004</t>
  </si>
  <si>
    <t>3174032401610003</t>
  </si>
  <si>
    <t>3173087112730020</t>
  </si>
  <si>
    <t>3175025706630006</t>
  </si>
  <si>
    <t>3171081605650003</t>
  </si>
  <si>
    <t>3174064704580004</t>
  </si>
  <si>
    <t>3674011404660001</t>
  </si>
  <si>
    <t>3271040603600005</t>
  </si>
  <si>
    <t>3173052912670006</t>
  </si>
  <si>
    <t>3276040410780005</t>
  </si>
  <si>
    <t>3175074507790003</t>
  </si>
  <si>
    <t>3174076908760001</t>
  </si>
  <si>
    <t>3175021510750010</t>
  </si>
  <si>
    <t>2171036504669002</t>
  </si>
  <si>
    <t>3175026407710007</t>
  </si>
  <si>
    <t>3276092708600004</t>
  </si>
  <si>
    <t>3172021901790003</t>
  </si>
  <si>
    <t>3175032211710001</t>
  </si>
  <si>
    <t>3174075604580002</t>
  </si>
  <si>
    <t>3276025501630014</t>
  </si>
  <si>
    <t>3174076511580003</t>
  </si>
  <si>
    <t>3174104203580001</t>
  </si>
  <si>
    <t>3174065002670002</t>
  </si>
  <si>
    <t>3171074208640003</t>
  </si>
  <si>
    <t>3174064402720002</t>
  </si>
  <si>
    <t>3674054610600004</t>
  </si>
  <si>
    <t>3273110908840002</t>
  </si>
  <si>
    <t>3174011507740012</t>
  </si>
  <si>
    <t>3175101701750004</t>
  </si>
  <si>
    <t>3171042303750003</t>
  </si>
  <si>
    <t>3172026703780010</t>
  </si>
  <si>
    <t>3275042404620019</t>
  </si>
  <si>
    <t>3174065003670003</t>
  </si>
  <si>
    <t>3174015806640002</t>
  </si>
  <si>
    <t>3276045202690003</t>
  </si>
  <si>
    <t>3674046705600001</t>
  </si>
  <si>
    <t>3174011508870009</t>
  </si>
  <si>
    <t>3174062310860008</t>
  </si>
  <si>
    <t>3671121704810003</t>
  </si>
  <si>
    <t>3173061608850001</t>
  </si>
  <si>
    <t>3172062904870001</t>
  </si>
  <si>
    <t>3278020209780003</t>
  </si>
  <si>
    <t>3173054504850010</t>
  </si>
  <si>
    <t>3175101001860002</t>
  </si>
  <si>
    <t>3175055204810010</t>
  </si>
  <si>
    <t>3674050306820004</t>
  </si>
  <si>
    <t>3275022608830021</t>
  </si>
  <si>
    <t>5171034509820001</t>
  </si>
  <si>
    <t>3674031201780012</t>
  </si>
  <si>
    <t>3173051606740002</t>
  </si>
  <si>
    <t>3173071405800008</t>
  </si>
  <si>
    <t>1171023001710001</t>
  </si>
  <si>
    <t>3674050505850015</t>
  </si>
  <si>
    <t>3671095208830002</t>
  </si>
  <si>
    <t>3173082811790003</t>
  </si>
  <si>
    <t>2171030312869003</t>
  </si>
  <si>
    <t>3174040110890001</t>
  </si>
  <si>
    <t>3175044606770010</t>
  </si>
  <si>
    <t>3175031002850005</t>
  </si>
  <si>
    <t>3174066301890006</t>
  </si>
  <si>
    <t>3172042602670001</t>
  </si>
  <si>
    <t>3174061510670005</t>
  </si>
  <si>
    <t>3674065008650004</t>
  </si>
  <si>
    <t>3674066806610006</t>
  </si>
  <si>
    <t>3302110601820005</t>
  </si>
  <si>
    <t>3573026012800005</t>
  </si>
  <si>
    <t>3175016903750008</t>
  </si>
  <si>
    <t>3172066306830003</t>
  </si>
  <si>
    <t>3174081504610011</t>
  </si>
  <si>
    <t>3175035204800007</t>
  </si>
  <si>
    <t>3172026203800010</t>
  </si>
  <si>
    <t>3173050302750013</t>
  </si>
  <si>
    <t>3276014803620004</t>
  </si>
  <si>
    <t>3174075704620001</t>
  </si>
  <si>
    <t>3174045810730003</t>
  </si>
  <si>
    <t>3171075912641002</t>
  </si>
  <si>
    <t>3674055206590003</t>
  </si>
  <si>
    <t>3276050710620005</t>
  </si>
  <si>
    <t>3175104905640004</t>
  </si>
  <si>
    <t>3174097008590002</t>
  </si>
  <si>
    <t>3175024310770004</t>
  </si>
  <si>
    <t>3171050106740007</t>
  </si>
  <si>
    <t>3674014906780001</t>
  </si>
  <si>
    <t>3175064710760015</t>
  </si>
  <si>
    <t>7105186304860002</t>
  </si>
  <si>
    <t>3174065809700001</t>
  </si>
  <si>
    <t>3175015211820010</t>
  </si>
  <si>
    <t>3276024803720002</t>
  </si>
  <si>
    <t>2171091104830001</t>
  </si>
  <si>
    <t>3318105302860004</t>
  </si>
  <si>
    <t>1271174710770001</t>
  </si>
  <si>
    <t>7471055107690003</t>
  </si>
  <si>
    <t>3173084901810004</t>
  </si>
  <si>
    <t>3275042105600005</t>
  </si>
  <si>
    <t>3171070905800006</t>
  </si>
  <si>
    <t>3276096002700001</t>
  </si>
  <si>
    <t>3275081305840023</t>
  </si>
  <si>
    <t>3174014501740001</t>
  </si>
  <si>
    <t>3174052901850005</t>
  </si>
  <si>
    <t>3175096202850014</t>
  </si>
  <si>
    <t>3174066608600002</t>
  </si>
  <si>
    <t>3175075712851001</t>
  </si>
  <si>
    <t>3674054412750003</t>
  </si>
  <si>
    <t>3276055210680009</t>
  </si>
  <si>
    <t>3174044204780008</t>
  </si>
  <si>
    <t>3275036108860006</t>
  </si>
  <si>
    <t>3276046904870004</t>
  </si>
  <si>
    <t>3174054212780002</t>
  </si>
  <si>
    <t>3674075603831001</t>
  </si>
  <si>
    <t>7209055903850001</t>
  </si>
  <si>
    <t>3573035905800007</t>
  </si>
  <si>
    <t>3276110904840001</t>
  </si>
  <si>
    <t>3674055507840001</t>
  </si>
  <si>
    <t>3674045509840001</t>
  </si>
  <si>
    <t>3276095712760001</t>
  </si>
  <si>
    <t>3573051406840008</t>
  </si>
  <si>
    <t>3174067004810013</t>
  </si>
  <si>
    <t>3171085804830005</t>
  </si>
  <si>
    <t>3173082007860005</t>
  </si>
  <si>
    <t>3172032110850012</t>
  </si>
  <si>
    <t>3275012903880015</t>
  </si>
  <si>
    <t>3175061006840016</t>
  </si>
  <si>
    <t>3201305709850004</t>
  </si>
  <si>
    <t>3174015904800001</t>
  </si>
  <si>
    <t>3174046611840011</t>
  </si>
  <si>
    <t>3603172109830003</t>
  </si>
  <si>
    <t>3174076911670002</t>
  </si>
  <si>
    <t>1171020707810009</t>
  </si>
  <si>
    <t>3276064905780007</t>
  </si>
  <si>
    <t>3174051411660007</t>
  </si>
  <si>
    <t>7571032306770002</t>
  </si>
  <si>
    <t>7371135110730003</t>
  </si>
  <si>
    <t>7171095001770052</t>
  </si>
  <si>
    <t>3276045502780005</t>
  </si>
  <si>
    <t>3175046302800007</t>
  </si>
  <si>
    <t>1472034206870002</t>
  </si>
  <si>
    <t>Dokter Spesialis Emergency</t>
  </si>
  <si>
    <t>3175031812900007</t>
  </si>
  <si>
    <t>3674060602620010</t>
  </si>
  <si>
    <t>3174020911920004</t>
  </si>
  <si>
    <t>3275022811660005</t>
  </si>
  <si>
    <t>3174046810850004</t>
  </si>
  <si>
    <t>3174066802580002</t>
  </si>
  <si>
    <t>3674064904610008</t>
  </si>
  <si>
    <t>7371072104910010</t>
  </si>
  <si>
    <t>3174030312570003</t>
  </si>
  <si>
    <t>3174032211900002</t>
  </si>
  <si>
    <t>3174055601880001</t>
  </si>
  <si>
    <t>3674021201610002</t>
  </si>
  <si>
    <t>3201016907810007</t>
  </si>
  <si>
    <t>3174062605890004</t>
  </si>
  <si>
    <t>3276090205620001</t>
  </si>
  <si>
    <t>3174055305600003</t>
  </si>
  <si>
    <t>3217085204950020</t>
  </si>
  <si>
    <t>3175072404880015</t>
  </si>
  <si>
    <t>3275026309890028</t>
  </si>
  <si>
    <t>3174091604870008</t>
  </si>
  <si>
    <t>3372014504960002</t>
  </si>
  <si>
    <t>3674063103640002</t>
  </si>
  <si>
    <t>3175095708740003</t>
  </si>
  <si>
    <t>3275090104870006</t>
  </si>
  <si>
    <t>3276015604940001</t>
  </si>
  <si>
    <t>3175020406860011</t>
  </si>
  <si>
    <t>3174044110760017</t>
  </si>
  <si>
    <t>3174066809570001</t>
  </si>
  <si>
    <t>3174055206620002</t>
  </si>
  <si>
    <t>1371110212900003</t>
  </si>
  <si>
    <t>3276055111590011</t>
  </si>
  <si>
    <t>3671055102890005</t>
  </si>
  <si>
    <t>3174065109710007</t>
  </si>
  <si>
    <t>3174065312600002</t>
  </si>
  <si>
    <t>3175040609880007</t>
  </si>
  <si>
    <t>3174065610770001</t>
  </si>
  <si>
    <t>3173054903870004</t>
  </si>
  <si>
    <t>3276050510870003</t>
  </si>
  <si>
    <t>3276036208950001</t>
  </si>
  <si>
    <t>1207267107950003</t>
  </si>
  <si>
    <t>3174065403570001</t>
  </si>
  <si>
    <t>3175045602860001</t>
  </si>
  <si>
    <t>3276065305870001</t>
  </si>
  <si>
    <t>3174014401630003</t>
  </si>
  <si>
    <t>3201265510870005</t>
  </si>
  <si>
    <t>3171060612880004</t>
  </si>
  <si>
    <t>3174096911730002</t>
  </si>
  <si>
    <t>1408034211930001</t>
  </si>
  <si>
    <t>3175095211760003</t>
  </si>
  <si>
    <t>3175026808870011</t>
  </si>
  <si>
    <t>3175070501750005</t>
  </si>
  <si>
    <t>3674066508760002</t>
  </si>
  <si>
    <t>3374075001880001</t>
  </si>
  <si>
    <t>3275057105610006</t>
  </si>
  <si>
    <t>7371142412860002</t>
  </si>
  <si>
    <t>Achmad Faisal</t>
  </si>
  <si>
    <t>Achyar</t>
  </si>
  <si>
    <t>Ade Rohmana</t>
  </si>
  <si>
    <t>Adianto Nugroho</t>
  </si>
  <si>
    <t>Aditomo Widarso</t>
  </si>
  <si>
    <t>Aditya Rangga Putera</t>
  </si>
  <si>
    <t>Agatha Citrawati Anom</t>
  </si>
  <si>
    <t>Agus Hadi Sihabudin</t>
  </si>
  <si>
    <t>Agus Surur Asadi</t>
  </si>
  <si>
    <t>Ahmad Asroruddin Makshoem</t>
  </si>
  <si>
    <t>Ahmad Nugroho</t>
  </si>
  <si>
    <t>Ahmad Sulaiman Alwahdy</t>
  </si>
  <si>
    <t>Aidit Achmad</t>
  </si>
  <si>
    <t>Alrein Putrananda</t>
  </si>
  <si>
    <t>Amrizal Umran</t>
  </si>
  <si>
    <t>Anak Agung Arie Widyastuti</t>
  </si>
  <si>
    <t>Andi Taqwa</t>
  </si>
  <si>
    <t>Andri</t>
  </si>
  <si>
    <t>Andriani</t>
  </si>
  <si>
    <t>Andriani Putri Bestari</t>
  </si>
  <si>
    <t>Anggaditya Putra</t>
  </si>
  <si>
    <t>Anggraini Permata Sari</t>
  </si>
  <si>
    <t>Anny Setyowati</t>
  </si>
  <si>
    <t>Anti Dharmayanti</t>
  </si>
  <si>
    <t>April Yani</t>
  </si>
  <si>
    <t>Apriliana Ratnaningrum</t>
  </si>
  <si>
    <t>Arfan Mappalilu</t>
  </si>
  <si>
    <t>Arie Sulistyowati</t>
  </si>
  <si>
    <t>Arief Wibisono</t>
  </si>
  <si>
    <t>Aryan Yohanes</t>
  </si>
  <si>
    <t>Asrafi Rizki Gatam</t>
  </si>
  <si>
    <t>Asri Dwi Rachmawati</t>
  </si>
  <si>
    <t xml:space="preserve">Astri Diah Anandita </t>
  </si>
  <si>
    <t>Audy Budiarty</t>
  </si>
  <si>
    <t>Badarsyah</t>
  </si>
  <si>
    <t>Bambang Budiarto</t>
  </si>
  <si>
    <t>Bina Akura</t>
  </si>
  <si>
    <t>Bobby Setiadi Dharmawan</t>
  </si>
  <si>
    <t>Bonita Prawirodihardjo</t>
  </si>
  <si>
    <t>Brevitra Janesa Bismedi</t>
  </si>
  <si>
    <t>Budi Ario Tejo</t>
  </si>
  <si>
    <t>Caesar Khairul Wallad</t>
  </si>
  <si>
    <t>Calvin Kurnia Mulyadi</t>
  </si>
  <si>
    <t>Chamim</t>
  </si>
  <si>
    <t>Choirurrizqi</t>
  </si>
  <si>
    <t>Christa Adriane Tenges</t>
  </si>
  <si>
    <t>Claudia Hartomuljono</t>
  </si>
  <si>
    <t>Dany K Ramdhan</t>
  </si>
  <si>
    <t>Debbie Latupeirissa</t>
  </si>
  <si>
    <t>Deddy Ria Saputra</t>
  </si>
  <si>
    <t>Dedy Rahmat</t>
  </si>
  <si>
    <t>Detrianae</t>
  </si>
  <si>
    <t>Devi Arofah Mumtazah</t>
  </si>
  <si>
    <t>Dewi Intan Mayasari</t>
  </si>
  <si>
    <t>Dewi Lestarini</t>
  </si>
  <si>
    <t>Dhimas Naufal Indraprakarsa</t>
  </si>
  <si>
    <t>Diah Ari Safitri</t>
  </si>
  <si>
    <t>Diah Retno Widowati</t>
  </si>
  <si>
    <t>Dian Pitawati</t>
  </si>
  <si>
    <t>Diana Rosalina</t>
  </si>
  <si>
    <t>Didi Mardian</t>
  </si>
  <si>
    <t>Didik Librianto</t>
  </si>
  <si>
    <t>Dieby Adrisyel</t>
  </si>
  <si>
    <t>Dimas Kusnugroho Bonardo Pardede</t>
  </si>
  <si>
    <t>Dimas Radithya Boedijono</t>
  </si>
  <si>
    <t>Djati Prasetio Syamsuridzal</t>
  </si>
  <si>
    <t>Dwi Syanthi Andriasari</t>
  </si>
  <si>
    <t>Dyah Sri Puspitaningsih</t>
  </si>
  <si>
    <t>Edi Mulyana</t>
  </si>
  <si>
    <t>Eka Nurfitri</t>
  </si>
  <si>
    <t>Eka Swabhawa Uttama</t>
  </si>
  <si>
    <t>Eko Hadi Waluyojati</t>
  </si>
  <si>
    <t>Elfia Noerdin</t>
  </si>
  <si>
    <t>Elida Sari Siburian</t>
  </si>
  <si>
    <t>Elizabeth Yasmine Wardoyo</t>
  </si>
  <si>
    <t>Elsa Primadona Sulfana Putri</t>
  </si>
  <si>
    <t>Enos Hagogoan Siburian</t>
  </si>
  <si>
    <t>Erlina</t>
  </si>
  <si>
    <t>Esti Widorini</t>
  </si>
  <si>
    <t>Eva Roria Silalahi</t>
  </si>
  <si>
    <t>Fachrisal</t>
  </si>
  <si>
    <t>Fachrul Razy</t>
  </si>
  <si>
    <t>Fadhil Pratama Apriansyah</t>
  </si>
  <si>
    <t>Fadhli Ramadhan</t>
  </si>
  <si>
    <t>Faisal Mi raj</t>
  </si>
  <si>
    <t>Fara Vitantri Diah Candrani</t>
  </si>
  <si>
    <t>Farissa Luthfia</t>
  </si>
  <si>
    <t>Fatia Permata Sari</t>
  </si>
  <si>
    <t>Fatimah Hidayati</t>
  </si>
  <si>
    <t>Ferawati</t>
  </si>
  <si>
    <t>Firtantyo Adi Syahputra</t>
  </si>
  <si>
    <t>Fitriani Nasution</t>
  </si>
  <si>
    <t>Fitriany Darwis</t>
  </si>
  <si>
    <t>Flora Agustina</t>
  </si>
  <si>
    <t>Frida Agitya Putri</t>
  </si>
  <si>
    <t>Fuaddimal</t>
  </si>
  <si>
    <t>Giri Aji</t>
  </si>
  <si>
    <t>Harjo Saksomo Bajuadji</t>
  </si>
  <si>
    <t>Hastari Soekardi</t>
  </si>
  <si>
    <t>Heditya Damayanti Isbagio</t>
  </si>
  <si>
    <t>Herlina Sri Kartini</t>
  </si>
  <si>
    <t>Heru Angkoso</t>
  </si>
  <si>
    <t>I Gusti Ngurah Akwila Dwi Yundha</t>
  </si>
  <si>
    <t>I Ketut Sukarata</t>
  </si>
  <si>
    <t>Ida Ayu Made Kshanti Dharma Paramita</t>
  </si>
  <si>
    <t>Idzni Mardhiyah</t>
  </si>
  <si>
    <t>Ifael Yerosias Mauleti</t>
  </si>
  <si>
    <t>Ihsan</t>
  </si>
  <si>
    <t>Ika Sri Nurtantri</t>
  </si>
  <si>
    <t>Ika Yulieta Margaretha. P</t>
  </si>
  <si>
    <t>Ilham Ramadhan</t>
  </si>
  <si>
    <t>Iman Widya Aminata</t>
  </si>
  <si>
    <t>Ince Indra Sakti K</t>
  </si>
  <si>
    <t>Indriati M.S Tobing</t>
  </si>
  <si>
    <t>Ira Rahma Hidayati</t>
  </si>
  <si>
    <t>Irfan Deliandra</t>
  </si>
  <si>
    <t>Irianny Pudjiastuti Adjiwidjaya</t>
  </si>
  <si>
    <t>Irvan Desrizal</t>
  </si>
  <si>
    <t>Ita Pusparini Subik</t>
  </si>
  <si>
    <t>Itja Risanti</t>
  </si>
  <si>
    <t>Jamot Silitonga</t>
  </si>
  <si>
    <t>Jaya Ariheryanto Effendi</t>
  </si>
  <si>
    <t>Jerry Nasarudin</t>
  </si>
  <si>
    <t>Jeshika Febi Kusumawati</t>
  </si>
  <si>
    <t>Jimmy Sakti Nanda Berguna</t>
  </si>
  <si>
    <t>Julianti Nethasia Louhenapessy</t>
  </si>
  <si>
    <t>Kemala Dewi</t>
  </si>
  <si>
    <t>Kris Chandra Satria</t>
  </si>
  <si>
    <t>Krishna Adi Wibisana</t>
  </si>
  <si>
    <t>Krisna</t>
  </si>
  <si>
    <t>Kumalayanti Kamaludin</t>
  </si>
  <si>
    <t>Lanny Christine Gultom</t>
  </si>
  <si>
    <t>Lita Dwi Suryani</t>
  </si>
  <si>
    <t>Loli J Simanjuntak</t>
  </si>
  <si>
    <t>Ludwig Andribert Powantia Pontoh</t>
  </si>
  <si>
    <t>Lusiya Ningsih S</t>
  </si>
  <si>
    <t>Luthfi Gatam</t>
  </si>
  <si>
    <t>M. Yadi Permana</t>
  </si>
  <si>
    <t>Malvin Emeraldi</t>
  </si>
  <si>
    <t>Margaretha Gunawan</t>
  </si>
  <si>
    <t>Marina Epriliawati</t>
  </si>
  <si>
    <t>Martha Iskandar</t>
  </si>
  <si>
    <t>Maryatul Choirah</t>
  </si>
  <si>
    <t>Maysam Irawati</t>
  </si>
  <si>
    <t>Media Suprihatin</t>
  </si>
  <si>
    <t>Mei Lestari Harahap</t>
  </si>
  <si>
    <t>Mirnawaty</t>
  </si>
  <si>
    <t>Mochammad Evodia Slamet Rahardjo</t>
  </si>
  <si>
    <t>Mochammading</t>
  </si>
  <si>
    <t>Moh. Luky Satria Syahbana Marwali</t>
  </si>
  <si>
    <t>Mohamad Tiya Romli</t>
  </si>
  <si>
    <t>Muhammad Abduh</t>
  </si>
  <si>
    <t>Muhammad Azhari Taufik</t>
  </si>
  <si>
    <t>Muhammad Ikhsan Mokoagow</t>
  </si>
  <si>
    <t>Muhammad Wahyudi</t>
  </si>
  <si>
    <t>Mursid Fadli</t>
  </si>
  <si>
    <t>Nadia Dwi Insani</t>
  </si>
  <si>
    <t>Nanny Rachmat</t>
  </si>
  <si>
    <t>Nanok Edi Susilo</t>
  </si>
  <si>
    <t>Nella Abdullah</t>
  </si>
  <si>
    <t>Neza Puspita</t>
  </si>
  <si>
    <t>Ni Made Supradnyawati</t>
  </si>
  <si>
    <t>Nikko Darnindro</t>
  </si>
  <si>
    <t>Nila Kusumasari</t>
  </si>
  <si>
    <t>Novita Eka Sukma Putri</t>
  </si>
  <si>
    <t>Nur Rahma Prihantini</t>
  </si>
  <si>
    <t>Nuraini Irma Susanti</t>
  </si>
  <si>
    <t>Nursanti Subakir A.M</t>
  </si>
  <si>
    <t>Octafiandri</t>
  </si>
  <si>
    <t>Oryza Satria</t>
  </si>
  <si>
    <t>Pauline Endang Praptini Danu Subroto</t>
  </si>
  <si>
    <t>Phedy</t>
  </si>
  <si>
    <t>Pratiwi Andayani</t>
  </si>
  <si>
    <t>Pribadyo</t>
  </si>
  <si>
    <t>Purnama Fitri</t>
  </si>
  <si>
    <t>Qonitah Fadjria Nishafuri</t>
  </si>
  <si>
    <t>R. Bambang Hariyanto</t>
  </si>
  <si>
    <t>R. Devy Siahaan</t>
  </si>
  <si>
    <t>R. Toto Wibowo Noorcahyo</t>
  </si>
  <si>
    <t>Radhiyatam Mardhiyah</t>
  </si>
  <si>
    <t>Rafiqa Aulia</t>
  </si>
  <si>
    <t>Rahma Rawadisukma Cono</t>
  </si>
  <si>
    <t>Rahmah Safitri Meutia</t>
  </si>
  <si>
    <t>Rakhmawaty Zain</t>
  </si>
  <si>
    <t>Ramadhana Effendy</t>
  </si>
  <si>
    <t>Ramadina Karunia Algamar</t>
  </si>
  <si>
    <t>Rany Ayu Puspitasari</t>
  </si>
  <si>
    <t>Ratih Ayu Kusumasari</t>
  </si>
  <si>
    <t>Ratih Pahlesia</t>
  </si>
  <si>
    <t>Ratnawati Saleh</t>
  </si>
  <si>
    <t>Ratri Saumi</t>
  </si>
  <si>
    <t>Refni Muslim</t>
  </si>
  <si>
    <t>Rena Amelia Sjam</t>
  </si>
  <si>
    <t>Retno Sawitri</t>
  </si>
  <si>
    <t>Retty Widiastuti Sri Hendarniarty</t>
  </si>
  <si>
    <t>Reza Tigor Manurung</t>
  </si>
  <si>
    <t>Rezadi Satya Wardhana</t>
  </si>
  <si>
    <t>Rianita</t>
  </si>
  <si>
    <t>Rindaputri Daulay</t>
  </si>
  <si>
    <t>Rini Pramesti</t>
  </si>
  <si>
    <t>Rofi Yuldi Saunar</t>
  </si>
  <si>
    <t>Rugun Maria E. Tobing</t>
  </si>
  <si>
    <t>Rully Ferdiansyah</t>
  </si>
  <si>
    <t>Santi Sumihar Rumondang Parhusip</t>
  </si>
  <si>
    <t>Sara Ester Triatmoko</t>
  </si>
  <si>
    <t>Sarwanti</t>
  </si>
  <si>
    <t>Satria Dipo Putra Asmoro</t>
  </si>
  <si>
    <t>Sharon Loraine Samuel</t>
  </si>
  <si>
    <t>Shirley Anggraini Tunggadewi</t>
  </si>
  <si>
    <t>Shynta Dewiyana Hantogo</t>
  </si>
  <si>
    <t>Silmi Kaffah</t>
  </si>
  <si>
    <t>Silvy Daniel</t>
  </si>
  <si>
    <t>Siti Irma Mashitah</t>
  </si>
  <si>
    <t>Sri Mulyati</t>
  </si>
  <si>
    <t>Sri Wahyu Evianti</t>
  </si>
  <si>
    <t>Susana Elizabeth Rincap</t>
  </si>
  <si>
    <t>Suzan Novilia</t>
  </si>
  <si>
    <t>Syamsu Hudaya</t>
  </si>
  <si>
    <t>Sylahuddin</t>
  </si>
  <si>
    <t>Tika Prana Pramita</t>
  </si>
  <si>
    <t>Triana Puspita Dewi</t>
  </si>
  <si>
    <t>Tumpal Yansen Sihombing</t>
  </si>
  <si>
    <t>Ugi Sugiri</t>
  </si>
  <si>
    <t>Ukuh Tri Anjarsari</t>
  </si>
  <si>
    <t>Umu Istiqomah</t>
  </si>
  <si>
    <t>Usup</t>
  </si>
  <si>
    <t>Utami Purbasari</t>
  </si>
  <si>
    <t>Vera Irawany</t>
  </si>
  <si>
    <t>Vicky Riyadi</t>
  </si>
  <si>
    <t>Westri Elfilia Arthanti</t>
  </si>
  <si>
    <t>Widyastuti</t>
  </si>
  <si>
    <t>Wini Widiani</t>
  </si>
  <si>
    <t>Witra Irfan</t>
  </si>
  <si>
    <t>Y. Hari Haksanto</t>
  </si>
  <si>
    <t>Yani Damayanti</t>
  </si>
  <si>
    <t>Yanuar Kusendarto</t>
  </si>
  <si>
    <t>Yenni Hartuti</t>
  </si>
  <si>
    <t>Yohanita Adiningtyas</t>
  </si>
  <si>
    <t>Yonas Immanuel Hutasoit</t>
  </si>
  <si>
    <t>Yoshi Pratama Djaja</t>
  </si>
  <si>
    <t>Yucca Rosemeilya</t>
  </si>
  <si>
    <t>Yufanti Sujudi</t>
  </si>
  <si>
    <t>Yuniarti</t>
  </si>
  <si>
    <t>Yuri Feharsal</t>
  </si>
  <si>
    <t>Zainal Adhim</t>
  </si>
  <si>
    <t>Zulfadly Sayuti Wiyaka</t>
  </si>
  <si>
    <t>Dokter</t>
  </si>
  <si>
    <t>Dokter Gigi</t>
  </si>
  <si>
    <t>KSM Bedah</t>
  </si>
  <si>
    <t>KSM Jantung &amp; Pembuluh Darah</t>
  </si>
  <si>
    <t>KSM Anestesiologi &amp; Terapi Intensif</t>
  </si>
  <si>
    <t>KSM Obstetri &amp; Ginekologi</t>
  </si>
  <si>
    <t>KSM Bedah Saraf</t>
  </si>
  <si>
    <t>KSM Orthopaedi &amp; Traumatologi</t>
  </si>
  <si>
    <t>KSM Neurologi</t>
  </si>
  <si>
    <t>KSM Umum</t>
  </si>
  <si>
    <t>KSM Penyakit Dalam</t>
  </si>
  <si>
    <t>KSM Paru</t>
  </si>
  <si>
    <t>KSM Patologi Anatomi</t>
  </si>
  <si>
    <t>KSM Patologi Klinik</t>
  </si>
  <si>
    <t>KSM Kesehatan Anak</t>
  </si>
  <si>
    <t>KSM Kedokteran Fisik dan Rehabilitasi</t>
  </si>
  <si>
    <t>KSM Mata</t>
  </si>
  <si>
    <t>KSM Dermatologi dan Venereologi</t>
  </si>
  <si>
    <t>KSM Kesehatan Jiwa</t>
  </si>
  <si>
    <t>KSM Telinga, Hidung, Tenggorokan - Bedah Kepala Leher</t>
  </si>
  <si>
    <t>KSM Gigi &amp; Mulut</t>
  </si>
  <si>
    <t>KSM Radiologi</t>
  </si>
  <si>
    <t>KSM Gizi Klinik</t>
  </si>
  <si>
    <t>Satker</t>
  </si>
  <si>
    <t>dr. Refni Muslim, Sp.Rad (K)</t>
  </si>
  <si>
    <t>dr. Toni Agus Setiono, Sp.B</t>
  </si>
  <si>
    <t>dr. Ida Ayu Made Kshanti Dharma Paramita, Sp.PD, KEMD, FINASIM</t>
  </si>
  <si>
    <t>dr. Dyah Sri Puspitaningsih, Sp.Rad (K)</t>
  </si>
  <si>
    <t>dr. Nanny Rachmat, Sp.M</t>
  </si>
  <si>
    <t>dr. Enos Hagogoan Siburian, Sp.B(K) Onk</t>
  </si>
  <si>
    <t>dr. Ahmad Asroruddin Makshoem, Sp.BU</t>
  </si>
  <si>
    <t>dr. Nursanti Subakir A.M, Sp.Rad (K)</t>
  </si>
  <si>
    <t>Dr. dr. Luthfi Gatam, Sp.OT, K-Spine</t>
  </si>
  <si>
    <t>dr. Pauline Endang Praptini Danu Subroto, Sp.G.K</t>
  </si>
  <si>
    <t>dr. Anti Dharmayanti, Sp.PK (K)</t>
  </si>
  <si>
    <t>drg. Didi Mardian, Sp.B.M</t>
  </si>
  <si>
    <t>dr. Mei Lestari Harahap, Sp.J.P,(K), FIHA</t>
  </si>
  <si>
    <t>dr. Yani Damayanti, Sp.K.F.R</t>
  </si>
  <si>
    <t>drg. Itja Risanti, Sp.K.G</t>
  </si>
  <si>
    <t>dr. Muhammad Abduh, Sp.T.H.T.K.L</t>
  </si>
  <si>
    <t>dr. Dewi Lestarini, Sp.KK, MARS</t>
  </si>
  <si>
    <t>dr. Eka Swabhawa Uttama, Sp.B</t>
  </si>
  <si>
    <t>dr. Pribadyo, Sp.M (K), MPH</t>
  </si>
  <si>
    <t>dr. Achyar, Sp.J.P,(K),FIHA</t>
  </si>
  <si>
    <t>dr. Bambang Budiarto, Sp.B</t>
  </si>
  <si>
    <t>dr. Fachrul Razy, Sp.PD (K)</t>
  </si>
  <si>
    <t>dr. Yuniarti, Sp.N</t>
  </si>
  <si>
    <t>Dr. dr. Ludwig Andribert Powantia Pontoh, Sp.OT, K-Knee</t>
  </si>
  <si>
    <t>dr. Ramadhana Effendy, Sp.B</t>
  </si>
  <si>
    <t>dr. Andriani, Sp.F.M</t>
  </si>
  <si>
    <t>drg. Mirnawaty, Sp.Ort</t>
  </si>
  <si>
    <t>dr. Tumpal Yansen Sihombing, Sp.A</t>
  </si>
  <si>
    <t>dr. Agus Surur As'adi, Sp.OG, K-Fer</t>
  </si>
  <si>
    <t>dr. I Ketut Sukarata, Sp.KK</t>
  </si>
  <si>
    <t>dr. Y. Hari Haksanto, Sp.An</t>
  </si>
  <si>
    <t>dr. Media Suprihatin, Sp.Rad (K)</t>
  </si>
  <si>
    <t>dr. Pratiwi Andayani, Sp.A(K)</t>
  </si>
  <si>
    <t>dr. Rini Pramesti, Sp.J.P (K)</t>
  </si>
  <si>
    <t>dr. Audy Budiarty, Sp.BP-RE(K)</t>
  </si>
  <si>
    <t>dr. Nuraini Irma Susanti, Sp.A(K)</t>
  </si>
  <si>
    <t>dr. Aditomo Widarso, Sp.B, Subsp. BD (K)</t>
  </si>
  <si>
    <t>dr. Nella Abdullah, Sp.An (K), MARS</t>
  </si>
  <si>
    <t>dr. Yufanti Sujudi, Sp.KK</t>
  </si>
  <si>
    <t>dr. Maryatul Choirah, Sp.K.J</t>
  </si>
  <si>
    <t>dr. Mochammad Evodia Slamet Rahardjo, Sp.B.S</t>
  </si>
  <si>
    <t>dr. Dwi Syanthi Andriasari, Sp.P</t>
  </si>
  <si>
    <t>drg. Silvy Daniel, Sp.Ort</t>
  </si>
  <si>
    <t>dr. Kemala Dewi, Sp.M (K)</t>
  </si>
  <si>
    <t>dr. Edi Mulyana, Sp.PD, K-GEH, FINASIM</t>
  </si>
  <si>
    <t>dr. Hastari Soekardi, Sp.S</t>
  </si>
  <si>
    <t>dr. R. Bambang Hariyanto, Sp.An</t>
  </si>
  <si>
    <t>dr. R. Devy Siahaan, Sp.An, KIC</t>
  </si>
  <si>
    <t>dr. Ifael Yerosias Mauleti, Sp.PD (K), FINASIM</t>
  </si>
  <si>
    <t>dr. Neza Puspita, Sp.OG</t>
  </si>
  <si>
    <t>Dr. dr. Debbie Latupeirissa, Sp.A(K)</t>
  </si>
  <si>
    <t>dr. Eva Roria Silalahi, Sp.OG(K)</t>
  </si>
  <si>
    <t>dr. Sylahuddin, Sp.OG, K-Onk</t>
  </si>
  <si>
    <t>dr. Elida Sari Siburian, Sp.BP-RE(K)</t>
  </si>
  <si>
    <t>drg. R. Toto Wibowo Noorcahyo, Sp.Pros</t>
  </si>
  <si>
    <t>dr. Amrizal Umran, Sp.U (K)</t>
  </si>
  <si>
    <t>dr. Utami Purbasari, Sp.Rad (K)</t>
  </si>
  <si>
    <t>dr. Mochammading, Sp.A (K)</t>
  </si>
  <si>
    <t>dr. Ika Sri Nurtantri, Sp.K.J</t>
  </si>
  <si>
    <t>dr. Nanok Edi Susilo, Sp.B, Sp.BA (K)</t>
  </si>
  <si>
    <t>dr. Susana Elizabeth Rincap, Sp.An</t>
  </si>
  <si>
    <t>dr. Mohamad Tiya Romli, Sp.B.S</t>
  </si>
  <si>
    <t>dr. Arfan Mappalilu, Sp.S</t>
  </si>
  <si>
    <t>drg. Fitriany Darwis, Sp.PM, MSc. PH</t>
  </si>
  <si>
    <t>dr. Andi Taqwa, Sp.An</t>
  </si>
  <si>
    <t>dr. Witra Irfan, Sp.B (K) V</t>
  </si>
  <si>
    <t>dr. Bonita Prawirodihardjo, Sp.PA, M. Kes</t>
  </si>
  <si>
    <t>dr. Rena Amelia Sjam, Sp.K.J</t>
  </si>
  <si>
    <t>dr. Ika Yulieta Margaretha. P, Sp.S</t>
  </si>
  <si>
    <t>dr. Didik Librianto, Sp.OT, K-Spine</t>
  </si>
  <si>
    <t>dr. Rianita, M.Gizi, Sp.G.K</t>
  </si>
  <si>
    <t>dr. Santi Sumihar Rumondang Parhusip, Sp.PD, FINASIM</t>
  </si>
  <si>
    <t>dr. Rofi Yuldi Saunar, Sp.B, Subsp. BD (K)</t>
  </si>
  <si>
    <t>dr. Esti Widorini, Sp.K.F.R (K)</t>
  </si>
  <si>
    <t>dr. Zainal Adhim, Sp.T.H.T.K.L(K), Ph.D</t>
  </si>
  <si>
    <t>dr. Heditya Damayanti Isbagio, Sp.T.H.T.K.L</t>
  </si>
  <si>
    <t>dr. Vicky Riyadi, Sp.T.H.T.K.L(K)</t>
  </si>
  <si>
    <t>dr. Eka Nurfitri, Sp.A</t>
  </si>
  <si>
    <t>dr. Wini Widiani, Sp.K.F.R (K)</t>
  </si>
  <si>
    <t>dr. Shirley Anggraini Tunggadewi, Sp.OG (K), M.Kes</t>
  </si>
  <si>
    <t>dr. Harjo Saksomo Bajuadji, Sp.OG(K)</t>
  </si>
  <si>
    <t>dr. Ratri Saumi, M.Kes, Sp.G.K</t>
  </si>
  <si>
    <t>drg. Rindaputri Daulay, Sp.K.G.A</t>
  </si>
  <si>
    <t>dr. Diah Retno Widowati, Sp.J.P (K), FIHA</t>
  </si>
  <si>
    <t>dr. Ratih Pahlesia, Sp.P</t>
  </si>
  <si>
    <t>dr. Moh. Luky Satria Syahbana Marwali, Sp.OG, K-Fer</t>
  </si>
  <si>
    <t>dr. Jaya Ariheryanto Effendi, Sp.A (K)</t>
  </si>
  <si>
    <t>dr. Achmad Faisal, Sp.B.T.KV (K), FECTS, FIHA</t>
  </si>
  <si>
    <t>dr. Bina Akura, Sp.A (K)</t>
  </si>
  <si>
    <t>dr. Dany K Ramdhan, Sp.B.S</t>
  </si>
  <si>
    <t>Dr. dr. Bobby Setiadi Dharmawan, Sp.A</t>
  </si>
  <si>
    <t>dr. Fachrisal, Sp.OT, K-Spine</t>
  </si>
  <si>
    <t>Dr. dr. Dedy Rahmat, Sp.A</t>
  </si>
  <si>
    <t>dr. Diah Ari Safitri, Sp.PD, K-HOM, FINASIM</t>
  </si>
  <si>
    <t>dr. Faisal Mi'raj, Sp.OT (K)</t>
  </si>
  <si>
    <t>dr. M. Yadi Permana, Sp.B (K) Onk</t>
  </si>
  <si>
    <t>dr. Syamsu Hudaya, Sp.U (K)</t>
  </si>
  <si>
    <t>dr. Devi Arofah Mumtazah, Sp.KK</t>
  </si>
  <si>
    <t>dr. Arief Wibisono, Sp.B (K) Onk</t>
  </si>
  <si>
    <t>dr. Fara Vitantri Diah Candrani, Sp.OG, K-Onk</t>
  </si>
  <si>
    <t>dr. Jamot Silitonga, Sp.OT (K)</t>
  </si>
  <si>
    <t>dr. Reza Tigor Manurung, Sp.OG (K)</t>
  </si>
  <si>
    <t>dr. Rugun Maria E. Tobing, Sp.B.T.KV</t>
  </si>
  <si>
    <t>dr. Purnama Fitri, Sp.A.(K)</t>
  </si>
  <si>
    <t>dr. Pakasi Ronald Efraim, Sp.K.F.R (K)</t>
  </si>
  <si>
    <t>dr. Detrianae,Sp.J.P</t>
  </si>
  <si>
    <t>dr. Astri Diah Anandita , Sp.OG (K)</t>
  </si>
  <si>
    <t>dr. Vera Irawany, Sp.An, KIC</t>
  </si>
  <si>
    <t>dr. Diana Rosalina, Sp.T.H.T.K.L(K)</t>
  </si>
  <si>
    <t>dr. Widyastuti, Sp.OG</t>
  </si>
  <si>
    <t>drg. Rahma Rawadisukma Cono, M.Kes, Sp.Pros</t>
  </si>
  <si>
    <t>Dr. dr. Lanny Christine Gultom, Sp.A (K)</t>
  </si>
  <si>
    <t>dr. Fitriani Nasution, Sp.S</t>
  </si>
  <si>
    <t>dr. Yanuar Kusendarto, Sp.An</t>
  </si>
  <si>
    <t>dr. Malvin Emeraldi, Sp.OG, K-Fer</t>
  </si>
  <si>
    <t>dr. Erlina, Sp.PA</t>
  </si>
  <si>
    <t>dr. Nila Kusumasari, Sp.A.(K)</t>
  </si>
  <si>
    <t>dr. Arie Sulistyowati, Sp.A, M.Sc</t>
  </si>
  <si>
    <t>drg. Nur Rahma Prihantini, Sp.Perio</t>
  </si>
  <si>
    <t>dr. Nadia Dwi Insani, Sp.A (K)</t>
  </si>
  <si>
    <t>dr. Ade Rohmana, Sp.An</t>
  </si>
  <si>
    <t>dr. Badarsyah, Sp.An</t>
  </si>
  <si>
    <t>dr. Dian Pitawati, Sp.K.J</t>
  </si>
  <si>
    <t>dr. Yonas Immanuel Hutasoit, Sp.U (K)</t>
  </si>
  <si>
    <t>dr. Rully Ferdiansyah, Sp.T.H.T.K.L(K)</t>
  </si>
  <si>
    <t>dr. Eko Hadi Waluyojati, Sp.M</t>
  </si>
  <si>
    <t>dr. Retty Widiastuti Sri Hendarniarty, Sp.An</t>
  </si>
  <si>
    <t>dr. Mursid Fadli, Sp.B(K)V</t>
  </si>
  <si>
    <t>dr. Asri Dwi Rachmawati, Sp.B, Sp.B.A</t>
  </si>
  <si>
    <t>dr. Novita Eka Sukma Putri, Sp.M (K)</t>
  </si>
  <si>
    <t>dr. Aditya Rangga Putera, Sp.OG</t>
  </si>
  <si>
    <t>dr. Sarwanti, Sp.PA, MARS</t>
  </si>
  <si>
    <t>dr. Martha Iskandar, Sp.PD (K), FINASIM</t>
  </si>
  <si>
    <t>dr. Dimas Radithya Boedijono, Sp.OT (K)</t>
  </si>
  <si>
    <t>dr. Marina Epriliawati, Sp.PD, KEMD, FINASIM</t>
  </si>
  <si>
    <t>dr. Giri Aji, Sp.PD, FINASIM</t>
  </si>
  <si>
    <t>dr. Adianto Nugroho, Sp.B, Subsp. BD (K)</t>
  </si>
  <si>
    <t>dr. Ira Rahma Hidayati, Sp.Rad</t>
  </si>
  <si>
    <t>dr. Agatha Citrawati Anom, M.Si.Med, Sp.An</t>
  </si>
  <si>
    <t>dr. Iman Widya Aminata, Sp.OT(K)</t>
  </si>
  <si>
    <t>dr. Siti Irma Mashitah, Sp.J.P (K), FIHA</t>
  </si>
  <si>
    <t>dr. Maysam Irawati, Sp.S</t>
  </si>
  <si>
    <t>Dr. Ferawati, Sp.An</t>
  </si>
  <si>
    <t>dr. Muhammad Wahyudi, Sp.OT (K)</t>
  </si>
  <si>
    <t>dr. Lita Dwi Suryani, Sp.J.P</t>
  </si>
  <si>
    <t>drg. Ilham Ramadhan, Sp.BM</t>
  </si>
  <si>
    <t>dr. Budi Ario Tejo, Sp.J.P(K)</t>
  </si>
  <si>
    <t>dr. Ni Made Supradnyawati, Sp.An</t>
  </si>
  <si>
    <t>dr. Sharon Loraine Samuel, Sp.K.F.R (K)</t>
  </si>
  <si>
    <t>dr. Phedy, Sp.OT (K)</t>
  </si>
  <si>
    <t>dr. Ukuh Tri Anjarsari, Sp.KJ</t>
  </si>
  <si>
    <t>dr. Anggraini Permata Sari, Sp.PD, FINASIM</t>
  </si>
  <si>
    <t>dr. Elizabeth Yasmine Wardoyo, Sp.PD (K), FINASIM</t>
  </si>
  <si>
    <t>dr. Flora Agustina, Sp.B, Sp.B.A</t>
  </si>
  <si>
    <t>dr. Muhammad Azhari Taufik, Sp.An, KIC</t>
  </si>
  <si>
    <t>dr. Kris Chandra Satria, Sp.An</t>
  </si>
  <si>
    <t>dr. Ahmad Sulaiman Alwahdy, Sp.S</t>
  </si>
  <si>
    <t>dr. Andri, Sp.P</t>
  </si>
  <si>
    <t>dr. Nikko Darnindro, Sp.PD, FINASIM</t>
  </si>
  <si>
    <t>dr. Fadhli Ramadhan, Sp.J.P</t>
  </si>
  <si>
    <t>dr. Andriani Putri Bestari, Sp.S</t>
  </si>
  <si>
    <t>dr. Agus Hadi Sihabudin, Sp.B.S</t>
  </si>
  <si>
    <t>dr. Sri Wahyu Evianti, Sp.N</t>
  </si>
  <si>
    <t>dr. Retno Sawitri, Sp.F.M</t>
  </si>
  <si>
    <t>dr. Yuri Feharsal, Sp.OG</t>
  </si>
  <si>
    <t>Dr. Silmi Kaffah, Sp.P</t>
  </si>
  <si>
    <t>dr. Shynta Dewiyana Hantogo, Sp.K.F.R</t>
  </si>
  <si>
    <t>dr. Apriliana Ratnaningrum, Sp.An</t>
  </si>
  <si>
    <t>dr. Caesar Khairul Wallad, Sp.U</t>
  </si>
  <si>
    <t>dr. Oryza Satria, Sp.OT (K)</t>
  </si>
  <si>
    <t>dr. Radhiyatam Mardhiyah, Sp.PD</t>
  </si>
  <si>
    <t>dr. Jerry Nasarudin, Sp.PD, FINASIM</t>
  </si>
  <si>
    <t>drg. Tika Prana Pramita, Sp.K.G</t>
  </si>
  <si>
    <t>dr. Dimas Kusnugroho Bonardo Pardede, Sp.An</t>
  </si>
  <si>
    <t>dr. Westri Elfilia Arthanti, Sp.Rad (K)</t>
  </si>
  <si>
    <t>dr. Christa Adriane Tenges, Sp.K.F.R (K)</t>
  </si>
  <si>
    <t>dr. Aryan Yohanes, Sp.PD, FINASIM</t>
  </si>
  <si>
    <t>dr. Fatimah Hidayati, Sp.A</t>
  </si>
  <si>
    <t>Dr. Irfan Deliandra, Sp.OG</t>
  </si>
  <si>
    <t>dr. Ramadina Karunia Algamar, Sp.A</t>
  </si>
  <si>
    <t>dr. Lusiya Ningsih S, Sp.M.K</t>
  </si>
  <si>
    <t>dr. Widya Trianita Suwatri, Sp.BTKV</t>
  </si>
  <si>
    <t>dr. Krishna Adi Wibisana, Sp.PD, FINASIM</t>
  </si>
  <si>
    <t>dr. Jimmy Sakti Nanda Berguna, Sp.OG</t>
  </si>
  <si>
    <t>dr. Muhammad Ikhsan Mokoagow, Sp.PD, KEMD, M.Med, Sci, FINASIM</t>
  </si>
  <si>
    <t>dr. Rahmah Safitri Meutia, Sp.PD, FINASIM</t>
  </si>
  <si>
    <t>dr. I Gusti Ngurah Akwila Dwi Yundha, Sp.An</t>
  </si>
  <si>
    <t>Dr. Dieby Adrisyel, Sp.Rad (K)</t>
  </si>
  <si>
    <t>Dr. Rezadi Satya Wardhana, Sp.P</t>
  </si>
  <si>
    <t>dr. Asrafi Rizki Gatam, Sp.OT</t>
  </si>
  <si>
    <t>dr. Yoshi Pratama Djaja, Sp.OT</t>
  </si>
  <si>
    <t>dr. Anggaditya Putra, Sp.OT</t>
  </si>
  <si>
    <t>dr. Fatia Permata Sari, Sp.T.H.T</t>
  </si>
  <si>
    <t>dr. Satria Dipo Putra Asmoro, Sp.THT-KL</t>
  </si>
  <si>
    <t>dr. Ihsan, Sp.An</t>
  </si>
  <si>
    <t>dr. Krisna, Sp.Rad</t>
  </si>
  <si>
    <t>dr. Margaretha Gunawan, Sp.An</t>
  </si>
  <si>
    <t>dr. Anak Agung Arie Widyastuti, Sp.PD</t>
  </si>
  <si>
    <t>dr. Deddy Ria Saputra, Sp.A (K)</t>
  </si>
  <si>
    <t>dr. Sara Ester Triatmoko, Sp.BP-RE(K)</t>
  </si>
  <si>
    <t>dr. Farissa Luthfia, Sp.PD</t>
  </si>
  <si>
    <t>dr. Jeshika Febi Kusumawati, Sp.A</t>
  </si>
  <si>
    <t>dr. Choirurrizqi, Sp.OG</t>
  </si>
  <si>
    <t>dr. Rany Ayu Puspitasari, Sp.OG</t>
  </si>
  <si>
    <t>dr. Rakhmawaty Zain, Sp.PA</t>
  </si>
  <si>
    <t>dr. Irvan Desrizal, Sp.OG</t>
  </si>
  <si>
    <t>dr. Claudia Hartomuljono, Sp.M</t>
  </si>
  <si>
    <t>dr. Indriati M.S Tobing, Sp.K.F.R (K)</t>
  </si>
  <si>
    <t>dr. Calvin Kurnia Mulyadi, Sp.PD, MM</t>
  </si>
  <si>
    <t>dr. Fadhil Pratama Apriansyah, Sp.JP</t>
  </si>
  <si>
    <t>Dr. dr. Chamim, Sp.OG, K-Onk</t>
  </si>
  <si>
    <t>dr. Elly Watty, Sp.PK</t>
  </si>
  <si>
    <t>dr. Lidya Utami, Sp.PK (K)</t>
  </si>
  <si>
    <t>dr. Luci Liana, Sp.PK</t>
  </si>
  <si>
    <t>dr. Veronica Fridawati, Sp.PK (K)</t>
  </si>
  <si>
    <t>3674071003580002</t>
  </si>
  <si>
    <t>3201024806870003</t>
  </si>
  <si>
    <t>3174051112760003</t>
  </si>
  <si>
    <t>3175034305580006</t>
  </si>
  <si>
    <t>3175054812790002</t>
  </si>
  <si>
    <t>3172056908600004</t>
  </si>
  <si>
    <t>3175104402580007</t>
  </si>
  <si>
    <t>dr. Nia Widyanti, Sp.Ok</t>
  </si>
  <si>
    <t>dr. Annela Manurung, Sp.PD, FINASIM</t>
  </si>
  <si>
    <t>dr. Loli J Simanjuntak, Sp.PD, MARS</t>
  </si>
  <si>
    <t>3173085605820009</t>
  </si>
  <si>
    <t>1502026505780003</t>
  </si>
  <si>
    <t>dr. Firtantyo Adi Syahputra, Sp.U</t>
  </si>
  <si>
    <t>dr. Ahmad Nugroho, Sp.OT</t>
  </si>
  <si>
    <t xml:space="preserve">Dokter Gigi Spesialis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</si>
</sst>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#,##0_ ;\-#,##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/>
    <xf numFmtId="0" fontId="4" fillId="0" borderId="0" xfId="0" applyFont="1"/>
    <xf numFmtId="0" fontId="0" fillId="2" borderId="1" xfId="0" applyFill="1" applyBorder="1"/>
    <xf numFmtId="0" fontId="0" fillId="3" borderId="1" xfId="0" applyFill="1" applyBorder="1"/>
    <xf numFmtId="0" fontId="5" fillId="0" borderId="0" xfId="0" applyFont="1"/>
    <xf numFmtId="9" fontId="0" fillId="3" borderId="1" xfId="1" applyFont="1" applyFill="1" applyBorder="1"/>
    <xf numFmtId="49" fontId="0" fillId="0" borderId="0" xfId="0" applyNumberFormat="1"/>
    <xf numFmtId="41" fontId="0" fillId="0" borderId="1" xfId="2" applyFont="1" applyBorder="1"/>
    <xf numFmtId="0" fontId="1" fillId="0" borderId="4" xfId="0" applyFont="1" applyBorder="1" applyAlignment="1">
      <alignment horizontal="center"/>
    </xf>
    <xf numFmtId="164" fontId="0" fillId="0" borderId="1" xfId="3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4">
    <cellStyle name="Comma" xfId="3" builtinId="3"/>
    <cellStyle name="Comma [0]" xfId="2" builtinId="6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2D16-C679-4E5D-9A4D-44A2D9095A76}">
  <dimension ref="B2:P677"/>
  <sheetViews>
    <sheetView showGridLines="0" topLeftCell="B10" workbookViewId="0">
      <selection activeCell="B10" sqref="B10:O677"/>
    </sheetView>
  </sheetViews>
  <sheetFormatPr defaultRowHeight="14.5" x14ac:dyDescent="0.35"/>
  <cols>
    <col min="1" max="1" width="2.26953125" customWidth="1"/>
    <col min="2" max="2" width="5.1796875" customWidth="1"/>
    <col min="3" max="3" width="23.81640625" customWidth="1"/>
    <col min="4" max="4" width="46.54296875" customWidth="1"/>
    <col min="5" max="5" width="48.453125" bestFit="1" customWidth="1"/>
    <col min="6" max="6" width="46.26953125" customWidth="1"/>
    <col min="7" max="7" width="26.7265625" bestFit="1" customWidth="1"/>
    <col min="8" max="8" width="26.81640625" hidden="1" customWidth="1"/>
    <col min="9" max="9" width="38.54296875" hidden="1" customWidth="1"/>
    <col min="10" max="10" width="38.7265625" hidden="1" customWidth="1"/>
    <col min="11" max="11" width="39.81640625" hidden="1" customWidth="1"/>
    <col min="12" max="12" width="40" hidden="1" customWidth="1"/>
    <col min="13" max="13" width="18.81640625" bestFit="1" customWidth="1"/>
    <col min="14" max="14" width="31.26953125" bestFit="1" customWidth="1"/>
    <col min="15" max="15" width="48.08984375" bestFit="1" customWidth="1"/>
    <col min="17" max="17" width="9.1796875" customWidth="1"/>
  </cols>
  <sheetData>
    <row r="2" spans="2:16" ht="21" x14ac:dyDescent="0.5">
      <c r="B2" s="8" t="s">
        <v>0</v>
      </c>
    </row>
    <row r="3" spans="2:16" x14ac:dyDescent="0.35">
      <c r="B3" s="1" t="s">
        <v>136</v>
      </c>
      <c r="F3" s="9" t="s">
        <v>6</v>
      </c>
      <c r="G3" s="11" t="s">
        <v>139</v>
      </c>
    </row>
    <row r="5" spans="2:16" x14ac:dyDescent="0.35">
      <c r="B5" s="1" t="s">
        <v>137</v>
      </c>
      <c r="F5" s="9" t="s">
        <v>40</v>
      </c>
      <c r="G5" s="11" t="s">
        <v>139</v>
      </c>
    </row>
    <row r="6" spans="2:16" x14ac:dyDescent="0.35">
      <c r="B6" s="1" t="s">
        <v>135</v>
      </c>
      <c r="F6" s="10" t="str">
        <f>IFERROR(VLOOKUP(F5, Lookup!J5:L48, 3, FALSE), "")</f>
        <v>3171012</v>
      </c>
      <c r="G6" s="11" t="s">
        <v>140</v>
      </c>
    </row>
    <row r="7" spans="2:16" x14ac:dyDescent="0.35">
      <c r="B7" s="1" t="s">
        <v>138</v>
      </c>
      <c r="F7" s="10" t="str">
        <f>IFERROR(VLOOKUP(F5, Lookup!J5:N48, 5, FALSE), "")</f>
        <v>Rumah Sakit Umum</v>
      </c>
      <c r="G7" s="11" t="s">
        <v>140</v>
      </c>
    </row>
    <row r="8" spans="2:16" x14ac:dyDescent="0.35">
      <c r="B8" s="1"/>
    </row>
    <row r="9" spans="2:16" x14ac:dyDescent="0.35">
      <c r="G9" s="17" t="s">
        <v>24</v>
      </c>
      <c r="H9" s="17"/>
      <c r="I9" s="18" t="s">
        <v>25</v>
      </c>
      <c r="J9" s="19"/>
      <c r="K9" s="17" t="s">
        <v>26</v>
      </c>
      <c r="L9" s="17"/>
    </row>
    <row r="10" spans="2:16" x14ac:dyDescent="0.35">
      <c r="B10" s="5" t="s">
        <v>15</v>
      </c>
      <c r="C10" s="5" t="s">
        <v>16</v>
      </c>
      <c r="D10" s="5" t="s">
        <v>17</v>
      </c>
      <c r="E10" s="5" t="s">
        <v>189</v>
      </c>
      <c r="F10" s="5" t="s">
        <v>141</v>
      </c>
      <c r="G10" s="5" t="s">
        <v>27</v>
      </c>
      <c r="H10" s="5" t="s">
        <v>28</v>
      </c>
      <c r="I10" s="5" t="s">
        <v>29</v>
      </c>
      <c r="J10" s="5" t="s">
        <v>30</v>
      </c>
      <c r="K10" s="5" t="s">
        <v>31</v>
      </c>
      <c r="L10" s="5" t="s">
        <v>32</v>
      </c>
      <c r="M10" s="5" t="s">
        <v>33</v>
      </c>
      <c r="N10" s="5" t="s">
        <v>142</v>
      </c>
      <c r="O10" s="15" t="s">
        <v>709</v>
      </c>
    </row>
    <row r="11" spans="2:16" x14ac:dyDescent="0.35">
      <c r="B11" s="7">
        <v>1</v>
      </c>
      <c r="C11" s="3" t="s">
        <v>297</v>
      </c>
      <c r="D11" s="4" t="s">
        <v>440</v>
      </c>
      <c r="E11" s="9" t="s">
        <v>157</v>
      </c>
      <c r="F11" s="9" t="s">
        <v>190</v>
      </c>
      <c r="G11" s="14">
        <v>11</v>
      </c>
      <c r="H11" s="14">
        <v>1410000</v>
      </c>
      <c r="I11" s="14">
        <v>0</v>
      </c>
      <c r="J11" s="14">
        <v>0</v>
      </c>
      <c r="K11" s="14">
        <v>0</v>
      </c>
      <c r="L11" s="14">
        <v>0</v>
      </c>
      <c r="M11" s="4" t="e">
        <f>IF(F11="Tindakan",VLOOKUP(O11,#REF!,4,FALSE),IF(F11="Intensif",VLOOKUP(O11,#REF!,10,FALSE),IF(F11="Penunjang",VLOOKUP(O11,#REF!,16,FALSE),IF(F11="Visitase Berdasarkan Jumlah Pasien",VLOOKUP(O11,#REF!,22,FALSE),IF(F11="Visitase",VLOOKUP(O11,#REF!,28,FALSE),IF(F11="Rawat Jalan",VLOOKUP(O11,#REF!,34,FALSE),0))))))</f>
        <v>#REF!</v>
      </c>
      <c r="N11" s="12">
        <f>IFERROR((G11/M11)*100%, 0)</f>
        <v>0</v>
      </c>
      <c r="O11" t="s">
        <v>688</v>
      </c>
      <c r="P11">
        <v>1</v>
      </c>
    </row>
    <row r="12" spans="2:16" x14ac:dyDescent="0.35">
      <c r="B12" s="7">
        <f>B11+1</f>
        <v>2</v>
      </c>
      <c r="C12" s="3" t="s">
        <v>297</v>
      </c>
      <c r="D12" s="4" t="s">
        <v>440</v>
      </c>
      <c r="E12" s="9" t="s">
        <v>157</v>
      </c>
      <c r="F12" s="9" t="s">
        <v>20</v>
      </c>
      <c r="G12" s="14">
        <v>29</v>
      </c>
      <c r="H12" s="14">
        <v>9022000</v>
      </c>
      <c r="I12" s="14">
        <v>0</v>
      </c>
      <c r="J12" s="14">
        <v>0</v>
      </c>
      <c r="K12" s="14">
        <v>0</v>
      </c>
      <c r="L12" s="14">
        <v>0</v>
      </c>
      <c r="M12" s="4" t="e">
        <f>IF(F12="Tindakan",VLOOKUP(O12,#REF!,4,FALSE),IF(F12="Intensif",VLOOKUP(O12,#REF!,10,FALSE),IF(F12="Penunjang",VLOOKUP(O12,#REF!,16,FALSE),IF(F12="Visitase Berdasarkan Jumlah Pasien",VLOOKUP(O12,#REF!,22,FALSE),IF(F12="Visitase",VLOOKUP(O12,#REF!,28,FALSE),IF(F12="Rawat Jalan",VLOOKUP(O12,#REF!,34,FALSE),0))))))</f>
        <v>#REF!</v>
      </c>
      <c r="N12" s="12">
        <f t="shared" ref="N12:N75" si="0">IFERROR((G12/M12)*100%, 0)</f>
        <v>0</v>
      </c>
      <c r="O12" t="s">
        <v>688</v>
      </c>
      <c r="P12">
        <v>2</v>
      </c>
    </row>
    <row r="13" spans="2:16" x14ac:dyDescent="0.35">
      <c r="B13" s="7">
        <f t="shared" ref="B13:B76" si="1">B12+1</f>
        <v>3</v>
      </c>
      <c r="C13" s="3" t="s">
        <v>297</v>
      </c>
      <c r="D13" s="4" t="s">
        <v>440</v>
      </c>
      <c r="E13" s="9" t="s">
        <v>157</v>
      </c>
      <c r="F13" s="9" t="s">
        <v>22</v>
      </c>
      <c r="G13" s="14">
        <v>23</v>
      </c>
      <c r="H13" s="14">
        <v>3861000</v>
      </c>
      <c r="I13" s="14">
        <v>2</v>
      </c>
      <c r="J13" s="14">
        <v>325000</v>
      </c>
      <c r="K13" s="14">
        <v>2</v>
      </c>
      <c r="L13" s="14">
        <v>480000</v>
      </c>
      <c r="M13" s="4" t="e">
        <f>IF(F13="Tindakan",VLOOKUP(O13,#REF!,4,FALSE),IF(F13="Intensif",VLOOKUP(O13,#REF!,10,FALSE),IF(F13="Penunjang",VLOOKUP(O13,#REF!,16,FALSE),IF(F13="Visitase Berdasarkan Jumlah Pasien",VLOOKUP(O13,#REF!,22,FALSE),IF(F13="Visitase",VLOOKUP(O13,#REF!,28,FALSE),IF(F13="Rawat Jalan",VLOOKUP(O13,#REF!,34,FALSE),0))))))</f>
        <v>#REF!</v>
      </c>
      <c r="N13" s="12">
        <f t="shared" si="0"/>
        <v>0</v>
      </c>
      <c r="O13" t="s">
        <v>688</v>
      </c>
      <c r="P13">
        <v>3</v>
      </c>
    </row>
    <row r="14" spans="2:16" x14ac:dyDescent="0.35">
      <c r="B14" s="7">
        <f t="shared" si="1"/>
        <v>4</v>
      </c>
      <c r="C14" s="3" t="s">
        <v>297</v>
      </c>
      <c r="D14" s="4" t="s">
        <v>440</v>
      </c>
      <c r="E14" s="9" t="s">
        <v>157</v>
      </c>
      <c r="F14" s="9" t="s">
        <v>19</v>
      </c>
      <c r="G14" s="14">
        <v>13</v>
      </c>
      <c r="H14" s="14">
        <v>270050000</v>
      </c>
      <c r="I14" s="14">
        <v>0</v>
      </c>
      <c r="J14" s="14">
        <v>0</v>
      </c>
      <c r="K14" s="14">
        <v>0</v>
      </c>
      <c r="L14" s="14">
        <v>0</v>
      </c>
      <c r="M14" s="4" t="e">
        <f>IF(F14="Tindakan",VLOOKUP(O14,#REF!,4,FALSE),IF(F14="Intensif",VLOOKUP(O14,#REF!,10,FALSE),IF(F14="Penunjang",VLOOKUP(O14,#REF!,16,FALSE),IF(F14="Visitase Berdasarkan Jumlah Pasien",VLOOKUP(O14,#REF!,22,FALSE),IF(F14="Visitase",VLOOKUP(O14,#REF!,28,FALSE),IF(F14="Rawat Jalan",VLOOKUP(O14,#REF!,34,FALSE),0))))))</f>
        <v>#REF!</v>
      </c>
      <c r="N14" s="12">
        <f t="shared" si="0"/>
        <v>0</v>
      </c>
      <c r="O14" t="s">
        <v>688</v>
      </c>
      <c r="P14">
        <v>4</v>
      </c>
    </row>
    <row r="15" spans="2:16" x14ac:dyDescent="0.35">
      <c r="B15" s="7">
        <f t="shared" si="1"/>
        <v>5</v>
      </c>
      <c r="C15" s="3" t="s">
        <v>249</v>
      </c>
      <c r="D15" s="4" t="s">
        <v>441</v>
      </c>
      <c r="E15" s="9" t="s">
        <v>178</v>
      </c>
      <c r="F15" s="9" t="s">
        <v>20</v>
      </c>
      <c r="G15" s="14">
        <v>16</v>
      </c>
      <c r="H15" s="14">
        <v>1880000</v>
      </c>
      <c r="I15" s="14">
        <v>0</v>
      </c>
      <c r="J15" s="14">
        <v>0</v>
      </c>
      <c r="K15" s="14">
        <v>0</v>
      </c>
      <c r="L15" s="14">
        <v>0</v>
      </c>
      <c r="M15" s="4" t="e">
        <f>IF(F15="Tindakan",VLOOKUP(O15,#REF!,4,FALSE),IF(F15="Intensif",VLOOKUP(O15,#REF!,10,FALSE),IF(F15="Penunjang",VLOOKUP(O15,#REF!,16,FALSE),IF(F15="Visitase Berdasarkan Jumlah Pasien",VLOOKUP(O15,#REF!,22,FALSE),IF(F15="Visitase",VLOOKUP(O15,#REF!,28,FALSE),IF(F15="Rawat Jalan",VLOOKUP(O15,#REF!,34,FALSE),0))))))</f>
        <v>#REF!</v>
      </c>
      <c r="N15" s="12">
        <f t="shared" si="0"/>
        <v>0</v>
      </c>
      <c r="O15" t="s">
        <v>689</v>
      </c>
      <c r="P15">
        <v>5</v>
      </c>
    </row>
    <row r="16" spans="2:16" x14ac:dyDescent="0.35">
      <c r="B16" s="7">
        <f t="shared" si="1"/>
        <v>6</v>
      </c>
      <c r="C16" s="3" t="s">
        <v>249</v>
      </c>
      <c r="D16" s="4" t="s">
        <v>441</v>
      </c>
      <c r="E16" s="9" t="s">
        <v>178</v>
      </c>
      <c r="F16" s="9" t="s">
        <v>22</v>
      </c>
      <c r="G16" s="14">
        <v>199</v>
      </c>
      <c r="H16" s="14">
        <v>18235000</v>
      </c>
      <c r="I16" s="14">
        <v>4</v>
      </c>
      <c r="J16" s="14">
        <v>270000</v>
      </c>
      <c r="K16" s="14">
        <v>79</v>
      </c>
      <c r="L16" s="14">
        <v>13315000</v>
      </c>
      <c r="M16" s="4" t="e">
        <f>IF(F16="Tindakan",VLOOKUP(O16,#REF!,4,FALSE),IF(F16="Intensif",VLOOKUP(O16,#REF!,10,FALSE),IF(F16="Penunjang",VLOOKUP(O16,#REF!,16,FALSE),IF(F16="Visitase Berdasarkan Jumlah Pasien",VLOOKUP(O16,#REF!,22,FALSE),IF(F16="Visitase",VLOOKUP(O16,#REF!,28,FALSE),IF(F16="Rawat Jalan",VLOOKUP(O16,#REF!,34,FALSE),0))))))</f>
        <v>#REF!</v>
      </c>
      <c r="N16" s="12">
        <f t="shared" si="0"/>
        <v>0</v>
      </c>
      <c r="O16" t="s">
        <v>689</v>
      </c>
      <c r="P16">
        <v>6</v>
      </c>
    </row>
    <row r="17" spans="2:16" x14ac:dyDescent="0.35">
      <c r="B17" s="7">
        <f t="shared" si="1"/>
        <v>7</v>
      </c>
      <c r="C17" s="3" t="s">
        <v>289</v>
      </c>
      <c r="D17" s="4" t="s">
        <v>442</v>
      </c>
      <c r="E17" s="9" t="s">
        <v>151</v>
      </c>
      <c r="F17" s="9" t="s">
        <v>20</v>
      </c>
      <c r="G17" s="14">
        <v>126</v>
      </c>
      <c r="H17" s="14">
        <v>44194000</v>
      </c>
      <c r="I17" s="14">
        <v>37</v>
      </c>
      <c r="J17" s="14">
        <v>7056500</v>
      </c>
      <c r="K17" s="14">
        <v>0</v>
      </c>
      <c r="L17" s="14">
        <v>0</v>
      </c>
      <c r="M17" s="4" t="e">
        <f>IF(F17="Tindakan",VLOOKUP(O17,#REF!,4,FALSE),IF(F17="Intensif",VLOOKUP(O17,#REF!,10,FALSE),IF(F17="Penunjang",VLOOKUP(O17,#REF!,16,FALSE),IF(F17="Visitase Berdasarkan Jumlah Pasien",VLOOKUP(O17,#REF!,22,FALSE),IF(F17="Visitase",VLOOKUP(O17,#REF!,28,FALSE),IF(F17="Rawat Jalan",VLOOKUP(O17,#REF!,34,FALSE),0))))))</f>
        <v>#REF!</v>
      </c>
      <c r="N17" s="12">
        <f t="shared" si="0"/>
        <v>0</v>
      </c>
      <c r="O17" t="s">
        <v>690</v>
      </c>
      <c r="P17">
        <v>7</v>
      </c>
    </row>
    <row r="18" spans="2:16" x14ac:dyDescent="0.35">
      <c r="B18" s="7">
        <f t="shared" si="1"/>
        <v>8</v>
      </c>
      <c r="C18" s="3" t="s">
        <v>289</v>
      </c>
      <c r="D18" s="4" t="s">
        <v>442</v>
      </c>
      <c r="E18" s="9" t="s">
        <v>151</v>
      </c>
      <c r="F18" s="9" t="s">
        <v>190</v>
      </c>
      <c r="G18" s="14">
        <v>23</v>
      </c>
      <c r="H18" s="14">
        <v>2875000</v>
      </c>
      <c r="I18" s="14">
        <v>1</v>
      </c>
      <c r="J18" s="14">
        <v>140000</v>
      </c>
      <c r="K18" s="14">
        <v>0</v>
      </c>
      <c r="L18" s="14">
        <v>0</v>
      </c>
      <c r="M18" s="4" t="e">
        <f>IF(F18="Tindakan",VLOOKUP(O18,#REF!,4,FALSE),IF(F18="Intensif",VLOOKUP(O18,#REF!,10,FALSE),IF(F18="Penunjang",VLOOKUP(O18,#REF!,16,FALSE),IF(F18="Visitase Berdasarkan Jumlah Pasien",VLOOKUP(O18,#REF!,22,FALSE),IF(F18="Visitase",VLOOKUP(O18,#REF!,28,FALSE),IF(F18="Rawat Jalan",VLOOKUP(O18,#REF!,34,FALSE),0))))))</f>
        <v>#REF!</v>
      </c>
      <c r="N18" s="12">
        <f t="shared" si="0"/>
        <v>0</v>
      </c>
      <c r="O18" t="s">
        <v>690</v>
      </c>
      <c r="P18">
        <v>8</v>
      </c>
    </row>
    <row r="19" spans="2:16" x14ac:dyDescent="0.35">
      <c r="B19" s="7">
        <f t="shared" si="1"/>
        <v>9</v>
      </c>
      <c r="C19" s="3" t="s">
        <v>289</v>
      </c>
      <c r="D19" s="4" t="s">
        <v>442</v>
      </c>
      <c r="E19" s="9" t="s">
        <v>151</v>
      </c>
      <c r="F19" s="9" t="s">
        <v>22</v>
      </c>
      <c r="G19" s="14">
        <v>181</v>
      </c>
      <c r="H19" s="14">
        <v>25830000</v>
      </c>
      <c r="I19" s="14">
        <v>12</v>
      </c>
      <c r="J19" s="14">
        <v>999000</v>
      </c>
      <c r="K19" s="14">
        <v>28</v>
      </c>
      <c r="L19" s="14">
        <v>7000000</v>
      </c>
      <c r="M19" s="4" t="e">
        <f>IF(F19="Tindakan",VLOOKUP(O19,#REF!,4,FALSE),IF(F19="Intensif",VLOOKUP(O19,#REF!,10,FALSE),IF(F19="Penunjang",VLOOKUP(O19,#REF!,16,FALSE),IF(F19="Visitase Berdasarkan Jumlah Pasien",VLOOKUP(O19,#REF!,22,FALSE),IF(F19="Visitase",VLOOKUP(O19,#REF!,28,FALSE),IF(F19="Rawat Jalan",VLOOKUP(O19,#REF!,34,FALSE),0))))))</f>
        <v>#REF!</v>
      </c>
      <c r="N19" s="12">
        <f t="shared" si="0"/>
        <v>0</v>
      </c>
      <c r="O19" t="s">
        <v>690</v>
      </c>
      <c r="P19">
        <v>9</v>
      </c>
    </row>
    <row r="20" spans="2:16" x14ac:dyDescent="0.35">
      <c r="B20" s="7">
        <f t="shared" si="1"/>
        <v>10</v>
      </c>
      <c r="C20" s="3" t="s">
        <v>289</v>
      </c>
      <c r="D20" s="4" t="s">
        <v>442</v>
      </c>
      <c r="E20" s="9" t="s">
        <v>151</v>
      </c>
      <c r="F20" s="9" t="s">
        <v>19</v>
      </c>
      <c r="G20" s="14">
        <v>37</v>
      </c>
      <c r="H20" s="14">
        <v>298507500</v>
      </c>
      <c r="I20" s="14">
        <v>3</v>
      </c>
      <c r="J20" s="14">
        <v>32100000</v>
      </c>
      <c r="K20" s="14">
        <v>2</v>
      </c>
      <c r="L20" s="14">
        <v>48785000</v>
      </c>
      <c r="M20" s="4" t="e">
        <f>IF(F20="Tindakan",VLOOKUP(O20,#REF!,4,FALSE),IF(F20="Intensif",VLOOKUP(O20,#REF!,10,FALSE),IF(F20="Penunjang",VLOOKUP(O20,#REF!,16,FALSE),IF(F20="Visitase Berdasarkan Jumlah Pasien",VLOOKUP(O20,#REF!,22,FALSE),IF(F20="Visitase",VLOOKUP(O20,#REF!,28,FALSE),IF(F20="Rawat Jalan",VLOOKUP(O20,#REF!,34,FALSE),0))))))</f>
        <v>#REF!</v>
      </c>
      <c r="N20" s="12">
        <f t="shared" si="0"/>
        <v>0</v>
      </c>
      <c r="O20" t="s">
        <v>690</v>
      </c>
      <c r="P20">
        <v>10</v>
      </c>
    </row>
    <row r="21" spans="2:16" x14ac:dyDescent="0.35">
      <c r="B21" s="7">
        <f t="shared" si="1"/>
        <v>11</v>
      </c>
      <c r="C21" s="3" t="s">
        <v>289</v>
      </c>
      <c r="D21" s="4" t="s">
        <v>442</v>
      </c>
      <c r="E21" s="9" t="s">
        <v>151</v>
      </c>
      <c r="F21" s="9" t="s">
        <v>21</v>
      </c>
      <c r="G21" s="14">
        <v>2</v>
      </c>
      <c r="H21" s="14">
        <v>898000</v>
      </c>
      <c r="I21" s="14">
        <v>0</v>
      </c>
      <c r="J21" s="14">
        <v>0</v>
      </c>
      <c r="K21" s="14">
        <v>0</v>
      </c>
      <c r="L21" s="14">
        <v>0</v>
      </c>
      <c r="M21" s="4" t="e">
        <f>IF(F21="Tindakan",VLOOKUP(O21,#REF!,4,FALSE),IF(F21="Intensif",VLOOKUP(O21,#REF!,10,FALSE),IF(F21="Penunjang",VLOOKUP(O21,#REF!,16,FALSE),IF(F21="Visitase Berdasarkan Jumlah Pasien",VLOOKUP(O21,#REF!,22,FALSE),IF(F21="Visitase",VLOOKUP(O21,#REF!,28,FALSE),IF(F21="Rawat Jalan",VLOOKUP(O21,#REF!,34,FALSE),0))))))</f>
        <v>#REF!</v>
      </c>
      <c r="N21" s="12">
        <f t="shared" si="0"/>
        <v>0</v>
      </c>
      <c r="O21" t="s">
        <v>690</v>
      </c>
      <c r="P21">
        <v>11</v>
      </c>
    </row>
    <row r="22" spans="2:16" x14ac:dyDescent="0.35">
      <c r="B22" s="7">
        <f t="shared" si="1"/>
        <v>12</v>
      </c>
      <c r="C22" s="3" t="s">
        <v>298</v>
      </c>
      <c r="D22" s="4" t="s">
        <v>443</v>
      </c>
      <c r="E22" s="9" t="s">
        <v>185</v>
      </c>
      <c r="F22" s="9" t="s">
        <v>190</v>
      </c>
      <c r="G22" s="14">
        <v>137</v>
      </c>
      <c r="H22" s="14">
        <v>17335000</v>
      </c>
      <c r="I22" s="14">
        <v>0</v>
      </c>
      <c r="J22" s="14">
        <v>0</v>
      </c>
      <c r="K22" s="14">
        <v>0</v>
      </c>
      <c r="L22" s="14">
        <v>0</v>
      </c>
      <c r="M22" s="4" t="e">
        <f>IF(F22="Tindakan",VLOOKUP(O22,#REF!,4,FALSE),IF(F22="Intensif",VLOOKUP(O22,#REF!,10,FALSE),IF(F22="Penunjang",VLOOKUP(O22,#REF!,16,FALSE),IF(F22="Visitase Berdasarkan Jumlah Pasien",VLOOKUP(O22,#REF!,22,FALSE),IF(F22="Visitase",VLOOKUP(O22,#REF!,28,FALSE),IF(F22="Rawat Jalan",VLOOKUP(O22,#REF!,34,FALSE),0))))))</f>
        <v>#REF!</v>
      </c>
      <c r="N22" s="12">
        <f t="shared" si="0"/>
        <v>0</v>
      </c>
      <c r="O22" t="s">
        <v>688</v>
      </c>
      <c r="P22">
        <v>12</v>
      </c>
    </row>
    <row r="23" spans="2:16" x14ac:dyDescent="0.35">
      <c r="B23" s="7">
        <f t="shared" si="1"/>
        <v>13</v>
      </c>
      <c r="C23" s="3" t="s">
        <v>298</v>
      </c>
      <c r="D23" s="4" t="s">
        <v>443</v>
      </c>
      <c r="E23" s="9" t="s">
        <v>185</v>
      </c>
      <c r="F23" s="9" t="s">
        <v>20</v>
      </c>
      <c r="G23" s="14">
        <v>24</v>
      </c>
      <c r="H23" s="14">
        <v>3861000</v>
      </c>
      <c r="I23" s="14">
        <v>3</v>
      </c>
      <c r="J23" s="14">
        <v>525000</v>
      </c>
      <c r="K23" s="14">
        <v>0</v>
      </c>
      <c r="L23" s="14">
        <v>0</v>
      </c>
      <c r="M23" s="4" t="e">
        <f>IF(F23="Tindakan",VLOOKUP(O23,#REF!,4,FALSE),IF(F23="Intensif",VLOOKUP(O23,#REF!,10,FALSE),IF(F23="Penunjang",VLOOKUP(O23,#REF!,16,FALSE),IF(F23="Visitase Berdasarkan Jumlah Pasien",VLOOKUP(O23,#REF!,22,FALSE),IF(F23="Visitase",VLOOKUP(O23,#REF!,28,FALSE),IF(F23="Rawat Jalan",VLOOKUP(O23,#REF!,34,FALSE),0))))))</f>
        <v>#REF!</v>
      </c>
      <c r="N23" s="12">
        <f t="shared" si="0"/>
        <v>0</v>
      </c>
      <c r="O23" t="s">
        <v>688</v>
      </c>
      <c r="P23">
        <v>13</v>
      </c>
    </row>
    <row r="24" spans="2:16" x14ac:dyDescent="0.35">
      <c r="B24" s="7">
        <f t="shared" si="1"/>
        <v>14</v>
      </c>
      <c r="C24" s="3" t="s">
        <v>298</v>
      </c>
      <c r="D24" s="4" t="s">
        <v>443</v>
      </c>
      <c r="E24" s="9" t="s">
        <v>185</v>
      </c>
      <c r="F24" s="9" t="s">
        <v>19</v>
      </c>
      <c r="G24" s="14">
        <v>21</v>
      </c>
      <c r="H24" s="14">
        <v>189750000</v>
      </c>
      <c r="I24" s="14">
        <v>0</v>
      </c>
      <c r="J24" s="14">
        <v>0</v>
      </c>
      <c r="K24" s="14">
        <v>0</v>
      </c>
      <c r="L24" s="14">
        <v>0</v>
      </c>
      <c r="M24" s="4" t="e">
        <f>IF(F24="Tindakan",VLOOKUP(O24,#REF!,4,FALSE),IF(F24="Intensif",VLOOKUP(O24,#REF!,10,FALSE),IF(F24="Penunjang",VLOOKUP(O24,#REF!,16,FALSE),IF(F24="Visitase Berdasarkan Jumlah Pasien",VLOOKUP(O24,#REF!,22,FALSE),IF(F24="Visitase",VLOOKUP(O24,#REF!,28,FALSE),IF(F24="Rawat Jalan",VLOOKUP(O24,#REF!,34,FALSE),0))))))</f>
        <v>#REF!</v>
      </c>
      <c r="N24" s="12">
        <f t="shared" si="0"/>
        <v>0</v>
      </c>
      <c r="O24" t="s">
        <v>688</v>
      </c>
      <c r="P24">
        <v>14</v>
      </c>
    </row>
    <row r="25" spans="2:16" x14ac:dyDescent="0.35">
      <c r="B25" s="7">
        <f t="shared" si="1"/>
        <v>15</v>
      </c>
      <c r="C25" s="3" t="s">
        <v>298</v>
      </c>
      <c r="D25" s="4" t="s">
        <v>443</v>
      </c>
      <c r="E25" s="9" t="s">
        <v>185</v>
      </c>
      <c r="F25" s="9" t="s">
        <v>22</v>
      </c>
      <c r="G25" s="14">
        <v>56</v>
      </c>
      <c r="H25" s="14">
        <v>6451000</v>
      </c>
      <c r="I25" s="14">
        <v>1</v>
      </c>
      <c r="J25" s="14">
        <v>250000</v>
      </c>
      <c r="K25" s="14">
        <v>5</v>
      </c>
      <c r="L25" s="14">
        <v>1443000</v>
      </c>
      <c r="M25" s="4" t="e">
        <f>IF(F25="Tindakan",VLOOKUP(O25,#REF!,4,FALSE),IF(F25="Intensif",VLOOKUP(O25,#REF!,10,FALSE),IF(F25="Penunjang",VLOOKUP(O25,#REF!,16,FALSE),IF(F25="Visitase Berdasarkan Jumlah Pasien",VLOOKUP(O25,#REF!,22,FALSE),IF(F25="Visitase",VLOOKUP(O25,#REF!,28,FALSE),IF(F25="Rawat Jalan",VLOOKUP(O25,#REF!,34,FALSE),0))))))</f>
        <v>#REF!</v>
      </c>
      <c r="N25" s="12">
        <f t="shared" si="0"/>
        <v>0</v>
      </c>
      <c r="O25" t="s">
        <v>688</v>
      </c>
      <c r="P25">
        <v>15</v>
      </c>
    </row>
    <row r="26" spans="2:16" x14ac:dyDescent="0.35">
      <c r="B26" s="7">
        <f t="shared" si="1"/>
        <v>16</v>
      </c>
      <c r="C26" s="3" t="s">
        <v>222</v>
      </c>
      <c r="D26" s="4" t="s">
        <v>444</v>
      </c>
      <c r="E26" s="9" t="s">
        <v>185</v>
      </c>
      <c r="F26" s="9" t="s">
        <v>190</v>
      </c>
      <c r="G26" s="14">
        <v>46</v>
      </c>
      <c r="H26" s="14">
        <v>5925000</v>
      </c>
      <c r="I26" s="14">
        <v>0</v>
      </c>
      <c r="J26" s="14">
        <v>0</v>
      </c>
      <c r="K26" s="14">
        <v>0</v>
      </c>
      <c r="L26" s="14">
        <v>0</v>
      </c>
      <c r="M26" s="4" t="e">
        <f>IF(F26="Tindakan",VLOOKUP(O26,#REF!,4,FALSE),IF(F26="Intensif",VLOOKUP(O26,#REF!,10,FALSE),IF(F26="Penunjang",VLOOKUP(O26,#REF!,16,FALSE),IF(F26="Visitase Berdasarkan Jumlah Pasien",VLOOKUP(O26,#REF!,22,FALSE),IF(F26="Visitase",VLOOKUP(O26,#REF!,28,FALSE),IF(F26="Rawat Jalan",VLOOKUP(O26,#REF!,34,FALSE),0))))))</f>
        <v>#REF!</v>
      </c>
      <c r="N26" s="12">
        <f t="shared" si="0"/>
        <v>0</v>
      </c>
      <c r="O26" t="s">
        <v>688</v>
      </c>
      <c r="P26">
        <v>16</v>
      </c>
    </row>
    <row r="27" spans="2:16" x14ac:dyDescent="0.35">
      <c r="B27" s="7">
        <f t="shared" si="1"/>
        <v>17</v>
      </c>
      <c r="C27" s="3" t="s">
        <v>222</v>
      </c>
      <c r="D27" s="4" t="s">
        <v>444</v>
      </c>
      <c r="E27" s="9" t="s">
        <v>185</v>
      </c>
      <c r="F27" s="9" t="s">
        <v>20</v>
      </c>
      <c r="G27" s="14">
        <v>18</v>
      </c>
      <c r="H27" s="14">
        <v>3000000</v>
      </c>
      <c r="I27" s="14">
        <v>0</v>
      </c>
      <c r="J27" s="14">
        <v>0</v>
      </c>
      <c r="K27" s="14">
        <v>0</v>
      </c>
      <c r="L27" s="14">
        <v>0</v>
      </c>
      <c r="M27" s="4" t="e">
        <f>IF(F27="Tindakan",VLOOKUP(O27,#REF!,4,FALSE),IF(F27="Intensif",VLOOKUP(O27,#REF!,10,FALSE),IF(F27="Penunjang",VLOOKUP(O27,#REF!,16,FALSE),IF(F27="Visitase Berdasarkan Jumlah Pasien",VLOOKUP(O27,#REF!,22,FALSE),IF(F27="Visitase",VLOOKUP(O27,#REF!,28,FALSE),IF(F27="Rawat Jalan",VLOOKUP(O27,#REF!,34,FALSE),0))))))</f>
        <v>#REF!</v>
      </c>
      <c r="N27" s="12">
        <f t="shared" si="0"/>
        <v>0</v>
      </c>
      <c r="O27" t="s">
        <v>688</v>
      </c>
      <c r="P27">
        <v>17</v>
      </c>
    </row>
    <row r="28" spans="2:16" x14ac:dyDescent="0.35">
      <c r="B28" s="7">
        <f t="shared" si="1"/>
        <v>18</v>
      </c>
      <c r="C28" s="3" t="s">
        <v>222</v>
      </c>
      <c r="D28" s="4" t="s">
        <v>444</v>
      </c>
      <c r="E28" s="9" t="s">
        <v>185</v>
      </c>
      <c r="F28" s="9" t="s">
        <v>19</v>
      </c>
      <c r="G28" s="14">
        <v>26</v>
      </c>
      <c r="H28" s="14">
        <v>243000000</v>
      </c>
      <c r="I28" s="14">
        <v>0</v>
      </c>
      <c r="J28" s="14">
        <v>0</v>
      </c>
      <c r="K28" s="14">
        <v>0</v>
      </c>
      <c r="L28" s="14">
        <v>0</v>
      </c>
      <c r="M28" s="4" t="e">
        <f>IF(F28="Tindakan",VLOOKUP(O28,#REF!,4,FALSE),IF(F28="Intensif",VLOOKUP(O28,#REF!,10,FALSE),IF(F28="Penunjang",VLOOKUP(O28,#REF!,16,FALSE),IF(F28="Visitase Berdasarkan Jumlah Pasien",VLOOKUP(O28,#REF!,22,FALSE),IF(F28="Visitase",VLOOKUP(O28,#REF!,28,FALSE),IF(F28="Rawat Jalan",VLOOKUP(O28,#REF!,34,FALSE),0))))))</f>
        <v>#REF!</v>
      </c>
      <c r="N28" s="12">
        <f t="shared" si="0"/>
        <v>0</v>
      </c>
      <c r="O28" t="s">
        <v>688</v>
      </c>
      <c r="P28">
        <v>18</v>
      </c>
    </row>
    <row r="29" spans="2:16" x14ac:dyDescent="0.35">
      <c r="B29" s="7">
        <f t="shared" si="1"/>
        <v>19</v>
      </c>
      <c r="C29" s="3" t="s">
        <v>222</v>
      </c>
      <c r="D29" s="4" t="s">
        <v>444</v>
      </c>
      <c r="E29" s="9" t="s">
        <v>185</v>
      </c>
      <c r="F29" s="9" t="s">
        <v>22</v>
      </c>
      <c r="G29" s="14">
        <v>71</v>
      </c>
      <c r="H29" s="14">
        <v>7976000</v>
      </c>
      <c r="I29" s="14">
        <v>2</v>
      </c>
      <c r="J29" s="14">
        <v>150000</v>
      </c>
      <c r="K29" s="14">
        <v>4</v>
      </c>
      <c r="L29" s="14">
        <v>1200000</v>
      </c>
      <c r="M29" s="4" t="e">
        <f>IF(F29="Tindakan",VLOOKUP(O29,#REF!,4,FALSE),IF(F29="Intensif",VLOOKUP(O29,#REF!,10,FALSE),IF(F29="Penunjang",VLOOKUP(O29,#REF!,16,FALSE),IF(F29="Visitase Berdasarkan Jumlah Pasien",VLOOKUP(O29,#REF!,22,FALSE),IF(F29="Visitase",VLOOKUP(O29,#REF!,28,FALSE),IF(F29="Rawat Jalan",VLOOKUP(O29,#REF!,34,FALSE),0))))))</f>
        <v>#REF!</v>
      </c>
      <c r="N29" s="12">
        <f t="shared" si="0"/>
        <v>0</v>
      </c>
      <c r="O29" t="s">
        <v>688</v>
      </c>
      <c r="P29">
        <v>19</v>
      </c>
    </row>
    <row r="30" spans="2:16" x14ac:dyDescent="0.35">
      <c r="B30" s="7">
        <f t="shared" si="1"/>
        <v>20</v>
      </c>
      <c r="C30" s="3" t="s">
        <v>302</v>
      </c>
      <c r="D30" s="4" t="s">
        <v>445</v>
      </c>
      <c r="E30" s="9" t="s">
        <v>147</v>
      </c>
      <c r="F30" s="9" t="s">
        <v>20</v>
      </c>
      <c r="G30" s="14">
        <v>3</v>
      </c>
      <c r="H30" s="14">
        <v>480000</v>
      </c>
      <c r="I30" s="14">
        <v>0</v>
      </c>
      <c r="J30" s="14">
        <v>0</v>
      </c>
      <c r="K30" s="14">
        <v>0</v>
      </c>
      <c r="L30" s="14">
        <v>0</v>
      </c>
      <c r="M30" s="4" t="e">
        <f>IF(F30="Tindakan",VLOOKUP(O30,#REF!,4,FALSE),IF(F30="Intensif",VLOOKUP(O30,#REF!,10,FALSE),IF(F30="Penunjang",VLOOKUP(O30,#REF!,16,FALSE),IF(F30="Visitase Berdasarkan Jumlah Pasien",VLOOKUP(O30,#REF!,22,FALSE),IF(F30="Visitase",VLOOKUP(O30,#REF!,28,FALSE),IF(F30="Rawat Jalan",VLOOKUP(O30,#REF!,34,FALSE),0))))))</f>
        <v>#REF!</v>
      </c>
      <c r="N30" s="12">
        <f t="shared" si="0"/>
        <v>0</v>
      </c>
      <c r="O30" t="s">
        <v>691</v>
      </c>
      <c r="P30">
        <v>20</v>
      </c>
    </row>
    <row r="31" spans="2:16" x14ac:dyDescent="0.35">
      <c r="B31" s="7">
        <f t="shared" si="1"/>
        <v>21</v>
      </c>
      <c r="C31" s="3" t="s">
        <v>302</v>
      </c>
      <c r="D31" s="4" t="s">
        <v>445</v>
      </c>
      <c r="E31" s="9" t="s">
        <v>147</v>
      </c>
      <c r="F31" s="9" t="s">
        <v>190</v>
      </c>
      <c r="G31" s="14">
        <v>8</v>
      </c>
      <c r="H31" s="14">
        <v>1000000</v>
      </c>
      <c r="I31" s="14">
        <v>0</v>
      </c>
      <c r="J31" s="14">
        <v>0</v>
      </c>
      <c r="K31" s="14">
        <v>0</v>
      </c>
      <c r="L31" s="14">
        <v>0</v>
      </c>
      <c r="M31" s="4" t="e">
        <f>IF(F31="Tindakan",VLOOKUP(O31,#REF!,4,FALSE),IF(F31="Intensif",VLOOKUP(O31,#REF!,10,FALSE),IF(F31="Penunjang",VLOOKUP(O31,#REF!,16,FALSE),IF(F31="Visitase Berdasarkan Jumlah Pasien",VLOOKUP(O31,#REF!,22,FALSE),IF(F31="Visitase",VLOOKUP(O31,#REF!,28,FALSE),IF(F31="Rawat Jalan",VLOOKUP(O31,#REF!,34,FALSE),0))))))</f>
        <v>#REF!</v>
      </c>
      <c r="N31" s="12">
        <f t="shared" si="0"/>
        <v>0</v>
      </c>
      <c r="O31" t="s">
        <v>691</v>
      </c>
      <c r="P31">
        <v>21</v>
      </c>
    </row>
    <row r="32" spans="2:16" x14ac:dyDescent="0.35">
      <c r="B32" s="7">
        <f t="shared" si="1"/>
        <v>22</v>
      </c>
      <c r="C32" s="3" t="s">
        <v>302</v>
      </c>
      <c r="D32" s="4" t="s">
        <v>445</v>
      </c>
      <c r="E32" s="9" t="s">
        <v>147</v>
      </c>
      <c r="F32" s="9" t="s">
        <v>19</v>
      </c>
      <c r="G32" s="14">
        <v>3</v>
      </c>
      <c r="H32" s="14">
        <v>8611000</v>
      </c>
      <c r="I32" s="14">
        <v>0</v>
      </c>
      <c r="J32" s="14">
        <v>0</v>
      </c>
      <c r="K32" s="14">
        <v>0</v>
      </c>
      <c r="L32" s="14">
        <v>0</v>
      </c>
      <c r="M32" s="4" t="e">
        <f>IF(F32="Tindakan",VLOOKUP(O32,#REF!,4,FALSE),IF(F32="Intensif",VLOOKUP(O32,#REF!,10,FALSE),IF(F32="Penunjang",VLOOKUP(O32,#REF!,16,FALSE),IF(F32="Visitase Berdasarkan Jumlah Pasien",VLOOKUP(O32,#REF!,22,FALSE),IF(F32="Visitase",VLOOKUP(O32,#REF!,28,FALSE),IF(F32="Rawat Jalan",VLOOKUP(O32,#REF!,34,FALSE),0))))))</f>
        <v>#REF!</v>
      </c>
      <c r="N32" s="12">
        <f t="shared" si="0"/>
        <v>0</v>
      </c>
      <c r="O32" t="s">
        <v>691</v>
      </c>
      <c r="P32">
        <v>22</v>
      </c>
    </row>
    <row r="33" spans="2:16" x14ac:dyDescent="0.35">
      <c r="B33" s="7">
        <f t="shared" si="1"/>
        <v>23</v>
      </c>
      <c r="C33" s="3" t="s">
        <v>216</v>
      </c>
      <c r="D33" s="4" t="s">
        <v>446</v>
      </c>
      <c r="E33" s="9" t="s">
        <v>151</v>
      </c>
      <c r="F33" s="9" t="s">
        <v>19</v>
      </c>
      <c r="G33" s="14">
        <v>16</v>
      </c>
      <c r="H33" s="14">
        <v>168450000</v>
      </c>
      <c r="I33" s="14">
        <v>1</v>
      </c>
      <c r="J33" s="14">
        <v>14500000</v>
      </c>
      <c r="K33" s="14">
        <v>1</v>
      </c>
      <c r="L33" s="14">
        <v>32000000</v>
      </c>
      <c r="M33" s="4" t="e">
        <f>IF(F33="Tindakan",VLOOKUP(O33,#REF!,4,FALSE),IF(F33="Intensif",VLOOKUP(O33,#REF!,10,FALSE),IF(F33="Penunjang",VLOOKUP(O33,#REF!,16,FALSE),IF(F33="Visitase Berdasarkan Jumlah Pasien",VLOOKUP(O33,#REF!,22,FALSE),IF(F33="Visitase",VLOOKUP(O33,#REF!,28,FALSE),IF(F33="Rawat Jalan",VLOOKUP(O33,#REF!,34,FALSE),0))))))</f>
        <v>#REF!</v>
      </c>
      <c r="N33" s="12">
        <f t="shared" si="0"/>
        <v>0</v>
      </c>
      <c r="O33" t="s">
        <v>690</v>
      </c>
      <c r="P33">
        <v>23</v>
      </c>
    </row>
    <row r="34" spans="2:16" x14ac:dyDescent="0.35">
      <c r="B34" s="7">
        <f t="shared" si="1"/>
        <v>24</v>
      </c>
      <c r="C34" s="3" t="s">
        <v>216</v>
      </c>
      <c r="D34" s="4" t="s">
        <v>446</v>
      </c>
      <c r="E34" s="9" t="s">
        <v>151</v>
      </c>
      <c r="F34" s="9" t="s">
        <v>22</v>
      </c>
      <c r="G34" s="14">
        <v>1</v>
      </c>
      <c r="H34" s="14">
        <v>140000</v>
      </c>
      <c r="I34" s="14">
        <v>0</v>
      </c>
      <c r="J34" s="14">
        <v>0</v>
      </c>
      <c r="K34" s="14">
        <v>0</v>
      </c>
      <c r="L34" s="14">
        <v>0</v>
      </c>
      <c r="M34" s="4" t="e">
        <f>IF(F34="Tindakan",VLOOKUP(O34,#REF!,4,FALSE),IF(F34="Intensif",VLOOKUP(O34,#REF!,10,FALSE),IF(F34="Penunjang",VLOOKUP(O34,#REF!,16,FALSE),IF(F34="Visitase Berdasarkan Jumlah Pasien",VLOOKUP(O34,#REF!,22,FALSE),IF(F34="Visitase",VLOOKUP(O34,#REF!,28,FALSE),IF(F34="Rawat Jalan",VLOOKUP(O34,#REF!,34,FALSE),0))))))</f>
        <v>#REF!</v>
      </c>
      <c r="N34" s="12">
        <f t="shared" si="0"/>
        <v>0</v>
      </c>
      <c r="O34" t="s">
        <v>690</v>
      </c>
      <c r="P34">
        <v>24</v>
      </c>
    </row>
    <row r="35" spans="2:16" x14ac:dyDescent="0.35">
      <c r="B35" s="7">
        <f t="shared" si="1"/>
        <v>25</v>
      </c>
      <c r="C35" s="3" t="s">
        <v>274</v>
      </c>
      <c r="D35" s="4" t="s">
        <v>447</v>
      </c>
      <c r="E35" s="9" t="s">
        <v>159</v>
      </c>
      <c r="F35" s="9" t="s">
        <v>190</v>
      </c>
      <c r="G35" s="14">
        <v>15</v>
      </c>
      <c r="H35" s="14">
        <v>2155000</v>
      </c>
      <c r="I35" s="14">
        <v>2</v>
      </c>
      <c r="J35" s="14">
        <v>320000</v>
      </c>
      <c r="K35" s="14">
        <v>0</v>
      </c>
      <c r="L35" s="14">
        <v>0</v>
      </c>
      <c r="M35" s="4" t="e">
        <f>IF(F35="Tindakan",VLOOKUP(O35,#REF!,4,FALSE),IF(F35="Intensif",VLOOKUP(O35,#REF!,10,FALSE),IF(F35="Penunjang",VLOOKUP(O35,#REF!,16,FALSE),IF(F35="Visitase Berdasarkan Jumlah Pasien",VLOOKUP(O35,#REF!,22,FALSE),IF(F35="Visitase",VLOOKUP(O35,#REF!,28,FALSE),IF(F35="Rawat Jalan",VLOOKUP(O35,#REF!,34,FALSE),0))))))</f>
        <v>#REF!</v>
      </c>
      <c r="N35" s="12">
        <f t="shared" si="0"/>
        <v>0</v>
      </c>
      <c r="O35" t="s">
        <v>692</v>
      </c>
      <c r="P35">
        <v>25</v>
      </c>
    </row>
    <row r="36" spans="2:16" x14ac:dyDescent="0.35">
      <c r="B36" s="7">
        <f t="shared" si="1"/>
        <v>26</v>
      </c>
      <c r="C36" s="3" t="s">
        <v>274</v>
      </c>
      <c r="D36" s="4" t="s">
        <v>447</v>
      </c>
      <c r="E36" s="9" t="s">
        <v>159</v>
      </c>
      <c r="F36" s="9" t="s">
        <v>20</v>
      </c>
      <c r="G36" s="14">
        <v>5</v>
      </c>
      <c r="H36" s="14">
        <v>875000</v>
      </c>
      <c r="I36" s="14">
        <v>0</v>
      </c>
      <c r="J36" s="14">
        <v>0</v>
      </c>
      <c r="K36" s="14">
        <v>0</v>
      </c>
      <c r="L36" s="14">
        <v>0</v>
      </c>
      <c r="M36" s="4" t="e">
        <f>IF(F36="Tindakan",VLOOKUP(O36,#REF!,4,FALSE),IF(F36="Intensif",VLOOKUP(O36,#REF!,10,FALSE),IF(F36="Penunjang",VLOOKUP(O36,#REF!,16,FALSE),IF(F36="Visitase Berdasarkan Jumlah Pasien",VLOOKUP(O36,#REF!,22,FALSE),IF(F36="Visitase",VLOOKUP(O36,#REF!,28,FALSE),IF(F36="Rawat Jalan",VLOOKUP(O36,#REF!,34,FALSE),0))))))</f>
        <v>#REF!</v>
      </c>
      <c r="N36" s="12">
        <f t="shared" si="0"/>
        <v>0</v>
      </c>
      <c r="O36" t="s">
        <v>692</v>
      </c>
      <c r="P36">
        <v>26</v>
      </c>
    </row>
    <row r="37" spans="2:16" x14ac:dyDescent="0.35">
      <c r="B37" s="7">
        <f t="shared" si="1"/>
        <v>27</v>
      </c>
      <c r="C37" s="3" t="s">
        <v>274</v>
      </c>
      <c r="D37" s="4" t="s">
        <v>447</v>
      </c>
      <c r="E37" s="9" t="s">
        <v>159</v>
      </c>
      <c r="F37" s="9" t="s">
        <v>19</v>
      </c>
      <c r="G37" s="14">
        <v>7</v>
      </c>
      <c r="H37" s="14">
        <v>83750000</v>
      </c>
      <c r="I37" s="14">
        <v>1</v>
      </c>
      <c r="J37" s="14">
        <v>14500000</v>
      </c>
      <c r="K37" s="14">
        <v>0</v>
      </c>
      <c r="L37" s="14">
        <v>0</v>
      </c>
      <c r="M37" s="4" t="e">
        <f>IF(F37="Tindakan",VLOOKUP(O37,#REF!,4,FALSE),IF(F37="Intensif",VLOOKUP(O37,#REF!,10,FALSE),IF(F37="Penunjang",VLOOKUP(O37,#REF!,16,FALSE),IF(F37="Visitase Berdasarkan Jumlah Pasien",VLOOKUP(O37,#REF!,22,FALSE),IF(F37="Visitase",VLOOKUP(O37,#REF!,28,FALSE),IF(F37="Rawat Jalan",VLOOKUP(O37,#REF!,34,FALSE),0))))))</f>
        <v>#REF!</v>
      </c>
      <c r="N37" s="12">
        <f t="shared" si="0"/>
        <v>0</v>
      </c>
      <c r="O37" t="s">
        <v>692</v>
      </c>
      <c r="P37">
        <v>27</v>
      </c>
    </row>
    <row r="38" spans="2:16" x14ac:dyDescent="0.35">
      <c r="B38" s="7">
        <f t="shared" si="1"/>
        <v>28</v>
      </c>
      <c r="C38" s="3" t="s">
        <v>274</v>
      </c>
      <c r="D38" s="4" t="s">
        <v>447</v>
      </c>
      <c r="E38" s="9" t="s">
        <v>159</v>
      </c>
      <c r="F38" s="9" t="s">
        <v>22</v>
      </c>
      <c r="G38" s="14">
        <v>33</v>
      </c>
      <c r="H38" s="14">
        <v>2712000</v>
      </c>
      <c r="I38" s="14">
        <v>0</v>
      </c>
      <c r="J38" s="14">
        <v>0</v>
      </c>
      <c r="K38" s="14">
        <v>1</v>
      </c>
      <c r="L38" s="14">
        <v>250000</v>
      </c>
      <c r="M38" s="4" t="e">
        <f>IF(F38="Tindakan",VLOOKUP(O38,#REF!,4,FALSE),IF(F38="Intensif",VLOOKUP(O38,#REF!,10,FALSE),IF(F38="Penunjang",VLOOKUP(O38,#REF!,16,FALSE),IF(F38="Visitase Berdasarkan Jumlah Pasien",VLOOKUP(O38,#REF!,22,FALSE),IF(F38="Visitase",VLOOKUP(O38,#REF!,28,FALSE),IF(F38="Rawat Jalan",VLOOKUP(O38,#REF!,34,FALSE),0))))))</f>
        <v>#REF!</v>
      </c>
      <c r="N38" s="12">
        <f t="shared" si="0"/>
        <v>0</v>
      </c>
      <c r="O38" t="s">
        <v>692</v>
      </c>
      <c r="P38">
        <v>28</v>
      </c>
    </row>
    <row r="39" spans="2:16" x14ac:dyDescent="0.35">
      <c r="B39" s="7">
        <f t="shared" si="1"/>
        <v>29</v>
      </c>
      <c r="C39" s="3" t="s">
        <v>202</v>
      </c>
      <c r="D39" s="4" t="s">
        <v>448</v>
      </c>
      <c r="E39" s="9" t="s">
        <v>147</v>
      </c>
      <c r="F39" s="9" t="s">
        <v>190</v>
      </c>
      <c r="G39" s="14">
        <v>36</v>
      </c>
      <c r="H39" s="14">
        <v>4830000</v>
      </c>
      <c r="I39" s="14">
        <v>0</v>
      </c>
      <c r="J39" s="14">
        <v>0</v>
      </c>
      <c r="K39" s="14">
        <v>0</v>
      </c>
      <c r="L39" s="14">
        <v>0</v>
      </c>
      <c r="M39" s="4" t="e">
        <f>IF(F39="Tindakan",VLOOKUP(O39,#REF!,4,FALSE),IF(F39="Intensif",VLOOKUP(O39,#REF!,10,FALSE),IF(F39="Penunjang",VLOOKUP(O39,#REF!,16,FALSE),IF(F39="Visitase Berdasarkan Jumlah Pasien",VLOOKUP(O39,#REF!,22,FALSE),IF(F39="Visitase",VLOOKUP(O39,#REF!,28,FALSE),IF(F39="Rawat Jalan",VLOOKUP(O39,#REF!,34,FALSE),0))))))</f>
        <v>#REF!</v>
      </c>
      <c r="N39" s="12">
        <f t="shared" si="0"/>
        <v>0</v>
      </c>
      <c r="O39" t="s">
        <v>691</v>
      </c>
      <c r="P39">
        <v>29</v>
      </c>
    </row>
    <row r="40" spans="2:16" x14ac:dyDescent="0.35">
      <c r="B40" s="7">
        <f t="shared" si="1"/>
        <v>30</v>
      </c>
      <c r="C40" s="3" t="s">
        <v>202</v>
      </c>
      <c r="D40" s="4" t="s">
        <v>448</v>
      </c>
      <c r="E40" s="9" t="s">
        <v>147</v>
      </c>
      <c r="F40" s="9" t="s">
        <v>22</v>
      </c>
      <c r="G40" s="14">
        <v>118</v>
      </c>
      <c r="H40" s="14">
        <v>17761000</v>
      </c>
      <c r="I40" s="14">
        <v>2</v>
      </c>
      <c r="J40" s="14">
        <v>150000</v>
      </c>
      <c r="K40" s="14">
        <v>101</v>
      </c>
      <c r="L40" s="14">
        <v>27005000</v>
      </c>
      <c r="M40" s="4" t="e">
        <f>IF(F40="Tindakan",VLOOKUP(O40,#REF!,4,FALSE),IF(F40="Intensif",VLOOKUP(O40,#REF!,10,FALSE),IF(F40="Penunjang",VLOOKUP(O40,#REF!,16,FALSE),IF(F40="Visitase Berdasarkan Jumlah Pasien",VLOOKUP(O40,#REF!,22,FALSE),IF(F40="Visitase",VLOOKUP(O40,#REF!,28,FALSE),IF(F40="Rawat Jalan",VLOOKUP(O40,#REF!,34,FALSE),0))))))</f>
        <v>#REF!</v>
      </c>
      <c r="N40" s="12">
        <f t="shared" si="0"/>
        <v>0</v>
      </c>
      <c r="O40" t="s">
        <v>691</v>
      </c>
      <c r="P40">
        <v>30</v>
      </c>
    </row>
    <row r="41" spans="2:16" x14ac:dyDescent="0.35">
      <c r="B41" s="7">
        <f t="shared" si="1"/>
        <v>31</v>
      </c>
      <c r="C41" s="3" t="s">
        <v>202</v>
      </c>
      <c r="D41" s="4" t="s">
        <v>448</v>
      </c>
      <c r="E41" s="9" t="s">
        <v>147</v>
      </c>
      <c r="F41" s="9" t="s">
        <v>19</v>
      </c>
      <c r="G41" s="14">
        <v>29</v>
      </c>
      <c r="H41" s="14">
        <v>165711000</v>
      </c>
      <c r="I41" s="14">
        <v>0</v>
      </c>
      <c r="J41" s="14">
        <v>0</v>
      </c>
      <c r="K41" s="14">
        <v>0</v>
      </c>
      <c r="L41" s="14">
        <v>0</v>
      </c>
      <c r="M41" s="4" t="e">
        <f>IF(F41="Tindakan",VLOOKUP(O41,#REF!,4,FALSE),IF(F41="Intensif",VLOOKUP(O41,#REF!,10,FALSE),IF(F41="Penunjang",VLOOKUP(O41,#REF!,16,FALSE),IF(F41="Visitase Berdasarkan Jumlah Pasien",VLOOKUP(O41,#REF!,22,FALSE),IF(F41="Visitase",VLOOKUP(O41,#REF!,28,FALSE),IF(F41="Rawat Jalan",VLOOKUP(O41,#REF!,34,FALSE),0))))))</f>
        <v>#REF!</v>
      </c>
      <c r="N41" s="12">
        <f t="shared" si="0"/>
        <v>0</v>
      </c>
      <c r="O41" t="s">
        <v>691</v>
      </c>
      <c r="P41">
        <v>31</v>
      </c>
    </row>
    <row r="42" spans="2:16" x14ac:dyDescent="0.35">
      <c r="B42" s="7">
        <f t="shared" si="1"/>
        <v>32</v>
      </c>
      <c r="C42" s="3" t="s">
        <v>223</v>
      </c>
      <c r="D42" s="4" t="s">
        <v>449</v>
      </c>
      <c r="E42" s="9" t="s">
        <v>161</v>
      </c>
      <c r="F42" s="9" t="s">
        <v>190</v>
      </c>
      <c r="G42" s="14">
        <v>17</v>
      </c>
      <c r="H42" s="14">
        <v>2195000</v>
      </c>
      <c r="I42" s="14">
        <v>0</v>
      </c>
      <c r="J42" s="14">
        <v>0</v>
      </c>
      <c r="K42" s="14">
        <v>4</v>
      </c>
      <c r="L42" s="14">
        <v>500000</v>
      </c>
      <c r="M42" s="4" t="e">
        <f>IF(F42="Tindakan",VLOOKUP(O42,#REF!,4,FALSE),IF(F42="Intensif",VLOOKUP(O42,#REF!,10,FALSE),IF(F42="Penunjang",VLOOKUP(O42,#REF!,16,FALSE),IF(F42="Visitase Berdasarkan Jumlah Pasien",VLOOKUP(O42,#REF!,22,FALSE),IF(F42="Visitase",VLOOKUP(O42,#REF!,28,FALSE),IF(F42="Rawat Jalan",VLOOKUP(O42,#REF!,34,FALSE),0))))))</f>
        <v>#REF!</v>
      </c>
      <c r="N42" s="12">
        <f t="shared" si="0"/>
        <v>0</v>
      </c>
      <c r="O42" t="s">
        <v>688</v>
      </c>
      <c r="P42">
        <v>32</v>
      </c>
    </row>
    <row r="43" spans="2:16" x14ac:dyDescent="0.35">
      <c r="B43" s="7">
        <f t="shared" si="1"/>
        <v>33</v>
      </c>
      <c r="C43" s="3" t="s">
        <v>223</v>
      </c>
      <c r="D43" s="4" t="s">
        <v>449</v>
      </c>
      <c r="E43" s="9" t="s">
        <v>161</v>
      </c>
      <c r="F43" s="9" t="s">
        <v>22</v>
      </c>
      <c r="G43" s="14">
        <v>99</v>
      </c>
      <c r="H43" s="14">
        <v>11148000</v>
      </c>
      <c r="I43" s="14">
        <v>2</v>
      </c>
      <c r="J43" s="14">
        <v>150000</v>
      </c>
      <c r="K43" s="14">
        <v>6</v>
      </c>
      <c r="L43" s="14">
        <v>1800000</v>
      </c>
      <c r="M43" s="4" t="e">
        <f>IF(F43="Tindakan",VLOOKUP(O43,#REF!,4,FALSE),IF(F43="Intensif",VLOOKUP(O43,#REF!,10,FALSE),IF(F43="Penunjang",VLOOKUP(O43,#REF!,16,FALSE),IF(F43="Visitase Berdasarkan Jumlah Pasien",VLOOKUP(O43,#REF!,22,FALSE),IF(F43="Visitase",VLOOKUP(O43,#REF!,28,FALSE),IF(F43="Rawat Jalan",VLOOKUP(O43,#REF!,34,FALSE),0))))))</f>
        <v>#REF!</v>
      </c>
      <c r="N43" s="12">
        <f t="shared" si="0"/>
        <v>0</v>
      </c>
      <c r="O43" t="s">
        <v>688</v>
      </c>
      <c r="P43">
        <v>33</v>
      </c>
    </row>
    <row r="44" spans="2:16" x14ac:dyDescent="0.35">
      <c r="B44" s="7">
        <f t="shared" si="1"/>
        <v>34</v>
      </c>
      <c r="C44" s="3" t="s">
        <v>223</v>
      </c>
      <c r="D44" s="4" t="s">
        <v>449</v>
      </c>
      <c r="E44" s="9" t="s">
        <v>161</v>
      </c>
      <c r="F44" s="9" t="s">
        <v>19</v>
      </c>
      <c r="G44" s="14">
        <v>23</v>
      </c>
      <c r="H44" s="14">
        <v>163500000</v>
      </c>
      <c r="I44" s="14">
        <v>0</v>
      </c>
      <c r="J44" s="14">
        <v>0</v>
      </c>
      <c r="K44" s="14">
        <v>3</v>
      </c>
      <c r="L44" s="14">
        <v>59000000</v>
      </c>
      <c r="M44" s="4" t="e">
        <f>IF(F44="Tindakan",VLOOKUP(O44,#REF!,4,FALSE),IF(F44="Intensif",VLOOKUP(O44,#REF!,10,FALSE),IF(F44="Penunjang",VLOOKUP(O44,#REF!,16,FALSE),IF(F44="Visitase Berdasarkan Jumlah Pasien",VLOOKUP(O44,#REF!,22,FALSE),IF(F44="Visitase",VLOOKUP(O44,#REF!,28,FALSE),IF(F44="Rawat Jalan",VLOOKUP(O44,#REF!,34,FALSE),0))))))</f>
        <v>#REF!</v>
      </c>
      <c r="N44" s="12">
        <f t="shared" si="0"/>
        <v>0</v>
      </c>
      <c r="O44" t="s">
        <v>688</v>
      </c>
      <c r="P44">
        <v>34</v>
      </c>
    </row>
    <row r="45" spans="2:16" x14ac:dyDescent="0.35">
      <c r="B45" s="7">
        <f t="shared" si="1"/>
        <v>35</v>
      </c>
      <c r="C45" s="3" t="s">
        <v>385</v>
      </c>
      <c r="D45" s="4" t="s">
        <v>450</v>
      </c>
      <c r="E45" s="9" t="s">
        <v>164</v>
      </c>
      <c r="F45" s="9" t="s">
        <v>19</v>
      </c>
      <c r="G45" s="14">
        <v>14</v>
      </c>
      <c r="H45" s="14">
        <v>113300000</v>
      </c>
      <c r="I45" s="14">
        <v>1</v>
      </c>
      <c r="J45" s="14">
        <v>8800000</v>
      </c>
      <c r="K45" s="14">
        <v>0</v>
      </c>
      <c r="L45" s="14">
        <v>0</v>
      </c>
      <c r="M45" s="4" t="e">
        <f>IF(F45="Tindakan",VLOOKUP(O45,#REF!,4,FALSE),IF(F45="Intensif",VLOOKUP(O45,#REF!,10,FALSE),IF(F45="Penunjang",VLOOKUP(O45,#REF!,16,FALSE),IF(F45="Visitase Berdasarkan Jumlah Pasien",VLOOKUP(O45,#REF!,22,FALSE),IF(F45="Visitase",VLOOKUP(O45,#REF!,28,FALSE),IF(F45="Rawat Jalan",VLOOKUP(O45,#REF!,34,FALSE),0))))))</f>
        <v>#REF!</v>
      </c>
      <c r="N45" s="12">
        <f t="shared" si="0"/>
        <v>0</v>
      </c>
      <c r="O45" t="s">
        <v>693</v>
      </c>
      <c r="P45">
        <v>35</v>
      </c>
    </row>
    <row r="46" spans="2:16" x14ac:dyDescent="0.35">
      <c r="B46" s="7">
        <f t="shared" si="1"/>
        <v>36</v>
      </c>
      <c r="C46" s="3" t="s">
        <v>385</v>
      </c>
      <c r="D46" s="4" t="s">
        <v>450</v>
      </c>
      <c r="E46" s="9" t="s">
        <v>164</v>
      </c>
      <c r="F46" s="9" t="s">
        <v>22</v>
      </c>
      <c r="G46" s="14">
        <v>0</v>
      </c>
      <c r="H46" s="14">
        <v>0</v>
      </c>
      <c r="I46" s="14">
        <v>0</v>
      </c>
      <c r="J46" s="14">
        <v>0</v>
      </c>
      <c r="K46" s="14">
        <v>1</v>
      </c>
      <c r="L46" s="14">
        <v>250000</v>
      </c>
      <c r="M46" s="4" t="e">
        <f>IF(F46="Tindakan",VLOOKUP(O46,#REF!,4,FALSE),IF(F46="Intensif",VLOOKUP(O46,#REF!,10,FALSE),IF(F46="Penunjang",VLOOKUP(O46,#REF!,16,FALSE),IF(F46="Visitase Berdasarkan Jumlah Pasien",VLOOKUP(O46,#REF!,22,FALSE),IF(F46="Visitase",VLOOKUP(O46,#REF!,28,FALSE),IF(F46="Rawat Jalan",VLOOKUP(O46,#REF!,34,FALSE),0))))))</f>
        <v>#REF!</v>
      </c>
      <c r="N46" s="12">
        <f t="shared" si="0"/>
        <v>0</v>
      </c>
      <c r="O46" t="s">
        <v>693</v>
      </c>
      <c r="P46">
        <v>36</v>
      </c>
    </row>
    <row r="47" spans="2:16" x14ac:dyDescent="0.35">
      <c r="B47" s="7">
        <f t="shared" si="1"/>
        <v>37</v>
      </c>
      <c r="C47" s="3" t="s">
        <v>359</v>
      </c>
      <c r="D47" s="4" t="s">
        <v>451</v>
      </c>
      <c r="E47" s="9" t="s">
        <v>163</v>
      </c>
      <c r="F47" s="9" t="s">
        <v>190</v>
      </c>
      <c r="G47" s="14">
        <v>136</v>
      </c>
      <c r="H47" s="14">
        <v>19795000</v>
      </c>
      <c r="I47" s="14">
        <v>0</v>
      </c>
      <c r="J47" s="14">
        <v>0</v>
      </c>
      <c r="K47" s="14">
        <v>0</v>
      </c>
      <c r="L47" s="14">
        <v>0</v>
      </c>
      <c r="M47" s="4" t="e">
        <f>IF(F47="Tindakan",VLOOKUP(O47,#REF!,4,FALSE),IF(F47="Intensif",VLOOKUP(O47,#REF!,10,FALSE),IF(F47="Penunjang",VLOOKUP(O47,#REF!,16,FALSE),IF(F47="Visitase Berdasarkan Jumlah Pasien",VLOOKUP(O47,#REF!,22,FALSE),IF(F47="Visitase",VLOOKUP(O47,#REF!,28,FALSE),IF(F47="Rawat Jalan",VLOOKUP(O47,#REF!,34,FALSE),0))))))</f>
        <v>#REF!</v>
      </c>
      <c r="N47" s="12">
        <f t="shared" si="0"/>
        <v>0</v>
      </c>
      <c r="O47" t="s">
        <v>694</v>
      </c>
      <c r="P47">
        <v>37</v>
      </c>
    </row>
    <row r="48" spans="2:16" x14ac:dyDescent="0.35">
      <c r="B48" s="7">
        <f t="shared" si="1"/>
        <v>38</v>
      </c>
      <c r="C48" s="3" t="s">
        <v>359</v>
      </c>
      <c r="D48" s="4" t="s">
        <v>451</v>
      </c>
      <c r="E48" s="9" t="s">
        <v>163</v>
      </c>
      <c r="F48" s="9" t="s">
        <v>20</v>
      </c>
      <c r="G48" s="14">
        <v>23</v>
      </c>
      <c r="H48" s="14">
        <v>3995000</v>
      </c>
      <c r="I48" s="14">
        <v>0</v>
      </c>
      <c r="J48" s="14">
        <v>0</v>
      </c>
      <c r="K48" s="14">
        <v>0</v>
      </c>
      <c r="L48" s="14">
        <v>0</v>
      </c>
      <c r="M48" s="4" t="e">
        <f>IF(F48="Tindakan",VLOOKUP(O48,#REF!,4,FALSE),IF(F48="Intensif",VLOOKUP(O48,#REF!,10,FALSE),IF(F48="Penunjang",VLOOKUP(O48,#REF!,16,FALSE),IF(F48="Visitase Berdasarkan Jumlah Pasien",VLOOKUP(O48,#REF!,22,FALSE),IF(F48="Visitase",VLOOKUP(O48,#REF!,28,FALSE),IF(F48="Rawat Jalan",VLOOKUP(O48,#REF!,34,FALSE),0))))))</f>
        <v>#REF!</v>
      </c>
      <c r="N48" s="12">
        <f t="shared" si="0"/>
        <v>0</v>
      </c>
      <c r="O48" t="s">
        <v>694</v>
      </c>
      <c r="P48">
        <v>38</v>
      </c>
    </row>
    <row r="49" spans="2:16" x14ac:dyDescent="0.35">
      <c r="B49" s="7">
        <f t="shared" si="1"/>
        <v>39</v>
      </c>
      <c r="C49" s="3" t="s">
        <v>359</v>
      </c>
      <c r="D49" s="4" t="s">
        <v>451</v>
      </c>
      <c r="E49" s="9" t="s">
        <v>163</v>
      </c>
      <c r="F49" s="9" t="s">
        <v>22</v>
      </c>
      <c r="G49" s="14">
        <v>80</v>
      </c>
      <c r="H49" s="14">
        <v>149511000</v>
      </c>
      <c r="I49" s="14">
        <v>5</v>
      </c>
      <c r="J49" s="14">
        <v>375000</v>
      </c>
      <c r="K49" s="14">
        <v>5</v>
      </c>
      <c r="L49" s="14">
        <v>1250000</v>
      </c>
      <c r="M49" s="4" t="e">
        <f>IF(F49="Tindakan",VLOOKUP(O49,#REF!,4,FALSE),IF(F49="Intensif",VLOOKUP(O49,#REF!,10,FALSE),IF(F49="Penunjang",VLOOKUP(O49,#REF!,16,FALSE),IF(F49="Visitase Berdasarkan Jumlah Pasien",VLOOKUP(O49,#REF!,22,FALSE),IF(F49="Visitase",VLOOKUP(O49,#REF!,28,FALSE),IF(F49="Rawat Jalan",VLOOKUP(O49,#REF!,34,FALSE),0))))))</f>
        <v>#REF!</v>
      </c>
      <c r="N49" s="12">
        <f t="shared" si="0"/>
        <v>0</v>
      </c>
      <c r="O49" t="s">
        <v>694</v>
      </c>
      <c r="P49">
        <v>39</v>
      </c>
    </row>
    <row r="50" spans="2:16" x14ac:dyDescent="0.35">
      <c r="B50" s="7">
        <f t="shared" si="1"/>
        <v>40</v>
      </c>
      <c r="C50" s="3" t="s">
        <v>386</v>
      </c>
      <c r="D50" s="4" t="s">
        <v>452</v>
      </c>
      <c r="E50" s="9" t="s">
        <v>686</v>
      </c>
      <c r="F50" s="9" t="s">
        <v>22</v>
      </c>
      <c r="G50" s="14">
        <v>0</v>
      </c>
      <c r="H50" s="14">
        <v>0</v>
      </c>
      <c r="I50" s="14">
        <v>1</v>
      </c>
      <c r="J50" s="14">
        <v>44000</v>
      </c>
      <c r="K50" s="14">
        <v>0</v>
      </c>
      <c r="L50" s="14">
        <v>0</v>
      </c>
      <c r="M50" s="4" t="e">
        <f>IF(F50="Tindakan",VLOOKUP(O50,#REF!,4,FALSE),IF(F50="Intensif",VLOOKUP(O50,#REF!,10,FALSE),IF(F50="Penunjang",VLOOKUP(O50,#REF!,16,FALSE),IF(F50="Visitase Berdasarkan Jumlah Pasien",VLOOKUP(O50,#REF!,22,FALSE),IF(F50="Visitase",VLOOKUP(O50,#REF!,28,FALSE),IF(F50="Rawat Jalan",VLOOKUP(O50,#REF!,34,FALSE),0))))))</f>
        <v>#REF!</v>
      </c>
      <c r="N50" s="12">
        <f t="shared" si="0"/>
        <v>0</v>
      </c>
      <c r="O50" t="s">
        <v>695</v>
      </c>
      <c r="P50">
        <v>40</v>
      </c>
    </row>
    <row r="51" spans="2:16" x14ac:dyDescent="0.35">
      <c r="B51" s="7">
        <f t="shared" si="1"/>
        <v>41</v>
      </c>
      <c r="C51" s="3" t="s">
        <v>387</v>
      </c>
      <c r="D51" s="4" t="s">
        <v>453</v>
      </c>
      <c r="E51" s="9" t="s">
        <v>686</v>
      </c>
      <c r="F51" s="9" t="s">
        <v>190</v>
      </c>
      <c r="G51" s="14">
        <v>2</v>
      </c>
      <c r="H51" s="14">
        <v>285000</v>
      </c>
      <c r="I51" s="14">
        <v>0</v>
      </c>
      <c r="J51" s="14">
        <v>0</v>
      </c>
      <c r="K51" s="14">
        <v>0</v>
      </c>
      <c r="L51" s="14">
        <v>0</v>
      </c>
      <c r="M51" s="4" t="e">
        <f>IF(F51="Tindakan",VLOOKUP(O51,#REF!,4,FALSE),IF(F51="Intensif",VLOOKUP(O51,#REF!,10,FALSE),IF(F51="Penunjang",VLOOKUP(O51,#REF!,16,FALSE),IF(F51="Visitase Berdasarkan Jumlah Pasien",VLOOKUP(O51,#REF!,22,FALSE),IF(F51="Visitase",VLOOKUP(O51,#REF!,28,FALSE),IF(F51="Rawat Jalan",VLOOKUP(O51,#REF!,34,FALSE),0))))))</f>
        <v>#REF!</v>
      </c>
      <c r="N51" s="12">
        <f t="shared" si="0"/>
        <v>0</v>
      </c>
      <c r="O51" t="s">
        <v>695</v>
      </c>
      <c r="P51">
        <v>41</v>
      </c>
    </row>
    <row r="52" spans="2:16" x14ac:dyDescent="0.35">
      <c r="B52" s="7">
        <f t="shared" si="1"/>
        <v>42</v>
      </c>
      <c r="C52" s="3" t="s">
        <v>388</v>
      </c>
      <c r="D52" s="4" t="s">
        <v>454</v>
      </c>
      <c r="E52" s="9" t="s">
        <v>161</v>
      </c>
      <c r="F52" s="9" t="s">
        <v>22</v>
      </c>
      <c r="G52" s="14">
        <v>8</v>
      </c>
      <c r="H52" s="14">
        <v>2400000</v>
      </c>
      <c r="I52" s="14">
        <v>0</v>
      </c>
      <c r="J52" s="14">
        <v>0</v>
      </c>
      <c r="K52" s="14">
        <v>4</v>
      </c>
      <c r="L52" s="14">
        <v>960000</v>
      </c>
      <c r="M52" s="4" t="e">
        <f>IF(F52="Tindakan",VLOOKUP(O52,#REF!,4,FALSE),IF(F52="Intensif",VLOOKUP(O52,#REF!,10,FALSE),IF(F52="Penunjang",VLOOKUP(O52,#REF!,16,FALSE),IF(F52="Visitase Berdasarkan Jumlah Pasien",VLOOKUP(O52,#REF!,22,FALSE),IF(F52="Visitase",VLOOKUP(O52,#REF!,28,FALSE),IF(F52="Rawat Jalan",VLOOKUP(O52,#REF!,34,FALSE),0))))))</f>
        <v>#REF!</v>
      </c>
      <c r="N52" s="12">
        <f t="shared" si="0"/>
        <v>0</v>
      </c>
      <c r="O52" t="s">
        <v>688</v>
      </c>
      <c r="P52">
        <v>42</v>
      </c>
    </row>
    <row r="53" spans="2:16" x14ac:dyDescent="0.35">
      <c r="B53" s="7">
        <f t="shared" si="1"/>
        <v>43</v>
      </c>
      <c r="C53" s="3" t="s">
        <v>388</v>
      </c>
      <c r="D53" s="4" t="s">
        <v>454</v>
      </c>
      <c r="E53" s="9" t="s">
        <v>161</v>
      </c>
      <c r="F53" s="9" t="s">
        <v>19</v>
      </c>
      <c r="G53" s="14">
        <v>0</v>
      </c>
      <c r="H53" s="14">
        <v>0</v>
      </c>
      <c r="I53" s="14">
        <v>0</v>
      </c>
      <c r="J53" s="14">
        <v>0</v>
      </c>
      <c r="K53" s="14">
        <v>1</v>
      </c>
      <c r="L53" s="14">
        <v>15100000</v>
      </c>
      <c r="M53" s="4" t="e">
        <f>IF(F53="Tindakan",VLOOKUP(O53,#REF!,4,FALSE),IF(F53="Intensif",VLOOKUP(O53,#REF!,10,FALSE),IF(F53="Penunjang",VLOOKUP(O53,#REF!,16,FALSE),IF(F53="Visitase Berdasarkan Jumlah Pasien",VLOOKUP(O53,#REF!,22,FALSE),IF(F53="Visitase",VLOOKUP(O53,#REF!,28,FALSE),IF(F53="Rawat Jalan",VLOOKUP(O53,#REF!,34,FALSE),0))))))</f>
        <v>#REF!</v>
      </c>
      <c r="N53" s="12">
        <f t="shared" si="0"/>
        <v>0</v>
      </c>
      <c r="O53" t="s">
        <v>688</v>
      </c>
      <c r="P53">
        <v>43</v>
      </c>
    </row>
    <row r="54" spans="2:16" x14ac:dyDescent="0.35">
      <c r="B54" s="7">
        <f t="shared" si="1"/>
        <v>44</v>
      </c>
      <c r="C54" s="3" t="s">
        <v>389</v>
      </c>
      <c r="D54" s="4" t="s">
        <v>455</v>
      </c>
      <c r="E54" s="9" t="s">
        <v>146</v>
      </c>
      <c r="F54" s="9" t="s">
        <v>190</v>
      </c>
      <c r="G54" s="14">
        <v>223</v>
      </c>
      <c r="H54" s="14">
        <v>35295000</v>
      </c>
      <c r="I54" s="14">
        <v>2</v>
      </c>
      <c r="J54" s="14">
        <v>320000</v>
      </c>
      <c r="K54" s="14">
        <v>0</v>
      </c>
      <c r="L54" s="14">
        <v>0</v>
      </c>
      <c r="M54" s="4" t="e">
        <f>IF(F54="Tindakan",VLOOKUP(O54,#REF!,4,FALSE),IF(F54="Intensif",VLOOKUP(O54,#REF!,10,FALSE),IF(F54="Penunjang",VLOOKUP(O54,#REF!,16,FALSE),IF(F54="Visitase Berdasarkan Jumlah Pasien",VLOOKUP(O54,#REF!,22,FALSE),IF(F54="Visitase",VLOOKUP(O54,#REF!,28,FALSE),IF(F54="Rawat Jalan",VLOOKUP(O54,#REF!,34,FALSE),0))))))</f>
        <v>#REF!</v>
      </c>
      <c r="N54" s="12">
        <f t="shared" si="0"/>
        <v>0</v>
      </c>
      <c r="O54" t="s">
        <v>696</v>
      </c>
      <c r="P54">
        <v>44</v>
      </c>
    </row>
    <row r="55" spans="2:16" x14ac:dyDescent="0.35">
      <c r="B55" s="7">
        <f t="shared" si="1"/>
        <v>45</v>
      </c>
      <c r="C55" s="3" t="s">
        <v>389</v>
      </c>
      <c r="D55" s="4" t="s">
        <v>455</v>
      </c>
      <c r="E55" s="9" t="s">
        <v>146</v>
      </c>
      <c r="F55" s="9" t="s">
        <v>20</v>
      </c>
      <c r="G55" s="14">
        <v>12</v>
      </c>
      <c r="H55" s="14">
        <v>2100000</v>
      </c>
      <c r="I55" s="14">
        <v>4</v>
      </c>
      <c r="J55" s="14">
        <v>700000</v>
      </c>
      <c r="K55" s="14">
        <v>0</v>
      </c>
      <c r="L55" s="14">
        <v>0</v>
      </c>
      <c r="M55" s="4" t="e">
        <f>IF(F55="Tindakan",VLOOKUP(O55,#REF!,4,FALSE),IF(F55="Intensif",VLOOKUP(O55,#REF!,10,FALSE),IF(F55="Penunjang",VLOOKUP(O55,#REF!,16,FALSE),IF(F55="Visitase Berdasarkan Jumlah Pasien",VLOOKUP(O55,#REF!,22,FALSE),IF(F55="Visitase",VLOOKUP(O55,#REF!,28,FALSE),IF(F55="Rawat Jalan",VLOOKUP(O55,#REF!,34,FALSE),0))))))</f>
        <v>#REF!</v>
      </c>
      <c r="N55" s="12">
        <f t="shared" si="0"/>
        <v>0</v>
      </c>
      <c r="O55" t="s">
        <v>696</v>
      </c>
      <c r="P55">
        <v>45</v>
      </c>
    </row>
    <row r="56" spans="2:16" x14ac:dyDescent="0.35">
      <c r="B56" s="7">
        <f t="shared" si="1"/>
        <v>46</v>
      </c>
      <c r="C56" s="3" t="s">
        <v>389</v>
      </c>
      <c r="D56" s="4" t="s">
        <v>455</v>
      </c>
      <c r="E56" s="9" t="s">
        <v>146</v>
      </c>
      <c r="F56" s="9" t="s">
        <v>22</v>
      </c>
      <c r="G56" s="14">
        <v>169</v>
      </c>
      <c r="H56" s="14">
        <v>13346000</v>
      </c>
      <c r="I56" s="14">
        <v>7</v>
      </c>
      <c r="J56" s="14">
        <v>525000</v>
      </c>
      <c r="K56" s="14">
        <v>0</v>
      </c>
      <c r="L56" s="14">
        <v>0</v>
      </c>
      <c r="M56" s="4" t="e">
        <f>IF(F56="Tindakan",VLOOKUP(O56,#REF!,4,FALSE),IF(F56="Intensif",VLOOKUP(O56,#REF!,10,FALSE),IF(F56="Penunjang",VLOOKUP(O56,#REF!,16,FALSE),IF(F56="Visitase Berdasarkan Jumlah Pasien",VLOOKUP(O56,#REF!,22,FALSE),IF(F56="Visitase",VLOOKUP(O56,#REF!,28,FALSE),IF(F56="Rawat Jalan",VLOOKUP(O56,#REF!,34,FALSE),0))))))</f>
        <v>#REF!</v>
      </c>
      <c r="N56" s="12">
        <f t="shared" si="0"/>
        <v>0</v>
      </c>
      <c r="O56" t="s">
        <v>696</v>
      </c>
      <c r="P56">
        <v>46</v>
      </c>
    </row>
    <row r="57" spans="2:16" x14ac:dyDescent="0.35">
      <c r="B57" s="7">
        <f t="shared" si="1"/>
        <v>47</v>
      </c>
      <c r="C57" s="3" t="s">
        <v>256</v>
      </c>
      <c r="D57" s="4" t="s">
        <v>456</v>
      </c>
      <c r="E57" s="9" t="s">
        <v>151</v>
      </c>
      <c r="F57" s="9" t="s">
        <v>22</v>
      </c>
      <c r="G57" s="14">
        <v>92</v>
      </c>
      <c r="H57" s="14">
        <v>54063000</v>
      </c>
      <c r="I57" s="14">
        <v>4</v>
      </c>
      <c r="J57" s="14">
        <v>495000</v>
      </c>
      <c r="K57" s="14">
        <v>19</v>
      </c>
      <c r="L57" s="14">
        <v>4750000</v>
      </c>
      <c r="M57" s="4" t="e">
        <f>IF(F57="Tindakan",VLOOKUP(O57,#REF!,4,FALSE),IF(F57="Intensif",VLOOKUP(O57,#REF!,10,FALSE),IF(F57="Penunjang",VLOOKUP(O57,#REF!,16,FALSE),IF(F57="Visitase Berdasarkan Jumlah Pasien",VLOOKUP(O57,#REF!,22,FALSE),IF(F57="Visitase",VLOOKUP(O57,#REF!,28,FALSE),IF(F57="Rawat Jalan",VLOOKUP(O57,#REF!,34,FALSE),0))))))</f>
        <v>#REF!</v>
      </c>
      <c r="N57" s="12">
        <f t="shared" si="0"/>
        <v>0</v>
      </c>
      <c r="O57" t="s">
        <v>690</v>
      </c>
      <c r="P57">
        <v>47</v>
      </c>
    </row>
    <row r="58" spans="2:16" x14ac:dyDescent="0.35">
      <c r="B58" s="7">
        <f t="shared" si="1"/>
        <v>48</v>
      </c>
      <c r="C58" s="3" t="s">
        <v>256</v>
      </c>
      <c r="D58" s="4" t="s">
        <v>456</v>
      </c>
      <c r="E58" s="9" t="s">
        <v>151</v>
      </c>
      <c r="F58" s="9" t="s">
        <v>19</v>
      </c>
      <c r="G58" s="14">
        <v>53</v>
      </c>
      <c r="H58" s="14">
        <v>476121000</v>
      </c>
      <c r="I58" s="14">
        <v>5</v>
      </c>
      <c r="J58" s="14">
        <v>47860000</v>
      </c>
      <c r="K58" s="14">
        <v>3</v>
      </c>
      <c r="L58" s="14">
        <v>87790000</v>
      </c>
      <c r="M58" s="4" t="e">
        <f>IF(F58="Tindakan",VLOOKUP(O58,#REF!,4,FALSE),IF(F58="Intensif",VLOOKUP(O58,#REF!,10,FALSE),IF(F58="Penunjang",VLOOKUP(O58,#REF!,16,FALSE),IF(F58="Visitase Berdasarkan Jumlah Pasien",VLOOKUP(O58,#REF!,22,FALSE),IF(F58="Visitase",VLOOKUP(O58,#REF!,28,FALSE),IF(F58="Rawat Jalan",VLOOKUP(O58,#REF!,34,FALSE),0))))))</f>
        <v>#REF!</v>
      </c>
      <c r="N58" s="12">
        <f t="shared" si="0"/>
        <v>0</v>
      </c>
      <c r="O58" t="s">
        <v>690</v>
      </c>
      <c r="P58">
        <v>48</v>
      </c>
    </row>
    <row r="59" spans="2:16" x14ac:dyDescent="0.35">
      <c r="B59" s="7">
        <f t="shared" si="1"/>
        <v>49</v>
      </c>
      <c r="C59" s="3" t="s">
        <v>256</v>
      </c>
      <c r="D59" s="4" t="s">
        <v>456</v>
      </c>
      <c r="E59" s="9" t="s">
        <v>151</v>
      </c>
      <c r="F59" s="9" t="s">
        <v>21</v>
      </c>
      <c r="G59" s="14">
        <v>5</v>
      </c>
      <c r="H59" s="14">
        <v>2293000</v>
      </c>
      <c r="I59" s="14">
        <v>0</v>
      </c>
      <c r="J59" s="14">
        <v>0</v>
      </c>
      <c r="K59" s="14">
        <v>0</v>
      </c>
      <c r="L59" s="14">
        <v>0</v>
      </c>
      <c r="M59" s="4" t="e">
        <f>IF(F59="Tindakan",VLOOKUP(O59,#REF!,4,FALSE),IF(F59="Intensif",VLOOKUP(O59,#REF!,10,FALSE),IF(F59="Penunjang",VLOOKUP(O59,#REF!,16,FALSE),IF(F59="Visitase Berdasarkan Jumlah Pasien",VLOOKUP(O59,#REF!,22,FALSE),IF(F59="Visitase",VLOOKUP(O59,#REF!,28,FALSE),IF(F59="Rawat Jalan",VLOOKUP(O59,#REF!,34,FALSE),0))))))</f>
        <v>#REF!</v>
      </c>
      <c r="N59" s="12">
        <f t="shared" si="0"/>
        <v>0</v>
      </c>
      <c r="O59" t="s">
        <v>690</v>
      </c>
      <c r="P59">
        <v>49</v>
      </c>
    </row>
    <row r="60" spans="2:16" x14ac:dyDescent="0.35">
      <c r="B60" s="7">
        <f t="shared" si="1"/>
        <v>50</v>
      </c>
      <c r="C60" s="3" t="s">
        <v>344</v>
      </c>
      <c r="D60" s="4" t="s">
        <v>457</v>
      </c>
      <c r="E60" s="9" t="s">
        <v>165</v>
      </c>
      <c r="F60" s="9" t="s">
        <v>190</v>
      </c>
      <c r="G60" s="14">
        <v>153</v>
      </c>
      <c r="H60" s="14">
        <v>21275000</v>
      </c>
      <c r="I60" s="14">
        <v>85</v>
      </c>
      <c r="J60" s="14">
        <v>11935000</v>
      </c>
      <c r="K60" s="14">
        <v>0</v>
      </c>
      <c r="L60" s="14">
        <v>0</v>
      </c>
      <c r="M60" s="4" t="e">
        <f>IF(F60="Tindakan",VLOOKUP(O60,#REF!,4,FALSE),IF(F60="Intensif",VLOOKUP(O60,#REF!,10,FALSE),IF(F60="Penunjang",VLOOKUP(O60,#REF!,16,FALSE),IF(F60="Visitase Berdasarkan Jumlah Pasien",VLOOKUP(O60,#REF!,22,FALSE),IF(F60="Visitase",VLOOKUP(O60,#REF!,28,FALSE),IF(F60="Rawat Jalan",VLOOKUP(O60,#REF!,34,FALSE),0))))))</f>
        <v>#REF!</v>
      </c>
      <c r="N60" s="12">
        <f t="shared" si="0"/>
        <v>0</v>
      </c>
      <c r="O60" t="s">
        <v>697</v>
      </c>
      <c r="P60">
        <v>50</v>
      </c>
    </row>
    <row r="61" spans="2:16" x14ac:dyDescent="0.35">
      <c r="B61" s="7">
        <f t="shared" si="1"/>
        <v>51</v>
      </c>
      <c r="C61" s="3" t="s">
        <v>344</v>
      </c>
      <c r="D61" s="4" t="s">
        <v>457</v>
      </c>
      <c r="E61" s="9" t="s">
        <v>165</v>
      </c>
      <c r="F61" s="9" t="s">
        <v>20</v>
      </c>
      <c r="G61" s="14">
        <v>103</v>
      </c>
      <c r="H61" s="14">
        <v>17415000</v>
      </c>
      <c r="I61" s="14">
        <v>76</v>
      </c>
      <c r="J61" s="14">
        <v>13287000</v>
      </c>
      <c r="K61" s="14">
        <v>0</v>
      </c>
      <c r="L61" s="14">
        <v>0</v>
      </c>
      <c r="M61" s="4" t="e">
        <f>IF(F61="Tindakan",VLOOKUP(O61,#REF!,4,FALSE),IF(F61="Intensif",VLOOKUP(O61,#REF!,10,FALSE),IF(F61="Penunjang",VLOOKUP(O61,#REF!,16,FALSE),IF(F61="Visitase Berdasarkan Jumlah Pasien",VLOOKUP(O61,#REF!,22,FALSE),IF(F61="Visitase",VLOOKUP(O61,#REF!,28,FALSE),IF(F61="Rawat Jalan",VLOOKUP(O61,#REF!,34,FALSE),0))))))</f>
        <v>#REF!</v>
      </c>
      <c r="N61" s="12">
        <f t="shared" si="0"/>
        <v>0</v>
      </c>
      <c r="O61" t="s">
        <v>697</v>
      </c>
      <c r="P61">
        <v>51</v>
      </c>
    </row>
    <row r="62" spans="2:16" x14ac:dyDescent="0.35">
      <c r="B62" s="7">
        <f t="shared" si="1"/>
        <v>52</v>
      </c>
      <c r="C62" s="3" t="s">
        <v>344</v>
      </c>
      <c r="D62" s="4" t="s">
        <v>457</v>
      </c>
      <c r="E62" s="9" t="s">
        <v>165</v>
      </c>
      <c r="F62" s="9" t="s">
        <v>22</v>
      </c>
      <c r="G62" s="14">
        <v>112</v>
      </c>
      <c r="H62" s="14">
        <v>11593000</v>
      </c>
      <c r="I62" s="14">
        <v>58</v>
      </c>
      <c r="J62" s="14">
        <v>4369000</v>
      </c>
      <c r="K62" s="14">
        <v>0</v>
      </c>
      <c r="L62" s="14">
        <v>0</v>
      </c>
      <c r="M62" s="4" t="e">
        <f>IF(F62="Tindakan",VLOOKUP(O62,#REF!,4,FALSE),IF(F62="Intensif",VLOOKUP(O62,#REF!,10,FALSE),IF(F62="Penunjang",VLOOKUP(O62,#REF!,16,FALSE),IF(F62="Visitase Berdasarkan Jumlah Pasien",VLOOKUP(O62,#REF!,22,FALSE),IF(F62="Visitase",VLOOKUP(O62,#REF!,28,FALSE),IF(F62="Rawat Jalan",VLOOKUP(O62,#REF!,34,FALSE),0))))))</f>
        <v>#REF!</v>
      </c>
      <c r="N62" s="12">
        <f t="shared" si="0"/>
        <v>0</v>
      </c>
      <c r="O62" t="s">
        <v>697</v>
      </c>
      <c r="P62">
        <v>52</v>
      </c>
    </row>
    <row r="63" spans="2:16" x14ac:dyDescent="0.35">
      <c r="B63" s="7">
        <f t="shared" si="1"/>
        <v>53</v>
      </c>
      <c r="C63" s="3" t="s">
        <v>344</v>
      </c>
      <c r="D63" s="4" t="s">
        <v>457</v>
      </c>
      <c r="E63" s="9" t="s">
        <v>165</v>
      </c>
      <c r="F63" s="9" t="s">
        <v>21</v>
      </c>
      <c r="G63" s="14">
        <v>4</v>
      </c>
      <c r="H63" s="14">
        <v>2292000</v>
      </c>
      <c r="I63" s="14">
        <v>0</v>
      </c>
      <c r="J63" s="14">
        <v>0</v>
      </c>
      <c r="K63" s="14">
        <v>0</v>
      </c>
      <c r="L63" s="14">
        <v>0</v>
      </c>
      <c r="M63" s="4" t="e">
        <f>IF(F63="Tindakan",VLOOKUP(O63,#REF!,4,FALSE),IF(F63="Intensif",VLOOKUP(O63,#REF!,10,FALSE),IF(F63="Penunjang",VLOOKUP(O63,#REF!,16,FALSE),IF(F63="Visitase Berdasarkan Jumlah Pasien",VLOOKUP(O63,#REF!,22,FALSE),IF(F63="Visitase",VLOOKUP(O63,#REF!,28,FALSE),IF(F63="Rawat Jalan",VLOOKUP(O63,#REF!,34,FALSE),0))))))</f>
        <v>#REF!</v>
      </c>
      <c r="N63" s="12">
        <f t="shared" si="0"/>
        <v>0</v>
      </c>
      <c r="O63" t="s">
        <v>697</v>
      </c>
      <c r="P63">
        <v>53</v>
      </c>
    </row>
    <row r="64" spans="2:16" x14ac:dyDescent="0.35">
      <c r="B64" s="7">
        <f t="shared" si="1"/>
        <v>54</v>
      </c>
      <c r="C64" s="3" t="s">
        <v>320</v>
      </c>
      <c r="D64" s="4" t="s">
        <v>458</v>
      </c>
      <c r="E64" s="9" t="s">
        <v>166</v>
      </c>
      <c r="F64" s="9" t="s">
        <v>22</v>
      </c>
      <c r="G64" s="14">
        <v>0</v>
      </c>
      <c r="H64" s="14">
        <v>0</v>
      </c>
      <c r="I64" s="14">
        <v>370</v>
      </c>
      <c r="J64" s="14">
        <v>274873100</v>
      </c>
      <c r="K64" s="14">
        <v>0</v>
      </c>
      <c r="L64" s="14">
        <v>0</v>
      </c>
      <c r="M64" s="4" t="e">
        <f>IF(F64="Tindakan",VLOOKUP(O64,#REF!,4,FALSE),IF(F64="Intensif",VLOOKUP(O64,#REF!,10,FALSE),IF(F64="Penunjang",VLOOKUP(O64,#REF!,16,FALSE),IF(F64="Visitase Berdasarkan Jumlah Pasien",VLOOKUP(O64,#REF!,22,FALSE),IF(F64="Visitase",VLOOKUP(O64,#REF!,28,FALSE),IF(F64="Rawat Jalan",VLOOKUP(O64,#REF!,34,FALSE),0))))))</f>
        <v>#REF!</v>
      </c>
      <c r="N64" s="12">
        <f t="shared" si="0"/>
        <v>0</v>
      </c>
      <c r="O64" t="s">
        <v>698</v>
      </c>
      <c r="P64">
        <v>54</v>
      </c>
    </row>
    <row r="65" spans="2:16" x14ac:dyDescent="0.35">
      <c r="B65" s="7">
        <f t="shared" si="1"/>
        <v>55</v>
      </c>
      <c r="C65" s="3" t="s">
        <v>360</v>
      </c>
      <c r="D65" s="4" t="s">
        <v>459</v>
      </c>
      <c r="E65" s="9" t="s">
        <v>163</v>
      </c>
      <c r="F65" s="9" t="s">
        <v>190</v>
      </c>
      <c r="G65" s="14">
        <v>156</v>
      </c>
      <c r="H65" s="14">
        <v>21655000</v>
      </c>
      <c r="I65" s="14">
        <v>12</v>
      </c>
      <c r="J65" s="14">
        <v>1500000</v>
      </c>
      <c r="K65" s="14">
        <v>1</v>
      </c>
      <c r="L65" s="14">
        <v>125000</v>
      </c>
      <c r="M65" s="4" t="e">
        <f>IF(F65="Tindakan",VLOOKUP(O65,#REF!,4,FALSE),IF(F65="Intensif",VLOOKUP(O65,#REF!,10,FALSE),IF(F65="Penunjang",VLOOKUP(O65,#REF!,16,FALSE),IF(F65="Visitase Berdasarkan Jumlah Pasien",VLOOKUP(O65,#REF!,22,FALSE),IF(F65="Visitase",VLOOKUP(O65,#REF!,28,FALSE),IF(F65="Rawat Jalan",VLOOKUP(O65,#REF!,34,FALSE),0))))))</f>
        <v>#REF!</v>
      </c>
      <c r="N65" s="12">
        <f t="shared" si="0"/>
        <v>0</v>
      </c>
      <c r="O65" t="s">
        <v>694</v>
      </c>
      <c r="P65">
        <v>55</v>
      </c>
    </row>
    <row r="66" spans="2:16" x14ac:dyDescent="0.35">
      <c r="B66" s="7">
        <f t="shared" si="1"/>
        <v>56</v>
      </c>
      <c r="C66" s="3" t="s">
        <v>360</v>
      </c>
      <c r="D66" s="4" t="s">
        <v>459</v>
      </c>
      <c r="E66" s="9" t="s">
        <v>163</v>
      </c>
      <c r="F66" s="9" t="s">
        <v>20</v>
      </c>
      <c r="G66" s="14">
        <v>29</v>
      </c>
      <c r="H66" s="14">
        <v>4895000</v>
      </c>
      <c r="I66" s="14">
        <v>0</v>
      </c>
      <c r="J66" s="14">
        <v>0</v>
      </c>
      <c r="K66" s="14">
        <v>0</v>
      </c>
      <c r="L66" s="14">
        <v>0</v>
      </c>
      <c r="M66" s="4" t="e">
        <f>IF(F66="Tindakan",VLOOKUP(O66,#REF!,4,FALSE),IF(F66="Intensif",VLOOKUP(O66,#REF!,10,FALSE),IF(F66="Penunjang",VLOOKUP(O66,#REF!,16,FALSE),IF(F66="Visitase Berdasarkan Jumlah Pasien",VLOOKUP(O66,#REF!,22,FALSE),IF(F66="Visitase",VLOOKUP(O66,#REF!,28,FALSE),IF(F66="Rawat Jalan",VLOOKUP(O66,#REF!,34,FALSE),0))))))</f>
        <v>#REF!</v>
      </c>
      <c r="N66" s="12">
        <f t="shared" si="0"/>
        <v>0</v>
      </c>
      <c r="O66" t="s">
        <v>694</v>
      </c>
      <c r="P66">
        <v>56</v>
      </c>
    </row>
    <row r="67" spans="2:16" x14ac:dyDescent="0.35">
      <c r="B67" s="7">
        <f t="shared" si="1"/>
        <v>57</v>
      </c>
      <c r="C67" s="3" t="s">
        <v>360</v>
      </c>
      <c r="D67" s="4" t="s">
        <v>459</v>
      </c>
      <c r="E67" s="9" t="s">
        <v>163</v>
      </c>
      <c r="F67" s="9" t="s">
        <v>19</v>
      </c>
      <c r="G67" s="14">
        <v>2</v>
      </c>
      <c r="H67" s="14">
        <v>23278000</v>
      </c>
      <c r="I67" s="14">
        <v>0</v>
      </c>
      <c r="J67" s="14">
        <v>0</v>
      </c>
      <c r="K67" s="14">
        <v>0</v>
      </c>
      <c r="L67" s="14">
        <v>0</v>
      </c>
      <c r="M67" s="4" t="e">
        <f>IF(F67="Tindakan",VLOOKUP(O67,#REF!,4,FALSE),IF(F67="Intensif",VLOOKUP(O67,#REF!,10,FALSE),IF(F67="Penunjang",VLOOKUP(O67,#REF!,16,FALSE),IF(F67="Visitase Berdasarkan Jumlah Pasien",VLOOKUP(O67,#REF!,22,FALSE),IF(F67="Visitase",VLOOKUP(O67,#REF!,28,FALSE),IF(F67="Rawat Jalan",VLOOKUP(O67,#REF!,34,FALSE),0))))))</f>
        <v>#REF!</v>
      </c>
      <c r="N67" s="12">
        <f t="shared" si="0"/>
        <v>0</v>
      </c>
      <c r="O67" t="s">
        <v>694</v>
      </c>
      <c r="P67">
        <v>57</v>
      </c>
    </row>
    <row r="68" spans="2:16" x14ac:dyDescent="0.35">
      <c r="B68" s="7">
        <f t="shared" si="1"/>
        <v>58</v>
      </c>
      <c r="C68" s="3" t="s">
        <v>360</v>
      </c>
      <c r="D68" s="4" t="s">
        <v>459</v>
      </c>
      <c r="E68" s="9" t="s">
        <v>163</v>
      </c>
      <c r="F68" s="9" t="s">
        <v>22</v>
      </c>
      <c r="G68" s="14">
        <v>112</v>
      </c>
      <c r="H68" s="14">
        <v>9452000</v>
      </c>
      <c r="I68" s="14">
        <v>6</v>
      </c>
      <c r="J68" s="14">
        <v>450000</v>
      </c>
      <c r="K68" s="14">
        <v>2</v>
      </c>
      <c r="L68" s="14">
        <v>900000</v>
      </c>
      <c r="M68" s="4" t="e">
        <f>IF(F68="Tindakan",VLOOKUP(O68,#REF!,4,FALSE),IF(F68="Intensif",VLOOKUP(O68,#REF!,10,FALSE),IF(F68="Penunjang",VLOOKUP(O68,#REF!,16,FALSE),IF(F68="Visitase Berdasarkan Jumlah Pasien",VLOOKUP(O68,#REF!,22,FALSE),IF(F68="Visitase",VLOOKUP(O68,#REF!,28,FALSE),IF(F68="Rawat Jalan",VLOOKUP(O68,#REF!,34,FALSE),0))))))</f>
        <v>#REF!</v>
      </c>
      <c r="N68" s="12">
        <f t="shared" si="0"/>
        <v>0</v>
      </c>
      <c r="O68" t="s">
        <v>694</v>
      </c>
      <c r="P68">
        <v>58</v>
      </c>
    </row>
    <row r="69" spans="2:16" x14ac:dyDescent="0.35">
      <c r="B69" s="7">
        <f t="shared" si="1"/>
        <v>59</v>
      </c>
      <c r="C69" s="3" t="s">
        <v>284</v>
      </c>
      <c r="D69" s="4" t="s">
        <v>460</v>
      </c>
      <c r="E69" s="9" t="s">
        <v>164</v>
      </c>
      <c r="F69" s="9" t="s">
        <v>190</v>
      </c>
      <c r="G69" s="14">
        <v>84</v>
      </c>
      <c r="H69" s="14">
        <v>10640000</v>
      </c>
      <c r="I69" s="14">
        <v>12</v>
      </c>
      <c r="J69" s="14">
        <v>1500000</v>
      </c>
      <c r="K69" s="14">
        <v>4</v>
      </c>
      <c r="L69" s="14">
        <v>720000</v>
      </c>
      <c r="M69" s="4" t="e">
        <f>IF(F69="Tindakan",VLOOKUP(O69,#REF!,4,FALSE),IF(F69="Intensif",VLOOKUP(O69,#REF!,10,FALSE),IF(F69="Penunjang",VLOOKUP(O69,#REF!,16,FALSE),IF(F69="Visitase Berdasarkan Jumlah Pasien",VLOOKUP(O69,#REF!,22,FALSE),IF(F69="Visitase",VLOOKUP(O69,#REF!,28,FALSE),IF(F69="Rawat Jalan",VLOOKUP(O69,#REF!,34,FALSE),0))))))</f>
        <v>#REF!</v>
      </c>
      <c r="N69" s="12">
        <f t="shared" si="0"/>
        <v>0</v>
      </c>
      <c r="O69" t="s">
        <v>693</v>
      </c>
      <c r="P69">
        <v>59</v>
      </c>
    </row>
    <row r="70" spans="2:16" x14ac:dyDescent="0.35">
      <c r="B70" s="7">
        <f t="shared" si="1"/>
        <v>60</v>
      </c>
      <c r="C70" s="3" t="s">
        <v>284</v>
      </c>
      <c r="D70" s="4" t="s">
        <v>460</v>
      </c>
      <c r="E70" s="9" t="s">
        <v>164</v>
      </c>
      <c r="F70" s="9" t="s">
        <v>22</v>
      </c>
      <c r="G70" s="14">
        <v>119</v>
      </c>
      <c r="H70" s="14">
        <v>11393000</v>
      </c>
      <c r="I70" s="14">
        <v>7</v>
      </c>
      <c r="J70" s="14">
        <v>525000</v>
      </c>
      <c r="K70" s="14">
        <v>16</v>
      </c>
      <c r="L70" s="14">
        <v>4818000</v>
      </c>
      <c r="M70" s="4" t="e">
        <f>IF(F70="Tindakan",VLOOKUP(O70,#REF!,4,FALSE),IF(F70="Intensif",VLOOKUP(O70,#REF!,10,FALSE),IF(F70="Penunjang",VLOOKUP(O70,#REF!,16,FALSE),IF(F70="Visitase Berdasarkan Jumlah Pasien",VLOOKUP(O70,#REF!,22,FALSE),IF(F70="Visitase",VLOOKUP(O70,#REF!,28,FALSE),IF(F70="Rawat Jalan",VLOOKUP(O70,#REF!,34,FALSE),0))))))</f>
        <v>#REF!</v>
      </c>
      <c r="N70" s="12">
        <f t="shared" si="0"/>
        <v>0</v>
      </c>
      <c r="O70" t="s">
        <v>693</v>
      </c>
      <c r="P70">
        <v>60</v>
      </c>
    </row>
    <row r="71" spans="2:16" x14ac:dyDescent="0.35">
      <c r="B71" s="7">
        <f t="shared" si="1"/>
        <v>61</v>
      </c>
      <c r="C71" s="3" t="s">
        <v>284</v>
      </c>
      <c r="D71" s="4" t="s">
        <v>460</v>
      </c>
      <c r="E71" s="9" t="s">
        <v>164</v>
      </c>
      <c r="F71" s="9" t="s">
        <v>19</v>
      </c>
      <c r="G71" s="14">
        <v>11</v>
      </c>
      <c r="H71" s="14">
        <v>130750000</v>
      </c>
      <c r="I71" s="14">
        <v>1</v>
      </c>
      <c r="J71" s="14">
        <v>8800000</v>
      </c>
      <c r="K71" s="14">
        <v>1</v>
      </c>
      <c r="L71" s="14">
        <v>34990000</v>
      </c>
      <c r="M71" s="4" t="e">
        <f>IF(F71="Tindakan",VLOOKUP(O71,#REF!,4,FALSE),IF(F71="Intensif",VLOOKUP(O71,#REF!,10,FALSE),IF(F71="Penunjang",VLOOKUP(O71,#REF!,16,FALSE),IF(F71="Visitase Berdasarkan Jumlah Pasien",VLOOKUP(O71,#REF!,22,FALSE),IF(F71="Visitase",VLOOKUP(O71,#REF!,28,FALSE),IF(F71="Rawat Jalan",VLOOKUP(O71,#REF!,34,FALSE),0))))))</f>
        <v>#REF!</v>
      </c>
      <c r="N71" s="12">
        <f t="shared" si="0"/>
        <v>0</v>
      </c>
      <c r="O71" t="s">
        <v>693</v>
      </c>
      <c r="P71">
        <v>61</v>
      </c>
    </row>
    <row r="72" spans="2:16" x14ac:dyDescent="0.35">
      <c r="B72" s="7">
        <f t="shared" si="1"/>
        <v>62</v>
      </c>
      <c r="C72" s="3" t="s">
        <v>365</v>
      </c>
      <c r="D72" s="4" t="s">
        <v>461</v>
      </c>
      <c r="E72" s="9" t="s">
        <v>146</v>
      </c>
      <c r="F72" s="9" t="s">
        <v>190</v>
      </c>
      <c r="G72" s="14">
        <v>172</v>
      </c>
      <c r="H72" s="14">
        <v>26520000</v>
      </c>
      <c r="I72" s="14">
        <v>3</v>
      </c>
      <c r="J72" s="14">
        <v>480000</v>
      </c>
      <c r="K72" s="14">
        <v>1</v>
      </c>
      <c r="L72" s="14">
        <v>125000</v>
      </c>
      <c r="M72" s="4" t="e">
        <f>IF(F72="Tindakan",VLOOKUP(O72,#REF!,4,FALSE),IF(F72="Intensif",VLOOKUP(O72,#REF!,10,FALSE),IF(F72="Penunjang",VLOOKUP(O72,#REF!,16,FALSE),IF(F72="Visitase Berdasarkan Jumlah Pasien",VLOOKUP(O72,#REF!,22,FALSE),IF(F72="Visitase",VLOOKUP(O72,#REF!,28,FALSE),IF(F72="Rawat Jalan",VLOOKUP(O72,#REF!,34,FALSE),0))))))</f>
        <v>#REF!</v>
      </c>
      <c r="N72" s="12">
        <f t="shared" si="0"/>
        <v>0</v>
      </c>
      <c r="O72" t="s">
        <v>696</v>
      </c>
      <c r="P72">
        <v>62</v>
      </c>
    </row>
    <row r="73" spans="2:16" x14ac:dyDescent="0.35">
      <c r="B73" s="7">
        <f t="shared" si="1"/>
        <v>63</v>
      </c>
      <c r="C73" s="3" t="s">
        <v>365</v>
      </c>
      <c r="D73" s="4" t="s">
        <v>461</v>
      </c>
      <c r="E73" s="9" t="s">
        <v>146</v>
      </c>
      <c r="F73" s="9" t="s">
        <v>22</v>
      </c>
      <c r="G73" s="14">
        <v>377</v>
      </c>
      <c r="H73" s="14">
        <v>344590000</v>
      </c>
      <c r="I73" s="14">
        <v>11</v>
      </c>
      <c r="J73" s="14">
        <v>10615000</v>
      </c>
      <c r="K73" s="14">
        <v>3</v>
      </c>
      <c r="L73" s="14">
        <v>2895000</v>
      </c>
      <c r="M73" s="4" t="e">
        <f>IF(F73="Tindakan",VLOOKUP(O73,#REF!,4,FALSE),IF(F73="Intensif",VLOOKUP(O73,#REF!,10,FALSE),IF(F73="Penunjang",VLOOKUP(O73,#REF!,16,FALSE),IF(F73="Visitase Berdasarkan Jumlah Pasien",VLOOKUP(O73,#REF!,22,FALSE),IF(F73="Visitase",VLOOKUP(O73,#REF!,28,FALSE),IF(F73="Rawat Jalan",VLOOKUP(O73,#REF!,34,FALSE),0))))))</f>
        <v>#REF!</v>
      </c>
      <c r="N73" s="12">
        <f t="shared" si="0"/>
        <v>0</v>
      </c>
      <c r="O73" t="s">
        <v>696</v>
      </c>
      <c r="P73">
        <v>63</v>
      </c>
    </row>
    <row r="74" spans="2:16" x14ac:dyDescent="0.35">
      <c r="B74" s="7">
        <f t="shared" si="1"/>
        <v>64</v>
      </c>
      <c r="C74" s="3" t="s">
        <v>365</v>
      </c>
      <c r="D74" s="4" t="s">
        <v>461</v>
      </c>
      <c r="E74" s="9" t="s">
        <v>146</v>
      </c>
      <c r="F74" s="9" t="s">
        <v>20</v>
      </c>
      <c r="G74" s="14">
        <v>5</v>
      </c>
      <c r="H74" s="14">
        <v>2425000</v>
      </c>
      <c r="I74" s="14">
        <v>2</v>
      </c>
      <c r="J74" s="14">
        <v>350000</v>
      </c>
      <c r="K74" s="14">
        <v>0</v>
      </c>
      <c r="L74" s="14">
        <v>0</v>
      </c>
      <c r="M74" s="4" t="e">
        <f>IF(F74="Tindakan",VLOOKUP(O74,#REF!,4,FALSE),IF(F74="Intensif",VLOOKUP(O74,#REF!,10,FALSE),IF(F74="Penunjang",VLOOKUP(O74,#REF!,16,FALSE),IF(F74="Visitase Berdasarkan Jumlah Pasien",VLOOKUP(O74,#REF!,22,FALSE),IF(F74="Visitase",VLOOKUP(O74,#REF!,28,FALSE),IF(F74="Rawat Jalan",VLOOKUP(O74,#REF!,34,FALSE),0))))))</f>
        <v>#REF!</v>
      </c>
      <c r="N74" s="12">
        <f t="shared" si="0"/>
        <v>0</v>
      </c>
      <c r="O74" t="s">
        <v>696</v>
      </c>
      <c r="P74">
        <v>64</v>
      </c>
    </row>
    <row r="75" spans="2:16" x14ac:dyDescent="0.35">
      <c r="B75" s="7">
        <f t="shared" si="1"/>
        <v>65</v>
      </c>
      <c r="C75" s="3" t="s">
        <v>390</v>
      </c>
      <c r="D75" s="4" t="s">
        <v>462</v>
      </c>
      <c r="E75" s="9" t="s">
        <v>686</v>
      </c>
      <c r="F75" s="9" t="s">
        <v>22</v>
      </c>
      <c r="G75" s="14">
        <v>67</v>
      </c>
      <c r="H75" s="14">
        <v>5025000</v>
      </c>
      <c r="I75" s="14">
        <v>423</v>
      </c>
      <c r="J75" s="14">
        <v>31725000</v>
      </c>
      <c r="K75" s="14">
        <v>0</v>
      </c>
      <c r="L75" s="14">
        <v>0</v>
      </c>
      <c r="M75" s="4" t="e">
        <f>IF(F75="Tindakan",VLOOKUP(O75,#REF!,4,FALSE),IF(F75="Intensif",VLOOKUP(O75,#REF!,10,FALSE),IF(F75="Penunjang",VLOOKUP(O75,#REF!,16,FALSE),IF(F75="Visitase Berdasarkan Jumlah Pasien",VLOOKUP(O75,#REF!,22,FALSE),IF(F75="Visitase",VLOOKUP(O75,#REF!,28,FALSE),IF(F75="Rawat Jalan",VLOOKUP(O75,#REF!,34,FALSE),0))))))</f>
        <v>#REF!</v>
      </c>
      <c r="N75" s="12">
        <f t="shared" si="0"/>
        <v>0</v>
      </c>
      <c r="O75" t="s">
        <v>695</v>
      </c>
      <c r="P75">
        <v>65</v>
      </c>
    </row>
    <row r="76" spans="2:16" x14ac:dyDescent="0.35">
      <c r="B76" s="7">
        <f t="shared" si="1"/>
        <v>66</v>
      </c>
      <c r="C76" s="3" t="s">
        <v>327</v>
      </c>
      <c r="D76" s="4" t="s">
        <v>463</v>
      </c>
      <c r="E76" s="9" t="s">
        <v>152</v>
      </c>
      <c r="F76" s="9" t="s">
        <v>22</v>
      </c>
      <c r="G76" s="14">
        <v>18</v>
      </c>
      <c r="H76" s="14">
        <v>2630000</v>
      </c>
      <c r="I76" s="14">
        <v>0</v>
      </c>
      <c r="J76" s="14">
        <v>0</v>
      </c>
      <c r="K76" s="14">
        <v>0</v>
      </c>
      <c r="L76" s="14">
        <v>0</v>
      </c>
      <c r="M76" s="4" t="e">
        <f>IF(F76="Tindakan",VLOOKUP(O76,#REF!,4,FALSE),IF(F76="Intensif",VLOOKUP(O76,#REF!,10,FALSE),IF(F76="Penunjang",VLOOKUP(O76,#REF!,16,FALSE),IF(F76="Visitase Berdasarkan Jumlah Pasien",VLOOKUP(O76,#REF!,22,FALSE),IF(F76="Visitase",VLOOKUP(O76,#REF!,28,FALSE),IF(F76="Rawat Jalan",VLOOKUP(O76,#REF!,34,FALSE),0))))))</f>
        <v>#REF!</v>
      </c>
      <c r="N76" s="12">
        <f t="shared" ref="N76:N139" si="2">IFERROR((G76/M76)*100%, 0)</f>
        <v>0</v>
      </c>
      <c r="O76" t="s">
        <v>699</v>
      </c>
      <c r="P76">
        <v>66</v>
      </c>
    </row>
    <row r="77" spans="2:16" x14ac:dyDescent="0.35">
      <c r="B77" s="7">
        <f t="shared" ref="B77:B140" si="3">B76+1</f>
        <v>67</v>
      </c>
      <c r="C77" s="3" t="s">
        <v>327</v>
      </c>
      <c r="D77" s="4" t="s">
        <v>463</v>
      </c>
      <c r="E77" s="9" t="s">
        <v>152</v>
      </c>
      <c r="F77" s="9" t="s">
        <v>20</v>
      </c>
      <c r="G77" s="14">
        <v>1</v>
      </c>
      <c r="H77" s="14">
        <v>140000</v>
      </c>
      <c r="I77" s="14">
        <v>0</v>
      </c>
      <c r="J77" s="14">
        <v>0</v>
      </c>
      <c r="K77" s="14">
        <v>0</v>
      </c>
      <c r="L77" s="14">
        <v>0</v>
      </c>
      <c r="M77" s="4" t="e">
        <f>IF(F77="Tindakan",VLOOKUP(O77,#REF!,4,FALSE),IF(F77="Intensif",VLOOKUP(O77,#REF!,10,FALSE),IF(F77="Penunjang",VLOOKUP(O77,#REF!,16,FALSE),IF(F77="Visitase Berdasarkan Jumlah Pasien",VLOOKUP(O77,#REF!,22,FALSE),IF(F77="Visitase",VLOOKUP(O77,#REF!,28,FALSE),IF(F77="Rawat Jalan",VLOOKUP(O77,#REF!,34,FALSE),0))))))</f>
        <v>#REF!</v>
      </c>
      <c r="N77" s="12">
        <f t="shared" si="2"/>
        <v>0</v>
      </c>
      <c r="O77" t="s">
        <v>699</v>
      </c>
      <c r="P77">
        <v>67</v>
      </c>
    </row>
    <row r="78" spans="2:16" x14ac:dyDescent="0.35">
      <c r="B78" s="7">
        <f t="shared" si="3"/>
        <v>68</v>
      </c>
      <c r="C78" s="3" t="s">
        <v>391</v>
      </c>
      <c r="D78" s="4" t="s">
        <v>464</v>
      </c>
      <c r="E78" s="9" t="s">
        <v>686</v>
      </c>
      <c r="F78" s="9" t="s">
        <v>190</v>
      </c>
      <c r="G78" s="14">
        <v>25</v>
      </c>
      <c r="H78" s="14">
        <v>3460000</v>
      </c>
      <c r="I78" s="14">
        <v>1</v>
      </c>
      <c r="J78" s="14">
        <v>125000</v>
      </c>
      <c r="K78" s="14">
        <v>0</v>
      </c>
      <c r="L78" s="14">
        <v>0</v>
      </c>
      <c r="M78" s="4" t="e">
        <f>IF(F78="Tindakan",VLOOKUP(O78,#REF!,4,FALSE),IF(F78="Intensif",VLOOKUP(O78,#REF!,10,FALSE),IF(F78="Penunjang",VLOOKUP(O78,#REF!,16,FALSE),IF(F78="Visitase Berdasarkan Jumlah Pasien",VLOOKUP(O78,#REF!,22,FALSE),IF(F78="Visitase",VLOOKUP(O78,#REF!,28,FALSE),IF(F78="Rawat Jalan",VLOOKUP(O78,#REF!,34,FALSE),0))))))</f>
        <v>#REF!</v>
      </c>
      <c r="N78" s="12">
        <f t="shared" si="2"/>
        <v>0</v>
      </c>
      <c r="O78" t="s">
        <v>695</v>
      </c>
      <c r="P78">
        <v>68</v>
      </c>
    </row>
    <row r="79" spans="2:16" x14ac:dyDescent="0.35">
      <c r="B79" s="7">
        <f t="shared" si="3"/>
        <v>69</v>
      </c>
      <c r="C79" s="3" t="s">
        <v>391</v>
      </c>
      <c r="D79" s="4" t="s">
        <v>464</v>
      </c>
      <c r="E79" s="9" t="s">
        <v>686</v>
      </c>
      <c r="F79" s="9" t="s">
        <v>22</v>
      </c>
      <c r="G79" s="14">
        <v>0</v>
      </c>
      <c r="H79" s="14">
        <v>0</v>
      </c>
      <c r="I79" s="14">
        <v>0</v>
      </c>
      <c r="J79" s="14">
        <v>0</v>
      </c>
      <c r="K79" s="14">
        <v>34</v>
      </c>
      <c r="L79" s="14">
        <v>4870000</v>
      </c>
      <c r="M79" s="4" t="e">
        <f>IF(F79="Tindakan",VLOOKUP(O79,#REF!,4,FALSE),IF(F79="Intensif",VLOOKUP(O79,#REF!,10,FALSE),IF(F79="Penunjang",VLOOKUP(O79,#REF!,16,FALSE),IF(F79="Visitase Berdasarkan Jumlah Pasien",VLOOKUP(O79,#REF!,22,FALSE),IF(F79="Visitase",VLOOKUP(O79,#REF!,28,FALSE),IF(F79="Rawat Jalan",VLOOKUP(O79,#REF!,34,FALSE),0))))))</f>
        <v>#REF!</v>
      </c>
      <c r="N79" s="12">
        <f t="shared" si="2"/>
        <v>0</v>
      </c>
      <c r="O79" t="s">
        <v>695</v>
      </c>
      <c r="P79">
        <v>69</v>
      </c>
    </row>
    <row r="80" spans="2:16" x14ac:dyDescent="0.35">
      <c r="B80" s="7">
        <f t="shared" si="3"/>
        <v>70</v>
      </c>
      <c r="C80" s="3" t="s">
        <v>290</v>
      </c>
      <c r="D80" s="4" t="s">
        <v>465</v>
      </c>
      <c r="E80" s="9" t="s">
        <v>151</v>
      </c>
      <c r="F80" s="9" t="s">
        <v>20</v>
      </c>
      <c r="G80" s="14">
        <v>80</v>
      </c>
      <c r="H80" s="14">
        <v>149189500</v>
      </c>
      <c r="I80" s="14">
        <v>72</v>
      </c>
      <c r="J80" s="14">
        <v>91981000</v>
      </c>
      <c r="K80" s="14">
        <v>0</v>
      </c>
      <c r="L80" s="14">
        <v>0</v>
      </c>
      <c r="M80" s="4" t="e">
        <f>IF(F80="Tindakan",VLOOKUP(O80,#REF!,4,FALSE),IF(F80="Intensif",VLOOKUP(O80,#REF!,10,FALSE),IF(F80="Penunjang",VLOOKUP(O80,#REF!,16,FALSE),IF(F80="Visitase Berdasarkan Jumlah Pasien",VLOOKUP(O80,#REF!,22,FALSE),IF(F80="Visitase",VLOOKUP(O80,#REF!,28,FALSE),IF(F80="Rawat Jalan",VLOOKUP(O80,#REF!,34,FALSE),0))))))</f>
        <v>#REF!</v>
      </c>
      <c r="N80" s="12">
        <f t="shared" si="2"/>
        <v>0</v>
      </c>
      <c r="O80" t="s">
        <v>690</v>
      </c>
      <c r="P80">
        <v>70</v>
      </c>
    </row>
    <row r="81" spans="2:16" x14ac:dyDescent="0.35">
      <c r="B81" s="7">
        <f t="shared" si="3"/>
        <v>71</v>
      </c>
      <c r="C81" s="3" t="s">
        <v>290</v>
      </c>
      <c r="D81" s="4" t="s">
        <v>465</v>
      </c>
      <c r="E81" s="9" t="s">
        <v>151</v>
      </c>
      <c r="F81" s="9" t="s">
        <v>22</v>
      </c>
      <c r="G81" s="14">
        <v>1</v>
      </c>
      <c r="H81" s="14">
        <v>140000</v>
      </c>
      <c r="I81" s="14">
        <v>0</v>
      </c>
      <c r="J81" s="14">
        <v>0</v>
      </c>
      <c r="K81" s="14">
        <v>0</v>
      </c>
      <c r="L81" s="14">
        <v>0</v>
      </c>
      <c r="M81" s="4" t="e">
        <f>IF(F81="Tindakan",VLOOKUP(O81,#REF!,4,FALSE),IF(F81="Intensif",VLOOKUP(O81,#REF!,10,FALSE),IF(F81="Penunjang",VLOOKUP(O81,#REF!,16,FALSE),IF(F81="Visitase Berdasarkan Jumlah Pasien",VLOOKUP(O81,#REF!,22,FALSE),IF(F81="Visitase",VLOOKUP(O81,#REF!,28,FALSE),IF(F81="Rawat Jalan",VLOOKUP(O81,#REF!,34,FALSE),0))))))</f>
        <v>#REF!</v>
      </c>
      <c r="N81" s="12">
        <f t="shared" si="2"/>
        <v>0</v>
      </c>
      <c r="O81" t="s">
        <v>690</v>
      </c>
      <c r="P81">
        <v>71</v>
      </c>
    </row>
    <row r="82" spans="2:16" x14ac:dyDescent="0.35">
      <c r="B82" s="7">
        <f t="shared" si="3"/>
        <v>72</v>
      </c>
      <c r="C82" s="3" t="s">
        <v>290</v>
      </c>
      <c r="D82" s="4" t="s">
        <v>465</v>
      </c>
      <c r="E82" s="9" t="s">
        <v>151</v>
      </c>
      <c r="F82" s="9" t="s">
        <v>19</v>
      </c>
      <c r="G82" s="14">
        <v>6</v>
      </c>
      <c r="H82" s="14">
        <v>63001500</v>
      </c>
      <c r="I82" s="14">
        <v>0</v>
      </c>
      <c r="J82" s="14">
        <v>0</v>
      </c>
      <c r="K82" s="14">
        <v>3</v>
      </c>
      <c r="L82" s="14">
        <v>87504000</v>
      </c>
      <c r="M82" s="4" t="e">
        <f>IF(F82="Tindakan",VLOOKUP(O82,#REF!,4,FALSE),IF(F82="Intensif",VLOOKUP(O82,#REF!,10,FALSE),IF(F82="Penunjang",VLOOKUP(O82,#REF!,16,FALSE),IF(F82="Visitase Berdasarkan Jumlah Pasien",VLOOKUP(O82,#REF!,22,FALSE),IF(F82="Visitase",VLOOKUP(O82,#REF!,28,FALSE),IF(F82="Rawat Jalan",VLOOKUP(O82,#REF!,34,FALSE),0))))))</f>
        <v>#REF!</v>
      </c>
      <c r="N82" s="12">
        <f t="shared" si="2"/>
        <v>0</v>
      </c>
      <c r="O82" t="s">
        <v>690</v>
      </c>
      <c r="P82">
        <v>72</v>
      </c>
    </row>
    <row r="83" spans="2:16" x14ac:dyDescent="0.35">
      <c r="B83" s="7">
        <f t="shared" si="3"/>
        <v>73</v>
      </c>
      <c r="C83" s="3" t="s">
        <v>309</v>
      </c>
      <c r="D83" s="4" t="s">
        <v>466</v>
      </c>
      <c r="E83" s="9" t="s">
        <v>163</v>
      </c>
      <c r="F83" s="9" t="s">
        <v>190</v>
      </c>
      <c r="G83" s="14">
        <v>73</v>
      </c>
      <c r="H83" s="14">
        <v>10630000</v>
      </c>
      <c r="I83" s="14">
        <v>10</v>
      </c>
      <c r="J83" s="14">
        <v>1525000</v>
      </c>
      <c r="K83" s="14">
        <v>0</v>
      </c>
      <c r="L83" s="14">
        <v>0</v>
      </c>
      <c r="M83" s="4" t="e">
        <f>IF(F83="Tindakan",VLOOKUP(O83,#REF!,4,FALSE),IF(F83="Intensif",VLOOKUP(O83,#REF!,10,FALSE),IF(F83="Penunjang",VLOOKUP(O83,#REF!,16,FALSE),IF(F83="Visitase Berdasarkan Jumlah Pasien",VLOOKUP(O83,#REF!,22,FALSE),IF(F83="Visitase",VLOOKUP(O83,#REF!,28,FALSE),IF(F83="Rawat Jalan",VLOOKUP(O83,#REF!,34,FALSE),0))))))</f>
        <v>#REF!</v>
      </c>
      <c r="N83" s="12">
        <f t="shared" si="2"/>
        <v>0</v>
      </c>
      <c r="O83" t="s">
        <v>694</v>
      </c>
      <c r="P83">
        <v>73</v>
      </c>
    </row>
    <row r="84" spans="2:16" x14ac:dyDescent="0.35">
      <c r="B84" s="7">
        <f t="shared" si="3"/>
        <v>74</v>
      </c>
      <c r="C84" s="3" t="s">
        <v>309</v>
      </c>
      <c r="D84" s="4" t="s">
        <v>466</v>
      </c>
      <c r="E84" s="9" t="s">
        <v>163</v>
      </c>
      <c r="F84" s="9" t="s">
        <v>20</v>
      </c>
      <c r="G84" s="14">
        <v>13</v>
      </c>
      <c r="H84" s="14">
        <v>2275000</v>
      </c>
      <c r="I84" s="14">
        <v>10</v>
      </c>
      <c r="J84" s="14">
        <v>1750000</v>
      </c>
      <c r="K84" s="14">
        <v>0</v>
      </c>
      <c r="L84" s="14">
        <v>0</v>
      </c>
      <c r="M84" s="4" t="e">
        <f>IF(F84="Tindakan",VLOOKUP(O84,#REF!,4,FALSE),IF(F84="Intensif",VLOOKUP(O84,#REF!,10,FALSE),IF(F84="Penunjang",VLOOKUP(O84,#REF!,16,FALSE),IF(F84="Visitase Berdasarkan Jumlah Pasien",VLOOKUP(O84,#REF!,22,FALSE),IF(F84="Visitase",VLOOKUP(O84,#REF!,28,FALSE),IF(F84="Rawat Jalan",VLOOKUP(O84,#REF!,34,FALSE),0))))))</f>
        <v>#REF!</v>
      </c>
      <c r="N84" s="12">
        <f t="shared" si="2"/>
        <v>0</v>
      </c>
      <c r="O84" t="s">
        <v>694</v>
      </c>
      <c r="P84">
        <v>74</v>
      </c>
    </row>
    <row r="85" spans="2:16" x14ac:dyDescent="0.35">
      <c r="B85" s="7">
        <f t="shared" si="3"/>
        <v>75</v>
      </c>
      <c r="C85" s="3" t="s">
        <v>309</v>
      </c>
      <c r="D85" s="4" t="s">
        <v>466</v>
      </c>
      <c r="E85" s="9" t="s">
        <v>163</v>
      </c>
      <c r="F85" s="9" t="s">
        <v>22</v>
      </c>
      <c r="G85" s="14">
        <v>139</v>
      </c>
      <c r="H85" s="14">
        <v>12975000</v>
      </c>
      <c r="I85" s="14">
        <v>7</v>
      </c>
      <c r="J85" s="14">
        <v>525000</v>
      </c>
      <c r="K85" s="14">
        <v>11</v>
      </c>
      <c r="L85" s="14">
        <v>2750000</v>
      </c>
      <c r="M85" s="4" t="e">
        <f>IF(F85="Tindakan",VLOOKUP(O85,#REF!,4,FALSE),IF(F85="Intensif",VLOOKUP(O85,#REF!,10,FALSE),IF(F85="Penunjang",VLOOKUP(O85,#REF!,16,FALSE),IF(F85="Visitase Berdasarkan Jumlah Pasien",VLOOKUP(O85,#REF!,22,FALSE),IF(F85="Visitase",VLOOKUP(O85,#REF!,28,FALSE),IF(F85="Rawat Jalan",VLOOKUP(O85,#REF!,34,FALSE),0))))))</f>
        <v>#REF!</v>
      </c>
      <c r="N85" s="12">
        <f t="shared" si="2"/>
        <v>0</v>
      </c>
      <c r="O85" t="s">
        <v>694</v>
      </c>
      <c r="P85">
        <v>75</v>
      </c>
    </row>
    <row r="86" spans="2:16" x14ac:dyDescent="0.35">
      <c r="B86" s="7">
        <f t="shared" si="3"/>
        <v>76</v>
      </c>
      <c r="C86" s="3" t="s">
        <v>352</v>
      </c>
      <c r="D86" s="4" t="s">
        <v>467</v>
      </c>
      <c r="E86" s="9" t="s">
        <v>148</v>
      </c>
      <c r="F86" s="9" t="s">
        <v>20</v>
      </c>
      <c r="G86" s="14">
        <v>10</v>
      </c>
      <c r="H86" s="14">
        <v>1470000</v>
      </c>
      <c r="I86" s="14">
        <v>0</v>
      </c>
      <c r="J86" s="14">
        <v>0</v>
      </c>
      <c r="K86" s="14">
        <v>0</v>
      </c>
      <c r="L86" s="14">
        <v>0</v>
      </c>
      <c r="M86" s="4" t="e">
        <f>IF(F86="Tindakan",VLOOKUP(O86,#REF!,4,FALSE),IF(F86="Intensif",VLOOKUP(O86,#REF!,10,FALSE),IF(F86="Penunjang",VLOOKUP(O86,#REF!,16,FALSE),IF(F86="Visitase Berdasarkan Jumlah Pasien",VLOOKUP(O86,#REF!,22,FALSE),IF(F86="Visitase",VLOOKUP(O86,#REF!,28,FALSE),IF(F86="Rawat Jalan",VLOOKUP(O86,#REF!,34,FALSE),0))))))</f>
        <v>#REF!</v>
      </c>
      <c r="N86" s="12">
        <f t="shared" si="2"/>
        <v>0</v>
      </c>
      <c r="O86" t="s">
        <v>700</v>
      </c>
      <c r="P86">
        <v>76</v>
      </c>
    </row>
    <row r="87" spans="2:16" x14ac:dyDescent="0.35">
      <c r="B87" s="7">
        <f t="shared" si="3"/>
        <v>77</v>
      </c>
      <c r="C87" s="3" t="s">
        <v>352</v>
      </c>
      <c r="D87" s="4" t="s">
        <v>467</v>
      </c>
      <c r="E87" s="9" t="s">
        <v>148</v>
      </c>
      <c r="F87" s="9" t="s">
        <v>20</v>
      </c>
      <c r="G87" s="14">
        <v>1</v>
      </c>
      <c r="H87" s="14">
        <v>140000</v>
      </c>
      <c r="I87" s="14">
        <v>0</v>
      </c>
      <c r="J87" s="14">
        <v>0</v>
      </c>
      <c r="K87" s="14">
        <v>0</v>
      </c>
      <c r="L87" s="14">
        <v>0</v>
      </c>
      <c r="M87" s="4" t="e">
        <f>IF(F87="Tindakan",VLOOKUP(O87,#REF!,4,FALSE),IF(F87="Intensif",VLOOKUP(O87,#REF!,10,FALSE),IF(F87="Penunjang",VLOOKUP(O87,#REF!,16,FALSE),IF(F87="Visitase Berdasarkan Jumlah Pasien",VLOOKUP(O87,#REF!,22,FALSE),IF(F87="Visitase",VLOOKUP(O87,#REF!,28,FALSE),IF(F87="Rawat Jalan",VLOOKUP(O87,#REF!,34,FALSE),0))))))</f>
        <v>#REF!</v>
      </c>
      <c r="N87" s="12">
        <f t="shared" si="2"/>
        <v>0</v>
      </c>
      <c r="O87" t="s">
        <v>700</v>
      </c>
      <c r="P87">
        <v>77</v>
      </c>
    </row>
    <row r="88" spans="2:16" x14ac:dyDescent="0.35">
      <c r="B88" s="7">
        <f t="shared" si="3"/>
        <v>78</v>
      </c>
      <c r="C88" s="3" t="s">
        <v>352</v>
      </c>
      <c r="D88" s="4" t="s">
        <v>467</v>
      </c>
      <c r="E88" s="9" t="s">
        <v>148</v>
      </c>
      <c r="F88" s="9" t="s">
        <v>19</v>
      </c>
      <c r="G88" s="14">
        <v>1</v>
      </c>
      <c r="H88" s="14">
        <v>5500000</v>
      </c>
      <c r="I88" s="14">
        <v>0</v>
      </c>
      <c r="J88" s="14">
        <v>0</v>
      </c>
      <c r="K88" s="14">
        <v>0</v>
      </c>
      <c r="L88" s="14">
        <v>0</v>
      </c>
      <c r="M88" s="4" t="e">
        <f>IF(F88="Tindakan",VLOOKUP(O88,#REF!,4,FALSE),IF(F88="Intensif",VLOOKUP(O88,#REF!,10,FALSE),IF(F88="Penunjang",VLOOKUP(O88,#REF!,16,FALSE),IF(F88="Visitase Berdasarkan Jumlah Pasien",VLOOKUP(O88,#REF!,22,FALSE),IF(F88="Visitase",VLOOKUP(O88,#REF!,28,FALSE),IF(F88="Rawat Jalan",VLOOKUP(O88,#REF!,34,FALSE),0))))))</f>
        <v>#REF!</v>
      </c>
      <c r="N88" s="12">
        <f t="shared" si="2"/>
        <v>0</v>
      </c>
      <c r="O88" t="s">
        <v>700</v>
      </c>
      <c r="P88">
        <v>78</v>
      </c>
    </row>
    <row r="89" spans="2:16" x14ac:dyDescent="0.35">
      <c r="B89" s="7">
        <f t="shared" si="3"/>
        <v>79</v>
      </c>
      <c r="C89" s="3" t="s">
        <v>198</v>
      </c>
      <c r="D89" s="4" t="s">
        <v>468</v>
      </c>
      <c r="E89" s="9" t="s">
        <v>185</v>
      </c>
      <c r="F89" s="9" t="s">
        <v>190</v>
      </c>
      <c r="G89" s="14">
        <v>97</v>
      </c>
      <c r="H89" s="14">
        <v>12635000</v>
      </c>
      <c r="I89" s="14">
        <v>0</v>
      </c>
      <c r="J89" s="14">
        <v>0</v>
      </c>
      <c r="K89" s="14">
        <v>5</v>
      </c>
      <c r="L89" s="14">
        <v>900000</v>
      </c>
      <c r="M89" s="4" t="e">
        <f>IF(F89="Tindakan",VLOOKUP(O89,#REF!,4,FALSE),IF(F89="Intensif",VLOOKUP(O89,#REF!,10,FALSE),IF(F89="Penunjang",VLOOKUP(O89,#REF!,16,FALSE),IF(F89="Visitase Berdasarkan Jumlah Pasien",VLOOKUP(O89,#REF!,22,FALSE),IF(F89="Visitase",VLOOKUP(O89,#REF!,28,FALSE),IF(F89="Rawat Jalan",VLOOKUP(O89,#REF!,34,FALSE),0))))))</f>
        <v>#REF!</v>
      </c>
      <c r="N89" s="12">
        <f t="shared" si="2"/>
        <v>0</v>
      </c>
      <c r="O89" t="s">
        <v>688</v>
      </c>
      <c r="P89">
        <v>79</v>
      </c>
    </row>
    <row r="90" spans="2:16" x14ac:dyDescent="0.35">
      <c r="B90" s="7">
        <f t="shared" si="3"/>
        <v>80</v>
      </c>
      <c r="C90" s="3" t="s">
        <v>198</v>
      </c>
      <c r="D90" s="4" t="s">
        <v>468</v>
      </c>
      <c r="E90" s="9" t="s">
        <v>185</v>
      </c>
      <c r="F90" s="9" t="s">
        <v>19</v>
      </c>
      <c r="G90" s="14">
        <v>16</v>
      </c>
      <c r="H90" s="14">
        <v>154250000</v>
      </c>
      <c r="I90" s="14">
        <v>0</v>
      </c>
      <c r="J90" s="14">
        <v>0</v>
      </c>
      <c r="K90" s="14">
        <v>1</v>
      </c>
      <c r="L90" s="14">
        <v>24400000</v>
      </c>
      <c r="M90" s="4" t="e">
        <f>IF(F90="Tindakan",VLOOKUP(O90,#REF!,4,FALSE),IF(F90="Intensif",VLOOKUP(O90,#REF!,10,FALSE),IF(F90="Penunjang",VLOOKUP(O90,#REF!,16,FALSE),IF(F90="Visitase Berdasarkan Jumlah Pasien",VLOOKUP(O90,#REF!,22,FALSE),IF(F90="Visitase",VLOOKUP(O90,#REF!,28,FALSE),IF(F90="Rawat Jalan",VLOOKUP(O90,#REF!,34,FALSE),0))))))</f>
        <v>#REF!</v>
      </c>
      <c r="N90" s="12">
        <f t="shared" si="2"/>
        <v>0</v>
      </c>
      <c r="O90" t="s">
        <v>688</v>
      </c>
      <c r="P90">
        <v>80</v>
      </c>
    </row>
    <row r="91" spans="2:16" x14ac:dyDescent="0.35">
      <c r="B91" s="7">
        <f t="shared" si="3"/>
        <v>81</v>
      </c>
      <c r="C91" s="3" t="s">
        <v>198</v>
      </c>
      <c r="D91" s="4" t="s">
        <v>468</v>
      </c>
      <c r="E91" s="9" t="s">
        <v>185</v>
      </c>
      <c r="F91" s="9" t="s">
        <v>22</v>
      </c>
      <c r="G91" s="14">
        <v>178</v>
      </c>
      <c r="H91" s="14">
        <v>23978000</v>
      </c>
      <c r="I91" s="14">
        <v>1</v>
      </c>
      <c r="J91" s="14">
        <v>266000</v>
      </c>
      <c r="K91" s="14">
        <v>32</v>
      </c>
      <c r="L91" s="14">
        <v>10880000</v>
      </c>
      <c r="M91" s="4" t="e">
        <f>IF(F91="Tindakan",VLOOKUP(O91,#REF!,4,FALSE),IF(F91="Intensif",VLOOKUP(O91,#REF!,10,FALSE),IF(F91="Penunjang",VLOOKUP(O91,#REF!,16,FALSE),IF(F91="Visitase Berdasarkan Jumlah Pasien",VLOOKUP(O91,#REF!,22,FALSE),IF(F91="Visitase",VLOOKUP(O91,#REF!,28,FALSE),IF(F91="Rawat Jalan",VLOOKUP(O91,#REF!,34,FALSE),0))))))</f>
        <v>#REF!</v>
      </c>
      <c r="N91" s="12">
        <f t="shared" si="2"/>
        <v>0</v>
      </c>
      <c r="O91" t="s">
        <v>688</v>
      </c>
      <c r="P91">
        <v>81</v>
      </c>
    </row>
    <row r="92" spans="2:16" x14ac:dyDescent="0.35">
      <c r="B92" s="7">
        <f t="shared" si="3"/>
        <v>82</v>
      </c>
      <c r="C92" s="3" t="s">
        <v>366</v>
      </c>
      <c r="D92" s="4" t="s">
        <v>469</v>
      </c>
      <c r="E92" s="9" t="s">
        <v>146</v>
      </c>
      <c r="F92" s="9" t="s">
        <v>190</v>
      </c>
      <c r="G92" s="14">
        <v>102</v>
      </c>
      <c r="H92" s="14">
        <v>15655000</v>
      </c>
      <c r="I92" s="14">
        <v>3</v>
      </c>
      <c r="J92" s="14">
        <v>420000</v>
      </c>
      <c r="K92" s="14">
        <v>0</v>
      </c>
      <c r="L92" s="14">
        <v>0</v>
      </c>
      <c r="M92" s="4" t="e">
        <f>IF(F92="Tindakan",VLOOKUP(O92,#REF!,4,FALSE),IF(F92="Intensif",VLOOKUP(O92,#REF!,10,FALSE),IF(F92="Penunjang",VLOOKUP(O92,#REF!,16,FALSE),IF(F92="Visitase Berdasarkan Jumlah Pasien",VLOOKUP(O92,#REF!,22,FALSE),IF(F92="Visitase",VLOOKUP(O92,#REF!,28,FALSE),IF(F92="Rawat Jalan",VLOOKUP(O92,#REF!,34,FALSE),0))))))</f>
        <v>#REF!</v>
      </c>
      <c r="N92" s="12">
        <f t="shared" si="2"/>
        <v>0</v>
      </c>
      <c r="O92" t="s">
        <v>696</v>
      </c>
      <c r="P92">
        <v>82</v>
      </c>
    </row>
    <row r="93" spans="2:16" x14ac:dyDescent="0.35">
      <c r="B93" s="7">
        <f t="shared" si="3"/>
        <v>83</v>
      </c>
      <c r="C93" s="3" t="s">
        <v>366</v>
      </c>
      <c r="D93" s="4" t="s">
        <v>469</v>
      </c>
      <c r="E93" s="9" t="s">
        <v>146</v>
      </c>
      <c r="F93" s="9" t="s">
        <v>20</v>
      </c>
      <c r="G93" s="14">
        <v>12</v>
      </c>
      <c r="H93" s="14">
        <v>3405000</v>
      </c>
      <c r="I93" s="14">
        <v>3</v>
      </c>
      <c r="J93" s="14">
        <v>490000</v>
      </c>
      <c r="K93" s="14">
        <v>0</v>
      </c>
      <c r="L93" s="14">
        <v>0</v>
      </c>
      <c r="M93" s="4" t="e">
        <f>IF(F93="Tindakan",VLOOKUP(O93,#REF!,4,FALSE),IF(F93="Intensif",VLOOKUP(O93,#REF!,10,FALSE),IF(F93="Penunjang",VLOOKUP(O93,#REF!,16,FALSE),IF(F93="Visitase Berdasarkan Jumlah Pasien",VLOOKUP(O93,#REF!,22,FALSE),IF(F93="Visitase",VLOOKUP(O93,#REF!,28,FALSE),IF(F93="Rawat Jalan",VLOOKUP(O93,#REF!,34,FALSE),0))))))</f>
        <v>#REF!</v>
      </c>
      <c r="N93" s="12">
        <f t="shared" si="2"/>
        <v>0</v>
      </c>
      <c r="O93" t="s">
        <v>696</v>
      </c>
      <c r="P93">
        <v>83</v>
      </c>
    </row>
    <row r="94" spans="2:16" x14ac:dyDescent="0.35">
      <c r="B94" s="7">
        <f t="shared" si="3"/>
        <v>84</v>
      </c>
      <c r="C94" s="3" t="s">
        <v>366</v>
      </c>
      <c r="D94" s="4" t="s">
        <v>469</v>
      </c>
      <c r="E94" s="9" t="s">
        <v>146</v>
      </c>
      <c r="F94" s="9" t="s">
        <v>22</v>
      </c>
      <c r="G94" s="14">
        <v>1078</v>
      </c>
      <c r="H94" s="14">
        <v>872942000</v>
      </c>
      <c r="I94" s="14">
        <v>11</v>
      </c>
      <c r="J94" s="14">
        <v>9850000</v>
      </c>
      <c r="K94" s="14">
        <v>4</v>
      </c>
      <c r="L94" s="14">
        <v>1000000</v>
      </c>
      <c r="M94" s="4" t="e">
        <f>IF(F94="Tindakan",VLOOKUP(O94,#REF!,4,FALSE),IF(F94="Intensif",VLOOKUP(O94,#REF!,10,FALSE),IF(F94="Penunjang",VLOOKUP(O94,#REF!,16,FALSE),IF(F94="Visitase Berdasarkan Jumlah Pasien",VLOOKUP(O94,#REF!,22,FALSE),IF(F94="Visitase",VLOOKUP(O94,#REF!,28,FALSE),IF(F94="Rawat Jalan",VLOOKUP(O94,#REF!,34,FALSE),0))))))</f>
        <v>#REF!</v>
      </c>
      <c r="N94" s="12">
        <f t="shared" si="2"/>
        <v>0</v>
      </c>
      <c r="O94" t="s">
        <v>696</v>
      </c>
      <c r="P94">
        <v>84</v>
      </c>
    </row>
    <row r="95" spans="2:16" x14ac:dyDescent="0.35">
      <c r="B95" s="7">
        <f t="shared" si="3"/>
        <v>85</v>
      </c>
      <c r="C95" s="3" t="s">
        <v>285</v>
      </c>
      <c r="D95" s="4" t="s">
        <v>470</v>
      </c>
      <c r="E95" s="9" t="s">
        <v>164</v>
      </c>
      <c r="F95" s="9" t="s">
        <v>190</v>
      </c>
      <c r="G95" s="14">
        <v>25</v>
      </c>
      <c r="H95" s="14">
        <v>3195000</v>
      </c>
      <c r="I95" s="14">
        <v>0</v>
      </c>
      <c r="J95" s="14">
        <v>0</v>
      </c>
      <c r="K95" s="14">
        <v>2</v>
      </c>
      <c r="L95" s="14">
        <v>360000</v>
      </c>
      <c r="M95" s="4" t="e">
        <f>IF(F95="Tindakan",VLOOKUP(O95,#REF!,4,FALSE),IF(F95="Intensif",VLOOKUP(O95,#REF!,10,FALSE),IF(F95="Penunjang",VLOOKUP(O95,#REF!,16,FALSE),IF(F95="Visitase Berdasarkan Jumlah Pasien",VLOOKUP(O95,#REF!,22,FALSE),IF(F95="Visitase",VLOOKUP(O95,#REF!,28,FALSE),IF(F95="Rawat Jalan",VLOOKUP(O95,#REF!,34,FALSE),0))))))</f>
        <v>#REF!</v>
      </c>
      <c r="N95" s="12">
        <f t="shared" si="2"/>
        <v>0</v>
      </c>
      <c r="O95" t="s">
        <v>693</v>
      </c>
      <c r="P95">
        <v>85</v>
      </c>
    </row>
    <row r="96" spans="2:16" x14ac:dyDescent="0.35">
      <c r="B96" s="7">
        <f t="shared" si="3"/>
        <v>86</v>
      </c>
      <c r="C96" s="3" t="s">
        <v>285</v>
      </c>
      <c r="D96" s="4" t="s">
        <v>470</v>
      </c>
      <c r="E96" s="9" t="s">
        <v>164</v>
      </c>
      <c r="F96" s="9" t="s">
        <v>22</v>
      </c>
      <c r="G96" s="14">
        <v>32</v>
      </c>
      <c r="H96" s="14">
        <v>4200000</v>
      </c>
      <c r="I96" s="14">
        <v>1</v>
      </c>
      <c r="J96" s="14">
        <v>75000</v>
      </c>
      <c r="K96" s="14">
        <v>21</v>
      </c>
      <c r="L96" s="14">
        <v>6159000</v>
      </c>
      <c r="M96" s="4" t="e">
        <f>IF(F96="Tindakan",VLOOKUP(O96,#REF!,4,FALSE),IF(F96="Intensif",VLOOKUP(O96,#REF!,10,FALSE),IF(F96="Penunjang",VLOOKUP(O96,#REF!,16,FALSE),IF(F96="Visitase Berdasarkan Jumlah Pasien",VLOOKUP(O96,#REF!,22,FALSE),IF(F96="Visitase",VLOOKUP(O96,#REF!,28,FALSE),IF(F96="Rawat Jalan",VLOOKUP(O96,#REF!,34,FALSE),0))))))</f>
        <v>#REF!</v>
      </c>
      <c r="N96" s="12">
        <f t="shared" si="2"/>
        <v>0</v>
      </c>
      <c r="O96" t="s">
        <v>693</v>
      </c>
      <c r="P96">
        <v>86</v>
      </c>
    </row>
    <row r="97" spans="2:16" x14ac:dyDescent="0.35">
      <c r="B97" s="7">
        <f t="shared" si="3"/>
        <v>87</v>
      </c>
      <c r="C97" s="3" t="s">
        <v>285</v>
      </c>
      <c r="D97" s="4" t="s">
        <v>470</v>
      </c>
      <c r="E97" s="9" t="s">
        <v>164</v>
      </c>
      <c r="F97" s="9" t="s">
        <v>19</v>
      </c>
      <c r="G97" s="14">
        <v>5</v>
      </c>
      <c r="H97" s="14">
        <v>81250000</v>
      </c>
      <c r="I97" s="14">
        <v>0</v>
      </c>
      <c r="J97" s="14">
        <v>0</v>
      </c>
      <c r="K97" s="14">
        <v>2</v>
      </c>
      <c r="L97" s="14">
        <v>67185000</v>
      </c>
      <c r="M97" s="4" t="e">
        <f>IF(F97="Tindakan",VLOOKUP(O97,#REF!,4,FALSE),IF(F97="Intensif",VLOOKUP(O97,#REF!,10,FALSE),IF(F97="Penunjang",VLOOKUP(O97,#REF!,16,FALSE),IF(F97="Visitase Berdasarkan Jumlah Pasien",VLOOKUP(O97,#REF!,22,FALSE),IF(F97="Visitase",VLOOKUP(O97,#REF!,28,FALSE),IF(F97="Rawat Jalan",VLOOKUP(O97,#REF!,34,FALSE),0))))))</f>
        <v>#REF!</v>
      </c>
      <c r="N97" s="12">
        <f t="shared" si="2"/>
        <v>0</v>
      </c>
      <c r="O97" t="s">
        <v>693</v>
      </c>
      <c r="P97">
        <v>87</v>
      </c>
    </row>
    <row r="98" spans="2:16" x14ac:dyDescent="0.35">
      <c r="B98" s="7">
        <f t="shared" si="3"/>
        <v>88</v>
      </c>
      <c r="C98" s="3" t="s">
        <v>224</v>
      </c>
      <c r="D98" s="4" t="s">
        <v>471</v>
      </c>
      <c r="E98" s="9" t="s">
        <v>168</v>
      </c>
      <c r="F98" s="9" t="s">
        <v>190</v>
      </c>
      <c r="G98" s="14">
        <v>73</v>
      </c>
      <c r="H98" s="14">
        <v>9605000</v>
      </c>
      <c r="I98" s="14">
        <v>0</v>
      </c>
      <c r="J98" s="14">
        <v>0</v>
      </c>
      <c r="K98" s="14">
        <v>0</v>
      </c>
      <c r="L98" s="14">
        <v>0</v>
      </c>
      <c r="M98" s="4" t="e">
        <f>IF(F98="Tindakan",VLOOKUP(O98,#REF!,4,FALSE),IF(F98="Intensif",VLOOKUP(O98,#REF!,10,FALSE),IF(F98="Penunjang",VLOOKUP(O98,#REF!,16,FALSE),IF(F98="Visitase Berdasarkan Jumlah Pasien",VLOOKUP(O98,#REF!,22,FALSE),IF(F98="Visitase",VLOOKUP(O98,#REF!,28,FALSE),IF(F98="Rawat Jalan",VLOOKUP(O98,#REF!,34,FALSE),0))))))</f>
        <v>#REF!</v>
      </c>
      <c r="N98" s="12">
        <f t="shared" si="2"/>
        <v>0</v>
      </c>
      <c r="O98" t="s">
        <v>688</v>
      </c>
      <c r="P98">
        <v>88</v>
      </c>
    </row>
    <row r="99" spans="2:16" x14ac:dyDescent="0.35">
      <c r="B99" s="7">
        <f t="shared" si="3"/>
        <v>89</v>
      </c>
      <c r="C99" s="3" t="s">
        <v>224</v>
      </c>
      <c r="D99" s="4" t="s">
        <v>471</v>
      </c>
      <c r="E99" s="9" t="s">
        <v>168</v>
      </c>
      <c r="F99" s="9" t="s">
        <v>190</v>
      </c>
      <c r="G99" s="14">
        <v>39</v>
      </c>
      <c r="H99" s="14">
        <v>4925000</v>
      </c>
      <c r="I99" s="14">
        <v>0</v>
      </c>
      <c r="J99" s="14">
        <v>0</v>
      </c>
      <c r="K99" s="14">
        <v>0</v>
      </c>
      <c r="L99" s="14">
        <v>0</v>
      </c>
      <c r="M99" s="4" t="e">
        <f>IF(F99="Tindakan",VLOOKUP(O99,#REF!,4,FALSE),IF(F99="Intensif",VLOOKUP(O99,#REF!,10,FALSE),IF(F99="Penunjang",VLOOKUP(O99,#REF!,16,FALSE),IF(F99="Visitase Berdasarkan Jumlah Pasien",VLOOKUP(O99,#REF!,22,FALSE),IF(F99="Visitase",VLOOKUP(O99,#REF!,28,FALSE),IF(F99="Rawat Jalan",VLOOKUP(O99,#REF!,34,FALSE),0))))))</f>
        <v>#REF!</v>
      </c>
      <c r="N99" s="12">
        <f t="shared" si="2"/>
        <v>0</v>
      </c>
      <c r="O99" t="s">
        <v>688</v>
      </c>
      <c r="P99">
        <v>89</v>
      </c>
    </row>
    <row r="100" spans="2:16" x14ac:dyDescent="0.35">
      <c r="B100" s="7">
        <f t="shared" si="3"/>
        <v>90</v>
      </c>
      <c r="C100" s="3" t="s">
        <v>224</v>
      </c>
      <c r="D100" s="4" t="s">
        <v>471</v>
      </c>
      <c r="E100" s="9" t="s">
        <v>168</v>
      </c>
      <c r="F100" s="9" t="s">
        <v>20</v>
      </c>
      <c r="G100" s="14">
        <v>17</v>
      </c>
      <c r="H100" s="14">
        <v>2975000</v>
      </c>
      <c r="I100" s="14">
        <v>0</v>
      </c>
      <c r="J100" s="14">
        <v>0</v>
      </c>
      <c r="K100" s="14">
        <v>0</v>
      </c>
      <c r="L100" s="14">
        <v>0</v>
      </c>
      <c r="M100" s="4" t="e">
        <f>IF(F100="Tindakan",VLOOKUP(O100,#REF!,4,FALSE),IF(F100="Intensif",VLOOKUP(O100,#REF!,10,FALSE),IF(F100="Penunjang",VLOOKUP(O100,#REF!,16,FALSE),IF(F100="Visitase Berdasarkan Jumlah Pasien",VLOOKUP(O100,#REF!,22,FALSE),IF(F100="Visitase",VLOOKUP(O100,#REF!,28,FALSE),IF(F100="Rawat Jalan",VLOOKUP(O100,#REF!,34,FALSE),0))))))</f>
        <v>#REF!</v>
      </c>
      <c r="N100" s="12">
        <f t="shared" si="2"/>
        <v>0</v>
      </c>
      <c r="O100" t="s">
        <v>688</v>
      </c>
      <c r="P100">
        <v>90</v>
      </c>
    </row>
    <row r="101" spans="2:16" x14ac:dyDescent="0.35">
      <c r="B101" s="7">
        <f t="shared" si="3"/>
        <v>91</v>
      </c>
      <c r="C101" s="3" t="s">
        <v>224</v>
      </c>
      <c r="D101" s="4" t="s">
        <v>471</v>
      </c>
      <c r="E101" s="9" t="s">
        <v>168</v>
      </c>
      <c r="F101" s="9" t="s">
        <v>20</v>
      </c>
      <c r="G101" s="14">
        <v>5</v>
      </c>
      <c r="H101" s="14">
        <v>875000</v>
      </c>
      <c r="I101" s="14">
        <v>0</v>
      </c>
      <c r="J101" s="14">
        <v>0</v>
      </c>
      <c r="K101" s="14">
        <v>0</v>
      </c>
      <c r="L101" s="14">
        <v>0</v>
      </c>
      <c r="M101" s="4" t="e">
        <f>IF(F101="Tindakan",VLOOKUP(O101,#REF!,4,FALSE),IF(F101="Intensif",VLOOKUP(O101,#REF!,10,FALSE),IF(F101="Penunjang",VLOOKUP(O101,#REF!,16,FALSE),IF(F101="Visitase Berdasarkan Jumlah Pasien",VLOOKUP(O101,#REF!,22,FALSE),IF(F101="Visitase",VLOOKUP(O101,#REF!,28,FALSE),IF(F101="Rawat Jalan",VLOOKUP(O101,#REF!,34,FALSE),0))))))</f>
        <v>#REF!</v>
      </c>
      <c r="N101" s="12">
        <f t="shared" si="2"/>
        <v>0</v>
      </c>
      <c r="O101" t="s">
        <v>688</v>
      </c>
      <c r="P101">
        <v>91</v>
      </c>
    </row>
    <row r="102" spans="2:16" x14ac:dyDescent="0.35">
      <c r="B102" s="7">
        <f t="shared" si="3"/>
        <v>92</v>
      </c>
      <c r="C102" s="3" t="s">
        <v>224</v>
      </c>
      <c r="D102" s="4" t="s">
        <v>471</v>
      </c>
      <c r="E102" s="9" t="s">
        <v>168</v>
      </c>
      <c r="F102" s="9" t="s">
        <v>19</v>
      </c>
      <c r="G102" s="14">
        <v>21</v>
      </c>
      <c r="H102" s="14">
        <v>212251500</v>
      </c>
      <c r="I102" s="14">
        <v>0</v>
      </c>
      <c r="J102" s="14">
        <v>0</v>
      </c>
      <c r="K102" s="14">
        <v>0</v>
      </c>
      <c r="L102" s="14">
        <v>0</v>
      </c>
      <c r="M102" s="4" t="e">
        <f>IF(F102="Tindakan",VLOOKUP(O102,#REF!,4,FALSE),IF(F102="Intensif",VLOOKUP(O102,#REF!,10,FALSE),IF(F102="Penunjang",VLOOKUP(O102,#REF!,16,FALSE),IF(F102="Visitase Berdasarkan Jumlah Pasien",VLOOKUP(O102,#REF!,22,FALSE),IF(F102="Visitase",VLOOKUP(O102,#REF!,28,FALSE),IF(F102="Rawat Jalan",VLOOKUP(O102,#REF!,34,FALSE),0))))))</f>
        <v>#REF!</v>
      </c>
      <c r="N102" s="12">
        <f t="shared" si="2"/>
        <v>0</v>
      </c>
      <c r="O102" t="s">
        <v>688</v>
      </c>
      <c r="P102">
        <v>92</v>
      </c>
    </row>
    <row r="103" spans="2:16" x14ac:dyDescent="0.35">
      <c r="B103" s="7">
        <f t="shared" si="3"/>
        <v>93</v>
      </c>
      <c r="C103" s="3" t="s">
        <v>224</v>
      </c>
      <c r="D103" s="4" t="s">
        <v>471</v>
      </c>
      <c r="E103" s="9" t="s">
        <v>168</v>
      </c>
      <c r="F103" s="9" t="s">
        <v>22</v>
      </c>
      <c r="G103" s="14">
        <v>30</v>
      </c>
      <c r="H103" s="14">
        <v>2250000</v>
      </c>
      <c r="I103" s="14">
        <v>0</v>
      </c>
      <c r="J103" s="14">
        <v>0</v>
      </c>
      <c r="K103" s="14">
        <v>0</v>
      </c>
      <c r="L103" s="14">
        <v>0</v>
      </c>
      <c r="M103" s="4" t="e">
        <f>IF(F103="Tindakan",VLOOKUP(O103,#REF!,4,FALSE),IF(F103="Intensif",VLOOKUP(O103,#REF!,10,FALSE),IF(F103="Penunjang",VLOOKUP(O103,#REF!,16,FALSE),IF(F103="Visitase Berdasarkan Jumlah Pasien",VLOOKUP(O103,#REF!,22,FALSE),IF(F103="Visitase",VLOOKUP(O103,#REF!,28,FALSE),IF(F103="Rawat Jalan",VLOOKUP(O103,#REF!,34,FALSE),0))))))</f>
        <v>#REF!</v>
      </c>
      <c r="N103" s="12">
        <f t="shared" si="2"/>
        <v>0</v>
      </c>
      <c r="O103" t="s">
        <v>688</v>
      </c>
      <c r="P103">
        <v>93</v>
      </c>
    </row>
    <row r="104" spans="2:16" x14ac:dyDescent="0.35">
      <c r="B104" s="7">
        <f t="shared" si="3"/>
        <v>94</v>
      </c>
      <c r="C104" s="3" t="s">
        <v>224</v>
      </c>
      <c r="D104" s="4" t="s">
        <v>471</v>
      </c>
      <c r="E104" s="9" t="s">
        <v>168</v>
      </c>
      <c r="F104" s="9" t="s">
        <v>22</v>
      </c>
      <c r="G104" s="14">
        <v>18</v>
      </c>
      <c r="H104" s="14">
        <v>1326000</v>
      </c>
      <c r="I104" s="14">
        <v>0</v>
      </c>
      <c r="J104" s="14">
        <v>0</v>
      </c>
      <c r="K104" s="14">
        <v>0</v>
      </c>
      <c r="L104" s="14">
        <v>0</v>
      </c>
      <c r="M104" s="4" t="e">
        <f>IF(F104="Tindakan",VLOOKUP(O104,#REF!,4,FALSE),IF(F104="Intensif",VLOOKUP(O104,#REF!,10,FALSE),IF(F104="Penunjang",VLOOKUP(O104,#REF!,16,FALSE),IF(F104="Visitase Berdasarkan Jumlah Pasien",VLOOKUP(O104,#REF!,22,FALSE),IF(F104="Visitase",VLOOKUP(O104,#REF!,28,FALSE),IF(F104="Rawat Jalan",VLOOKUP(O104,#REF!,34,FALSE),0))))))</f>
        <v>#REF!</v>
      </c>
      <c r="N104" s="12">
        <f t="shared" si="2"/>
        <v>0</v>
      </c>
      <c r="O104" t="s">
        <v>688</v>
      </c>
      <c r="P104">
        <v>94</v>
      </c>
    </row>
    <row r="105" spans="2:16" x14ac:dyDescent="0.35">
      <c r="B105" s="7">
        <f t="shared" si="3"/>
        <v>95</v>
      </c>
      <c r="C105" s="3" t="s">
        <v>224</v>
      </c>
      <c r="D105" s="4" t="s">
        <v>471</v>
      </c>
      <c r="E105" s="9" t="s">
        <v>168</v>
      </c>
      <c r="F105" s="9" t="s">
        <v>19</v>
      </c>
      <c r="G105" s="14">
        <v>1</v>
      </c>
      <c r="H105" s="14">
        <v>7500000</v>
      </c>
      <c r="I105" s="14">
        <v>0</v>
      </c>
      <c r="J105" s="14">
        <v>0</v>
      </c>
      <c r="K105" s="14">
        <v>0</v>
      </c>
      <c r="L105" s="14">
        <v>0</v>
      </c>
      <c r="M105" s="4" t="e">
        <f>IF(F105="Tindakan",VLOOKUP(O105,#REF!,4,FALSE),IF(F105="Intensif",VLOOKUP(O105,#REF!,10,FALSE),IF(F105="Penunjang",VLOOKUP(O105,#REF!,16,FALSE),IF(F105="Visitase Berdasarkan Jumlah Pasien",VLOOKUP(O105,#REF!,22,FALSE),IF(F105="Visitase",VLOOKUP(O105,#REF!,28,FALSE),IF(F105="Rawat Jalan",VLOOKUP(O105,#REF!,34,FALSE),0))))))</f>
        <v>#REF!</v>
      </c>
      <c r="N105" s="12">
        <f t="shared" si="2"/>
        <v>0</v>
      </c>
      <c r="O105" t="s">
        <v>688</v>
      </c>
      <c r="P105">
        <v>95</v>
      </c>
    </row>
    <row r="106" spans="2:16" x14ac:dyDescent="0.35">
      <c r="B106" s="7">
        <f t="shared" si="3"/>
        <v>96</v>
      </c>
      <c r="C106" s="3" t="s">
        <v>234</v>
      </c>
      <c r="D106" s="4" t="s">
        <v>472</v>
      </c>
      <c r="E106" s="9" t="s">
        <v>147</v>
      </c>
      <c r="F106" s="9" t="s">
        <v>190</v>
      </c>
      <c r="G106" s="14">
        <v>28</v>
      </c>
      <c r="H106" s="14">
        <v>3500000</v>
      </c>
      <c r="I106" s="14">
        <v>4</v>
      </c>
      <c r="J106" s="14">
        <v>560000</v>
      </c>
      <c r="K106" s="14">
        <v>0</v>
      </c>
      <c r="L106" s="14">
        <v>0</v>
      </c>
      <c r="M106" s="4" t="e">
        <f>IF(F106="Tindakan",VLOOKUP(O106,#REF!,4,FALSE),IF(F106="Intensif",VLOOKUP(O106,#REF!,10,FALSE),IF(F106="Penunjang",VLOOKUP(O106,#REF!,16,FALSE),IF(F106="Visitase Berdasarkan Jumlah Pasien",VLOOKUP(O106,#REF!,22,FALSE),IF(F106="Visitase",VLOOKUP(O106,#REF!,28,FALSE),IF(F106="Rawat Jalan",VLOOKUP(O106,#REF!,34,FALSE),0))))))</f>
        <v>#REF!</v>
      </c>
      <c r="N106" s="12">
        <f t="shared" si="2"/>
        <v>0</v>
      </c>
      <c r="O106" t="s">
        <v>691</v>
      </c>
      <c r="P106">
        <v>96</v>
      </c>
    </row>
    <row r="107" spans="2:16" x14ac:dyDescent="0.35">
      <c r="B107" s="7">
        <f t="shared" si="3"/>
        <v>97</v>
      </c>
      <c r="C107" s="3" t="s">
        <v>234</v>
      </c>
      <c r="D107" s="4" t="s">
        <v>472</v>
      </c>
      <c r="E107" s="9" t="s">
        <v>147</v>
      </c>
      <c r="F107" s="9" t="s">
        <v>20</v>
      </c>
      <c r="G107" s="14">
        <v>12</v>
      </c>
      <c r="H107" s="14">
        <v>1980000</v>
      </c>
      <c r="I107" s="14">
        <v>0</v>
      </c>
      <c r="J107" s="14">
        <v>0</v>
      </c>
      <c r="K107" s="14">
        <v>0</v>
      </c>
      <c r="L107" s="14">
        <v>0</v>
      </c>
      <c r="M107" s="4" t="e">
        <f>IF(F107="Tindakan",VLOOKUP(O107,#REF!,4,FALSE),IF(F107="Intensif",VLOOKUP(O107,#REF!,10,FALSE),IF(F107="Penunjang",VLOOKUP(O107,#REF!,16,FALSE),IF(F107="Visitase Berdasarkan Jumlah Pasien",VLOOKUP(O107,#REF!,22,FALSE),IF(F107="Visitase",VLOOKUP(O107,#REF!,28,FALSE),IF(F107="Rawat Jalan",VLOOKUP(O107,#REF!,34,FALSE),0))))))</f>
        <v>#REF!</v>
      </c>
      <c r="N107" s="12">
        <f t="shared" si="2"/>
        <v>0</v>
      </c>
      <c r="O107" t="s">
        <v>691</v>
      </c>
      <c r="P107">
        <v>97</v>
      </c>
    </row>
    <row r="108" spans="2:16" x14ac:dyDescent="0.35">
      <c r="B108" s="7">
        <f t="shared" si="3"/>
        <v>98</v>
      </c>
      <c r="C108" s="3" t="s">
        <v>234</v>
      </c>
      <c r="D108" s="4" t="s">
        <v>472</v>
      </c>
      <c r="E108" s="9" t="s">
        <v>147</v>
      </c>
      <c r="F108" s="9" t="s">
        <v>19</v>
      </c>
      <c r="G108" s="14">
        <v>7</v>
      </c>
      <c r="H108" s="14">
        <v>33711000</v>
      </c>
      <c r="I108" s="14">
        <v>2</v>
      </c>
      <c r="J108" s="14">
        <v>9100000</v>
      </c>
      <c r="K108" s="14">
        <v>0</v>
      </c>
      <c r="L108" s="14">
        <v>0</v>
      </c>
      <c r="M108" s="4" t="e">
        <f>IF(F108="Tindakan",VLOOKUP(O108,#REF!,4,FALSE),IF(F108="Intensif",VLOOKUP(O108,#REF!,10,FALSE),IF(F108="Penunjang",VLOOKUP(O108,#REF!,16,FALSE),IF(F108="Visitase Berdasarkan Jumlah Pasien",VLOOKUP(O108,#REF!,22,FALSE),IF(F108="Visitase",VLOOKUP(O108,#REF!,28,FALSE),IF(F108="Rawat Jalan",VLOOKUP(O108,#REF!,34,FALSE),0))))))</f>
        <v>#REF!</v>
      </c>
      <c r="N108" s="12">
        <f t="shared" si="2"/>
        <v>0</v>
      </c>
      <c r="O108" t="s">
        <v>691</v>
      </c>
      <c r="P108">
        <v>98</v>
      </c>
    </row>
    <row r="109" spans="2:16" x14ac:dyDescent="0.35">
      <c r="B109" s="7">
        <f t="shared" si="3"/>
        <v>99</v>
      </c>
      <c r="C109" s="3" t="s">
        <v>234</v>
      </c>
      <c r="D109" s="4" t="s">
        <v>472</v>
      </c>
      <c r="E109" s="9" t="s">
        <v>147</v>
      </c>
      <c r="F109" s="9" t="s">
        <v>22</v>
      </c>
      <c r="G109" s="14">
        <v>172</v>
      </c>
      <c r="H109" s="14">
        <v>35358000</v>
      </c>
      <c r="I109" s="14">
        <v>10</v>
      </c>
      <c r="J109" s="14">
        <v>1555000</v>
      </c>
      <c r="K109" s="14">
        <v>0</v>
      </c>
      <c r="L109" s="14">
        <v>0</v>
      </c>
      <c r="M109" s="4" t="e">
        <f>IF(F109="Tindakan",VLOOKUP(O109,#REF!,4,FALSE),IF(F109="Intensif",VLOOKUP(O109,#REF!,10,FALSE),IF(F109="Penunjang",VLOOKUP(O109,#REF!,16,FALSE),IF(F109="Visitase Berdasarkan Jumlah Pasien",VLOOKUP(O109,#REF!,22,FALSE),IF(F109="Visitase",VLOOKUP(O109,#REF!,28,FALSE),IF(F109="Rawat Jalan",VLOOKUP(O109,#REF!,34,FALSE),0))))))</f>
        <v>#REF!</v>
      </c>
      <c r="N109" s="12">
        <f t="shared" si="2"/>
        <v>0</v>
      </c>
      <c r="O109" t="s">
        <v>691</v>
      </c>
      <c r="P109">
        <v>99</v>
      </c>
    </row>
    <row r="110" spans="2:16" x14ac:dyDescent="0.35">
      <c r="B110" s="7">
        <f t="shared" si="3"/>
        <v>100</v>
      </c>
      <c r="C110" s="3" t="s">
        <v>225</v>
      </c>
      <c r="D110" s="4" t="s">
        <v>473</v>
      </c>
      <c r="E110" s="9" t="s">
        <v>175</v>
      </c>
      <c r="F110" s="9" t="s">
        <v>190</v>
      </c>
      <c r="G110" s="14">
        <v>28</v>
      </c>
      <c r="H110" s="14">
        <v>4015000</v>
      </c>
      <c r="I110" s="14">
        <v>0</v>
      </c>
      <c r="J110" s="14">
        <v>0</v>
      </c>
      <c r="K110" s="14">
        <v>3</v>
      </c>
      <c r="L110" s="14">
        <v>540000</v>
      </c>
      <c r="M110" s="4" t="e">
        <f>IF(F110="Tindakan",VLOOKUP(O110,#REF!,4,FALSE),IF(F110="Intensif",VLOOKUP(O110,#REF!,10,FALSE),IF(F110="Penunjang",VLOOKUP(O110,#REF!,16,FALSE),IF(F110="Visitase Berdasarkan Jumlah Pasien",VLOOKUP(O110,#REF!,22,FALSE),IF(F110="Visitase",VLOOKUP(O110,#REF!,28,FALSE),IF(F110="Rawat Jalan",VLOOKUP(O110,#REF!,34,FALSE),0))))))</f>
        <v>#REF!</v>
      </c>
      <c r="N110" s="12">
        <f t="shared" si="2"/>
        <v>0</v>
      </c>
      <c r="O110" t="s">
        <v>688</v>
      </c>
      <c r="P110">
        <v>100</v>
      </c>
    </row>
    <row r="111" spans="2:16" x14ac:dyDescent="0.35">
      <c r="B111" s="7">
        <f t="shared" si="3"/>
        <v>101</v>
      </c>
      <c r="C111" s="3" t="s">
        <v>225</v>
      </c>
      <c r="D111" s="4" t="s">
        <v>473</v>
      </c>
      <c r="E111" s="9" t="s">
        <v>175</v>
      </c>
      <c r="F111" s="9" t="s">
        <v>20</v>
      </c>
      <c r="G111" s="14">
        <v>27</v>
      </c>
      <c r="H111" s="14">
        <v>12035000</v>
      </c>
      <c r="I111" s="14">
        <v>0</v>
      </c>
      <c r="J111" s="14">
        <v>0</v>
      </c>
      <c r="K111" s="14">
        <v>2</v>
      </c>
      <c r="L111" s="14">
        <v>350000</v>
      </c>
      <c r="M111" s="4" t="e">
        <f>IF(F111="Tindakan",VLOOKUP(O111,#REF!,4,FALSE),IF(F111="Intensif",VLOOKUP(O111,#REF!,10,FALSE),IF(F111="Penunjang",VLOOKUP(O111,#REF!,16,FALSE),IF(F111="Visitase Berdasarkan Jumlah Pasien",VLOOKUP(O111,#REF!,22,FALSE),IF(F111="Visitase",VLOOKUP(O111,#REF!,28,FALSE),IF(F111="Rawat Jalan",VLOOKUP(O111,#REF!,34,FALSE),0))))))</f>
        <v>#REF!</v>
      </c>
      <c r="N111" s="12">
        <f t="shared" si="2"/>
        <v>0</v>
      </c>
      <c r="O111" t="s">
        <v>688</v>
      </c>
      <c r="P111">
        <v>101</v>
      </c>
    </row>
    <row r="112" spans="2:16" x14ac:dyDescent="0.35">
      <c r="B112" s="7">
        <f t="shared" si="3"/>
        <v>102</v>
      </c>
      <c r="C112" s="3" t="s">
        <v>225</v>
      </c>
      <c r="D112" s="4" t="s">
        <v>473</v>
      </c>
      <c r="E112" s="9" t="s">
        <v>175</v>
      </c>
      <c r="F112" s="9" t="s">
        <v>22</v>
      </c>
      <c r="G112" s="14">
        <v>49</v>
      </c>
      <c r="H112" s="14">
        <v>3977000</v>
      </c>
      <c r="I112" s="14">
        <v>1</v>
      </c>
      <c r="J112" s="14">
        <v>75000</v>
      </c>
      <c r="K112" s="14">
        <v>45</v>
      </c>
      <c r="L112" s="14">
        <v>68395000</v>
      </c>
      <c r="M112" s="4" t="e">
        <f>IF(F112="Tindakan",VLOOKUP(O112,#REF!,4,FALSE),IF(F112="Intensif",VLOOKUP(O112,#REF!,10,FALSE),IF(F112="Penunjang",VLOOKUP(O112,#REF!,16,FALSE),IF(F112="Visitase Berdasarkan Jumlah Pasien",VLOOKUP(O112,#REF!,22,FALSE),IF(F112="Visitase",VLOOKUP(O112,#REF!,28,FALSE),IF(F112="Rawat Jalan",VLOOKUP(O112,#REF!,34,FALSE),0))))))</f>
        <v>#REF!</v>
      </c>
      <c r="N112" s="12">
        <f t="shared" si="2"/>
        <v>0</v>
      </c>
      <c r="O112" t="s">
        <v>688</v>
      </c>
      <c r="P112">
        <v>102</v>
      </c>
    </row>
    <row r="113" spans="2:16" x14ac:dyDescent="0.35">
      <c r="B113" s="7">
        <f t="shared" si="3"/>
        <v>103</v>
      </c>
      <c r="C113" s="3" t="s">
        <v>225</v>
      </c>
      <c r="D113" s="4" t="s">
        <v>473</v>
      </c>
      <c r="E113" s="9" t="s">
        <v>175</v>
      </c>
      <c r="F113" s="9" t="s">
        <v>19</v>
      </c>
      <c r="G113" s="14">
        <v>21</v>
      </c>
      <c r="H113" s="14">
        <v>142550000</v>
      </c>
      <c r="I113" s="14">
        <v>0</v>
      </c>
      <c r="J113" s="14">
        <v>0</v>
      </c>
      <c r="K113" s="14">
        <v>5</v>
      </c>
      <c r="L113" s="14">
        <v>142170000</v>
      </c>
      <c r="M113" s="4" t="e">
        <f>IF(F113="Tindakan",VLOOKUP(O113,#REF!,4,FALSE),IF(F113="Intensif",VLOOKUP(O113,#REF!,10,FALSE),IF(F113="Penunjang",VLOOKUP(O113,#REF!,16,FALSE),IF(F113="Visitase Berdasarkan Jumlah Pasien",VLOOKUP(O113,#REF!,22,FALSE),IF(F113="Visitase",VLOOKUP(O113,#REF!,28,FALSE),IF(F113="Rawat Jalan",VLOOKUP(O113,#REF!,34,FALSE),0))))))</f>
        <v>#REF!</v>
      </c>
      <c r="N113" s="12">
        <f t="shared" si="2"/>
        <v>0</v>
      </c>
      <c r="O113" t="s">
        <v>688</v>
      </c>
      <c r="P113">
        <v>103</v>
      </c>
    </row>
    <row r="114" spans="2:16" x14ac:dyDescent="0.35">
      <c r="B114" s="7">
        <f t="shared" si="3"/>
        <v>104</v>
      </c>
      <c r="C114" s="3" t="s">
        <v>257</v>
      </c>
      <c r="D114" s="4" t="s">
        <v>474</v>
      </c>
      <c r="E114" s="9" t="s">
        <v>151</v>
      </c>
      <c r="F114" s="9" t="s">
        <v>19</v>
      </c>
      <c r="G114" s="14">
        <v>57</v>
      </c>
      <c r="H114" s="14">
        <v>511651500</v>
      </c>
      <c r="I114" s="14">
        <v>1</v>
      </c>
      <c r="J114" s="14">
        <v>14500000</v>
      </c>
      <c r="K114" s="14">
        <v>5</v>
      </c>
      <c r="L114" s="14">
        <v>120682000</v>
      </c>
      <c r="M114" s="4" t="e">
        <f>IF(F114="Tindakan",VLOOKUP(O114,#REF!,4,FALSE),IF(F114="Intensif",VLOOKUP(O114,#REF!,10,FALSE),IF(F114="Penunjang",VLOOKUP(O114,#REF!,16,FALSE),IF(F114="Visitase Berdasarkan Jumlah Pasien",VLOOKUP(O114,#REF!,22,FALSE),IF(F114="Visitase",VLOOKUP(O114,#REF!,28,FALSE),IF(F114="Rawat Jalan",VLOOKUP(O114,#REF!,34,FALSE),0))))))</f>
        <v>#REF!</v>
      </c>
      <c r="N114" s="12">
        <f t="shared" si="2"/>
        <v>0</v>
      </c>
      <c r="O114" t="s">
        <v>690</v>
      </c>
      <c r="P114">
        <v>104</v>
      </c>
    </row>
    <row r="115" spans="2:16" x14ac:dyDescent="0.35">
      <c r="B115" s="7">
        <f t="shared" si="3"/>
        <v>105</v>
      </c>
      <c r="C115" s="3" t="s">
        <v>257</v>
      </c>
      <c r="D115" s="4" t="s">
        <v>474</v>
      </c>
      <c r="E115" s="9" t="s">
        <v>151</v>
      </c>
      <c r="F115" s="9" t="s">
        <v>22</v>
      </c>
      <c r="G115" s="14">
        <v>17</v>
      </c>
      <c r="H115" s="14">
        <v>2120000</v>
      </c>
      <c r="I115" s="14">
        <v>1</v>
      </c>
      <c r="J115" s="14">
        <v>75000</v>
      </c>
      <c r="K115" s="14">
        <v>0</v>
      </c>
      <c r="L115" s="14">
        <v>0</v>
      </c>
      <c r="M115" s="4" t="e">
        <f>IF(F115="Tindakan",VLOOKUP(O115,#REF!,4,FALSE),IF(F115="Intensif",VLOOKUP(O115,#REF!,10,FALSE),IF(F115="Penunjang",VLOOKUP(O115,#REF!,16,FALSE),IF(F115="Visitase Berdasarkan Jumlah Pasien",VLOOKUP(O115,#REF!,22,FALSE),IF(F115="Visitase",VLOOKUP(O115,#REF!,28,FALSE),IF(F115="Rawat Jalan",VLOOKUP(O115,#REF!,34,FALSE),0))))))</f>
        <v>#REF!</v>
      </c>
      <c r="N115" s="12">
        <f t="shared" si="2"/>
        <v>0</v>
      </c>
      <c r="O115" t="s">
        <v>690</v>
      </c>
      <c r="P115">
        <v>105</v>
      </c>
    </row>
    <row r="116" spans="2:16" x14ac:dyDescent="0.35">
      <c r="B116" s="7">
        <f t="shared" si="3"/>
        <v>106</v>
      </c>
      <c r="C116" s="3" t="s">
        <v>226</v>
      </c>
      <c r="D116" s="4" t="s">
        <v>475</v>
      </c>
      <c r="E116" s="9" t="s">
        <v>149</v>
      </c>
      <c r="F116" s="9" t="s">
        <v>190</v>
      </c>
      <c r="G116" s="14">
        <v>20</v>
      </c>
      <c r="H116" s="14">
        <v>2570000</v>
      </c>
      <c r="I116" s="14">
        <v>4</v>
      </c>
      <c r="J116" s="14">
        <v>605000</v>
      </c>
      <c r="K116" s="14">
        <v>0</v>
      </c>
      <c r="L116" s="14">
        <v>0</v>
      </c>
      <c r="M116" s="4" t="e">
        <f>IF(F116="Tindakan",VLOOKUP(O116,#REF!,4,FALSE),IF(F116="Intensif",VLOOKUP(O116,#REF!,10,FALSE),IF(F116="Penunjang",VLOOKUP(O116,#REF!,16,FALSE),IF(F116="Visitase Berdasarkan Jumlah Pasien",VLOOKUP(O116,#REF!,22,FALSE),IF(F116="Visitase",VLOOKUP(O116,#REF!,28,FALSE),IF(F116="Rawat Jalan",VLOOKUP(O116,#REF!,34,FALSE),0))))))</f>
        <v>#REF!</v>
      </c>
      <c r="N116" s="12">
        <f t="shared" si="2"/>
        <v>0</v>
      </c>
      <c r="O116" t="s">
        <v>688</v>
      </c>
      <c r="P116">
        <v>106</v>
      </c>
    </row>
    <row r="117" spans="2:16" x14ac:dyDescent="0.35">
      <c r="B117" s="7">
        <f t="shared" si="3"/>
        <v>107</v>
      </c>
      <c r="C117" s="3" t="s">
        <v>226</v>
      </c>
      <c r="D117" s="4" t="s">
        <v>475</v>
      </c>
      <c r="E117" s="9" t="s">
        <v>149</v>
      </c>
      <c r="F117" s="9" t="s">
        <v>20</v>
      </c>
      <c r="G117" s="14">
        <v>5</v>
      </c>
      <c r="H117" s="14">
        <v>4905000</v>
      </c>
      <c r="I117" s="14">
        <v>0</v>
      </c>
      <c r="J117" s="14">
        <v>0</v>
      </c>
      <c r="K117" s="14">
        <v>0</v>
      </c>
      <c r="L117" s="14">
        <v>0</v>
      </c>
      <c r="M117" s="4" t="e">
        <f>IF(F117="Tindakan",VLOOKUP(O117,#REF!,4,FALSE),IF(F117="Intensif",VLOOKUP(O117,#REF!,10,FALSE),IF(F117="Penunjang",VLOOKUP(O117,#REF!,16,FALSE),IF(F117="Visitase Berdasarkan Jumlah Pasien",VLOOKUP(O117,#REF!,22,FALSE),IF(F117="Visitase",VLOOKUP(O117,#REF!,28,FALSE),IF(F117="Rawat Jalan",VLOOKUP(O117,#REF!,34,FALSE),0))))))</f>
        <v>#REF!</v>
      </c>
      <c r="N117" s="12">
        <f t="shared" si="2"/>
        <v>0</v>
      </c>
      <c r="O117" t="s">
        <v>688</v>
      </c>
      <c r="P117">
        <v>107</v>
      </c>
    </row>
    <row r="118" spans="2:16" x14ac:dyDescent="0.35">
      <c r="B118" s="7">
        <f t="shared" si="3"/>
        <v>108</v>
      </c>
      <c r="C118" s="3" t="s">
        <v>226</v>
      </c>
      <c r="D118" s="4" t="s">
        <v>475</v>
      </c>
      <c r="E118" s="9" t="s">
        <v>149</v>
      </c>
      <c r="F118" s="9" t="s">
        <v>19</v>
      </c>
      <c r="G118" s="14">
        <v>17</v>
      </c>
      <c r="H118" s="14">
        <v>156500000</v>
      </c>
      <c r="I118" s="14">
        <v>0</v>
      </c>
      <c r="J118" s="14">
        <v>0</v>
      </c>
      <c r="K118" s="14">
        <v>0</v>
      </c>
      <c r="L118" s="14">
        <v>0</v>
      </c>
      <c r="M118" s="4" t="e">
        <f>IF(F118="Tindakan",VLOOKUP(O118,#REF!,4,FALSE),IF(F118="Intensif",VLOOKUP(O118,#REF!,10,FALSE),IF(F118="Penunjang",VLOOKUP(O118,#REF!,16,FALSE),IF(F118="Visitase Berdasarkan Jumlah Pasien",VLOOKUP(O118,#REF!,22,FALSE),IF(F118="Visitase",VLOOKUP(O118,#REF!,28,FALSE),IF(F118="Rawat Jalan",VLOOKUP(O118,#REF!,34,FALSE),0))))))</f>
        <v>#REF!</v>
      </c>
      <c r="N118" s="12">
        <f t="shared" si="2"/>
        <v>0</v>
      </c>
      <c r="O118" t="s">
        <v>688</v>
      </c>
      <c r="P118">
        <v>108</v>
      </c>
    </row>
    <row r="119" spans="2:16" x14ac:dyDescent="0.35">
      <c r="B119" s="7">
        <f t="shared" si="3"/>
        <v>109</v>
      </c>
      <c r="C119" s="3" t="s">
        <v>226</v>
      </c>
      <c r="D119" s="4" t="s">
        <v>475</v>
      </c>
      <c r="E119" s="9" t="s">
        <v>149</v>
      </c>
      <c r="F119" s="9" t="s">
        <v>22</v>
      </c>
      <c r="G119" s="14">
        <v>24</v>
      </c>
      <c r="H119" s="14">
        <v>1800000</v>
      </c>
      <c r="I119" s="14">
        <v>2</v>
      </c>
      <c r="J119" s="14">
        <v>150000</v>
      </c>
      <c r="K119" s="14">
        <v>4</v>
      </c>
      <c r="L119" s="14">
        <v>980000</v>
      </c>
      <c r="M119" s="4" t="e">
        <f>IF(F119="Tindakan",VLOOKUP(O119,#REF!,4,FALSE),IF(F119="Intensif",VLOOKUP(O119,#REF!,10,FALSE),IF(F119="Penunjang",VLOOKUP(O119,#REF!,16,FALSE),IF(F119="Visitase Berdasarkan Jumlah Pasien",VLOOKUP(O119,#REF!,22,FALSE),IF(F119="Visitase",VLOOKUP(O119,#REF!,28,FALSE),IF(F119="Rawat Jalan",VLOOKUP(O119,#REF!,34,FALSE),0))))))</f>
        <v>#REF!</v>
      </c>
      <c r="N119" s="12">
        <f t="shared" si="2"/>
        <v>0</v>
      </c>
      <c r="O119" t="s">
        <v>688</v>
      </c>
      <c r="P119">
        <v>109</v>
      </c>
    </row>
    <row r="120" spans="2:16" x14ac:dyDescent="0.35">
      <c r="B120" s="7">
        <f t="shared" si="3"/>
        <v>110</v>
      </c>
      <c r="C120" s="3" t="s">
        <v>275</v>
      </c>
      <c r="D120" s="4" t="s">
        <v>476</v>
      </c>
      <c r="E120" s="9" t="s">
        <v>148</v>
      </c>
      <c r="F120" s="9" t="s">
        <v>20</v>
      </c>
      <c r="G120" s="14">
        <v>15</v>
      </c>
      <c r="H120" s="14">
        <v>2625000</v>
      </c>
      <c r="I120" s="14">
        <v>15</v>
      </c>
      <c r="J120" s="14">
        <v>2625000</v>
      </c>
      <c r="K120" s="14">
        <v>0</v>
      </c>
      <c r="L120" s="14">
        <v>0</v>
      </c>
      <c r="M120" s="4" t="e">
        <f>IF(F120="Tindakan",VLOOKUP(O120,#REF!,4,FALSE),IF(F120="Intensif",VLOOKUP(O120,#REF!,10,FALSE),IF(F120="Penunjang",VLOOKUP(O120,#REF!,16,FALSE),IF(F120="Visitase Berdasarkan Jumlah Pasien",VLOOKUP(O120,#REF!,22,FALSE),IF(F120="Visitase",VLOOKUP(O120,#REF!,28,FALSE),IF(F120="Rawat Jalan",VLOOKUP(O120,#REF!,34,FALSE),0))))))</f>
        <v>#REF!</v>
      </c>
      <c r="N120" s="12">
        <f t="shared" si="2"/>
        <v>0</v>
      </c>
      <c r="O120" t="s">
        <v>700</v>
      </c>
      <c r="P120">
        <v>110</v>
      </c>
    </row>
    <row r="121" spans="2:16" x14ac:dyDescent="0.35">
      <c r="B121" s="7">
        <f t="shared" si="3"/>
        <v>111</v>
      </c>
      <c r="C121" s="3" t="s">
        <v>275</v>
      </c>
      <c r="D121" s="4" t="s">
        <v>476</v>
      </c>
      <c r="E121" s="9" t="s">
        <v>148</v>
      </c>
      <c r="F121" s="9" t="s">
        <v>190</v>
      </c>
      <c r="G121" s="14">
        <v>48</v>
      </c>
      <c r="H121" s="14">
        <v>7175000</v>
      </c>
      <c r="I121" s="14">
        <v>11</v>
      </c>
      <c r="J121" s="14">
        <v>1720000</v>
      </c>
      <c r="K121" s="14">
        <v>0</v>
      </c>
      <c r="L121" s="14">
        <v>0</v>
      </c>
      <c r="M121" s="4" t="e">
        <f>IF(F121="Tindakan",VLOOKUP(O121,#REF!,4,FALSE),IF(F121="Intensif",VLOOKUP(O121,#REF!,10,FALSE),IF(F121="Penunjang",VLOOKUP(O121,#REF!,16,FALSE),IF(F121="Visitase Berdasarkan Jumlah Pasien",VLOOKUP(O121,#REF!,22,FALSE),IF(F121="Visitase",VLOOKUP(O121,#REF!,28,FALSE),IF(F121="Rawat Jalan",VLOOKUP(O121,#REF!,34,FALSE),0))))))</f>
        <v>#REF!</v>
      </c>
      <c r="N121" s="12">
        <f t="shared" si="2"/>
        <v>0</v>
      </c>
      <c r="O121" t="s">
        <v>700</v>
      </c>
      <c r="P121">
        <v>111</v>
      </c>
    </row>
    <row r="122" spans="2:16" x14ac:dyDescent="0.35">
      <c r="B122" s="7">
        <f t="shared" si="3"/>
        <v>112</v>
      </c>
      <c r="C122" s="3" t="s">
        <v>275</v>
      </c>
      <c r="D122" s="4" t="s">
        <v>476</v>
      </c>
      <c r="E122" s="9" t="s">
        <v>148</v>
      </c>
      <c r="F122" s="9" t="s">
        <v>22</v>
      </c>
      <c r="G122" s="14">
        <v>134</v>
      </c>
      <c r="H122" s="14">
        <v>34252000</v>
      </c>
      <c r="I122" s="14">
        <v>2</v>
      </c>
      <c r="J122" s="14">
        <v>150000</v>
      </c>
      <c r="K122" s="14">
        <v>14</v>
      </c>
      <c r="L122" s="14">
        <v>3240000</v>
      </c>
      <c r="M122" s="4" t="e">
        <f>IF(F122="Tindakan",VLOOKUP(O122,#REF!,4,FALSE),IF(F122="Intensif",VLOOKUP(O122,#REF!,10,FALSE),IF(F122="Penunjang",VLOOKUP(O122,#REF!,16,FALSE),IF(F122="Visitase Berdasarkan Jumlah Pasien",VLOOKUP(O122,#REF!,22,FALSE),IF(F122="Visitase",VLOOKUP(O122,#REF!,28,FALSE),IF(F122="Rawat Jalan",VLOOKUP(O122,#REF!,34,FALSE),0))))))</f>
        <v>#REF!</v>
      </c>
      <c r="N122" s="12">
        <f t="shared" si="2"/>
        <v>0</v>
      </c>
      <c r="O122" t="s">
        <v>700</v>
      </c>
      <c r="P122">
        <v>112</v>
      </c>
    </row>
    <row r="123" spans="2:16" x14ac:dyDescent="0.35">
      <c r="B123" s="7">
        <f t="shared" si="3"/>
        <v>113</v>
      </c>
      <c r="C123" s="3" t="s">
        <v>275</v>
      </c>
      <c r="D123" s="4" t="s">
        <v>476</v>
      </c>
      <c r="E123" s="9" t="s">
        <v>148</v>
      </c>
      <c r="F123" s="9" t="s">
        <v>19</v>
      </c>
      <c r="G123" s="14">
        <v>0</v>
      </c>
      <c r="H123" s="14">
        <v>0</v>
      </c>
      <c r="I123" s="14">
        <v>0</v>
      </c>
      <c r="J123" s="14">
        <v>0</v>
      </c>
      <c r="K123" s="14">
        <v>1</v>
      </c>
      <c r="L123" s="14">
        <v>24000000</v>
      </c>
      <c r="M123" s="4" t="e">
        <f>IF(F123="Tindakan",VLOOKUP(O123,#REF!,4,FALSE),IF(F123="Intensif",VLOOKUP(O123,#REF!,10,FALSE),IF(F123="Penunjang",VLOOKUP(O123,#REF!,16,FALSE),IF(F123="Visitase Berdasarkan Jumlah Pasien",VLOOKUP(O123,#REF!,22,FALSE),IF(F123="Visitase",VLOOKUP(O123,#REF!,28,FALSE),IF(F123="Rawat Jalan",VLOOKUP(O123,#REF!,34,FALSE),0))))))</f>
        <v>#REF!</v>
      </c>
      <c r="N123" s="12">
        <f t="shared" si="2"/>
        <v>0</v>
      </c>
      <c r="O123" t="s">
        <v>700</v>
      </c>
      <c r="P123">
        <v>113</v>
      </c>
    </row>
    <row r="124" spans="2:16" x14ac:dyDescent="0.35">
      <c r="B124" s="7">
        <f t="shared" si="3"/>
        <v>114</v>
      </c>
      <c r="C124" s="3" t="s">
        <v>276</v>
      </c>
      <c r="D124" s="4" t="s">
        <v>477</v>
      </c>
      <c r="E124" s="9" t="s">
        <v>148</v>
      </c>
      <c r="F124" s="9" t="s">
        <v>190</v>
      </c>
      <c r="G124" s="14">
        <v>58</v>
      </c>
      <c r="H124" s="14">
        <v>7560000</v>
      </c>
      <c r="I124" s="14">
        <v>0</v>
      </c>
      <c r="J124" s="14">
        <v>0</v>
      </c>
      <c r="K124" s="14">
        <v>0</v>
      </c>
      <c r="L124" s="14">
        <v>0</v>
      </c>
      <c r="M124" s="4" t="e">
        <f>IF(F124="Tindakan",VLOOKUP(O124,#REF!,4,FALSE),IF(F124="Intensif",VLOOKUP(O124,#REF!,10,FALSE),IF(F124="Penunjang",VLOOKUP(O124,#REF!,16,FALSE),IF(F124="Visitase Berdasarkan Jumlah Pasien",VLOOKUP(O124,#REF!,22,FALSE),IF(F124="Visitase",VLOOKUP(O124,#REF!,28,FALSE),IF(F124="Rawat Jalan",VLOOKUP(O124,#REF!,34,FALSE),0))))))</f>
        <v>#REF!</v>
      </c>
      <c r="N124" s="12">
        <f t="shared" si="2"/>
        <v>0</v>
      </c>
      <c r="O124" t="s">
        <v>700</v>
      </c>
      <c r="P124">
        <v>114</v>
      </c>
    </row>
    <row r="125" spans="2:16" x14ac:dyDescent="0.35">
      <c r="B125" s="7">
        <f t="shared" si="3"/>
        <v>115</v>
      </c>
      <c r="C125" s="3" t="s">
        <v>276</v>
      </c>
      <c r="D125" s="4" t="s">
        <v>477</v>
      </c>
      <c r="E125" s="9" t="s">
        <v>148</v>
      </c>
      <c r="F125" s="9" t="s">
        <v>20</v>
      </c>
      <c r="G125" s="14">
        <v>12</v>
      </c>
      <c r="H125" s="14">
        <v>2100000</v>
      </c>
      <c r="I125" s="14">
        <v>0</v>
      </c>
      <c r="J125" s="14">
        <v>0</v>
      </c>
      <c r="K125" s="14">
        <v>0</v>
      </c>
      <c r="L125" s="14">
        <v>0</v>
      </c>
      <c r="M125" s="4" t="e">
        <f>IF(F125="Tindakan",VLOOKUP(O125,#REF!,4,FALSE),IF(F125="Intensif",VLOOKUP(O125,#REF!,10,FALSE),IF(F125="Penunjang",VLOOKUP(O125,#REF!,16,FALSE),IF(F125="Visitase Berdasarkan Jumlah Pasien",VLOOKUP(O125,#REF!,22,FALSE),IF(F125="Visitase",VLOOKUP(O125,#REF!,28,FALSE),IF(F125="Rawat Jalan",VLOOKUP(O125,#REF!,34,FALSE),0))))))</f>
        <v>#REF!</v>
      </c>
      <c r="N125" s="12">
        <f t="shared" si="2"/>
        <v>0</v>
      </c>
      <c r="O125" t="s">
        <v>700</v>
      </c>
      <c r="P125">
        <v>115</v>
      </c>
    </row>
    <row r="126" spans="2:16" x14ac:dyDescent="0.35">
      <c r="B126" s="7">
        <f t="shared" si="3"/>
        <v>116</v>
      </c>
      <c r="C126" s="3" t="s">
        <v>276</v>
      </c>
      <c r="D126" s="4" t="s">
        <v>477</v>
      </c>
      <c r="E126" s="9" t="s">
        <v>148</v>
      </c>
      <c r="F126" s="9" t="s">
        <v>22</v>
      </c>
      <c r="G126" s="14">
        <v>200</v>
      </c>
      <c r="H126" s="14">
        <v>53800000</v>
      </c>
      <c r="I126" s="14">
        <v>3</v>
      </c>
      <c r="J126" s="14">
        <v>225000</v>
      </c>
      <c r="K126" s="14">
        <v>11</v>
      </c>
      <c r="L126" s="14">
        <v>3300000</v>
      </c>
      <c r="M126" s="4" t="e">
        <f>IF(F126="Tindakan",VLOOKUP(O126,#REF!,4,FALSE),IF(F126="Intensif",VLOOKUP(O126,#REF!,10,FALSE),IF(F126="Penunjang",VLOOKUP(O126,#REF!,16,FALSE),IF(F126="Visitase Berdasarkan Jumlah Pasien",VLOOKUP(O126,#REF!,22,FALSE),IF(F126="Visitase",VLOOKUP(O126,#REF!,28,FALSE),IF(F126="Rawat Jalan",VLOOKUP(O126,#REF!,34,FALSE),0))))))</f>
        <v>#REF!</v>
      </c>
      <c r="N126" s="12">
        <f t="shared" si="2"/>
        <v>0</v>
      </c>
      <c r="O126" t="s">
        <v>700</v>
      </c>
      <c r="P126">
        <v>116</v>
      </c>
    </row>
    <row r="127" spans="2:16" x14ac:dyDescent="0.35">
      <c r="B127" s="7">
        <f t="shared" si="3"/>
        <v>117</v>
      </c>
      <c r="C127" s="3" t="s">
        <v>351</v>
      </c>
      <c r="D127" s="4" t="s">
        <v>478</v>
      </c>
      <c r="E127" s="9" t="s">
        <v>153</v>
      </c>
      <c r="F127" s="9" t="s">
        <v>21</v>
      </c>
      <c r="G127" s="14">
        <v>5</v>
      </c>
      <c r="H127" s="14">
        <v>13000000</v>
      </c>
      <c r="I127" s="14">
        <v>0</v>
      </c>
      <c r="J127" s="14">
        <v>0</v>
      </c>
      <c r="K127" s="14">
        <v>0</v>
      </c>
      <c r="L127" s="14">
        <v>0</v>
      </c>
      <c r="M127" s="4" t="e">
        <f>IF(F127="Tindakan",VLOOKUP(O127,#REF!,4,FALSE),IF(F127="Intensif",VLOOKUP(O127,#REF!,10,FALSE),IF(F127="Penunjang",VLOOKUP(O127,#REF!,16,FALSE),IF(F127="Visitase Berdasarkan Jumlah Pasien",VLOOKUP(O127,#REF!,22,FALSE),IF(F127="Visitase",VLOOKUP(O127,#REF!,28,FALSE),IF(F127="Rawat Jalan",VLOOKUP(O127,#REF!,34,FALSE),0))))))</f>
        <v>#REF!</v>
      </c>
      <c r="N127" s="12">
        <f t="shared" si="2"/>
        <v>0</v>
      </c>
      <c r="O127" t="s">
        <v>698</v>
      </c>
      <c r="P127">
        <v>117</v>
      </c>
    </row>
    <row r="128" spans="2:16" x14ac:dyDescent="0.35">
      <c r="B128" s="7">
        <f t="shared" si="3"/>
        <v>118</v>
      </c>
      <c r="C128" s="3" t="s">
        <v>299</v>
      </c>
      <c r="D128" s="4" t="s">
        <v>479</v>
      </c>
      <c r="E128" s="9" t="s">
        <v>175</v>
      </c>
      <c r="F128" s="9" t="s">
        <v>190</v>
      </c>
      <c r="G128" s="14">
        <v>20</v>
      </c>
      <c r="H128" s="14">
        <v>2815000</v>
      </c>
      <c r="I128" s="14">
        <v>0</v>
      </c>
      <c r="J128" s="14">
        <v>0</v>
      </c>
      <c r="K128" s="14">
        <v>0</v>
      </c>
      <c r="L128" s="14">
        <v>0</v>
      </c>
      <c r="M128" s="4" t="e">
        <f>IF(F128="Tindakan",VLOOKUP(O128,#REF!,4,FALSE),IF(F128="Intensif",VLOOKUP(O128,#REF!,10,FALSE),IF(F128="Penunjang",VLOOKUP(O128,#REF!,16,FALSE),IF(F128="Visitase Berdasarkan Jumlah Pasien",VLOOKUP(O128,#REF!,22,FALSE),IF(F128="Visitase",VLOOKUP(O128,#REF!,28,FALSE),IF(F128="Rawat Jalan",VLOOKUP(O128,#REF!,34,FALSE),0))))))</f>
        <v>#REF!</v>
      </c>
      <c r="N128" s="12">
        <f t="shared" si="2"/>
        <v>0</v>
      </c>
      <c r="O128" t="s">
        <v>688</v>
      </c>
      <c r="P128">
        <v>118</v>
      </c>
    </row>
    <row r="129" spans="2:16" x14ac:dyDescent="0.35">
      <c r="B129" s="7">
        <f t="shared" si="3"/>
        <v>119</v>
      </c>
      <c r="C129" s="3" t="s">
        <v>299</v>
      </c>
      <c r="D129" s="4" t="s">
        <v>479</v>
      </c>
      <c r="E129" s="9" t="s">
        <v>175</v>
      </c>
      <c r="F129" s="9" t="s">
        <v>20</v>
      </c>
      <c r="G129" s="14">
        <v>3</v>
      </c>
      <c r="H129" s="14">
        <v>426000</v>
      </c>
      <c r="I129" s="14">
        <v>0</v>
      </c>
      <c r="J129" s="14">
        <v>0</v>
      </c>
      <c r="K129" s="14">
        <v>0</v>
      </c>
      <c r="L129" s="14">
        <v>0</v>
      </c>
      <c r="M129" s="4" t="e">
        <f>IF(F129="Tindakan",VLOOKUP(O129,#REF!,4,FALSE),IF(F129="Intensif",VLOOKUP(O129,#REF!,10,FALSE),IF(F129="Penunjang",VLOOKUP(O129,#REF!,16,FALSE),IF(F129="Visitase Berdasarkan Jumlah Pasien",VLOOKUP(O129,#REF!,22,FALSE),IF(F129="Visitase",VLOOKUP(O129,#REF!,28,FALSE),IF(F129="Rawat Jalan",VLOOKUP(O129,#REF!,34,FALSE),0))))))</f>
        <v>#REF!</v>
      </c>
      <c r="N129" s="12">
        <f t="shared" si="2"/>
        <v>0</v>
      </c>
      <c r="O129" t="s">
        <v>688</v>
      </c>
      <c r="P129">
        <v>119</v>
      </c>
    </row>
    <row r="130" spans="2:16" x14ac:dyDescent="0.35">
      <c r="B130" s="7">
        <f t="shared" si="3"/>
        <v>120</v>
      </c>
      <c r="C130" s="3" t="s">
        <v>299</v>
      </c>
      <c r="D130" s="4" t="s">
        <v>479</v>
      </c>
      <c r="E130" s="9" t="s">
        <v>175</v>
      </c>
      <c r="F130" s="9" t="s">
        <v>22</v>
      </c>
      <c r="G130" s="14">
        <v>2</v>
      </c>
      <c r="H130" s="14">
        <v>125000</v>
      </c>
      <c r="I130" s="14">
        <v>2</v>
      </c>
      <c r="J130" s="14">
        <v>375000</v>
      </c>
      <c r="K130" s="14">
        <v>4</v>
      </c>
      <c r="L130" s="14">
        <v>3600000</v>
      </c>
      <c r="M130" s="4" t="e">
        <f>IF(F130="Tindakan",VLOOKUP(O130,#REF!,4,FALSE),IF(F130="Intensif",VLOOKUP(O130,#REF!,10,FALSE),IF(F130="Penunjang",VLOOKUP(O130,#REF!,16,FALSE),IF(F130="Visitase Berdasarkan Jumlah Pasien",VLOOKUP(O130,#REF!,22,FALSE),IF(F130="Visitase",VLOOKUP(O130,#REF!,28,FALSE),IF(F130="Rawat Jalan",VLOOKUP(O130,#REF!,34,FALSE),0))))))</f>
        <v>#REF!</v>
      </c>
      <c r="N130" s="12">
        <f t="shared" si="2"/>
        <v>0</v>
      </c>
      <c r="O130" t="s">
        <v>688</v>
      </c>
      <c r="P130">
        <v>120</v>
      </c>
    </row>
    <row r="131" spans="2:16" x14ac:dyDescent="0.35">
      <c r="B131" s="7">
        <f t="shared" si="3"/>
        <v>121</v>
      </c>
      <c r="C131" s="3" t="s">
        <v>312</v>
      </c>
      <c r="D131" s="4" t="s">
        <v>480</v>
      </c>
      <c r="E131" s="9" t="s">
        <v>178</v>
      </c>
      <c r="F131" s="9" t="s">
        <v>20</v>
      </c>
      <c r="G131" s="14">
        <v>30</v>
      </c>
      <c r="H131" s="14">
        <v>3500000</v>
      </c>
      <c r="I131" s="14">
        <v>4</v>
      </c>
      <c r="J131" s="14">
        <v>435000</v>
      </c>
      <c r="K131" s="14">
        <v>0</v>
      </c>
      <c r="L131" s="14">
        <v>0</v>
      </c>
      <c r="M131" s="4" t="e">
        <f>IF(F131="Tindakan",VLOOKUP(O131,#REF!,4,FALSE),IF(F131="Intensif",VLOOKUP(O131,#REF!,10,FALSE),IF(F131="Penunjang",VLOOKUP(O131,#REF!,16,FALSE),IF(F131="Visitase Berdasarkan Jumlah Pasien",VLOOKUP(O131,#REF!,22,FALSE),IF(F131="Visitase",VLOOKUP(O131,#REF!,28,FALSE),IF(F131="Rawat Jalan",VLOOKUP(O131,#REF!,34,FALSE),0))))))</f>
        <v>#REF!</v>
      </c>
      <c r="N131" s="12">
        <f t="shared" si="2"/>
        <v>0</v>
      </c>
      <c r="O131" t="s">
        <v>689</v>
      </c>
      <c r="P131">
        <v>121</v>
      </c>
    </row>
    <row r="132" spans="2:16" x14ac:dyDescent="0.35">
      <c r="B132" s="7">
        <f t="shared" si="3"/>
        <v>122</v>
      </c>
      <c r="C132" s="3" t="s">
        <v>312</v>
      </c>
      <c r="D132" s="4" t="s">
        <v>480</v>
      </c>
      <c r="E132" s="9" t="s">
        <v>178</v>
      </c>
      <c r="F132" s="9" t="s">
        <v>190</v>
      </c>
      <c r="G132" s="14">
        <v>14</v>
      </c>
      <c r="H132" s="14">
        <v>2240000</v>
      </c>
      <c r="I132" s="14">
        <v>0</v>
      </c>
      <c r="J132" s="14">
        <v>0</v>
      </c>
      <c r="K132" s="14">
        <v>0</v>
      </c>
      <c r="L132" s="14">
        <v>0</v>
      </c>
      <c r="M132" s="4" t="e">
        <f>IF(F132="Tindakan",VLOOKUP(O132,#REF!,4,FALSE),IF(F132="Intensif",VLOOKUP(O132,#REF!,10,FALSE),IF(F132="Penunjang",VLOOKUP(O132,#REF!,16,FALSE),IF(F132="Visitase Berdasarkan Jumlah Pasien",VLOOKUP(O132,#REF!,22,FALSE),IF(F132="Visitase",VLOOKUP(O132,#REF!,28,FALSE),IF(F132="Rawat Jalan",VLOOKUP(O132,#REF!,34,FALSE),0))))))</f>
        <v>#REF!</v>
      </c>
      <c r="N132" s="12">
        <f t="shared" si="2"/>
        <v>0</v>
      </c>
      <c r="O132" t="s">
        <v>689</v>
      </c>
      <c r="P132">
        <v>122</v>
      </c>
    </row>
    <row r="133" spans="2:16" x14ac:dyDescent="0.35">
      <c r="B133" s="7">
        <f t="shared" si="3"/>
        <v>123</v>
      </c>
      <c r="C133" s="3" t="s">
        <v>312</v>
      </c>
      <c r="D133" s="4" t="s">
        <v>480</v>
      </c>
      <c r="E133" s="9" t="s">
        <v>178</v>
      </c>
      <c r="F133" s="9" t="s">
        <v>22</v>
      </c>
      <c r="G133" s="14">
        <v>288</v>
      </c>
      <c r="H133" s="14">
        <v>172810000</v>
      </c>
      <c r="I133" s="14">
        <v>6</v>
      </c>
      <c r="J133" s="14">
        <v>56020000</v>
      </c>
      <c r="K133" s="14">
        <v>14</v>
      </c>
      <c r="L133" s="14">
        <v>2695000</v>
      </c>
      <c r="M133" s="4" t="e">
        <f>IF(F133="Tindakan",VLOOKUP(O133,#REF!,4,FALSE),IF(F133="Intensif",VLOOKUP(O133,#REF!,10,FALSE),IF(F133="Penunjang",VLOOKUP(O133,#REF!,16,FALSE),IF(F133="Visitase Berdasarkan Jumlah Pasien",VLOOKUP(O133,#REF!,22,FALSE),IF(F133="Visitase",VLOOKUP(O133,#REF!,28,FALSE),IF(F133="Rawat Jalan",VLOOKUP(O133,#REF!,34,FALSE),0))))))</f>
        <v>#REF!</v>
      </c>
      <c r="N133" s="12">
        <f t="shared" si="2"/>
        <v>0</v>
      </c>
      <c r="O133" t="s">
        <v>689</v>
      </c>
      <c r="P133">
        <v>123</v>
      </c>
    </row>
    <row r="134" spans="2:16" x14ac:dyDescent="0.35">
      <c r="B134" s="7">
        <f t="shared" si="3"/>
        <v>124</v>
      </c>
      <c r="C134" s="3" t="s">
        <v>300</v>
      </c>
      <c r="D134" s="4" t="s">
        <v>481</v>
      </c>
      <c r="E134" s="9" t="s">
        <v>161</v>
      </c>
      <c r="F134" s="9" t="s">
        <v>190</v>
      </c>
      <c r="G134" s="14">
        <v>25</v>
      </c>
      <c r="H134" s="14">
        <v>3335000</v>
      </c>
      <c r="I134" s="14">
        <v>0</v>
      </c>
      <c r="J134" s="14">
        <v>0</v>
      </c>
      <c r="K134" s="14">
        <v>2</v>
      </c>
      <c r="L134" s="14">
        <v>360000</v>
      </c>
      <c r="M134" s="4" t="e">
        <f>IF(F134="Tindakan",VLOOKUP(O134,#REF!,4,FALSE),IF(F134="Intensif",VLOOKUP(O134,#REF!,10,FALSE),IF(F134="Penunjang",VLOOKUP(O134,#REF!,16,FALSE),IF(F134="Visitase Berdasarkan Jumlah Pasien",VLOOKUP(O134,#REF!,22,FALSE),IF(F134="Visitase",VLOOKUP(O134,#REF!,28,FALSE),IF(F134="Rawat Jalan",VLOOKUP(O134,#REF!,34,FALSE),0))))))</f>
        <v>#REF!</v>
      </c>
      <c r="N134" s="12">
        <f t="shared" si="2"/>
        <v>0</v>
      </c>
      <c r="O134" t="s">
        <v>688</v>
      </c>
      <c r="P134">
        <v>124</v>
      </c>
    </row>
    <row r="135" spans="2:16" x14ac:dyDescent="0.35">
      <c r="B135" s="7">
        <f t="shared" si="3"/>
        <v>125</v>
      </c>
      <c r="C135" s="3" t="s">
        <v>300</v>
      </c>
      <c r="D135" s="4" t="s">
        <v>481</v>
      </c>
      <c r="E135" s="9" t="s">
        <v>161</v>
      </c>
      <c r="F135" s="9" t="s">
        <v>20</v>
      </c>
      <c r="G135" s="14">
        <v>0</v>
      </c>
      <c r="H135" s="14">
        <v>0</v>
      </c>
      <c r="I135" s="14">
        <v>0</v>
      </c>
      <c r="J135" s="14">
        <v>0</v>
      </c>
      <c r="K135" s="14">
        <v>2</v>
      </c>
      <c r="L135" s="14">
        <v>320000</v>
      </c>
      <c r="M135" s="4" t="e">
        <f>IF(F135="Tindakan",VLOOKUP(O135,#REF!,4,FALSE),IF(F135="Intensif",VLOOKUP(O135,#REF!,10,FALSE),IF(F135="Penunjang",VLOOKUP(O135,#REF!,16,FALSE),IF(F135="Visitase Berdasarkan Jumlah Pasien",VLOOKUP(O135,#REF!,22,FALSE),IF(F135="Visitase",VLOOKUP(O135,#REF!,28,FALSE),IF(F135="Rawat Jalan",VLOOKUP(O135,#REF!,34,FALSE),0))))))</f>
        <v>#REF!</v>
      </c>
      <c r="N135" s="12">
        <f t="shared" si="2"/>
        <v>0</v>
      </c>
      <c r="O135" t="s">
        <v>688</v>
      </c>
      <c r="P135">
        <v>125</v>
      </c>
    </row>
    <row r="136" spans="2:16" x14ac:dyDescent="0.35">
      <c r="B136" s="7">
        <f t="shared" si="3"/>
        <v>126</v>
      </c>
      <c r="C136" s="3" t="s">
        <v>300</v>
      </c>
      <c r="D136" s="4" t="s">
        <v>481</v>
      </c>
      <c r="E136" s="9" t="s">
        <v>161</v>
      </c>
      <c r="F136" s="9" t="s">
        <v>22</v>
      </c>
      <c r="G136" s="14">
        <v>124</v>
      </c>
      <c r="H136" s="14">
        <v>15732000</v>
      </c>
      <c r="I136" s="14">
        <v>5</v>
      </c>
      <c r="J136" s="14">
        <v>375000</v>
      </c>
      <c r="K136" s="14">
        <v>10</v>
      </c>
      <c r="L136" s="14">
        <v>2940000</v>
      </c>
      <c r="M136" s="4" t="e">
        <f>IF(F136="Tindakan",VLOOKUP(O136,#REF!,4,FALSE),IF(F136="Intensif",VLOOKUP(O136,#REF!,10,FALSE),IF(F136="Penunjang",VLOOKUP(O136,#REF!,16,FALSE),IF(F136="Visitase Berdasarkan Jumlah Pasien",VLOOKUP(O136,#REF!,22,FALSE),IF(F136="Visitase",VLOOKUP(O136,#REF!,28,FALSE),IF(F136="Rawat Jalan",VLOOKUP(O136,#REF!,34,FALSE),0))))))</f>
        <v>#REF!</v>
      </c>
      <c r="N136" s="12">
        <f t="shared" si="2"/>
        <v>0</v>
      </c>
      <c r="O136" t="s">
        <v>688</v>
      </c>
      <c r="P136">
        <v>126</v>
      </c>
    </row>
    <row r="137" spans="2:16" x14ac:dyDescent="0.35">
      <c r="B137" s="7">
        <f t="shared" si="3"/>
        <v>127</v>
      </c>
      <c r="C137" s="3" t="s">
        <v>300</v>
      </c>
      <c r="D137" s="4" t="s">
        <v>481</v>
      </c>
      <c r="E137" s="9" t="s">
        <v>161</v>
      </c>
      <c r="F137" s="9" t="s">
        <v>19</v>
      </c>
      <c r="G137" s="14">
        <v>24</v>
      </c>
      <c r="H137" s="14">
        <v>175800000</v>
      </c>
      <c r="I137" s="14">
        <v>0</v>
      </c>
      <c r="J137" s="14">
        <v>0</v>
      </c>
      <c r="K137" s="14">
        <v>1</v>
      </c>
      <c r="L137" s="14">
        <v>28200000</v>
      </c>
      <c r="M137" s="4" t="e">
        <f>IF(F137="Tindakan",VLOOKUP(O137,#REF!,4,FALSE),IF(F137="Intensif",VLOOKUP(O137,#REF!,10,FALSE),IF(F137="Penunjang",VLOOKUP(O137,#REF!,16,FALSE),IF(F137="Visitase Berdasarkan Jumlah Pasien",VLOOKUP(O137,#REF!,22,FALSE),IF(F137="Visitase",VLOOKUP(O137,#REF!,28,FALSE),IF(F137="Rawat Jalan",VLOOKUP(O137,#REF!,34,FALSE),0))))))</f>
        <v>#REF!</v>
      </c>
      <c r="N137" s="12">
        <f t="shared" si="2"/>
        <v>0</v>
      </c>
      <c r="O137" t="s">
        <v>688</v>
      </c>
      <c r="P137">
        <v>127</v>
      </c>
    </row>
    <row r="138" spans="2:16" x14ac:dyDescent="0.35">
      <c r="B138" s="7">
        <f t="shared" si="3"/>
        <v>128</v>
      </c>
      <c r="C138" s="3" t="s">
        <v>392</v>
      </c>
      <c r="D138" s="4" t="s">
        <v>482</v>
      </c>
      <c r="E138" s="9" t="s">
        <v>146</v>
      </c>
      <c r="F138" s="9" t="s">
        <v>190</v>
      </c>
      <c r="G138" s="14">
        <v>339</v>
      </c>
      <c r="H138" s="14">
        <v>47390000</v>
      </c>
      <c r="I138" s="14">
        <v>31</v>
      </c>
      <c r="J138" s="14">
        <v>4345000</v>
      </c>
      <c r="K138" s="14">
        <v>2</v>
      </c>
      <c r="L138" s="14">
        <v>250000</v>
      </c>
      <c r="M138" s="4" t="e">
        <f>IF(F138="Tindakan",VLOOKUP(O138,#REF!,4,FALSE),IF(F138="Intensif",VLOOKUP(O138,#REF!,10,FALSE),IF(F138="Penunjang",VLOOKUP(O138,#REF!,16,FALSE),IF(F138="Visitase Berdasarkan Jumlah Pasien",VLOOKUP(O138,#REF!,22,FALSE),IF(F138="Visitase",VLOOKUP(O138,#REF!,28,FALSE),IF(F138="Rawat Jalan",VLOOKUP(O138,#REF!,34,FALSE),0))))))</f>
        <v>#REF!</v>
      </c>
      <c r="N138" s="12">
        <f t="shared" si="2"/>
        <v>0</v>
      </c>
      <c r="O138" t="s">
        <v>696</v>
      </c>
      <c r="P138">
        <v>128</v>
      </c>
    </row>
    <row r="139" spans="2:16" x14ac:dyDescent="0.35">
      <c r="B139" s="7">
        <f t="shared" si="3"/>
        <v>129</v>
      </c>
      <c r="C139" s="3" t="s">
        <v>392</v>
      </c>
      <c r="D139" s="4" t="s">
        <v>482</v>
      </c>
      <c r="E139" s="9" t="s">
        <v>146</v>
      </c>
      <c r="F139" s="9" t="s">
        <v>20</v>
      </c>
      <c r="G139" s="14">
        <v>8</v>
      </c>
      <c r="H139" s="14">
        <v>1400000</v>
      </c>
      <c r="I139" s="14">
        <v>33</v>
      </c>
      <c r="J139" s="14">
        <v>5775000</v>
      </c>
      <c r="K139" s="14">
        <v>0</v>
      </c>
      <c r="L139" s="14">
        <v>0</v>
      </c>
      <c r="M139" s="4" t="e">
        <f>IF(F139="Tindakan",VLOOKUP(O139,#REF!,4,FALSE),IF(F139="Intensif",VLOOKUP(O139,#REF!,10,FALSE),IF(F139="Penunjang",VLOOKUP(O139,#REF!,16,FALSE),IF(F139="Visitase Berdasarkan Jumlah Pasien",VLOOKUP(O139,#REF!,22,FALSE),IF(F139="Visitase",VLOOKUP(O139,#REF!,28,FALSE),IF(F139="Rawat Jalan",VLOOKUP(O139,#REF!,34,FALSE),0))))))</f>
        <v>#REF!</v>
      </c>
      <c r="N139" s="12">
        <f t="shared" si="2"/>
        <v>0</v>
      </c>
      <c r="O139" t="s">
        <v>696</v>
      </c>
      <c r="P139">
        <v>129</v>
      </c>
    </row>
    <row r="140" spans="2:16" x14ac:dyDescent="0.35">
      <c r="B140" s="7">
        <f t="shared" si="3"/>
        <v>130</v>
      </c>
      <c r="C140" s="3" t="s">
        <v>392</v>
      </c>
      <c r="D140" s="4" t="s">
        <v>482</v>
      </c>
      <c r="E140" s="9" t="s">
        <v>146</v>
      </c>
      <c r="F140" s="9" t="s">
        <v>22</v>
      </c>
      <c r="G140" s="14">
        <v>183</v>
      </c>
      <c r="H140" s="14">
        <v>14072000</v>
      </c>
      <c r="I140" s="14">
        <v>6</v>
      </c>
      <c r="J140" s="14">
        <v>515000</v>
      </c>
      <c r="K140" s="14">
        <v>0</v>
      </c>
      <c r="L140" s="14">
        <v>0</v>
      </c>
      <c r="M140" s="4" t="e">
        <f>IF(F140="Tindakan",VLOOKUP(O140,#REF!,4,FALSE),IF(F140="Intensif",VLOOKUP(O140,#REF!,10,FALSE),IF(F140="Penunjang",VLOOKUP(O140,#REF!,16,FALSE),IF(F140="Visitase Berdasarkan Jumlah Pasien",VLOOKUP(O140,#REF!,22,FALSE),IF(F140="Visitase",VLOOKUP(O140,#REF!,28,FALSE),IF(F140="Rawat Jalan",VLOOKUP(O140,#REF!,34,FALSE),0))))))</f>
        <v>#REF!</v>
      </c>
      <c r="N140" s="12">
        <f t="shared" ref="N140:N203" si="4">IFERROR((G140/M140)*100%, 0)</f>
        <v>0</v>
      </c>
      <c r="O140" t="s">
        <v>696</v>
      </c>
      <c r="P140">
        <v>130</v>
      </c>
    </row>
    <row r="141" spans="2:16" x14ac:dyDescent="0.35">
      <c r="B141" s="7">
        <f t="shared" ref="B141:B204" si="5">B140+1</f>
        <v>131</v>
      </c>
      <c r="C141" s="3" t="s">
        <v>393</v>
      </c>
      <c r="D141" s="4" t="s">
        <v>483</v>
      </c>
      <c r="E141" s="9" t="s">
        <v>147</v>
      </c>
      <c r="F141" s="9" t="s">
        <v>190</v>
      </c>
      <c r="G141" s="14">
        <v>35</v>
      </c>
      <c r="H141" s="14">
        <v>4375000</v>
      </c>
      <c r="I141" s="14">
        <v>0</v>
      </c>
      <c r="J141" s="14">
        <v>0</v>
      </c>
      <c r="K141" s="14">
        <v>6</v>
      </c>
      <c r="L141" s="14">
        <v>970000</v>
      </c>
      <c r="M141" s="4" t="e">
        <f>IF(F141="Tindakan",VLOOKUP(O141,#REF!,4,FALSE),IF(F141="Intensif",VLOOKUP(O141,#REF!,10,FALSE),IF(F141="Penunjang",VLOOKUP(O141,#REF!,16,FALSE),IF(F141="Visitase Berdasarkan Jumlah Pasien",VLOOKUP(O141,#REF!,22,FALSE),IF(F141="Visitase",VLOOKUP(O141,#REF!,28,FALSE),IF(F141="Rawat Jalan",VLOOKUP(O141,#REF!,34,FALSE),0))))))</f>
        <v>#REF!</v>
      </c>
      <c r="N141" s="12">
        <f t="shared" si="4"/>
        <v>0</v>
      </c>
      <c r="O141" t="s">
        <v>691</v>
      </c>
      <c r="P141">
        <v>131</v>
      </c>
    </row>
    <row r="142" spans="2:16" x14ac:dyDescent="0.35">
      <c r="B142" s="7">
        <f t="shared" si="5"/>
        <v>132</v>
      </c>
      <c r="C142" s="3" t="s">
        <v>393</v>
      </c>
      <c r="D142" s="4" t="s">
        <v>483</v>
      </c>
      <c r="E142" s="9" t="s">
        <v>147</v>
      </c>
      <c r="F142" s="9" t="s">
        <v>20</v>
      </c>
      <c r="G142" s="14">
        <v>7</v>
      </c>
      <c r="H142" s="14">
        <v>1210000</v>
      </c>
      <c r="I142" s="14">
        <v>0</v>
      </c>
      <c r="J142" s="14">
        <v>0</v>
      </c>
      <c r="K142" s="14">
        <v>0</v>
      </c>
      <c r="L142" s="14">
        <v>0</v>
      </c>
      <c r="M142" s="4" t="e">
        <f>IF(F142="Tindakan",VLOOKUP(O142,#REF!,4,FALSE),IF(F142="Intensif",VLOOKUP(O142,#REF!,10,FALSE),IF(F142="Penunjang",VLOOKUP(O142,#REF!,16,FALSE),IF(F142="Visitase Berdasarkan Jumlah Pasien",VLOOKUP(O142,#REF!,22,FALSE),IF(F142="Visitase",VLOOKUP(O142,#REF!,28,FALSE),IF(F142="Rawat Jalan",VLOOKUP(O142,#REF!,34,FALSE),0))))))</f>
        <v>#REF!</v>
      </c>
      <c r="N142" s="12">
        <f t="shared" si="4"/>
        <v>0</v>
      </c>
      <c r="O142" t="s">
        <v>691</v>
      </c>
      <c r="P142">
        <v>132</v>
      </c>
    </row>
    <row r="143" spans="2:16" x14ac:dyDescent="0.35">
      <c r="B143" s="7">
        <f t="shared" si="5"/>
        <v>133</v>
      </c>
      <c r="C143" s="3" t="s">
        <v>393</v>
      </c>
      <c r="D143" s="4" t="s">
        <v>483</v>
      </c>
      <c r="E143" s="9" t="s">
        <v>147</v>
      </c>
      <c r="F143" s="9" t="s">
        <v>19</v>
      </c>
      <c r="G143" s="14">
        <v>18</v>
      </c>
      <c r="H143" s="14">
        <v>120750000</v>
      </c>
      <c r="I143" s="14">
        <v>0</v>
      </c>
      <c r="J143" s="14">
        <v>0</v>
      </c>
      <c r="K143" s="14">
        <v>3</v>
      </c>
      <c r="L143" s="14">
        <v>85152000</v>
      </c>
      <c r="M143" s="4" t="e">
        <f>IF(F143="Tindakan",VLOOKUP(O143,#REF!,4,FALSE),IF(F143="Intensif",VLOOKUP(O143,#REF!,10,FALSE),IF(F143="Penunjang",VLOOKUP(O143,#REF!,16,FALSE),IF(F143="Visitase Berdasarkan Jumlah Pasien",VLOOKUP(O143,#REF!,22,FALSE),IF(F143="Visitase",VLOOKUP(O143,#REF!,28,FALSE),IF(F143="Rawat Jalan",VLOOKUP(O143,#REF!,34,FALSE),0))))))</f>
        <v>#REF!</v>
      </c>
      <c r="N143" s="12">
        <f t="shared" si="4"/>
        <v>0</v>
      </c>
      <c r="O143" t="s">
        <v>691</v>
      </c>
      <c r="P143">
        <v>133</v>
      </c>
    </row>
    <row r="144" spans="2:16" x14ac:dyDescent="0.35">
      <c r="B144" s="7">
        <f t="shared" si="5"/>
        <v>134</v>
      </c>
      <c r="C144" s="3" t="s">
        <v>393</v>
      </c>
      <c r="D144" s="4" t="s">
        <v>483</v>
      </c>
      <c r="E144" s="9" t="s">
        <v>147</v>
      </c>
      <c r="F144" s="9" t="s">
        <v>22</v>
      </c>
      <c r="G144" s="14">
        <v>62</v>
      </c>
      <c r="H144" s="14">
        <v>17104000</v>
      </c>
      <c r="I144" s="14">
        <v>0</v>
      </c>
      <c r="J144" s="14">
        <v>0</v>
      </c>
      <c r="K144" s="14">
        <v>20</v>
      </c>
      <c r="L144" s="14">
        <v>5824000</v>
      </c>
      <c r="M144" s="4" t="e">
        <f>IF(F144="Tindakan",VLOOKUP(O144,#REF!,4,FALSE),IF(F144="Intensif",VLOOKUP(O144,#REF!,10,FALSE),IF(F144="Penunjang",VLOOKUP(O144,#REF!,16,FALSE),IF(F144="Visitase Berdasarkan Jumlah Pasien",VLOOKUP(O144,#REF!,22,FALSE),IF(F144="Visitase",VLOOKUP(O144,#REF!,28,FALSE),IF(F144="Rawat Jalan",VLOOKUP(O144,#REF!,34,FALSE),0))))))</f>
        <v>#REF!</v>
      </c>
      <c r="N144" s="12">
        <f t="shared" si="4"/>
        <v>0</v>
      </c>
      <c r="O144" t="s">
        <v>691</v>
      </c>
      <c r="P144">
        <v>134</v>
      </c>
    </row>
    <row r="145" spans="2:16" x14ac:dyDescent="0.35">
      <c r="B145" s="7">
        <f t="shared" si="5"/>
        <v>135</v>
      </c>
      <c r="C145" s="3" t="s">
        <v>394</v>
      </c>
      <c r="D145" s="4" t="s">
        <v>484</v>
      </c>
      <c r="E145" s="9" t="s">
        <v>147</v>
      </c>
      <c r="F145" s="9" t="s">
        <v>190</v>
      </c>
      <c r="G145" s="14">
        <v>30</v>
      </c>
      <c r="H145" s="14">
        <v>3785000</v>
      </c>
      <c r="I145" s="14">
        <v>0</v>
      </c>
      <c r="J145" s="14">
        <v>0</v>
      </c>
      <c r="K145" s="14">
        <v>0</v>
      </c>
      <c r="L145" s="14">
        <v>0</v>
      </c>
      <c r="M145" s="4" t="e">
        <f>IF(F145="Tindakan",VLOOKUP(O145,#REF!,4,FALSE),IF(F145="Intensif",VLOOKUP(O145,#REF!,10,FALSE),IF(F145="Penunjang",VLOOKUP(O145,#REF!,16,FALSE),IF(F145="Visitase Berdasarkan Jumlah Pasien",VLOOKUP(O145,#REF!,22,FALSE),IF(F145="Visitase",VLOOKUP(O145,#REF!,28,FALSE),IF(F145="Rawat Jalan",VLOOKUP(O145,#REF!,34,FALSE),0))))))</f>
        <v>#REF!</v>
      </c>
      <c r="N145" s="12">
        <f t="shared" si="4"/>
        <v>0</v>
      </c>
      <c r="O145" t="s">
        <v>691</v>
      </c>
      <c r="P145">
        <v>135</v>
      </c>
    </row>
    <row r="146" spans="2:16" x14ac:dyDescent="0.35">
      <c r="B146" s="7">
        <f t="shared" si="5"/>
        <v>136</v>
      </c>
      <c r="C146" s="3" t="s">
        <v>394</v>
      </c>
      <c r="D146" s="4" t="s">
        <v>484</v>
      </c>
      <c r="E146" s="9" t="s">
        <v>147</v>
      </c>
      <c r="F146" s="9" t="s">
        <v>20</v>
      </c>
      <c r="G146" s="14">
        <v>9</v>
      </c>
      <c r="H146" s="14">
        <v>4030000</v>
      </c>
      <c r="I146" s="14">
        <v>0</v>
      </c>
      <c r="J146" s="14">
        <v>0</v>
      </c>
      <c r="K146" s="14">
        <v>0</v>
      </c>
      <c r="L146" s="14">
        <v>0</v>
      </c>
      <c r="M146" s="4" t="e">
        <f>IF(F146="Tindakan",VLOOKUP(O146,#REF!,4,FALSE),IF(F146="Intensif",VLOOKUP(O146,#REF!,10,FALSE),IF(F146="Penunjang",VLOOKUP(O146,#REF!,16,FALSE),IF(F146="Visitase Berdasarkan Jumlah Pasien",VLOOKUP(O146,#REF!,22,FALSE),IF(F146="Visitase",VLOOKUP(O146,#REF!,28,FALSE),IF(F146="Rawat Jalan",VLOOKUP(O146,#REF!,34,FALSE),0))))))</f>
        <v>#REF!</v>
      </c>
      <c r="N146" s="12">
        <f t="shared" si="4"/>
        <v>0</v>
      </c>
      <c r="O146" t="s">
        <v>691</v>
      </c>
      <c r="P146">
        <v>136</v>
      </c>
    </row>
    <row r="147" spans="2:16" x14ac:dyDescent="0.35">
      <c r="B147" s="7">
        <f t="shared" si="5"/>
        <v>137</v>
      </c>
      <c r="C147" s="3" t="s">
        <v>394</v>
      </c>
      <c r="D147" s="4" t="s">
        <v>484</v>
      </c>
      <c r="E147" s="9" t="s">
        <v>147</v>
      </c>
      <c r="F147" s="9" t="s">
        <v>19</v>
      </c>
      <c r="G147" s="14">
        <v>20</v>
      </c>
      <c r="H147" s="14">
        <v>115311000</v>
      </c>
      <c r="I147" s="14">
        <v>0</v>
      </c>
      <c r="J147" s="14">
        <v>0</v>
      </c>
      <c r="K147" s="14">
        <v>0</v>
      </c>
      <c r="L147" s="14">
        <v>0</v>
      </c>
      <c r="M147" s="4" t="e">
        <f>IF(F147="Tindakan",VLOOKUP(O147,#REF!,4,FALSE),IF(F147="Intensif",VLOOKUP(O147,#REF!,10,FALSE),IF(F147="Penunjang",VLOOKUP(O147,#REF!,16,FALSE),IF(F147="Visitase Berdasarkan Jumlah Pasien",VLOOKUP(O147,#REF!,22,FALSE),IF(F147="Visitase",VLOOKUP(O147,#REF!,28,FALSE),IF(F147="Rawat Jalan",VLOOKUP(O147,#REF!,34,FALSE),0))))))</f>
        <v>#REF!</v>
      </c>
      <c r="N147" s="12">
        <f t="shared" si="4"/>
        <v>0</v>
      </c>
      <c r="O147" t="s">
        <v>691</v>
      </c>
      <c r="P147">
        <v>137</v>
      </c>
    </row>
    <row r="148" spans="2:16" x14ac:dyDescent="0.35">
      <c r="B148" s="7">
        <f t="shared" si="5"/>
        <v>138</v>
      </c>
      <c r="C148" s="3" t="s">
        <v>394</v>
      </c>
      <c r="D148" s="4" t="s">
        <v>484</v>
      </c>
      <c r="E148" s="9" t="s">
        <v>147</v>
      </c>
      <c r="F148" s="9" t="s">
        <v>22</v>
      </c>
      <c r="G148" s="14">
        <v>99</v>
      </c>
      <c r="H148" s="14">
        <v>8086000</v>
      </c>
      <c r="I148" s="14">
        <v>1</v>
      </c>
      <c r="J148" s="14">
        <v>75000</v>
      </c>
      <c r="K148" s="14">
        <v>0</v>
      </c>
      <c r="L148" s="14">
        <v>0</v>
      </c>
      <c r="M148" s="4" t="e">
        <f>IF(F148="Tindakan",VLOOKUP(O148,#REF!,4,FALSE),IF(F148="Intensif",VLOOKUP(O148,#REF!,10,FALSE),IF(F148="Penunjang",VLOOKUP(O148,#REF!,16,FALSE),IF(F148="Visitase Berdasarkan Jumlah Pasien",VLOOKUP(O148,#REF!,22,FALSE),IF(F148="Visitase",VLOOKUP(O148,#REF!,28,FALSE),IF(F148="Rawat Jalan",VLOOKUP(O148,#REF!,34,FALSE),0))))))</f>
        <v>#REF!</v>
      </c>
      <c r="N148" s="12">
        <f t="shared" si="4"/>
        <v>0</v>
      </c>
      <c r="O148" t="s">
        <v>691</v>
      </c>
      <c r="P148">
        <v>138</v>
      </c>
    </row>
    <row r="149" spans="2:16" x14ac:dyDescent="0.35">
      <c r="B149" s="7">
        <f t="shared" si="5"/>
        <v>139</v>
      </c>
      <c r="C149" s="3" t="s">
        <v>332</v>
      </c>
      <c r="D149" s="4" t="s">
        <v>485</v>
      </c>
      <c r="E149" s="9" t="s">
        <v>172</v>
      </c>
      <c r="F149" s="9" t="s">
        <v>22</v>
      </c>
      <c r="G149" s="14">
        <v>3</v>
      </c>
      <c r="H149" s="14">
        <v>900000</v>
      </c>
      <c r="I149" s="14">
        <v>0</v>
      </c>
      <c r="J149" s="14">
        <v>0</v>
      </c>
      <c r="K149" s="14">
        <v>7</v>
      </c>
      <c r="L149" s="14">
        <v>2100000</v>
      </c>
      <c r="M149" s="4" t="e">
        <f>IF(F149="Tindakan",VLOOKUP(O149,#REF!,4,FALSE),IF(F149="Intensif",VLOOKUP(O149,#REF!,10,FALSE),IF(F149="Penunjang",VLOOKUP(O149,#REF!,16,FALSE),IF(F149="Visitase Berdasarkan Jumlah Pasien",VLOOKUP(O149,#REF!,22,FALSE),IF(F149="Visitase",VLOOKUP(O149,#REF!,28,FALSE),IF(F149="Rawat Jalan",VLOOKUP(O149,#REF!,34,FALSE),0))))))</f>
        <v>#REF!</v>
      </c>
      <c r="N149" s="12">
        <f t="shared" si="4"/>
        <v>0</v>
      </c>
      <c r="O149" t="s">
        <v>701</v>
      </c>
      <c r="P149">
        <v>139</v>
      </c>
    </row>
    <row r="150" spans="2:16" x14ac:dyDescent="0.35">
      <c r="B150" s="7">
        <f t="shared" si="5"/>
        <v>140</v>
      </c>
      <c r="C150" s="3" t="s">
        <v>395</v>
      </c>
      <c r="D150" s="4" t="s">
        <v>486</v>
      </c>
      <c r="E150" s="9" t="s">
        <v>177</v>
      </c>
      <c r="F150" s="9" t="s">
        <v>19</v>
      </c>
      <c r="G150" s="14">
        <v>3</v>
      </c>
      <c r="H150" s="14">
        <v>8760000</v>
      </c>
      <c r="I150" s="14">
        <v>0</v>
      </c>
      <c r="J150" s="14">
        <v>0</v>
      </c>
      <c r="K150" s="14">
        <v>0</v>
      </c>
      <c r="L150" s="14">
        <v>0</v>
      </c>
      <c r="M150" s="4" t="e">
        <f>IF(F150="Tindakan",VLOOKUP(O150,#REF!,4,FALSE),IF(F150="Intensif",VLOOKUP(O150,#REF!,10,FALSE),IF(F150="Penunjang",VLOOKUP(O150,#REF!,16,FALSE),IF(F150="Visitase Berdasarkan Jumlah Pasien",VLOOKUP(O150,#REF!,22,FALSE),IF(F150="Visitase",VLOOKUP(O150,#REF!,28,FALSE),IF(F150="Rawat Jalan",VLOOKUP(O150,#REF!,34,FALSE),0))))))</f>
        <v>#REF!</v>
      </c>
      <c r="N150" s="12">
        <f t="shared" si="4"/>
        <v>0</v>
      </c>
      <c r="O150" t="s">
        <v>702</v>
      </c>
      <c r="P150">
        <v>140</v>
      </c>
    </row>
    <row r="151" spans="2:16" x14ac:dyDescent="0.35">
      <c r="B151" s="7">
        <f t="shared" si="5"/>
        <v>141</v>
      </c>
      <c r="C151" s="3" t="s">
        <v>246</v>
      </c>
      <c r="D151" s="4" t="s">
        <v>487</v>
      </c>
      <c r="E151" s="9" t="s">
        <v>159</v>
      </c>
      <c r="F151" s="9" t="s">
        <v>190</v>
      </c>
      <c r="G151" s="14">
        <v>21</v>
      </c>
      <c r="H151" s="14">
        <v>2935000</v>
      </c>
      <c r="I151" s="14">
        <v>2</v>
      </c>
      <c r="J151" s="14">
        <v>285000</v>
      </c>
      <c r="K151" s="14">
        <v>0</v>
      </c>
      <c r="L151" s="14">
        <v>0</v>
      </c>
      <c r="M151" s="4" t="e">
        <f>IF(F151="Tindakan",VLOOKUP(O151,#REF!,4,FALSE),IF(F151="Intensif",VLOOKUP(O151,#REF!,10,FALSE),IF(F151="Penunjang",VLOOKUP(O151,#REF!,16,FALSE),IF(F151="Visitase Berdasarkan Jumlah Pasien",VLOOKUP(O151,#REF!,22,FALSE),IF(F151="Visitase",VLOOKUP(O151,#REF!,28,FALSE),IF(F151="Rawat Jalan",VLOOKUP(O151,#REF!,34,FALSE),0))))))</f>
        <v>#REF!</v>
      </c>
      <c r="N151" s="12">
        <f t="shared" si="4"/>
        <v>0</v>
      </c>
      <c r="O151" t="s">
        <v>692</v>
      </c>
      <c r="P151">
        <v>141</v>
      </c>
    </row>
    <row r="152" spans="2:16" x14ac:dyDescent="0.35">
      <c r="B152" s="7">
        <f t="shared" si="5"/>
        <v>142</v>
      </c>
      <c r="C152" s="3" t="s">
        <v>246</v>
      </c>
      <c r="D152" s="4" t="s">
        <v>487</v>
      </c>
      <c r="E152" s="9" t="s">
        <v>159</v>
      </c>
      <c r="F152" s="9" t="s">
        <v>20</v>
      </c>
      <c r="G152" s="14">
        <v>31</v>
      </c>
      <c r="H152" s="14">
        <v>5226000</v>
      </c>
      <c r="I152" s="14">
        <v>0</v>
      </c>
      <c r="J152" s="14">
        <v>0</v>
      </c>
      <c r="K152" s="14">
        <v>0</v>
      </c>
      <c r="L152" s="14">
        <v>0</v>
      </c>
      <c r="M152" s="4" t="e">
        <f>IF(F152="Tindakan",VLOOKUP(O152,#REF!,4,FALSE),IF(F152="Intensif",VLOOKUP(O152,#REF!,10,FALSE),IF(F152="Penunjang",VLOOKUP(O152,#REF!,16,FALSE),IF(F152="Visitase Berdasarkan Jumlah Pasien",VLOOKUP(O152,#REF!,22,FALSE),IF(F152="Visitase",VLOOKUP(O152,#REF!,28,FALSE),IF(F152="Rawat Jalan",VLOOKUP(O152,#REF!,34,FALSE),0))))))</f>
        <v>#REF!</v>
      </c>
      <c r="N152" s="12">
        <f t="shared" si="4"/>
        <v>0</v>
      </c>
      <c r="O152" t="s">
        <v>692</v>
      </c>
      <c r="P152">
        <v>142</v>
      </c>
    </row>
    <row r="153" spans="2:16" x14ac:dyDescent="0.35">
      <c r="B153" s="7">
        <f t="shared" si="5"/>
        <v>143</v>
      </c>
      <c r="C153" s="3" t="s">
        <v>246</v>
      </c>
      <c r="D153" s="4" t="s">
        <v>487</v>
      </c>
      <c r="E153" s="9" t="s">
        <v>159</v>
      </c>
      <c r="F153" s="9" t="s">
        <v>22</v>
      </c>
      <c r="G153" s="14">
        <v>62</v>
      </c>
      <c r="H153" s="14">
        <v>5683000</v>
      </c>
      <c r="I153" s="14">
        <v>3</v>
      </c>
      <c r="J153" s="14">
        <v>225000</v>
      </c>
      <c r="K153" s="14">
        <v>1</v>
      </c>
      <c r="L153" s="14">
        <v>250000</v>
      </c>
      <c r="M153" s="4" t="e">
        <f>IF(F153="Tindakan",VLOOKUP(O153,#REF!,4,FALSE),IF(F153="Intensif",VLOOKUP(O153,#REF!,10,FALSE),IF(F153="Penunjang",VLOOKUP(O153,#REF!,16,FALSE),IF(F153="Visitase Berdasarkan Jumlah Pasien",VLOOKUP(O153,#REF!,22,FALSE),IF(F153="Visitase",VLOOKUP(O153,#REF!,28,FALSE),IF(F153="Rawat Jalan",VLOOKUP(O153,#REF!,34,FALSE),0))))))</f>
        <v>#REF!</v>
      </c>
      <c r="N153" s="12">
        <f t="shared" si="4"/>
        <v>0</v>
      </c>
      <c r="O153" t="s">
        <v>692</v>
      </c>
      <c r="P153">
        <v>143</v>
      </c>
    </row>
    <row r="154" spans="2:16" x14ac:dyDescent="0.35">
      <c r="B154" s="7">
        <f t="shared" si="5"/>
        <v>144</v>
      </c>
      <c r="C154" s="3" t="s">
        <v>246</v>
      </c>
      <c r="D154" s="4" t="s">
        <v>487</v>
      </c>
      <c r="E154" s="9" t="s">
        <v>159</v>
      </c>
      <c r="F154" s="9" t="s">
        <v>19</v>
      </c>
      <c r="G154" s="14">
        <v>8</v>
      </c>
      <c r="H154" s="14">
        <v>103000000</v>
      </c>
      <c r="I154" s="14">
        <v>1</v>
      </c>
      <c r="J154" s="14">
        <v>14500000</v>
      </c>
      <c r="K154" s="14">
        <v>0</v>
      </c>
      <c r="L154" s="14">
        <v>0</v>
      </c>
      <c r="M154" s="4" t="e">
        <f>IF(F154="Tindakan",VLOOKUP(O154,#REF!,4,FALSE),IF(F154="Intensif",VLOOKUP(O154,#REF!,10,FALSE),IF(F154="Penunjang",VLOOKUP(O154,#REF!,16,FALSE),IF(F154="Visitase Berdasarkan Jumlah Pasien",VLOOKUP(O154,#REF!,22,FALSE),IF(F154="Visitase",VLOOKUP(O154,#REF!,28,FALSE),IF(F154="Rawat Jalan",VLOOKUP(O154,#REF!,34,FALSE),0))))))</f>
        <v>#REF!</v>
      </c>
      <c r="N154" s="12">
        <f t="shared" si="4"/>
        <v>0</v>
      </c>
      <c r="O154" t="s">
        <v>692</v>
      </c>
      <c r="P154">
        <v>144</v>
      </c>
    </row>
    <row r="155" spans="2:16" x14ac:dyDescent="0.35">
      <c r="B155" s="7">
        <f t="shared" si="5"/>
        <v>145</v>
      </c>
      <c r="C155" s="3" t="s">
        <v>247</v>
      </c>
      <c r="D155" s="4" t="s">
        <v>488</v>
      </c>
      <c r="E155" s="9" t="s">
        <v>148</v>
      </c>
      <c r="F155" s="9" t="s">
        <v>190</v>
      </c>
      <c r="G155" s="14">
        <v>27</v>
      </c>
      <c r="H155" s="14">
        <v>3695000</v>
      </c>
      <c r="I155" s="14">
        <v>5</v>
      </c>
      <c r="J155" s="14">
        <v>735000</v>
      </c>
      <c r="K155" s="14">
        <v>0</v>
      </c>
      <c r="L155" s="14">
        <v>0</v>
      </c>
      <c r="M155" s="4" t="e">
        <f>IF(F155="Tindakan",VLOOKUP(O155,#REF!,4,FALSE),IF(F155="Intensif",VLOOKUP(O155,#REF!,10,FALSE),IF(F155="Penunjang",VLOOKUP(O155,#REF!,16,FALSE),IF(F155="Visitase Berdasarkan Jumlah Pasien",VLOOKUP(O155,#REF!,22,FALSE),IF(F155="Visitase",VLOOKUP(O155,#REF!,28,FALSE),IF(F155="Rawat Jalan",VLOOKUP(O155,#REF!,34,FALSE),0))))))</f>
        <v>#REF!</v>
      </c>
      <c r="N155" s="12">
        <f t="shared" si="4"/>
        <v>0</v>
      </c>
      <c r="O155" t="s">
        <v>700</v>
      </c>
      <c r="P155">
        <v>145</v>
      </c>
    </row>
    <row r="156" spans="2:16" x14ac:dyDescent="0.35">
      <c r="B156" s="7">
        <f t="shared" si="5"/>
        <v>146</v>
      </c>
      <c r="C156" s="3" t="s">
        <v>247</v>
      </c>
      <c r="D156" s="4" t="s">
        <v>488</v>
      </c>
      <c r="E156" s="9" t="s">
        <v>148</v>
      </c>
      <c r="F156" s="9" t="s">
        <v>22</v>
      </c>
      <c r="G156" s="14">
        <v>66</v>
      </c>
      <c r="H156" s="14">
        <v>12200000</v>
      </c>
      <c r="I156" s="14">
        <v>16</v>
      </c>
      <c r="J156" s="14">
        <v>1265000</v>
      </c>
      <c r="K156" s="14">
        <v>4</v>
      </c>
      <c r="L156" s="14">
        <v>1150000</v>
      </c>
      <c r="M156" s="4" t="e">
        <f>IF(F156="Tindakan",VLOOKUP(O156,#REF!,4,FALSE),IF(F156="Intensif",VLOOKUP(O156,#REF!,10,FALSE),IF(F156="Penunjang",VLOOKUP(O156,#REF!,16,FALSE),IF(F156="Visitase Berdasarkan Jumlah Pasien",VLOOKUP(O156,#REF!,22,FALSE),IF(F156="Visitase",VLOOKUP(O156,#REF!,28,FALSE),IF(F156="Rawat Jalan",VLOOKUP(O156,#REF!,34,FALSE),0))))))</f>
        <v>#REF!</v>
      </c>
      <c r="N156" s="12">
        <f t="shared" si="4"/>
        <v>0</v>
      </c>
      <c r="O156" t="s">
        <v>700</v>
      </c>
      <c r="P156">
        <v>146</v>
      </c>
    </row>
    <row r="157" spans="2:16" x14ac:dyDescent="0.35">
      <c r="B157" s="7">
        <f t="shared" si="5"/>
        <v>147</v>
      </c>
      <c r="C157" s="3" t="s">
        <v>247</v>
      </c>
      <c r="D157" s="4" t="s">
        <v>488</v>
      </c>
      <c r="E157" s="9" t="s">
        <v>148</v>
      </c>
      <c r="F157" s="9" t="s">
        <v>20</v>
      </c>
      <c r="G157" s="14">
        <v>0</v>
      </c>
      <c r="H157" s="14">
        <v>0</v>
      </c>
      <c r="I157" s="14">
        <v>1</v>
      </c>
      <c r="J157" s="14">
        <v>140000</v>
      </c>
      <c r="K157" s="14">
        <v>0</v>
      </c>
      <c r="L157" s="14">
        <v>0</v>
      </c>
      <c r="M157" s="4" t="e">
        <f>IF(F157="Tindakan",VLOOKUP(O157,#REF!,4,FALSE),IF(F157="Intensif",VLOOKUP(O157,#REF!,10,FALSE),IF(F157="Penunjang",VLOOKUP(O157,#REF!,16,FALSE),IF(F157="Visitase Berdasarkan Jumlah Pasien",VLOOKUP(O157,#REF!,22,FALSE),IF(F157="Visitase",VLOOKUP(O157,#REF!,28,FALSE),IF(F157="Rawat Jalan",VLOOKUP(O157,#REF!,34,FALSE),0))))))</f>
        <v>#REF!</v>
      </c>
      <c r="N157" s="12">
        <f t="shared" si="4"/>
        <v>0</v>
      </c>
      <c r="O157" t="s">
        <v>700</v>
      </c>
      <c r="P157">
        <v>147</v>
      </c>
    </row>
    <row r="158" spans="2:16" x14ac:dyDescent="0.35">
      <c r="B158" s="7">
        <f t="shared" si="5"/>
        <v>148</v>
      </c>
      <c r="C158" s="3" t="s">
        <v>396</v>
      </c>
      <c r="D158" s="4" t="s">
        <v>489</v>
      </c>
      <c r="E158" s="9" t="s">
        <v>148</v>
      </c>
      <c r="F158" s="9" t="s">
        <v>190</v>
      </c>
      <c r="G158" s="14">
        <v>62</v>
      </c>
      <c r="H158" s="14">
        <v>8150000</v>
      </c>
      <c r="I158" s="14">
        <v>7</v>
      </c>
      <c r="J158" s="14">
        <v>920000</v>
      </c>
      <c r="K158" s="14">
        <v>0</v>
      </c>
      <c r="L158" s="14">
        <v>0</v>
      </c>
      <c r="M158" s="4" t="e">
        <f>IF(F158="Tindakan",VLOOKUP(O158,#REF!,4,FALSE),IF(F158="Intensif",VLOOKUP(O158,#REF!,10,FALSE),IF(F158="Penunjang",VLOOKUP(O158,#REF!,16,FALSE),IF(F158="Visitase Berdasarkan Jumlah Pasien",VLOOKUP(O158,#REF!,22,FALSE),IF(F158="Visitase",VLOOKUP(O158,#REF!,28,FALSE),IF(F158="Rawat Jalan",VLOOKUP(O158,#REF!,34,FALSE),0))))))</f>
        <v>#REF!</v>
      </c>
      <c r="N158" s="12">
        <f t="shared" si="4"/>
        <v>0</v>
      </c>
      <c r="O158" t="s">
        <v>700</v>
      </c>
      <c r="P158">
        <v>148</v>
      </c>
    </row>
    <row r="159" spans="2:16" x14ac:dyDescent="0.35">
      <c r="B159" s="7">
        <f t="shared" si="5"/>
        <v>149</v>
      </c>
      <c r="C159" s="3" t="s">
        <v>396</v>
      </c>
      <c r="D159" s="4" t="s">
        <v>489</v>
      </c>
      <c r="E159" s="9" t="s">
        <v>148</v>
      </c>
      <c r="F159" s="9" t="s">
        <v>20</v>
      </c>
      <c r="G159" s="14">
        <v>15</v>
      </c>
      <c r="H159" s="14">
        <v>2700000</v>
      </c>
      <c r="I159" s="14">
        <v>4</v>
      </c>
      <c r="J159" s="14">
        <v>700000</v>
      </c>
      <c r="K159" s="14">
        <v>0</v>
      </c>
      <c r="L159" s="14">
        <v>0</v>
      </c>
      <c r="M159" s="4" t="e">
        <f>IF(F159="Tindakan",VLOOKUP(O159,#REF!,4,FALSE),IF(F159="Intensif",VLOOKUP(O159,#REF!,10,FALSE),IF(F159="Penunjang",VLOOKUP(O159,#REF!,16,FALSE),IF(F159="Visitase Berdasarkan Jumlah Pasien",VLOOKUP(O159,#REF!,22,FALSE),IF(F159="Visitase",VLOOKUP(O159,#REF!,28,FALSE),IF(F159="Rawat Jalan",VLOOKUP(O159,#REF!,34,FALSE),0))))))</f>
        <v>#REF!</v>
      </c>
      <c r="N159" s="12">
        <f t="shared" si="4"/>
        <v>0</v>
      </c>
      <c r="O159" t="s">
        <v>700</v>
      </c>
      <c r="P159">
        <v>149</v>
      </c>
    </row>
    <row r="160" spans="2:16" x14ac:dyDescent="0.35">
      <c r="B160" s="7">
        <f t="shared" si="5"/>
        <v>150</v>
      </c>
      <c r="C160" s="3" t="s">
        <v>396</v>
      </c>
      <c r="D160" s="4" t="s">
        <v>489</v>
      </c>
      <c r="E160" s="9" t="s">
        <v>148</v>
      </c>
      <c r="F160" s="9" t="s">
        <v>22</v>
      </c>
      <c r="G160" s="14">
        <v>295</v>
      </c>
      <c r="H160" s="14">
        <v>81610000</v>
      </c>
      <c r="I160" s="14">
        <v>8</v>
      </c>
      <c r="J160" s="14">
        <v>600000</v>
      </c>
      <c r="K160" s="14">
        <v>14</v>
      </c>
      <c r="L160" s="14">
        <v>4200000</v>
      </c>
      <c r="M160" s="4" t="e">
        <f>IF(F160="Tindakan",VLOOKUP(O160,#REF!,4,FALSE),IF(F160="Intensif",VLOOKUP(O160,#REF!,10,FALSE),IF(F160="Penunjang",VLOOKUP(O160,#REF!,16,FALSE),IF(F160="Visitase Berdasarkan Jumlah Pasien",VLOOKUP(O160,#REF!,22,FALSE),IF(F160="Visitase",VLOOKUP(O160,#REF!,28,FALSE),IF(F160="Rawat Jalan",VLOOKUP(O160,#REF!,34,FALSE),0))))))</f>
        <v>#REF!</v>
      </c>
      <c r="N160" s="12">
        <f t="shared" si="4"/>
        <v>0</v>
      </c>
      <c r="O160" t="s">
        <v>700</v>
      </c>
      <c r="P160">
        <v>150</v>
      </c>
    </row>
    <row r="161" spans="2:16" x14ac:dyDescent="0.35">
      <c r="B161" s="7">
        <f t="shared" si="5"/>
        <v>151</v>
      </c>
      <c r="C161" s="3" t="s">
        <v>277</v>
      </c>
      <c r="D161" s="4" t="s">
        <v>490</v>
      </c>
      <c r="E161" s="9" t="s">
        <v>148</v>
      </c>
      <c r="F161" s="9" t="s">
        <v>190</v>
      </c>
      <c r="G161" s="14">
        <v>1</v>
      </c>
      <c r="H161" s="14">
        <v>125000</v>
      </c>
      <c r="I161" s="14">
        <v>0</v>
      </c>
      <c r="J161" s="14">
        <v>0</v>
      </c>
      <c r="K161" s="14">
        <v>0</v>
      </c>
      <c r="L161" s="14">
        <v>0</v>
      </c>
      <c r="M161" s="4" t="e">
        <f>IF(F161="Tindakan",VLOOKUP(O161,#REF!,4,FALSE),IF(F161="Intensif",VLOOKUP(O161,#REF!,10,FALSE),IF(F161="Penunjang",VLOOKUP(O161,#REF!,16,FALSE),IF(F161="Visitase Berdasarkan Jumlah Pasien",VLOOKUP(O161,#REF!,22,FALSE),IF(F161="Visitase",VLOOKUP(O161,#REF!,28,FALSE),IF(F161="Rawat Jalan",VLOOKUP(O161,#REF!,34,FALSE),0))))))</f>
        <v>#REF!</v>
      </c>
      <c r="N161" s="12">
        <f t="shared" si="4"/>
        <v>0</v>
      </c>
      <c r="O161" t="s">
        <v>700</v>
      </c>
      <c r="P161">
        <v>151</v>
      </c>
    </row>
    <row r="162" spans="2:16" x14ac:dyDescent="0.35">
      <c r="B162" s="7">
        <f t="shared" si="5"/>
        <v>152</v>
      </c>
      <c r="C162" s="3" t="s">
        <v>277</v>
      </c>
      <c r="D162" s="4" t="s">
        <v>490</v>
      </c>
      <c r="E162" s="9" t="s">
        <v>148</v>
      </c>
      <c r="F162" s="9" t="s">
        <v>20</v>
      </c>
      <c r="G162" s="14">
        <v>0</v>
      </c>
      <c r="H162" s="14">
        <v>0</v>
      </c>
      <c r="I162" s="14">
        <v>4</v>
      </c>
      <c r="J162" s="14">
        <v>560000</v>
      </c>
      <c r="K162" s="14">
        <v>0</v>
      </c>
      <c r="L162" s="14">
        <v>0</v>
      </c>
      <c r="M162" s="4" t="e">
        <f>IF(F162="Tindakan",VLOOKUP(O162,#REF!,4,FALSE),IF(F162="Intensif",VLOOKUP(O162,#REF!,10,FALSE),IF(F162="Penunjang",VLOOKUP(O162,#REF!,16,FALSE),IF(F162="Visitase Berdasarkan Jumlah Pasien",VLOOKUP(O162,#REF!,22,FALSE),IF(F162="Visitase",VLOOKUP(O162,#REF!,28,FALSE),IF(F162="Rawat Jalan",VLOOKUP(O162,#REF!,34,FALSE),0))))))</f>
        <v>#REF!</v>
      </c>
      <c r="N162" s="12">
        <f t="shared" si="4"/>
        <v>0</v>
      </c>
      <c r="O162" t="s">
        <v>700</v>
      </c>
      <c r="P162">
        <v>152</v>
      </c>
    </row>
    <row r="163" spans="2:16" x14ac:dyDescent="0.35">
      <c r="B163" s="7">
        <f t="shared" si="5"/>
        <v>153</v>
      </c>
      <c r="C163" s="3" t="s">
        <v>362</v>
      </c>
      <c r="D163" s="4" t="s">
        <v>491</v>
      </c>
      <c r="E163" s="9" t="s">
        <v>178</v>
      </c>
      <c r="F163" s="9" t="s">
        <v>20</v>
      </c>
      <c r="G163" s="14">
        <v>47</v>
      </c>
      <c r="H163" s="14">
        <v>7267000</v>
      </c>
      <c r="I163" s="14">
        <v>7</v>
      </c>
      <c r="J163" s="14">
        <v>995000</v>
      </c>
      <c r="K163" s="14">
        <v>0</v>
      </c>
      <c r="L163" s="14">
        <v>0</v>
      </c>
      <c r="M163" s="4" t="e">
        <f>IF(F163="Tindakan",VLOOKUP(O163,#REF!,4,FALSE),IF(F163="Intensif",VLOOKUP(O163,#REF!,10,FALSE),IF(F163="Penunjang",VLOOKUP(O163,#REF!,16,FALSE),IF(F163="Visitase Berdasarkan Jumlah Pasien",VLOOKUP(O163,#REF!,22,FALSE),IF(F163="Visitase",VLOOKUP(O163,#REF!,28,FALSE),IF(F163="Rawat Jalan",VLOOKUP(O163,#REF!,34,FALSE),0))))))</f>
        <v>#REF!</v>
      </c>
      <c r="N163" s="12">
        <f t="shared" si="4"/>
        <v>0</v>
      </c>
      <c r="O163" t="s">
        <v>689</v>
      </c>
      <c r="P163">
        <v>153</v>
      </c>
    </row>
    <row r="164" spans="2:16" x14ac:dyDescent="0.35">
      <c r="B164" s="7">
        <f t="shared" si="5"/>
        <v>154</v>
      </c>
      <c r="C164" s="3" t="s">
        <v>362</v>
      </c>
      <c r="D164" s="4" t="s">
        <v>491</v>
      </c>
      <c r="E164" s="9" t="s">
        <v>178</v>
      </c>
      <c r="F164" s="9" t="s">
        <v>190</v>
      </c>
      <c r="G164" s="14">
        <v>7</v>
      </c>
      <c r="H164" s="14">
        <v>1015000</v>
      </c>
      <c r="I164" s="14">
        <v>0</v>
      </c>
      <c r="J164" s="14">
        <v>0</v>
      </c>
      <c r="K164" s="14">
        <v>0</v>
      </c>
      <c r="L164" s="14">
        <v>0</v>
      </c>
      <c r="M164" s="4" t="e">
        <f>IF(F164="Tindakan",VLOOKUP(O164,#REF!,4,FALSE),IF(F164="Intensif",VLOOKUP(O164,#REF!,10,FALSE),IF(F164="Penunjang",VLOOKUP(O164,#REF!,16,FALSE),IF(F164="Visitase Berdasarkan Jumlah Pasien",VLOOKUP(O164,#REF!,22,FALSE),IF(F164="Visitase",VLOOKUP(O164,#REF!,28,FALSE),IF(F164="Rawat Jalan",VLOOKUP(O164,#REF!,34,FALSE),0))))))</f>
        <v>#REF!</v>
      </c>
      <c r="N164" s="12">
        <f t="shared" si="4"/>
        <v>0</v>
      </c>
      <c r="O164" t="s">
        <v>689</v>
      </c>
      <c r="P164">
        <v>154</v>
      </c>
    </row>
    <row r="165" spans="2:16" x14ac:dyDescent="0.35">
      <c r="B165" s="7">
        <f t="shared" si="5"/>
        <v>155</v>
      </c>
      <c r="C165" s="3" t="s">
        <v>362</v>
      </c>
      <c r="D165" s="4" t="s">
        <v>491</v>
      </c>
      <c r="E165" s="9" t="s">
        <v>178</v>
      </c>
      <c r="F165" s="9" t="s">
        <v>22</v>
      </c>
      <c r="G165" s="14">
        <v>399</v>
      </c>
      <c r="H165" s="14">
        <v>27950000</v>
      </c>
      <c r="I165" s="14">
        <v>8</v>
      </c>
      <c r="J165" s="14">
        <v>540000</v>
      </c>
      <c r="K165" s="14">
        <v>59</v>
      </c>
      <c r="L165" s="14">
        <v>9800000</v>
      </c>
      <c r="M165" s="4" t="e">
        <f>IF(F165="Tindakan",VLOOKUP(O165,#REF!,4,FALSE),IF(F165="Intensif",VLOOKUP(O165,#REF!,10,FALSE),IF(F165="Penunjang",VLOOKUP(O165,#REF!,16,FALSE),IF(F165="Visitase Berdasarkan Jumlah Pasien",VLOOKUP(O165,#REF!,22,FALSE),IF(F165="Visitase",VLOOKUP(O165,#REF!,28,FALSE),IF(F165="Rawat Jalan",VLOOKUP(O165,#REF!,34,FALSE),0))))))</f>
        <v>#REF!</v>
      </c>
      <c r="N165" s="12">
        <f t="shared" si="4"/>
        <v>0</v>
      </c>
      <c r="O165" t="s">
        <v>689</v>
      </c>
      <c r="P165">
        <v>155</v>
      </c>
    </row>
    <row r="166" spans="2:16" x14ac:dyDescent="0.35">
      <c r="B166" s="7">
        <f t="shared" si="5"/>
        <v>156</v>
      </c>
      <c r="C166" s="3" t="s">
        <v>350</v>
      </c>
      <c r="D166" s="4" t="s">
        <v>492</v>
      </c>
      <c r="E166" s="9" t="s">
        <v>162</v>
      </c>
      <c r="F166" s="9" t="s">
        <v>22</v>
      </c>
      <c r="G166" s="14">
        <v>135</v>
      </c>
      <c r="H166" s="14">
        <v>19539400</v>
      </c>
      <c r="I166" s="14">
        <v>51</v>
      </c>
      <c r="J166" s="14">
        <v>4927800</v>
      </c>
      <c r="K166" s="14">
        <v>18</v>
      </c>
      <c r="L166" s="14">
        <v>5221400</v>
      </c>
      <c r="M166" s="4" t="e">
        <f>IF(F166="Tindakan",VLOOKUP(O166,#REF!,4,FALSE),IF(F166="Intensif",VLOOKUP(O166,#REF!,10,FALSE),IF(F166="Penunjang",VLOOKUP(O166,#REF!,16,FALSE),IF(F166="Visitase Berdasarkan Jumlah Pasien",VLOOKUP(O166,#REF!,22,FALSE),IF(F166="Visitase",VLOOKUP(O166,#REF!,28,FALSE),IF(F166="Rawat Jalan",VLOOKUP(O166,#REF!,34,FALSE),0))))))</f>
        <v>#REF!</v>
      </c>
      <c r="N166" s="12">
        <f t="shared" si="4"/>
        <v>0</v>
      </c>
      <c r="O166" t="s">
        <v>703</v>
      </c>
      <c r="P166">
        <v>156</v>
      </c>
    </row>
    <row r="167" spans="2:16" x14ac:dyDescent="0.35">
      <c r="B167" s="7">
        <f t="shared" si="5"/>
        <v>157</v>
      </c>
      <c r="C167" s="3" t="s">
        <v>397</v>
      </c>
      <c r="D167" s="4" t="s">
        <v>493</v>
      </c>
      <c r="E167" s="9" t="s">
        <v>686</v>
      </c>
      <c r="F167" s="9" t="s">
        <v>190</v>
      </c>
      <c r="G167" s="14">
        <v>3</v>
      </c>
      <c r="H167" s="14">
        <v>375000</v>
      </c>
      <c r="I167" s="14">
        <v>0</v>
      </c>
      <c r="J167" s="14">
        <v>0</v>
      </c>
      <c r="K167" s="14">
        <v>0</v>
      </c>
      <c r="L167" s="14">
        <v>0</v>
      </c>
      <c r="M167" s="4" t="e">
        <f>IF(F167="Tindakan",VLOOKUP(O167,#REF!,4,FALSE),IF(F167="Intensif",VLOOKUP(O167,#REF!,10,FALSE),IF(F167="Penunjang",VLOOKUP(O167,#REF!,16,FALSE),IF(F167="Visitase Berdasarkan Jumlah Pasien",VLOOKUP(O167,#REF!,22,FALSE),IF(F167="Visitase",VLOOKUP(O167,#REF!,28,FALSE),IF(F167="Rawat Jalan",VLOOKUP(O167,#REF!,34,FALSE),0))))))</f>
        <v>#REF!</v>
      </c>
      <c r="N167" s="12">
        <f t="shared" si="4"/>
        <v>0</v>
      </c>
      <c r="O167" t="s">
        <v>695</v>
      </c>
      <c r="P167">
        <v>157</v>
      </c>
    </row>
    <row r="168" spans="2:16" x14ac:dyDescent="0.35">
      <c r="B168" s="7">
        <f t="shared" si="5"/>
        <v>158</v>
      </c>
      <c r="C168" s="3" t="s">
        <v>273</v>
      </c>
      <c r="D168" s="4" t="s">
        <v>494</v>
      </c>
      <c r="E168" s="9" t="s">
        <v>162</v>
      </c>
      <c r="F168" s="9" t="s">
        <v>190</v>
      </c>
      <c r="G168" s="14">
        <v>2</v>
      </c>
      <c r="H168" s="14">
        <v>250000</v>
      </c>
      <c r="I168" s="14">
        <v>0</v>
      </c>
      <c r="J168" s="14">
        <v>0</v>
      </c>
      <c r="K168" s="14">
        <v>0</v>
      </c>
      <c r="L168" s="14">
        <v>0</v>
      </c>
      <c r="M168" s="4" t="e">
        <f>IF(F168="Tindakan",VLOOKUP(O168,#REF!,4,FALSE),IF(F168="Intensif",VLOOKUP(O168,#REF!,10,FALSE),IF(F168="Penunjang",VLOOKUP(O168,#REF!,16,FALSE),IF(F168="Visitase Berdasarkan Jumlah Pasien",VLOOKUP(O168,#REF!,22,FALSE),IF(F168="Visitase",VLOOKUP(O168,#REF!,28,FALSE),IF(F168="Rawat Jalan",VLOOKUP(O168,#REF!,34,FALSE),0))))))</f>
        <v>#REF!</v>
      </c>
      <c r="N168" s="12">
        <f t="shared" si="4"/>
        <v>0</v>
      </c>
      <c r="O168" t="s">
        <v>703</v>
      </c>
      <c r="P168">
        <v>158</v>
      </c>
    </row>
    <row r="169" spans="2:16" x14ac:dyDescent="0.35">
      <c r="B169" s="7">
        <f t="shared" si="5"/>
        <v>159</v>
      </c>
      <c r="C169" s="3" t="s">
        <v>273</v>
      </c>
      <c r="D169" s="4" t="s">
        <v>494</v>
      </c>
      <c r="E169" s="9" t="s">
        <v>162</v>
      </c>
      <c r="F169" s="9" t="s">
        <v>22</v>
      </c>
      <c r="G169" s="14">
        <v>118</v>
      </c>
      <c r="H169" s="14">
        <v>13236550</v>
      </c>
      <c r="I169" s="14">
        <v>33</v>
      </c>
      <c r="J169" s="14">
        <v>2567000</v>
      </c>
      <c r="K169" s="14">
        <v>8</v>
      </c>
      <c r="L169" s="14">
        <v>2000000</v>
      </c>
      <c r="M169" s="4" t="e">
        <f>IF(F169="Tindakan",VLOOKUP(O169,#REF!,4,FALSE),IF(F169="Intensif",VLOOKUP(O169,#REF!,10,FALSE),IF(F169="Penunjang",VLOOKUP(O169,#REF!,16,FALSE),IF(F169="Visitase Berdasarkan Jumlah Pasien",VLOOKUP(O169,#REF!,22,FALSE),IF(F169="Visitase",VLOOKUP(O169,#REF!,28,FALSE),IF(F169="Rawat Jalan",VLOOKUP(O169,#REF!,34,FALSE),0))))))</f>
        <v>#REF!</v>
      </c>
      <c r="N169" s="12">
        <f t="shared" si="4"/>
        <v>0</v>
      </c>
      <c r="O169" t="s">
        <v>703</v>
      </c>
      <c r="P169">
        <v>159</v>
      </c>
    </row>
    <row r="170" spans="2:16" x14ac:dyDescent="0.35">
      <c r="B170" s="7">
        <f t="shared" si="5"/>
        <v>160</v>
      </c>
      <c r="C170" s="3" t="s">
        <v>398</v>
      </c>
      <c r="D170" s="4" t="s">
        <v>495</v>
      </c>
      <c r="E170" s="9" t="s">
        <v>148</v>
      </c>
      <c r="F170" s="9" t="s">
        <v>20</v>
      </c>
      <c r="G170" s="14">
        <v>13</v>
      </c>
      <c r="H170" s="14">
        <v>2240000</v>
      </c>
      <c r="I170" s="14">
        <v>4</v>
      </c>
      <c r="J170" s="14">
        <v>700000</v>
      </c>
      <c r="K170" s="14">
        <v>0</v>
      </c>
      <c r="L170" s="14">
        <v>0</v>
      </c>
      <c r="M170" s="4" t="e">
        <f>IF(F170="Tindakan",VLOOKUP(O170,#REF!,4,FALSE),IF(F170="Intensif",VLOOKUP(O170,#REF!,10,FALSE),IF(F170="Penunjang",VLOOKUP(O170,#REF!,16,FALSE),IF(F170="Visitase Berdasarkan Jumlah Pasien",VLOOKUP(O170,#REF!,22,FALSE),IF(F170="Visitase",VLOOKUP(O170,#REF!,28,FALSE),IF(F170="Rawat Jalan",VLOOKUP(O170,#REF!,34,FALSE),0))))))</f>
        <v>#REF!</v>
      </c>
      <c r="N170" s="12">
        <f t="shared" si="4"/>
        <v>0</v>
      </c>
      <c r="O170" t="s">
        <v>700</v>
      </c>
      <c r="P170">
        <v>160</v>
      </c>
    </row>
    <row r="171" spans="2:16" x14ac:dyDescent="0.35">
      <c r="B171" s="7">
        <f t="shared" si="5"/>
        <v>161</v>
      </c>
      <c r="C171" s="3" t="s">
        <v>398</v>
      </c>
      <c r="D171" s="4" t="s">
        <v>495</v>
      </c>
      <c r="E171" s="9" t="s">
        <v>148</v>
      </c>
      <c r="F171" s="9" t="s">
        <v>190</v>
      </c>
      <c r="G171" s="14">
        <v>10</v>
      </c>
      <c r="H171" s="14">
        <v>1280000</v>
      </c>
      <c r="I171" s="14">
        <v>1</v>
      </c>
      <c r="J171" s="14">
        <v>125000</v>
      </c>
      <c r="K171" s="14">
        <v>0</v>
      </c>
      <c r="L171" s="14">
        <v>0</v>
      </c>
      <c r="M171" s="4" t="e">
        <f>IF(F171="Tindakan",VLOOKUP(O171,#REF!,4,FALSE),IF(F171="Intensif",VLOOKUP(O171,#REF!,10,FALSE),IF(F171="Penunjang",VLOOKUP(O171,#REF!,16,FALSE),IF(F171="Visitase Berdasarkan Jumlah Pasien",VLOOKUP(O171,#REF!,22,FALSE),IF(F171="Visitase",VLOOKUP(O171,#REF!,28,FALSE),IF(F171="Rawat Jalan",VLOOKUP(O171,#REF!,34,FALSE),0))))))</f>
        <v>#REF!</v>
      </c>
      <c r="N171" s="12">
        <f t="shared" si="4"/>
        <v>0</v>
      </c>
      <c r="O171" t="s">
        <v>700</v>
      </c>
      <c r="P171">
        <v>161</v>
      </c>
    </row>
    <row r="172" spans="2:16" x14ac:dyDescent="0.35">
      <c r="B172" s="7">
        <f t="shared" si="5"/>
        <v>162</v>
      </c>
      <c r="C172" s="3" t="s">
        <v>398</v>
      </c>
      <c r="D172" s="4" t="s">
        <v>495</v>
      </c>
      <c r="E172" s="9" t="s">
        <v>148</v>
      </c>
      <c r="F172" s="9" t="s">
        <v>22</v>
      </c>
      <c r="G172" s="14">
        <v>200</v>
      </c>
      <c r="H172" s="14">
        <v>15000000</v>
      </c>
      <c r="I172" s="14">
        <v>9</v>
      </c>
      <c r="J172" s="14">
        <v>675000</v>
      </c>
      <c r="K172" s="14">
        <v>2</v>
      </c>
      <c r="L172" s="14">
        <v>500000</v>
      </c>
      <c r="M172" s="4" t="e">
        <f>IF(F172="Tindakan",VLOOKUP(O172,#REF!,4,FALSE),IF(F172="Intensif",VLOOKUP(O172,#REF!,10,FALSE),IF(F172="Penunjang",VLOOKUP(O172,#REF!,16,FALSE),IF(F172="Visitase Berdasarkan Jumlah Pasien",VLOOKUP(O172,#REF!,22,FALSE),IF(F172="Visitase",VLOOKUP(O172,#REF!,28,FALSE),IF(F172="Rawat Jalan",VLOOKUP(O172,#REF!,34,FALSE),0))))))</f>
        <v>#REF!</v>
      </c>
      <c r="N172" s="12">
        <f t="shared" si="4"/>
        <v>0</v>
      </c>
      <c r="O172" t="s">
        <v>700</v>
      </c>
      <c r="P172">
        <v>162</v>
      </c>
    </row>
    <row r="173" spans="2:16" x14ac:dyDescent="0.35">
      <c r="B173" s="7">
        <f t="shared" si="5"/>
        <v>163</v>
      </c>
      <c r="C173" s="3" t="s">
        <v>398</v>
      </c>
      <c r="D173" s="4" t="s">
        <v>495</v>
      </c>
      <c r="E173" s="9" t="s">
        <v>148</v>
      </c>
      <c r="F173" s="9" t="s">
        <v>19</v>
      </c>
      <c r="G173" s="14">
        <v>4</v>
      </c>
      <c r="H173" s="14">
        <v>22000000</v>
      </c>
      <c r="I173" s="14">
        <v>0</v>
      </c>
      <c r="J173" s="14">
        <v>0</v>
      </c>
      <c r="K173" s="14">
        <v>0</v>
      </c>
      <c r="L173" s="14">
        <v>0</v>
      </c>
      <c r="M173" s="4" t="e">
        <f>IF(F173="Tindakan",VLOOKUP(O173,#REF!,4,FALSE),IF(F173="Intensif",VLOOKUP(O173,#REF!,10,FALSE),IF(F173="Penunjang",VLOOKUP(O173,#REF!,16,FALSE),IF(F173="Visitase Berdasarkan Jumlah Pasien",VLOOKUP(O173,#REF!,22,FALSE),IF(F173="Visitase",VLOOKUP(O173,#REF!,28,FALSE),IF(F173="Rawat Jalan",VLOOKUP(O173,#REF!,34,FALSE),0))))))</f>
        <v>#REF!</v>
      </c>
      <c r="N173" s="12">
        <f t="shared" si="4"/>
        <v>0</v>
      </c>
      <c r="O173" t="s">
        <v>700</v>
      </c>
      <c r="P173">
        <v>163</v>
      </c>
    </row>
    <row r="174" spans="2:16" x14ac:dyDescent="0.35">
      <c r="B174" s="7">
        <f t="shared" si="5"/>
        <v>164</v>
      </c>
      <c r="C174" s="3" t="s">
        <v>314</v>
      </c>
      <c r="D174" s="4" t="s">
        <v>496</v>
      </c>
      <c r="E174" s="9" t="s">
        <v>146</v>
      </c>
      <c r="F174" s="9" t="s">
        <v>190</v>
      </c>
      <c r="G174" s="14">
        <v>19</v>
      </c>
      <c r="H174" s="14">
        <v>2480000</v>
      </c>
      <c r="I174" s="14">
        <v>0</v>
      </c>
      <c r="J174" s="14">
        <v>0</v>
      </c>
      <c r="K174" s="14">
        <v>0</v>
      </c>
      <c r="L174" s="14">
        <v>0</v>
      </c>
      <c r="M174" s="4" t="e">
        <f>IF(F174="Tindakan",VLOOKUP(O174,#REF!,4,FALSE),IF(F174="Intensif",VLOOKUP(O174,#REF!,10,FALSE),IF(F174="Penunjang",VLOOKUP(O174,#REF!,16,FALSE),IF(F174="Visitase Berdasarkan Jumlah Pasien",VLOOKUP(O174,#REF!,22,FALSE),IF(F174="Visitase",VLOOKUP(O174,#REF!,28,FALSE),IF(F174="Rawat Jalan",VLOOKUP(O174,#REF!,34,FALSE),0))))))</f>
        <v>#REF!</v>
      </c>
      <c r="N174" s="12">
        <f t="shared" si="4"/>
        <v>0</v>
      </c>
      <c r="O174" t="s">
        <v>696</v>
      </c>
      <c r="P174">
        <v>164</v>
      </c>
    </row>
    <row r="175" spans="2:16" x14ac:dyDescent="0.35">
      <c r="B175" s="7">
        <f t="shared" si="5"/>
        <v>165</v>
      </c>
      <c r="C175" s="3" t="s">
        <v>314</v>
      </c>
      <c r="D175" s="4" t="s">
        <v>496</v>
      </c>
      <c r="E175" s="9" t="s">
        <v>146</v>
      </c>
      <c r="F175" s="9" t="s">
        <v>20</v>
      </c>
      <c r="G175" s="14">
        <v>19</v>
      </c>
      <c r="H175" s="14">
        <v>3185000</v>
      </c>
      <c r="I175" s="14">
        <v>0</v>
      </c>
      <c r="J175" s="14">
        <v>0</v>
      </c>
      <c r="K175" s="14">
        <v>0</v>
      </c>
      <c r="L175" s="14">
        <v>0</v>
      </c>
      <c r="M175" s="4" t="e">
        <f>IF(F175="Tindakan",VLOOKUP(O175,#REF!,4,FALSE),IF(F175="Intensif",VLOOKUP(O175,#REF!,10,FALSE),IF(F175="Penunjang",VLOOKUP(O175,#REF!,16,FALSE),IF(F175="Visitase Berdasarkan Jumlah Pasien",VLOOKUP(O175,#REF!,22,FALSE),IF(F175="Visitase",VLOOKUP(O175,#REF!,28,FALSE),IF(F175="Rawat Jalan",VLOOKUP(O175,#REF!,34,FALSE),0))))))</f>
        <v>#REF!</v>
      </c>
      <c r="N175" s="12">
        <f t="shared" si="4"/>
        <v>0</v>
      </c>
      <c r="O175" t="s">
        <v>696</v>
      </c>
      <c r="P175">
        <v>165</v>
      </c>
    </row>
    <row r="176" spans="2:16" x14ac:dyDescent="0.35">
      <c r="B176" s="7">
        <f t="shared" si="5"/>
        <v>166</v>
      </c>
      <c r="C176" s="3" t="s">
        <v>314</v>
      </c>
      <c r="D176" s="4" t="s">
        <v>496</v>
      </c>
      <c r="E176" s="9" t="s">
        <v>146</v>
      </c>
      <c r="F176" s="9" t="s">
        <v>22</v>
      </c>
      <c r="G176" s="14">
        <v>309</v>
      </c>
      <c r="H176" s="14">
        <v>43154000</v>
      </c>
      <c r="I176" s="14">
        <v>0</v>
      </c>
      <c r="J176" s="14">
        <v>0</v>
      </c>
      <c r="K176" s="14">
        <v>10</v>
      </c>
      <c r="L176" s="14">
        <v>3000000</v>
      </c>
      <c r="M176" s="4" t="e">
        <f>IF(F176="Tindakan",VLOOKUP(O176,#REF!,4,FALSE),IF(F176="Intensif",VLOOKUP(O176,#REF!,10,FALSE),IF(F176="Penunjang",VLOOKUP(O176,#REF!,16,FALSE),IF(F176="Visitase Berdasarkan Jumlah Pasien",VLOOKUP(O176,#REF!,22,FALSE),IF(F176="Visitase",VLOOKUP(O176,#REF!,28,FALSE),IF(F176="Rawat Jalan",VLOOKUP(O176,#REF!,34,FALSE),0))))))</f>
        <v>#REF!</v>
      </c>
      <c r="N176" s="12">
        <f t="shared" si="4"/>
        <v>0</v>
      </c>
      <c r="O176" t="s">
        <v>696</v>
      </c>
      <c r="P176">
        <v>166</v>
      </c>
    </row>
    <row r="177" spans="2:16" x14ac:dyDescent="0.35">
      <c r="B177" s="7">
        <f t="shared" si="5"/>
        <v>167</v>
      </c>
      <c r="C177" s="3" t="s">
        <v>250</v>
      </c>
      <c r="D177" s="4" t="s">
        <v>497</v>
      </c>
      <c r="E177" s="9" t="s">
        <v>178</v>
      </c>
      <c r="F177" s="9" t="s">
        <v>20</v>
      </c>
      <c r="G177" s="14">
        <v>207</v>
      </c>
      <c r="H177" s="14">
        <v>24375000</v>
      </c>
      <c r="I177" s="14">
        <v>2</v>
      </c>
      <c r="J177" s="14">
        <v>350000</v>
      </c>
      <c r="K177" s="14">
        <v>0</v>
      </c>
      <c r="L177" s="14">
        <v>0</v>
      </c>
      <c r="M177" s="4" t="e">
        <f>IF(F177="Tindakan",VLOOKUP(O177,#REF!,4,FALSE),IF(F177="Intensif",VLOOKUP(O177,#REF!,10,FALSE),IF(F177="Penunjang",VLOOKUP(O177,#REF!,16,FALSE),IF(F177="Visitase Berdasarkan Jumlah Pasien",VLOOKUP(O177,#REF!,22,FALSE),IF(F177="Visitase",VLOOKUP(O177,#REF!,28,FALSE),IF(F177="Rawat Jalan",VLOOKUP(O177,#REF!,34,FALSE),0))))))</f>
        <v>#REF!</v>
      </c>
      <c r="N177" s="12">
        <f t="shared" si="4"/>
        <v>0</v>
      </c>
      <c r="O177" t="s">
        <v>689</v>
      </c>
      <c r="P177">
        <v>167</v>
      </c>
    </row>
    <row r="178" spans="2:16" x14ac:dyDescent="0.35">
      <c r="B178" s="7">
        <f t="shared" si="5"/>
        <v>168</v>
      </c>
      <c r="C178" s="3" t="s">
        <v>250</v>
      </c>
      <c r="D178" s="4" t="s">
        <v>497</v>
      </c>
      <c r="E178" s="9" t="s">
        <v>178</v>
      </c>
      <c r="F178" s="9" t="s">
        <v>190</v>
      </c>
      <c r="G178" s="14">
        <v>28</v>
      </c>
      <c r="H178" s="14">
        <v>3870000</v>
      </c>
      <c r="I178" s="14">
        <v>0</v>
      </c>
      <c r="J178" s="14">
        <v>0</v>
      </c>
      <c r="K178" s="14">
        <v>0</v>
      </c>
      <c r="L178" s="14">
        <v>0</v>
      </c>
      <c r="M178" s="4" t="e">
        <f>IF(F178="Tindakan",VLOOKUP(O178,#REF!,4,FALSE),IF(F178="Intensif",VLOOKUP(O178,#REF!,10,FALSE),IF(F178="Penunjang",VLOOKUP(O178,#REF!,16,FALSE),IF(F178="Visitase Berdasarkan Jumlah Pasien",VLOOKUP(O178,#REF!,22,FALSE),IF(F178="Visitase",VLOOKUP(O178,#REF!,28,FALSE),IF(F178="Rawat Jalan",VLOOKUP(O178,#REF!,34,FALSE),0))))))</f>
        <v>#REF!</v>
      </c>
      <c r="N178" s="12">
        <f t="shared" si="4"/>
        <v>0</v>
      </c>
      <c r="O178" t="s">
        <v>689</v>
      </c>
      <c r="P178">
        <v>168</v>
      </c>
    </row>
    <row r="179" spans="2:16" x14ac:dyDescent="0.35">
      <c r="B179" s="7">
        <f t="shared" si="5"/>
        <v>169</v>
      </c>
      <c r="C179" s="3" t="s">
        <v>250</v>
      </c>
      <c r="D179" s="4" t="s">
        <v>497</v>
      </c>
      <c r="E179" s="9" t="s">
        <v>178</v>
      </c>
      <c r="F179" s="9" t="s">
        <v>22</v>
      </c>
      <c r="G179" s="14">
        <v>263</v>
      </c>
      <c r="H179" s="14">
        <v>808503000</v>
      </c>
      <c r="I179" s="14">
        <v>8</v>
      </c>
      <c r="J179" s="14">
        <v>540000</v>
      </c>
      <c r="K179" s="14">
        <v>34</v>
      </c>
      <c r="L179" s="14">
        <v>6495000</v>
      </c>
      <c r="M179" s="4" t="e">
        <f>IF(F179="Tindakan",VLOOKUP(O179,#REF!,4,FALSE),IF(F179="Intensif",VLOOKUP(O179,#REF!,10,FALSE),IF(F179="Penunjang",VLOOKUP(O179,#REF!,16,FALSE),IF(F179="Visitase Berdasarkan Jumlah Pasien",VLOOKUP(O179,#REF!,22,FALSE),IF(F179="Visitase",VLOOKUP(O179,#REF!,28,FALSE),IF(F179="Rawat Jalan",VLOOKUP(O179,#REF!,34,FALSE),0))))))</f>
        <v>#REF!</v>
      </c>
      <c r="N179" s="12">
        <f t="shared" si="4"/>
        <v>0</v>
      </c>
      <c r="O179" t="s">
        <v>689</v>
      </c>
      <c r="P179">
        <v>169</v>
      </c>
    </row>
    <row r="180" spans="2:16" x14ac:dyDescent="0.35">
      <c r="B180" s="7">
        <f t="shared" si="5"/>
        <v>170</v>
      </c>
      <c r="C180" s="3" t="s">
        <v>355</v>
      </c>
      <c r="D180" s="4" t="s">
        <v>498</v>
      </c>
      <c r="E180" s="9" t="s">
        <v>171</v>
      </c>
      <c r="F180" s="9" t="s">
        <v>22</v>
      </c>
      <c r="G180" s="14">
        <v>45</v>
      </c>
      <c r="H180" s="14">
        <v>4075000</v>
      </c>
      <c r="I180" s="14">
        <v>1</v>
      </c>
      <c r="J180" s="14">
        <v>75000</v>
      </c>
      <c r="K180" s="14">
        <v>4</v>
      </c>
      <c r="L180" s="14">
        <v>850000</v>
      </c>
      <c r="M180" s="4" t="e">
        <f>IF(F180="Tindakan",VLOOKUP(O180,#REF!,4,FALSE),IF(F180="Intensif",VLOOKUP(O180,#REF!,10,FALSE),IF(F180="Penunjang",VLOOKUP(O180,#REF!,16,FALSE),IF(F180="Visitase Berdasarkan Jumlah Pasien",VLOOKUP(O180,#REF!,22,FALSE),IF(F180="Visitase",VLOOKUP(O180,#REF!,28,FALSE),IF(F180="Rawat Jalan",VLOOKUP(O180,#REF!,34,FALSE),0))))))</f>
        <v>#REF!</v>
      </c>
      <c r="N180" s="12">
        <f t="shared" si="4"/>
        <v>0</v>
      </c>
      <c r="O180" t="s">
        <v>704</v>
      </c>
      <c r="P180">
        <v>170</v>
      </c>
    </row>
    <row r="181" spans="2:16" x14ac:dyDescent="0.35">
      <c r="B181" s="7">
        <f t="shared" si="5"/>
        <v>171</v>
      </c>
      <c r="C181" s="3" t="s">
        <v>243</v>
      </c>
      <c r="D181" s="4" t="s">
        <v>499</v>
      </c>
      <c r="E181" s="9" t="s">
        <v>174</v>
      </c>
      <c r="F181" s="9" t="s">
        <v>190</v>
      </c>
      <c r="G181" s="14">
        <v>20</v>
      </c>
      <c r="H181" s="14">
        <v>2560000</v>
      </c>
      <c r="I181" s="14">
        <v>0</v>
      </c>
      <c r="J181" s="14">
        <v>0</v>
      </c>
      <c r="K181" s="14">
        <v>1</v>
      </c>
      <c r="L181" s="14">
        <v>180000</v>
      </c>
      <c r="M181" s="4" t="e">
        <f>IF(F181="Tindakan",VLOOKUP(O181,#REF!,4,FALSE),IF(F181="Intensif",VLOOKUP(O181,#REF!,10,FALSE),IF(F181="Penunjang",VLOOKUP(O181,#REF!,16,FALSE),IF(F181="Visitase Berdasarkan Jumlah Pasien",VLOOKUP(O181,#REF!,22,FALSE),IF(F181="Visitase",VLOOKUP(O181,#REF!,28,FALSE),IF(F181="Rawat Jalan",VLOOKUP(O181,#REF!,34,FALSE),0))))))</f>
        <v>#REF!</v>
      </c>
      <c r="N181" s="12">
        <f t="shared" si="4"/>
        <v>0</v>
      </c>
      <c r="O181" t="s">
        <v>705</v>
      </c>
      <c r="P181">
        <v>171</v>
      </c>
    </row>
    <row r="182" spans="2:16" x14ac:dyDescent="0.35">
      <c r="B182" s="7">
        <f t="shared" si="5"/>
        <v>172</v>
      </c>
      <c r="C182" s="3" t="s">
        <v>243</v>
      </c>
      <c r="D182" s="4" t="s">
        <v>499</v>
      </c>
      <c r="E182" s="9" t="s">
        <v>174</v>
      </c>
      <c r="F182" s="9" t="s">
        <v>20</v>
      </c>
      <c r="G182" s="14">
        <v>3</v>
      </c>
      <c r="H182" s="14">
        <v>400000</v>
      </c>
      <c r="I182" s="14">
        <v>0</v>
      </c>
      <c r="J182" s="14">
        <v>0</v>
      </c>
      <c r="K182" s="14">
        <v>0</v>
      </c>
      <c r="L182" s="14">
        <v>0</v>
      </c>
      <c r="M182" s="4" t="e">
        <f>IF(F182="Tindakan",VLOOKUP(O182,#REF!,4,FALSE),IF(F182="Intensif",VLOOKUP(O182,#REF!,10,FALSE),IF(F182="Penunjang",VLOOKUP(O182,#REF!,16,FALSE),IF(F182="Visitase Berdasarkan Jumlah Pasien",VLOOKUP(O182,#REF!,22,FALSE),IF(F182="Visitase",VLOOKUP(O182,#REF!,28,FALSE),IF(F182="Rawat Jalan",VLOOKUP(O182,#REF!,34,FALSE),0))))))</f>
        <v>#REF!</v>
      </c>
      <c r="N182" s="12">
        <f t="shared" si="4"/>
        <v>0</v>
      </c>
      <c r="O182" t="s">
        <v>705</v>
      </c>
      <c r="P182">
        <v>172</v>
      </c>
    </row>
    <row r="183" spans="2:16" x14ac:dyDescent="0.35">
      <c r="B183" s="7">
        <f t="shared" si="5"/>
        <v>173</v>
      </c>
      <c r="C183" s="3" t="s">
        <v>243</v>
      </c>
      <c r="D183" s="4" t="s">
        <v>499</v>
      </c>
      <c r="E183" s="9" t="s">
        <v>174</v>
      </c>
      <c r="F183" s="9" t="s">
        <v>19</v>
      </c>
      <c r="G183" s="14">
        <v>27</v>
      </c>
      <c r="H183" s="14">
        <v>220500000</v>
      </c>
      <c r="I183" s="14">
        <v>0</v>
      </c>
      <c r="J183" s="14">
        <v>0</v>
      </c>
      <c r="K183" s="14">
        <v>2</v>
      </c>
      <c r="L183" s="14">
        <v>34175000</v>
      </c>
      <c r="M183" s="4" t="e">
        <f>IF(F183="Tindakan",VLOOKUP(O183,#REF!,4,FALSE),IF(F183="Intensif",VLOOKUP(O183,#REF!,10,FALSE),IF(F183="Penunjang",VLOOKUP(O183,#REF!,16,FALSE),IF(F183="Visitase Berdasarkan Jumlah Pasien",VLOOKUP(O183,#REF!,22,FALSE),IF(F183="Visitase",VLOOKUP(O183,#REF!,28,FALSE),IF(F183="Rawat Jalan",VLOOKUP(O183,#REF!,34,FALSE),0))))))</f>
        <v>#REF!</v>
      </c>
      <c r="N183" s="12">
        <f t="shared" si="4"/>
        <v>0</v>
      </c>
      <c r="O183" t="s">
        <v>705</v>
      </c>
      <c r="P183">
        <v>173</v>
      </c>
    </row>
    <row r="184" spans="2:16" x14ac:dyDescent="0.35">
      <c r="B184" s="7">
        <f t="shared" si="5"/>
        <v>174</v>
      </c>
      <c r="C184" s="3" t="s">
        <v>243</v>
      </c>
      <c r="D184" s="4" t="s">
        <v>499</v>
      </c>
      <c r="E184" s="9" t="s">
        <v>174</v>
      </c>
      <c r="F184" s="9" t="s">
        <v>22</v>
      </c>
      <c r="G184" s="14">
        <v>154</v>
      </c>
      <c r="H184" s="14">
        <v>18529000</v>
      </c>
      <c r="I184" s="14">
        <v>14</v>
      </c>
      <c r="J184" s="14">
        <v>1310000</v>
      </c>
      <c r="K184" s="14">
        <v>1</v>
      </c>
      <c r="L184" s="14">
        <v>250000</v>
      </c>
      <c r="M184" s="4" t="e">
        <f>IF(F184="Tindakan",VLOOKUP(O184,#REF!,4,FALSE),IF(F184="Intensif",VLOOKUP(O184,#REF!,10,FALSE),IF(F184="Penunjang",VLOOKUP(O184,#REF!,16,FALSE),IF(F184="Visitase Berdasarkan Jumlah Pasien",VLOOKUP(O184,#REF!,22,FALSE),IF(F184="Visitase",VLOOKUP(O184,#REF!,28,FALSE),IF(F184="Rawat Jalan",VLOOKUP(O184,#REF!,34,FALSE),0))))))</f>
        <v>#REF!</v>
      </c>
      <c r="N184" s="12">
        <f t="shared" si="4"/>
        <v>0</v>
      </c>
      <c r="O184" t="s">
        <v>705</v>
      </c>
      <c r="P184">
        <v>174</v>
      </c>
    </row>
    <row r="185" spans="2:16" x14ac:dyDescent="0.35">
      <c r="B185" s="7">
        <f t="shared" si="5"/>
        <v>175</v>
      </c>
      <c r="C185" s="3" t="s">
        <v>255</v>
      </c>
      <c r="D185" s="4" t="s">
        <v>500</v>
      </c>
      <c r="E185" s="9" t="s">
        <v>185</v>
      </c>
      <c r="F185" s="9" t="s">
        <v>190</v>
      </c>
      <c r="G185" s="14">
        <v>2</v>
      </c>
      <c r="H185" s="14">
        <v>250000</v>
      </c>
      <c r="I185" s="14">
        <v>0</v>
      </c>
      <c r="J185" s="14">
        <v>0</v>
      </c>
      <c r="K185" s="14">
        <v>0</v>
      </c>
      <c r="L185" s="14">
        <v>0</v>
      </c>
      <c r="M185" s="4" t="e">
        <f>IF(F185="Tindakan",VLOOKUP(O185,#REF!,4,FALSE),IF(F185="Intensif",VLOOKUP(O185,#REF!,10,FALSE),IF(F185="Penunjang",VLOOKUP(O185,#REF!,16,FALSE),IF(F185="Visitase Berdasarkan Jumlah Pasien",VLOOKUP(O185,#REF!,22,FALSE),IF(F185="Visitase",VLOOKUP(O185,#REF!,28,FALSE),IF(F185="Rawat Jalan",VLOOKUP(O185,#REF!,34,FALSE),0))))))</f>
        <v>#REF!</v>
      </c>
      <c r="N185" s="12">
        <f t="shared" si="4"/>
        <v>0</v>
      </c>
      <c r="O185" t="s">
        <v>706</v>
      </c>
      <c r="P185">
        <v>175</v>
      </c>
    </row>
    <row r="186" spans="2:16" x14ac:dyDescent="0.35">
      <c r="B186" s="7">
        <f t="shared" si="5"/>
        <v>176</v>
      </c>
      <c r="C186" s="3" t="s">
        <v>255</v>
      </c>
      <c r="D186" s="4" t="s">
        <v>500</v>
      </c>
      <c r="E186" s="9" t="s">
        <v>185</v>
      </c>
      <c r="F186" s="9" t="s">
        <v>22</v>
      </c>
      <c r="G186" s="14">
        <v>39</v>
      </c>
      <c r="H186" s="14">
        <v>12785000</v>
      </c>
      <c r="I186" s="14">
        <v>4</v>
      </c>
      <c r="J186" s="14">
        <v>3650000</v>
      </c>
      <c r="K186" s="14">
        <v>8</v>
      </c>
      <c r="L186" s="14">
        <v>5086000</v>
      </c>
      <c r="M186" s="4" t="e">
        <f>IF(F186="Tindakan",VLOOKUP(O186,#REF!,4,FALSE),IF(F186="Intensif",VLOOKUP(O186,#REF!,10,FALSE),IF(F186="Penunjang",VLOOKUP(O186,#REF!,16,FALSE),IF(F186="Visitase Berdasarkan Jumlah Pasien",VLOOKUP(O186,#REF!,22,FALSE),IF(F186="Visitase",VLOOKUP(O186,#REF!,28,FALSE),IF(F186="Rawat Jalan",VLOOKUP(O186,#REF!,34,FALSE),0))))))</f>
        <v>#REF!</v>
      </c>
      <c r="N186" s="12">
        <f t="shared" si="4"/>
        <v>0</v>
      </c>
      <c r="O186" t="s">
        <v>706</v>
      </c>
      <c r="P186">
        <v>176</v>
      </c>
    </row>
    <row r="187" spans="2:16" x14ac:dyDescent="0.35">
      <c r="B187" s="7">
        <f t="shared" si="5"/>
        <v>177</v>
      </c>
      <c r="C187" s="3" t="s">
        <v>255</v>
      </c>
      <c r="D187" s="4" t="s">
        <v>500</v>
      </c>
      <c r="E187" s="9" t="s">
        <v>185</v>
      </c>
      <c r="F187" s="9" t="s">
        <v>19</v>
      </c>
      <c r="G187" s="14">
        <v>6</v>
      </c>
      <c r="H187" s="14">
        <v>21700000</v>
      </c>
      <c r="I187" s="14">
        <v>0</v>
      </c>
      <c r="J187" s="14">
        <v>0</v>
      </c>
      <c r="K187" s="14">
        <v>0</v>
      </c>
      <c r="L187" s="14">
        <v>0</v>
      </c>
      <c r="M187" s="4" t="e">
        <f>IF(F187="Tindakan",VLOOKUP(O187,#REF!,4,FALSE),IF(F187="Intensif",VLOOKUP(O187,#REF!,10,FALSE),IF(F187="Penunjang",VLOOKUP(O187,#REF!,16,FALSE),IF(F187="Visitase Berdasarkan Jumlah Pasien",VLOOKUP(O187,#REF!,22,FALSE),IF(F187="Visitase",VLOOKUP(O187,#REF!,28,FALSE),IF(F187="Rawat Jalan",VLOOKUP(O187,#REF!,34,FALSE),0))))))</f>
        <v>#REF!</v>
      </c>
      <c r="N187" s="12">
        <f t="shared" si="4"/>
        <v>0</v>
      </c>
      <c r="O187" t="s">
        <v>706</v>
      </c>
      <c r="P187">
        <v>177</v>
      </c>
    </row>
    <row r="188" spans="2:16" x14ac:dyDescent="0.35">
      <c r="B188" s="7">
        <f t="shared" si="5"/>
        <v>178</v>
      </c>
      <c r="C188" s="3" t="s">
        <v>192</v>
      </c>
      <c r="D188" s="4" t="s">
        <v>501</v>
      </c>
      <c r="E188" s="9" t="s">
        <v>164</v>
      </c>
      <c r="F188" s="9" t="s">
        <v>190</v>
      </c>
      <c r="G188" s="14">
        <v>24</v>
      </c>
      <c r="H188" s="14">
        <v>3000000</v>
      </c>
      <c r="I188" s="14">
        <v>0</v>
      </c>
      <c r="J188" s="14">
        <v>0</v>
      </c>
      <c r="K188" s="14">
        <v>0</v>
      </c>
      <c r="L188" s="14">
        <v>0</v>
      </c>
      <c r="M188" s="4" t="e">
        <f>IF(F188="Tindakan",VLOOKUP(O188,#REF!,4,FALSE),IF(F188="Intensif",VLOOKUP(O188,#REF!,10,FALSE),IF(F188="Penunjang",VLOOKUP(O188,#REF!,16,FALSE),IF(F188="Visitase Berdasarkan Jumlah Pasien",VLOOKUP(O188,#REF!,22,FALSE),IF(F188="Visitase",VLOOKUP(O188,#REF!,28,FALSE),IF(F188="Rawat Jalan",VLOOKUP(O188,#REF!,34,FALSE),0))))))</f>
        <v>#REF!</v>
      </c>
      <c r="N188" s="12">
        <f t="shared" si="4"/>
        <v>0</v>
      </c>
      <c r="O188" t="s">
        <v>693</v>
      </c>
      <c r="P188">
        <v>178</v>
      </c>
    </row>
    <row r="189" spans="2:16" x14ac:dyDescent="0.35">
      <c r="B189" s="7">
        <f t="shared" si="5"/>
        <v>179</v>
      </c>
      <c r="C189" s="3" t="s">
        <v>192</v>
      </c>
      <c r="D189" s="4" t="s">
        <v>501</v>
      </c>
      <c r="E189" s="9" t="s">
        <v>164</v>
      </c>
      <c r="F189" s="9" t="s">
        <v>20</v>
      </c>
      <c r="G189" s="14">
        <v>4</v>
      </c>
      <c r="H189" s="14">
        <v>685000</v>
      </c>
      <c r="I189" s="14">
        <v>0</v>
      </c>
      <c r="J189" s="14">
        <v>0</v>
      </c>
      <c r="K189" s="14">
        <v>0</v>
      </c>
      <c r="L189" s="14">
        <v>0</v>
      </c>
      <c r="M189" s="4" t="e">
        <f>IF(F189="Tindakan",VLOOKUP(O189,#REF!,4,FALSE),IF(F189="Intensif",VLOOKUP(O189,#REF!,10,FALSE),IF(F189="Penunjang",VLOOKUP(O189,#REF!,16,FALSE),IF(F189="Visitase Berdasarkan Jumlah Pasien",VLOOKUP(O189,#REF!,22,FALSE),IF(F189="Visitase",VLOOKUP(O189,#REF!,28,FALSE),IF(F189="Rawat Jalan",VLOOKUP(O189,#REF!,34,FALSE),0))))))</f>
        <v>#REF!</v>
      </c>
      <c r="N189" s="12">
        <f t="shared" si="4"/>
        <v>0</v>
      </c>
      <c r="O189" t="s">
        <v>693</v>
      </c>
      <c r="P189">
        <v>179</v>
      </c>
    </row>
    <row r="190" spans="2:16" x14ac:dyDescent="0.35">
      <c r="B190" s="7">
        <f t="shared" si="5"/>
        <v>180</v>
      </c>
      <c r="C190" s="3" t="s">
        <v>192</v>
      </c>
      <c r="D190" s="4" t="s">
        <v>501</v>
      </c>
      <c r="E190" s="9" t="s">
        <v>164</v>
      </c>
      <c r="F190" s="9" t="s">
        <v>22</v>
      </c>
      <c r="G190" s="14">
        <v>38</v>
      </c>
      <c r="H190" s="14">
        <v>2850000</v>
      </c>
      <c r="I190" s="14">
        <v>0</v>
      </c>
      <c r="J190" s="14">
        <v>0</v>
      </c>
      <c r="K190" s="14">
        <v>0</v>
      </c>
      <c r="L190" s="14">
        <v>0</v>
      </c>
      <c r="M190" s="4" t="e">
        <f>IF(F190="Tindakan",VLOOKUP(O190,#REF!,4,FALSE),IF(F190="Intensif",VLOOKUP(O190,#REF!,10,FALSE),IF(F190="Penunjang",VLOOKUP(O190,#REF!,16,FALSE),IF(F190="Visitase Berdasarkan Jumlah Pasien",VLOOKUP(O190,#REF!,22,FALSE),IF(F190="Visitase",VLOOKUP(O190,#REF!,28,FALSE),IF(F190="Rawat Jalan",VLOOKUP(O190,#REF!,34,FALSE),0))))))</f>
        <v>#REF!</v>
      </c>
      <c r="N190" s="12">
        <f t="shared" si="4"/>
        <v>0</v>
      </c>
      <c r="O190" t="s">
        <v>693</v>
      </c>
      <c r="P190">
        <v>180</v>
      </c>
    </row>
    <row r="191" spans="2:16" x14ac:dyDescent="0.35">
      <c r="B191" s="7">
        <f t="shared" si="5"/>
        <v>181</v>
      </c>
      <c r="C191" s="3" t="s">
        <v>192</v>
      </c>
      <c r="D191" s="4" t="s">
        <v>501</v>
      </c>
      <c r="E191" s="9" t="s">
        <v>164</v>
      </c>
      <c r="F191" s="9" t="s">
        <v>19</v>
      </c>
      <c r="G191" s="14">
        <v>3</v>
      </c>
      <c r="H191" s="14">
        <v>48750000</v>
      </c>
      <c r="I191" s="14">
        <v>0</v>
      </c>
      <c r="J191" s="14">
        <v>0</v>
      </c>
      <c r="K191" s="14">
        <v>0</v>
      </c>
      <c r="L191" s="14">
        <v>0</v>
      </c>
      <c r="M191" s="4" t="e">
        <f>IF(F191="Tindakan",VLOOKUP(O191,#REF!,4,FALSE),IF(F191="Intensif",VLOOKUP(O191,#REF!,10,FALSE),IF(F191="Penunjang",VLOOKUP(O191,#REF!,16,FALSE),IF(F191="Visitase Berdasarkan Jumlah Pasien",VLOOKUP(O191,#REF!,22,FALSE),IF(F191="Visitase",VLOOKUP(O191,#REF!,28,FALSE),IF(F191="Rawat Jalan",VLOOKUP(O191,#REF!,34,FALSE),0))))))</f>
        <v>#REF!</v>
      </c>
      <c r="N191" s="12">
        <f t="shared" si="4"/>
        <v>0</v>
      </c>
      <c r="O191" t="s">
        <v>693</v>
      </c>
      <c r="P191">
        <v>181</v>
      </c>
    </row>
    <row r="192" spans="2:16" x14ac:dyDescent="0.35">
      <c r="B192" s="7">
        <f t="shared" si="5"/>
        <v>182</v>
      </c>
      <c r="C192" s="3" t="s">
        <v>336</v>
      </c>
      <c r="D192" s="4" t="s">
        <v>502</v>
      </c>
      <c r="E192" s="9" t="s">
        <v>150</v>
      </c>
      <c r="F192" s="9" t="s">
        <v>21</v>
      </c>
      <c r="G192" s="14">
        <v>406</v>
      </c>
      <c r="H192" s="14">
        <v>415294600</v>
      </c>
      <c r="I192" s="14">
        <v>54</v>
      </c>
      <c r="J192" s="14">
        <v>29466000</v>
      </c>
      <c r="K192" s="14">
        <v>0</v>
      </c>
      <c r="L192" s="14">
        <v>0</v>
      </c>
      <c r="M192" s="4" t="e">
        <f>IF(F192="Tindakan",VLOOKUP(O192,#REF!,4,FALSE),IF(F192="Intensif",VLOOKUP(O192,#REF!,10,FALSE),IF(F192="Penunjang",VLOOKUP(O192,#REF!,16,FALSE),IF(F192="Visitase Berdasarkan Jumlah Pasien",VLOOKUP(O192,#REF!,22,FALSE),IF(F192="Visitase",VLOOKUP(O192,#REF!,28,FALSE),IF(F192="Rawat Jalan",VLOOKUP(O192,#REF!,34,FALSE),0))))))</f>
        <v>#REF!</v>
      </c>
      <c r="N192" s="12">
        <f t="shared" si="4"/>
        <v>0</v>
      </c>
      <c r="O192" t="s">
        <v>707</v>
      </c>
      <c r="P192">
        <v>182</v>
      </c>
    </row>
    <row r="193" spans="2:16" x14ac:dyDescent="0.35">
      <c r="B193" s="7">
        <f t="shared" si="5"/>
        <v>183</v>
      </c>
      <c r="C193" s="3" t="s">
        <v>336</v>
      </c>
      <c r="D193" s="4" t="s">
        <v>502</v>
      </c>
      <c r="E193" s="9" t="s">
        <v>150</v>
      </c>
      <c r="F193" s="9" t="s">
        <v>22</v>
      </c>
      <c r="G193" s="14">
        <v>3</v>
      </c>
      <c r="H193" s="14">
        <v>110898000</v>
      </c>
      <c r="I193" s="14">
        <v>0</v>
      </c>
      <c r="J193" s="14">
        <v>0</v>
      </c>
      <c r="K193" s="14">
        <v>0</v>
      </c>
      <c r="L193" s="14">
        <v>0</v>
      </c>
      <c r="M193" s="4" t="e">
        <f>IF(F193="Tindakan",VLOOKUP(O193,#REF!,4,FALSE),IF(F193="Intensif",VLOOKUP(O193,#REF!,10,FALSE),IF(F193="Penunjang",VLOOKUP(O193,#REF!,16,FALSE),IF(F193="Visitase Berdasarkan Jumlah Pasien",VLOOKUP(O193,#REF!,22,FALSE),IF(F193="Visitase",VLOOKUP(O193,#REF!,28,FALSE),IF(F193="Rawat Jalan",VLOOKUP(O193,#REF!,34,FALSE),0))))))</f>
        <v>#REF!</v>
      </c>
      <c r="N193" s="12">
        <f t="shared" si="4"/>
        <v>0</v>
      </c>
      <c r="O193" t="s">
        <v>707</v>
      </c>
      <c r="P193">
        <v>183</v>
      </c>
    </row>
    <row r="194" spans="2:16" x14ac:dyDescent="0.35">
      <c r="B194" s="7">
        <f t="shared" si="5"/>
        <v>184</v>
      </c>
      <c r="C194" s="3" t="s">
        <v>291</v>
      </c>
      <c r="D194" s="4" t="s">
        <v>503</v>
      </c>
      <c r="E194" s="9" t="s">
        <v>151</v>
      </c>
      <c r="F194" s="9" t="s">
        <v>190</v>
      </c>
      <c r="G194" s="14">
        <v>128</v>
      </c>
      <c r="H194" s="14">
        <v>20480000</v>
      </c>
      <c r="I194" s="14">
        <v>6</v>
      </c>
      <c r="J194" s="14">
        <v>960000</v>
      </c>
      <c r="K194" s="14">
        <v>0</v>
      </c>
      <c r="L194" s="14">
        <v>0</v>
      </c>
      <c r="M194" s="4" t="e">
        <f>IF(F194="Tindakan",VLOOKUP(O194,#REF!,4,FALSE),IF(F194="Intensif",VLOOKUP(O194,#REF!,10,FALSE),IF(F194="Penunjang",VLOOKUP(O194,#REF!,16,FALSE),IF(F194="Visitase Berdasarkan Jumlah Pasien",VLOOKUP(O194,#REF!,22,FALSE),IF(F194="Visitase",VLOOKUP(O194,#REF!,28,FALSE),IF(F194="Rawat Jalan",VLOOKUP(O194,#REF!,34,FALSE),0))))))</f>
        <v>#REF!</v>
      </c>
      <c r="N194" s="12">
        <f t="shared" si="4"/>
        <v>0</v>
      </c>
      <c r="O194" t="s">
        <v>690</v>
      </c>
      <c r="P194">
        <v>184</v>
      </c>
    </row>
    <row r="195" spans="2:16" x14ac:dyDescent="0.35">
      <c r="B195" s="7">
        <f t="shared" si="5"/>
        <v>185</v>
      </c>
      <c r="C195" s="3" t="s">
        <v>291</v>
      </c>
      <c r="D195" s="4" t="s">
        <v>503</v>
      </c>
      <c r="E195" s="9" t="s">
        <v>151</v>
      </c>
      <c r="F195" s="9" t="s">
        <v>20</v>
      </c>
      <c r="G195" s="14">
        <v>173</v>
      </c>
      <c r="H195" s="14">
        <v>27597000</v>
      </c>
      <c r="I195" s="14">
        <v>9</v>
      </c>
      <c r="J195" s="14">
        <v>1929500</v>
      </c>
      <c r="K195" s="14">
        <v>4</v>
      </c>
      <c r="L195" s="14">
        <v>640000</v>
      </c>
      <c r="M195" s="4" t="e">
        <f>IF(F195="Tindakan",VLOOKUP(O195,#REF!,4,FALSE),IF(F195="Intensif",VLOOKUP(O195,#REF!,10,FALSE),IF(F195="Penunjang",VLOOKUP(O195,#REF!,16,FALSE),IF(F195="Visitase Berdasarkan Jumlah Pasien",VLOOKUP(O195,#REF!,22,FALSE),IF(F195="Visitase",VLOOKUP(O195,#REF!,28,FALSE),IF(F195="Rawat Jalan",VLOOKUP(O195,#REF!,34,FALSE),0))))))</f>
        <v>#REF!</v>
      </c>
      <c r="N195" s="12">
        <f t="shared" si="4"/>
        <v>0</v>
      </c>
      <c r="O195" t="s">
        <v>690</v>
      </c>
      <c r="P195">
        <v>185</v>
      </c>
    </row>
    <row r="196" spans="2:16" x14ac:dyDescent="0.35">
      <c r="B196" s="7">
        <f t="shared" si="5"/>
        <v>186</v>
      </c>
      <c r="C196" s="3" t="s">
        <v>291</v>
      </c>
      <c r="D196" s="4" t="s">
        <v>503</v>
      </c>
      <c r="E196" s="9" t="s">
        <v>151</v>
      </c>
      <c r="F196" s="9" t="s">
        <v>21</v>
      </c>
      <c r="G196" s="14">
        <v>9</v>
      </c>
      <c r="H196" s="14">
        <v>12390000</v>
      </c>
      <c r="I196" s="14">
        <v>0</v>
      </c>
      <c r="J196" s="14">
        <v>0</v>
      </c>
      <c r="K196" s="14">
        <v>0</v>
      </c>
      <c r="L196" s="14">
        <v>0</v>
      </c>
      <c r="M196" s="4" t="e">
        <f>IF(F196="Tindakan",VLOOKUP(O196,#REF!,4,FALSE),IF(F196="Intensif",VLOOKUP(O196,#REF!,10,FALSE),IF(F196="Penunjang",VLOOKUP(O196,#REF!,16,FALSE),IF(F196="Visitase Berdasarkan Jumlah Pasien",VLOOKUP(O196,#REF!,22,FALSE),IF(F196="Visitase",VLOOKUP(O196,#REF!,28,FALSE),IF(F196="Rawat Jalan",VLOOKUP(O196,#REF!,34,FALSE),0))))))</f>
        <v>#REF!</v>
      </c>
      <c r="N196" s="12">
        <f t="shared" si="4"/>
        <v>0</v>
      </c>
      <c r="O196" t="s">
        <v>690</v>
      </c>
      <c r="P196">
        <v>186</v>
      </c>
    </row>
    <row r="197" spans="2:16" x14ac:dyDescent="0.35">
      <c r="B197" s="7">
        <f t="shared" si="5"/>
        <v>187</v>
      </c>
      <c r="C197" s="3" t="s">
        <v>291</v>
      </c>
      <c r="D197" s="4" t="s">
        <v>503</v>
      </c>
      <c r="E197" s="9" t="s">
        <v>151</v>
      </c>
      <c r="F197" s="9" t="s">
        <v>21</v>
      </c>
      <c r="G197" s="14">
        <v>2</v>
      </c>
      <c r="H197" s="14">
        <v>898000</v>
      </c>
      <c r="I197" s="14">
        <v>0</v>
      </c>
      <c r="J197" s="14">
        <v>0</v>
      </c>
      <c r="K197" s="14">
        <v>0</v>
      </c>
      <c r="L197" s="14">
        <v>0</v>
      </c>
      <c r="M197" s="4" t="e">
        <f>IF(F197="Tindakan",VLOOKUP(O197,#REF!,4,FALSE),IF(F197="Intensif",VLOOKUP(O197,#REF!,10,FALSE),IF(F197="Penunjang",VLOOKUP(O197,#REF!,16,FALSE),IF(F197="Visitase Berdasarkan Jumlah Pasien",VLOOKUP(O197,#REF!,22,FALSE),IF(F197="Visitase",VLOOKUP(O197,#REF!,28,FALSE),IF(F197="Rawat Jalan",VLOOKUP(O197,#REF!,34,FALSE),0))))))</f>
        <v>#REF!</v>
      </c>
      <c r="N197" s="12">
        <f t="shared" si="4"/>
        <v>0</v>
      </c>
      <c r="O197" t="s">
        <v>690</v>
      </c>
      <c r="P197">
        <v>187</v>
      </c>
    </row>
    <row r="198" spans="2:16" x14ac:dyDescent="0.35">
      <c r="B198" s="7">
        <f t="shared" si="5"/>
        <v>188</v>
      </c>
      <c r="C198" s="3" t="s">
        <v>291</v>
      </c>
      <c r="D198" s="4" t="s">
        <v>503</v>
      </c>
      <c r="E198" s="9" t="s">
        <v>151</v>
      </c>
      <c r="F198" s="9" t="s">
        <v>22</v>
      </c>
      <c r="G198" s="14">
        <v>124</v>
      </c>
      <c r="H198" s="14">
        <v>12205000</v>
      </c>
      <c r="I198" s="14">
        <v>4</v>
      </c>
      <c r="J198" s="14">
        <v>430000</v>
      </c>
      <c r="K198" s="14">
        <v>2</v>
      </c>
      <c r="L198" s="14">
        <v>500000</v>
      </c>
      <c r="M198" s="4" t="e">
        <f>IF(F198="Tindakan",VLOOKUP(O198,#REF!,4,FALSE),IF(F198="Intensif",VLOOKUP(O198,#REF!,10,FALSE),IF(F198="Penunjang",VLOOKUP(O198,#REF!,16,FALSE),IF(F198="Visitase Berdasarkan Jumlah Pasien",VLOOKUP(O198,#REF!,22,FALSE),IF(F198="Visitase",VLOOKUP(O198,#REF!,28,FALSE),IF(F198="Rawat Jalan",VLOOKUP(O198,#REF!,34,FALSE),0))))))</f>
        <v>#REF!</v>
      </c>
      <c r="N198" s="12">
        <f t="shared" si="4"/>
        <v>0</v>
      </c>
      <c r="O198" t="s">
        <v>690</v>
      </c>
      <c r="P198">
        <v>188</v>
      </c>
    </row>
    <row r="199" spans="2:16" x14ac:dyDescent="0.35">
      <c r="B199" s="7">
        <f t="shared" si="5"/>
        <v>189</v>
      </c>
      <c r="C199" s="3" t="s">
        <v>291</v>
      </c>
      <c r="D199" s="4" t="s">
        <v>503</v>
      </c>
      <c r="E199" s="9" t="s">
        <v>151</v>
      </c>
      <c r="F199" s="9" t="s">
        <v>19</v>
      </c>
      <c r="G199" s="14">
        <v>24</v>
      </c>
      <c r="H199" s="14">
        <v>152665500</v>
      </c>
      <c r="I199" s="14">
        <v>4</v>
      </c>
      <c r="J199" s="14">
        <v>53851500</v>
      </c>
      <c r="K199" s="14">
        <v>0</v>
      </c>
      <c r="L199" s="14">
        <v>0</v>
      </c>
      <c r="M199" s="4" t="e">
        <f>IF(F199="Tindakan",VLOOKUP(O199,#REF!,4,FALSE),IF(F199="Intensif",VLOOKUP(O199,#REF!,10,FALSE),IF(F199="Penunjang",VLOOKUP(O199,#REF!,16,FALSE),IF(F199="Visitase Berdasarkan Jumlah Pasien",VLOOKUP(O199,#REF!,22,FALSE),IF(F199="Visitase",VLOOKUP(O199,#REF!,28,FALSE),IF(F199="Rawat Jalan",VLOOKUP(O199,#REF!,34,FALSE),0))))))</f>
        <v>#REF!</v>
      </c>
      <c r="N199" s="12">
        <f t="shared" si="4"/>
        <v>0</v>
      </c>
      <c r="O199" t="s">
        <v>690</v>
      </c>
      <c r="P199">
        <v>189</v>
      </c>
    </row>
    <row r="200" spans="2:16" x14ac:dyDescent="0.35">
      <c r="B200" s="7">
        <f t="shared" si="5"/>
        <v>190</v>
      </c>
      <c r="C200" s="3" t="s">
        <v>291</v>
      </c>
      <c r="D200" s="4" t="s">
        <v>503</v>
      </c>
      <c r="E200" s="9" t="s">
        <v>151</v>
      </c>
      <c r="F200" s="9" t="s">
        <v>19</v>
      </c>
      <c r="G200" s="14">
        <v>1</v>
      </c>
      <c r="H200" s="14">
        <v>4250000</v>
      </c>
      <c r="I200" s="14">
        <v>0</v>
      </c>
      <c r="J200" s="14">
        <v>0</v>
      </c>
      <c r="K200" s="14">
        <v>0</v>
      </c>
      <c r="L200" s="14">
        <v>0</v>
      </c>
      <c r="M200" s="4" t="e">
        <f>IF(F200="Tindakan",VLOOKUP(O200,#REF!,4,FALSE),IF(F200="Intensif",VLOOKUP(O200,#REF!,10,FALSE),IF(F200="Penunjang",VLOOKUP(O200,#REF!,16,FALSE),IF(F200="Visitase Berdasarkan Jumlah Pasien",VLOOKUP(O200,#REF!,22,FALSE),IF(F200="Visitase",VLOOKUP(O200,#REF!,28,FALSE),IF(F200="Rawat Jalan",VLOOKUP(O200,#REF!,34,FALSE),0))))))</f>
        <v>#REF!</v>
      </c>
      <c r="N200" s="12">
        <f t="shared" si="4"/>
        <v>0</v>
      </c>
      <c r="O200" t="s">
        <v>690</v>
      </c>
      <c r="P200">
        <v>190</v>
      </c>
    </row>
    <row r="201" spans="2:16" x14ac:dyDescent="0.35">
      <c r="B201" s="7">
        <f t="shared" si="5"/>
        <v>191</v>
      </c>
      <c r="C201" s="3" t="s">
        <v>291</v>
      </c>
      <c r="D201" s="4" t="s">
        <v>503</v>
      </c>
      <c r="E201" s="9" t="s">
        <v>151</v>
      </c>
      <c r="F201" s="9" t="s">
        <v>20</v>
      </c>
      <c r="G201" s="14">
        <v>1</v>
      </c>
      <c r="H201" s="14">
        <v>1725000</v>
      </c>
      <c r="I201" s="14">
        <v>0</v>
      </c>
      <c r="J201" s="14">
        <v>0</v>
      </c>
      <c r="K201" s="14">
        <v>0</v>
      </c>
      <c r="L201" s="14">
        <v>0</v>
      </c>
      <c r="M201" s="4" t="e">
        <f>IF(F201="Tindakan",VLOOKUP(O201,#REF!,4,FALSE),IF(F201="Intensif",VLOOKUP(O201,#REF!,10,FALSE),IF(F201="Penunjang",VLOOKUP(O201,#REF!,16,FALSE),IF(F201="Visitase Berdasarkan Jumlah Pasien",VLOOKUP(O201,#REF!,22,FALSE),IF(F201="Visitase",VLOOKUP(O201,#REF!,28,FALSE),IF(F201="Rawat Jalan",VLOOKUP(O201,#REF!,34,FALSE),0))))))</f>
        <v>#REF!</v>
      </c>
      <c r="N201" s="12">
        <f t="shared" si="4"/>
        <v>0</v>
      </c>
      <c r="O201" t="s">
        <v>690</v>
      </c>
      <c r="P201">
        <v>191</v>
      </c>
    </row>
    <row r="202" spans="2:16" x14ac:dyDescent="0.35">
      <c r="B202" s="7">
        <f t="shared" si="5"/>
        <v>192</v>
      </c>
      <c r="C202" s="3" t="s">
        <v>211</v>
      </c>
      <c r="D202" s="4" t="s">
        <v>504</v>
      </c>
      <c r="E202" s="9" t="s">
        <v>164</v>
      </c>
      <c r="F202" s="9" t="s">
        <v>190</v>
      </c>
      <c r="G202" s="14">
        <v>73</v>
      </c>
      <c r="H202" s="14">
        <v>9125000</v>
      </c>
      <c r="I202" s="14">
        <v>11</v>
      </c>
      <c r="J202" s="14">
        <v>1375000</v>
      </c>
      <c r="K202" s="14">
        <v>3</v>
      </c>
      <c r="L202" s="14">
        <v>485000</v>
      </c>
      <c r="M202" s="4" t="e">
        <f>IF(F202="Tindakan",VLOOKUP(O202,#REF!,4,FALSE),IF(F202="Intensif",VLOOKUP(O202,#REF!,10,FALSE),IF(F202="Penunjang",VLOOKUP(O202,#REF!,16,FALSE),IF(F202="Visitase Berdasarkan Jumlah Pasien",VLOOKUP(O202,#REF!,22,FALSE),IF(F202="Visitase",VLOOKUP(O202,#REF!,28,FALSE),IF(F202="Rawat Jalan",VLOOKUP(O202,#REF!,34,FALSE),0))))))</f>
        <v>#REF!</v>
      </c>
      <c r="N202" s="12">
        <f t="shared" si="4"/>
        <v>0</v>
      </c>
      <c r="O202" t="s">
        <v>693</v>
      </c>
      <c r="P202">
        <v>192</v>
      </c>
    </row>
    <row r="203" spans="2:16" x14ac:dyDescent="0.35">
      <c r="B203" s="7">
        <f t="shared" si="5"/>
        <v>193</v>
      </c>
      <c r="C203" s="3" t="s">
        <v>211</v>
      </c>
      <c r="D203" s="4" t="s">
        <v>504</v>
      </c>
      <c r="E203" s="9" t="s">
        <v>164</v>
      </c>
      <c r="F203" s="9" t="s">
        <v>19</v>
      </c>
      <c r="G203" s="14">
        <v>17</v>
      </c>
      <c r="H203" s="14">
        <v>133100000</v>
      </c>
      <c r="I203" s="14">
        <v>5</v>
      </c>
      <c r="J203" s="14">
        <v>48790000</v>
      </c>
      <c r="K203" s="14">
        <v>1</v>
      </c>
      <c r="L203" s="14">
        <v>24960000</v>
      </c>
      <c r="M203" s="4" t="e">
        <f>IF(F203="Tindakan",VLOOKUP(O203,#REF!,4,FALSE),IF(F203="Intensif",VLOOKUP(O203,#REF!,10,FALSE),IF(F203="Penunjang",VLOOKUP(O203,#REF!,16,FALSE),IF(F203="Visitase Berdasarkan Jumlah Pasien",VLOOKUP(O203,#REF!,22,FALSE),IF(F203="Visitase",VLOOKUP(O203,#REF!,28,FALSE),IF(F203="Rawat Jalan",VLOOKUP(O203,#REF!,34,FALSE),0))))))</f>
        <v>#REF!</v>
      </c>
      <c r="N203" s="12">
        <f t="shared" si="4"/>
        <v>0</v>
      </c>
      <c r="O203" t="s">
        <v>693</v>
      </c>
      <c r="P203">
        <v>193</v>
      </c>
    </row>
    <row r="204" spans="2:16" x14ac:dyDescent="0.35">
      <c r="B204" s="7">
        <f t="shared" si="5"/>
        <v>194</v>
      </c>
      <c r="C204" s="3" t="s">
        <v>211</v>
      </c>
      <c r="D204" s="4" t="s">
        <v>504</v>
      </c>
      <c r="E204" s="9" t="s">
        <v>164</v>
      </c>
      <c r="F204" s="9" t="s">
        <v>22</v>
      </c>
      <c r="G204" s="14">
        <v>140</v>
      </c>
      <c r="H204" s="14">
        <v>17382000</v>
      </c>
      <c r="I204" s="14">
        <v>10</v>
      </c>
      <c r="J204" s="14">
        <v>1064000</v>
      </c>
      <c r="K204" s="14">
        <v>13</v>
      </c>
      <c r="L204" s="14">
        <v>3927000</v>
      </c>
      <c r="M204" s="4" t="e">
        <f>IF(F204="Tindakan",VLOOKUP(O204,#REF!,4,FALSE),IF(F204="Intensif",VLOOKUP(O204,#REF!,10,FALSE),IF(F204="Penunjang",VLOOKUP(O204,#REF!,16,FALSE),IF(F204="Visitase Berdasarkan Jumlah Pasien",VLOOKUP(O204,#REF!,22,FALSE),IF(F204="Visitase",VLOOKUP(O204,#REF!,28,FALSE),IF(F204="Rawat Jalan",VLOOKUP(O204,#REF!,34,FALSE),0))))))</f>
        <v>#REF!</v>
      </c>
      <c r="N204" s="12">
        <f t="shared" ref="N204:N267" si="6">IFERROR((G204/M204)*100%, 0)</f>
        <v>0</v>
      </c>
      <c r="O204" t="s">
        <v>693</v>
      </c>
      <c r="P204">
        <v>194</v>
      </c>
    </row>
    <row r="205" spans="2:16" x14ac:dyDescent="0.35">
      <c r="B205" s="7">
        <f t="shared" ref="B205:B268" si="7">B204+1</f>
        <v>195</v>
      </c>
      <c r="C205" s="3" t="s">
        <v>399</v>
      </c>
      <c r="D205" s="4" t="s">
        <v>505</v>
      </c>
      <c r="E205" s="9" t="s">
        <v>686</v>
      </c>
      <c r="F205" s="9" t="s">
        <v>190</v>
      </c>
      <c r="G205" s="14">
        <v>17</v>
      </c>
      <c r="H205" s="14">
        <v>2300000</v>
      </c>
      <c r="I205" s="14">
        <v>0</v>
      </c>
      <c r="J205" s="14">
        <v>0</v>
      </c>
      <c r="K205" s="14">
        <v>0</v>
      </c>
      <c r="L205" s="14">
        <v>0</v>
      </c>
      <c r="M205" s="4" t="e">
        <f>IF(F205="Tindakan",VLOOKUP(O205,#REF!,4,FALSE),IF(F205="Intensif",VLOOKUP(O205,#REF!,10,FALSE),IF(F205="Penunjang",VLOOKUP(O205,#REF!,16,FALSE),IF(F205="Visitase Berdasarkan Jumlah Pasien",VLOOKUP(O205,#REF!,22,FALSE),IF(F205="Visitase",VLOOKUP(O205,#REF!,28,FALSE),IF(F205="Rawat Jalan",VLOOKUP(O205,#REF!,34,FALSE),0))))))</f>
        <v>#REF!</v>
      </c>
      <c r="N205" s="12">
        <f t="shared" si="6"/>
        <v>0</v>
      </c>
      <c r="O205" t="s">
        <v>695</v>
      </c>
      <c r="P205">
        <v>195</v>
      </c>
    </row>
    <row r="206" spans="2:16" x14ac:dyDescent="0.35">
      <c r="B206" s="7">
        <f t="shared" si="7"/>
        <v>196</v>
      </c>
      <c r="C206" s="3" t="s">
        <v>399</v>
      </c>
      <c r="D206" s="4" t="s">
        <v>505</v>
      </c>
      <c r="E206" s="9" t="s">
        <v>686</v>
      </c>
      <c r="F206" s="9" t="s">
        <v>22</v>
      </c>
      <c r="G206" s="14">
        <v>68</v>
      </c>
      <c r="H206" s="14">
        <v>5230000</v>
      </c>
      <c r="I206" s="14">
        <v>336</v>
      </c>
      <c r="J206" s="14">
        <v>25200000</v>
      </c>
      <c r="K206" s="14">
        <v>0</v>
      </c>
      <c r="L206" s="14">
        <v>0</v>
      </c>
      <c r="M206" s="4" t="e">
        <f>IF(F206="Tindakan",VLOOKUP(O206,#REF!,4,FALSE),IF(F206="Intensif",VLOOKUP(O206,#REF!,10,FALSE),IF(F206="Penunjang",VLOOKUP(O206,#REF!,16,FALSE),IF(F206="Visitase Berdasarkan Jumlah Pasien",VLOOKUP(O206,#REF!,22,FALSE),IF(F206="Visitase",VLOOKUP(O206,#REF!,28,FALSE),IF(F206="Rawat Jalan",VLOOKUP(O206,#REF!,34,FALSE),0))))))</f>
        <v>#REF!</v>
      </c>
      <c r="N206" s="12">
        <f t="shared" si="6"/>
        <v>0</v>
      </c>
      <c r="O206" t="s">
        <v>695</v>
      </c>
      <c r="P206">
        <v>196</v>
      </c>
    </row>
    <row r="207" spans="2:16" x14ac:dyDescent="0.35">
      <c r="B207" s="7">
        <f t="shared" si="7"/>
        <v>197</v>
      </c>
      <c r="C207" s="3" t="s">
        <v>271</v>
      </c>
      <c r="D207" s="4" t="s">
        <v>506</v>
      </c>
      <c r="E207" s="9" t="s">
        <v>165</v>
      </c>
      <c r="F207" s="9" t="s">
        <v>190</v>
      </c>
      <c r="G207" s="14">
        <v>194</v>
      </c>
      <c r="H207" s="14">
        <v>26630000</v>
      </c>
      <c r="I207" s="14">
        <v>4</v>
      </c>
      <c r="J207" s="14">
        <v>500000</v>
      </c>
      <c r="K207" s="14">
        <v>0</v>
      </c>
      <c r="L207" s="14">
        <v>0</v>
      </c>
      <c r="M207" s="4" t="e">
        <f>IF(F207="Tindakan",VLOOKUP(O207,#REF!,4,FALSE),IF(F207="Intensif",VLOOKUP(O207,#REF!,10,FALSE),IF(F207="Penunjang",VLOOKUP(O207,#REF!,16,FALSE),IF(F207="Visitase Berdasarkan Jumlah Pasien",VLOOKUP(O207,#REF!,22,FALSE),IF(F207="Visitase",VLOOKUP(O207,#REF!,28,FALSE),IF(F207="Rawat Jalan",VLOOKUP(O207,#REF!,34,FALSE),0))))))</f>
        <v>#REF!</v>
      </c>
      <c r="N207" s="12">
        <f t="shared" si="6"/>
        <v>0</v>
      </c>
      <c r="O207" t="s">
        <v>697</v>
      </c>
      <c r="P207">
        <v>197</v>
      </c>
    </row>
    <row r="208" spans="2:16" x14ac:dyDescent="0.35">
      <c r="B208" s="7">
        <f t="shared" si="7"/>
        <v>198</v>
      </c>
      <c r="C208" s="3" t="s">
        <v>271</v>
      </c>
      <c r="D208" s="4" t="s">
        <v>506</v>
      </c>
      <c r="E208" s="9" t="s">
        <v>165</v>
      </c>
      <c r="F208" s="9" t="s">
        <v>20</v>
      </c>
      <c r="G208" s="14">
        <v>19</v>
      </c>
      <c r="H208" s="14">
        <v>3170000</v>
      </c>
      <c r="I208" s="14">
        <v>0</v>
      </c>
      <c r="J208" s="14">
        <v>0</v>
      </c>
      <c r="K208" s="14">
        <v>0</v>
      </c>
      <c r="L208" s="14">
        <v>0</v>
      </c>
      <c r="M208" s="4" t="e">
        <f>IF(F208="Tindakan",VLOOKUP(O208,#REF!,4,FALSE),IF(F208="Intensif",VLOOKUP(O208,#REF!,10,FALSE),IF(F208="Penunjang",VLOOKUP(O208,#REF!,16,FALSE),IF(F208="Visitase Berdasarkan Jumlah Pasien",VLOOKUP(O208,#REF!,22,FALSE),IF(F208="Visitase",VLOOKUP(O208,#REF!,28,FALSE),IF(F208="Rawat Jalan",VLOOKUP(O208,#REF!,34,FALSE),0))))))</f>
        <v>#REF!</v>
      </c>
      <c r="N208" s="12">
        <f t="shared" si="6"/>
        <v>0</v>
      </c>
      <c r="O208" t="s">
        <v>697</v>
      </c>
      <c r="P208">
        <v>198</v>
      </c>
    </row>
    <row r="209" spans="2:16" x14ac:dyDescent="0.35">
      <c r="B209" s="7">
        <f t="shared" si="7"/>
        <v>199</v>
      </c>
      <c r="C209" s="3" t="s">
        <v>271</v>
      </c>
      <c r="D209" s="4" t="s">
        <v>506</v>
      </c>
      <c r="E209" s="9" t="s">
        <v>165</v>
      </c>
      <c r="F209" s="9" t="s">
        <v>22</v>
      </c>
      <c r="G209" s="14">
        <v>144</v>
      </c>
      <c r="H209" s="14">
        <v>16968000</v>
      </c>
      <c r="I209" s="14">
        <v>40</v>
      </c>
      <c r="J209" s="14">
        <v>3038000</v>
      </c>
      <c r="K209" s="14">
        <v>100</v>
      </c>
      <c r="L209" s="14">
        <v>24221000</v>
      </c>
      <c r="M209" s="4" t="e">
        <f>IF(F209="Tindakan",VLOOKUP(O209,#REF!,4,FALSE),IF(F209="Intensif",VLOOKUP(O209,#REF!,10,FALSE),IF(F209="Penunjang",VLOOKUP(O209,#REF!,16,FALSE),IF(F209="Visitase Berdasarkan Jumlah Pasien",VLOOKUP(O209,#REF!,22,FALSE),IF(F209="Visitase",VLOOKUP(O209,#REF!,28,FALSE),IF(F209="Rawat Jalan",VLOOKUP(O209,#REF!,34,FALSE),0))))))</f>
        <v>#REF!</v>
      </c>
      <c r="N209" s="12">
        <f t="shared" si="6"/>
        <v>0</v>
      </c>
      <c r="O209" t="s">
        <v>697</v>
      </c>
      <c r="P209">
        <v>199</v>
      </c>
    </row>
    <row r="210" spans="2:16" x14ac:dyDescent="0.35">
      <c r="B210" s="7">
        <f t="shared" si="7"/>
        <v>200</v>
      </c>
      <c r="C210" s="3" t="s">
        <v>271</v>
      </c>
      <c r="D210" s="4" t="s">
        <v>506</v>
      </c>
      <c r="E210" s="9" t="s">
        <v>165</v>
      </c>
      <c r="F210" s="9" t="s">
        <v>21</v>
      </c>
      <c r="G210" s="14">
        <v>1</v>
      </c>
      <c r="H210" s="14">
        <v>2353000</v>
      </c>
      <c r="I210" s="14">
        <v>0</v>
      </c>
      <c r="J210" s="14">
        <v>0</v>
      </c>
      <c r="K210" s="14">
        <v>0</v>
      </c>
      <c r="L210" s="14">
        <v>0</v>
      </c>
      <c r="M210" s="4" t="e">
        <f>IF(F210="Tindakan",VLOOKUP(O210,#REF!,4,FALSE),IF(F210="Intensif",VLOOKUP(O210,#REF!,10,FALSE),IF(F210="Penunjang",VLOOKUP(O210,#REF!,16,FALSE),IF(F210="Visitase Berdasarkan Jumlah Pasien",VLOOKUP(O210,#REF!,22,FALSE),IF(F210="Visitase",VLOOKUP(O210,#REF!,28,FALSE),IF(F210="Rawat Jalan",VLOOKUP(O210,#REF!,34,FALSE),0))))))</f>
        <v>#REF!</v>
      </c>
      <c r="N210" s="12">
        <f t="shared" si="6"/>
        <v>0</v>
      </c>
      <c r="O210" t="s">
        <v>697</v>
      </c>
      <c r="P210">
        <v>200</v>
      </c>
    </row>
    <row r="211" spans="2:16" x14ac:dyDescent="0.35">
      <c r="B211" s="7">
        <f t="shared" si="7"/>
        <v>201</v>
      </c>
      <c r="C211" s="3" t="s">
        <v>266</v>
      </c>
      <c r="D211" s="4" t="s">
        <v>507</v>
      </c>
      <c r="E211" s="9" t="s">
        <v>150</v>
      </c>
      <c r="F211" s="9" t="s">
        <v>21</v>
      </c>
      <c r="G211" s="14">
        <v>135</v>
      </c>
      <c r="H211" s="14">
        <v>203256000</v>
      </c>
      <c r="I211" s="14">
        <v>21</v>
      </c>
      <c r="J211" s="14">
        <v>16196000</v>
      </c>
      <c r="K211" s="14">
        <v>0</v>
      </c>
      <c r="L211" s="14">
        <v>0</v>
      </c>
      <c r="M211" s="4" t="e">
        <f>IF(F211="Tindakan",VLOOKUP(O211,#REF!,4,FALSE),IF(F211="Intensif",VLOOKUP(O211,#REF!,10,FALSE),IF(F211="Penunjang",VLOOKUP(O211,#REF!,16,FALSE),IF(F211="Visitase Berdasarkan Jumlah Pasien",VLOOKUP(O211,#REF!,22,FALSE),IF(F211="Visitase",VLOOKUP(O211,#REF!,28,FALSE),IF(F211="Rawat Jalan",VLOOKUP(O211,#REF!,34,FALSE),0))))))</f>
        <v>#REF!</v>
      </c>
      <c r="N211" s="12">
        <f t="shared" si="6"/>
        <v>0</v>
      </c>
      <c r="O211" t="s">
        <v>707</v>
      </c>
      <c r="P211">
        <v>201</v>
      </c>
    </row>
    <row r="212" spans="2:16" x14ac:dyDescent="0.35">
      <c r="B212" s="7">
        <f t="shared" si="7"/>
        <v>202</v>
      </c>
      <c r="C212" s="3" t="s">
        <v>252</v>
      </c>
      <c r="D212" s="4" t="s">
        <v>508</v>
      </c>
      <c r="E212" s="9" t="s">
        <v>146</v>
      </c>
      <c r="F212" s="9" t="s">
        <v>190</v>
      </c>
      <c r="G212" s="14">
        <v>53</v>
      </c>
      <c r="H212" s="14">
        <v>6625000</v>
      </c>
      <c r="I212" s="14">
        <v>0</v>
      </c>
      <c r="J212" s="14">
        <v>0</v>
      </c>
      <c r="K212" s="14">
        <v>0</v>
      </c>
      <c r="L212" s="14">
        <v>0</v>
      </c>
      <c r="M212" s="4" t="e">
        <f>IF(F212="Tindakan",VLOOKUP(O212,#REF!,4,FALSE),IF(F212="Intensif",VLOOKUP(O212,#REF!,10,FALSE),IF(F212="Penunjang",VLOOKUP(O212,#REF!,16,FALSE),IF(F212="Visitase Berdasarkan Jumlah Pasien",VLOOKUP(O212,#REF!,22,FALSE),IF(F212="Visitase",VLOOKUP(O212,#REF!,28,FALSE),IF(F212="Rawat Jalan",VLOOKUP(O212,#REF!,34,FALSE),0))))))</f>
        <v>#REF!</v>
      </c>
      <c r="N212" s="12">
        <f t="shared" si="6"/>
        <v>0</v>
      </c>
      <c r="O212" t="s">
        <v>696</v>
      </c>
      <c r="P212">
        <v>202</v>
      </c>
    </row>
    <row r="213" spans="2:16" x14ac:dyDescent="0.35">
      <c r="B213" s="7">
        <f t="shared" si="7"/>
        <v>203</v>
      </c>
      <c r="C213" s="3" t="s">
        <v>252</v>
      </c>
      <c r="D213" s="4" t="s">
        <v>508</v>
      </c>
      <c r="E213" s="9" t="s">
        <v>146</v>
      </c>
      <c r="F213" s="9" t="s">
        <v>22</v>
      </c>
      <c r="G213" s="14">
        <v>135</v>
      </c>
      <c r="H213" s="14">
        <v>38255000</v>
      </c>
      <c r="I213" s="14">
        <v>2</v>
      </c>
      <c r="J213" s="14">
        <v>375000</v>
      </c>
      <c r="K213" s="14">
        <v>40</v>
      </c>
      <c r="L213" s="14">
        <v>12000000</v>
      </c>
      <c r="M213" s="4" t="e">
        <f>IF(F213="Tindakan",VLOOKUP(O213,#REF!,4,FALSE),IF(F213="Intensif",VLOOKUP(O213,#REF!,10,FALSE),IF(F213="Penunjang",VLOOKUP(O213,#REF!,16,FALSE),IF(F213="Visitase Berdasarkan Jumlah Pasien",VLOOKUP(O213,#REF!,22,FALSE),IF(F213="Visitase",VLOOKUP(O213,#REF!,28,FALSE),IF(F213="Rawat Jalan",VLOOKUP(O213,#REF!,34,FALSE),0))))))</f>
        <v>#REF!</v>
      </c>
      <c r="N213" s="12">
        <f t="shared" si="6"/>
        <v>0</v>
      </c>
      <c r="O213" t="s">
        <v>696</v>
      </c>
      <c r="P213">
        <v>203</v>
      </c>
    </row>
    <row r="214" spans="2:16" x14ac:dyDescent="0.35">
      <c r="B214" s="7">
        <f t="shared" si="7"/>
        <v>204</v>
      </c>
      <c r="C214" s="3" t="s">
        <v>272</v>
      </c>
      <c r="D214" s="4" t="s">
        <v>509</v>
      </c>
      <c r="E214" s="9" t="s">
        <v>148</v>
      </c>
      <c r="F214" s="9" t="s">
        <v>190</v>
      </c>
      <c r="G214" s="14">
        <v>8</v>
      </c>
      <c r="H214" s="14">
        <v>1260000</v>
      </c>
      <c r="I214" s="14">
        <v>1</v>
      </c>
      <c r="J214" s="14">
        <v>160000</v>
      </c>
      <c r="K214" s="14">
        <v>0</v>
      </c>
      <c r="L214" s="14">
        <v>0</v>
      </c>
      <c r="M214" s="4" t="e">
        <f>IF(F214="Tindakan",VLOOKUP(O214,#REF!,4,FALSE),IF(F214="Intensif",VLOOKUP(O214,#REF!,10,FALSE),IF(F214="Penunjang",VLOOKUP(O214,#REF!,16,FALSE),IF(F214="Visitase Berdasarkan Jumlah Pasien",VLOOKUP(O214,#REF!,22,FALSE),IF(F214="Visitase",VLOOKUP(O214,#REF!,28,FALSE),IF(F214="Rawat Jalan",VLOOKUP(O214,#REF!,34,FALSE),0))))))</f>
        <v>#REF!</v>
      </c>
      <c r="N214" s="12">
        <f t="shared" si="6"/>
        <v>0</v>
      </c>
      <c r="O214" t="s">
        <v>700</v>
      </c>
      <c r="P214">
        <v>204</v>
      </c>
    </row>
    <row r="215" spans="2:16" x14ac:dyDescent="0.35">
      <c r="B215" s="7">
        <f t="shared" si="7"/>
        <v>205</v>
      </c>
      <c r="C215" s="3" t="s">
        <v>272</v>
      </c>
      <c r="D215" s="4" t="s">
        <v>509</v>
      </c>
      <c r="E215" s="9" t="s">
        <v>148</v>
      </c>
      <c r="F215" s="9" t="s">
        <v>20</v>
      </c>
      <c r="G215" s="14">
        <v>9</v>
      </c>
      <c r="H215" s="14">
        <v>1831000</v>
      </c>
      <c r="I215" s="14">
        <v>0</v>
      </c>
      <c r="J215" s="14">
        <v>0</v>
      </c>
      <c r="K215" s="14">
        <v>0</v>
      </c>
      <c r="L215" s="14">
        <v>0</v>
      </c>
      <c r="M215" s="4" t="e">
        <f>IF(F215="Tindakan",VLOOKUP(O215,#REF!,4,FALSE),IF(F215="Intensif",VLOOKUP(O215,#REF!,10,FALSE),IF(F215="Penunjang",VLOOKUP(O215,#REF!,16,FALSE),IF(F215="Visitase Berdasarkan Jumlah Pasien",VLOOKUP(O215,#REF!,22,FALSE),IF(F215="Visitase",VLOOKUP(O215,#REF!,28,FALSE),IF(F215="Rawat Jalan",VLOOKUP(O215,#REF!,34,FALSE),0))))))</f>
        <v>#REF!</v>
      </c>
      <c r="N215" s="12">
        <f t="shared" si="6"/>
        <v>0</v>
      </c>
      <c r="O215" t="s">
        <v>700</v>
      </c>
      <c r="P215">
        <v>205</v>
      </c>
    </row>
    <row r="216" spans="2:16" x14ac:dyDescent="0.35">
      <c r="B216" s="7">
        <f t="shared" si="7"/>
        <v>206</v>
      </c>
      <c r="C216" s="3" t="s">
        <v>272</v>
      </c>
      <c r="D216" s="4" t="s">
        <v>509</v>
      </c>
      <c r="E216" s="9" t="s">
        <v>148</v>
      </c>
      <c r="F216" s="9" t="s">
        <v>19</v>
      </c>
      <c r="G216" s="14">
        <v>2</v>
      </c>
      <c r="H216" s="14">
        <v>11000000</v>
      </c>
      <c r="I216" s="14">
        <v>0</v>
      </c>
      <c r="J216" s="14">
        <v>0</v>
      </c>
      <c r="K216" s="14">
        <v>0</v>
      </c>
      <c r="L216" s="14">
        <v>0</v>
      </c>
      <c r="M216" s="4" t="e">
        <f>IF(F216="Tindakan",VLOOKUP(O216,#REF!,4,FALSE),IF(F216="Intensif",VLOOKUP(O216,#REF!,10,FALSE),IF(F216="Penunjang",VLOOKUP(O216,#REF!,16,FALSE),IF(F216="Visitase Berdasarkan Jumlah Pasien",VLOOKUP(O216,#REF!,22,FALSE),IF(F216="Visitase",VLOOKUP(O216,#REF!,28,FALSE),IF(F216="Rawat Jalan",VLOOKUP(O216,#REF!,34,FALSE),0))))))</f>
        <v>#REF!</v>
      </c>
      <c r="N216" s="12">
        <f t="shared" si="6"/>
        <v>0</v>
      </c>
      <c r="O216" t="s">
        <v>700</v>
      </c>
      <c r="P216">
        <v>206</v>
      </c>
    </row>
    <row r="217" spans="2:16" x14ac:dyDescent="0.35">
      <c r="B217" s="7">
        <f t="shared" si="7"/>
        <v>207</v>
      </c>
      <c r="C217" s="3" t="s">
        <v>227</v>
      </c>
      <c r="D217" s="4" t="s">
        <v>510</v>
      </c>
      <c r="E217" s="9" t="s">
        <v>149</v>
      </c>
      <c r="F217" s="9" t="s">
        <v>190</v>
      </c>
      <c r="G217" s="14">
        <v>99</v>
      </c>
      <c r="H217" s="14">
        <v>12445000</v>
      </c>
      <c r="I217" s="14">
        <v>2</v>
      </c>
      <c r="J217" s="14">
        <v>250000</v>
      </c>
      <c r="K217" s="14">
        <v>1</v>
      </c>
      <c r="L217" s="14">
        <v>180000</v>
      </c>
      <c r="M217" s="4" t="e">
        <f>IF(F217="Tindakan",VLOOKUP(O217,#REF!,4,FALSE),IF(F217="Intensif",VLOOKUP(O217,#REF!,10,FALSE),IF(F217="Penunjang",VLOOKUP(O217,#REF!,16,FALSE),IF(F217="Visitase Berdasarkan Jumlah Pasien",VLOOKUP(O217,#REF!,22,FALSE),IF(F217="Visitase",VLOOKUP(O217,#REF!,28,FALSE),IF(F217="Rawat Jalan",VLOOKUP(O217,#REF!,34,FALSE),0))))))</f>
        <v>#REF!</v>
      </c>
      <c r="N217" s="12">
        <f t="shared" si="6"/>
        <v>0</v>
      </c>
      <c r="O217" t="s">
        <v>688</v>
      </c>
      <c r="P217">
        <v>207</v>
      </c>
    </row>
    <row r="218" spans="2:16" x14ac:dyDescent="0.35">
      <c r="B218" s="7">
        <f t="shared" si="7"/>
        <v>208</v>
      </c>
      <c r="C218" s="3" t="s">
        <v>227</v>
      </c>
      <c r="D218" s="4" t="s">
        <v>510</v>
      </c>
      <c r="E218" s="9" t="s">
        <v>149</v>
      </c>
      <c r="F218" s="9" t="s">
        <v>20</v>
      </c>
      <c r="G218" s="14">
        <v>26</v>
      </c>
      <c r="H218" s="14">
        <v>4490000</v>
      </c>
      <c r="I218" s="14">
        <v>0</v>
      </c>
      <c r="J218" s="14">
        <v>0</v>
      </c>
      <c r="K218" s="14">
        <v>0</v>
      </c>
      <c r="L218" s="14">
        <v>0</v>
      </c>
      <c r="M218" s="4" t="e">
        <f>IF(F218="Tindakan",VLOOKUP(O218,#REF!,4,FALSE),IF(F218="Intensif",VLOOKUP(O218,#REF!,10,FALSE),IF(F218="Penunjang",VLOOKUP(O218,#REF!,16,FALSE),IF(F218="Visitase Berdasarkan Jumlah Pasien",VLOOKUP(O218,#REF!,22,FALSE),IF(F218="Visitase",VLOOKUP(O218,#REF!,28,FALSE),IF(F218="Rawat Jalan",VLOOKUP(O218,#REF!,34,FALSE),0))))))</f>
        <v>#REF!</v>
      </c>
      <c r="N218" s="12">
        <f t="shared" si="6"/>
        <v>0</v>
      </c>
      <c r="O218" t="s">
        <v>688</v>
      </c>
      <c r="P218">
        <v>208</v>
      </c>
    </row>
    <row r="219" spans="2:16" x14ac:dyDescent="0.35">
      <c r="B219" s="7">
        <f t="shared" si="7"/>
        <v>209</v>
      </c>
      <c r="C219" s="3" t="s">
        <v>227</v>
      </c>
      <c r="D219" s="4" t="s">
        <v>510</v>
      </c>
      <c r="E219" s="9" t="s">
        <v>149</v>
      </c>
      <c r="F219" s="9" t="s">
        <v>22</v>
      </c>
      <c r="G219" s="14">
        <v>64</v>
      </c>
      <c r="H219" s="14">
        <v>7628000</v>
      </c>
      <c r="I219" s="14">
        <v>4</v>
      </c>
      <c r="J219" s="14">
        <v>300000</v>
      </c>
      <c r="K219" s="14">
        <v>55</v>
      </c>
      <c r="L219" s="14">
        <v>12900000</v>
      </c>
      <c r="M219" s="4" t="e">
        <f>IF(F219="Tindakan",VLOOKUP(O219,#REF!,4,FALSE),IF(F219="Intensif",VLOOKUP(O219,#REF!,10,FALSE),IF(F219="Penunjang",VLOOKUP(O219,#REF!,16,FALSE),IF(F219="Visitase Berdasarkan Jumlah Pasien",VLOOKUP(O219,#REF!,22,FALSE),IF(F219="Visitase",VLOOKUP(O219,#REF!,28,FALSE),IF(F219="Rawat Jalan",VLOOKUP(O219,#REF!,34,FALSE),0))))))</f>
        <v>#REF!</v>
      </c>
      <c r="N219" s="12">
        <f t="shared" si="6"/>
        <v>0</v>
      </c>
      <c r="O219" t="s">
        <v>688</v>
      </c>
      <c r="P219">
        <v>209</v>
      </c>
    </row>
    <row r="220" spans="2:16" x14ac:dyDescent="0.35">
      <c r="B220" s="7">
        <f t="shared" si="7"/>
        <v>210</v>
      </c>
      <c r="C220" s="3" t="s">
        <v>227</v>
      </c>
      <c r="D220" s="4" t="s">
        <v>510</v>
      </c>
      <c r="E220" s="9" t="s">
        <v>149</v>
      </c>
      <c r="F220" s="9" t="s">
        <v>19</v>
      </c>
      <c r="G220" s="14">
        <v>34</v>
      </c>
      <c r="H220" s="14">
        <v>262250000</v>
      </c>
      <c r="I220" s="14">
        <v>1</v>
      </c>
      <c r="J220" s="14">
        <v>22560000</v>
      </c>
      <c r="K220" s="14">
        <v>1</v>
      </c>
      <c r="L220" s="14">
        <v>8785000</v>
      </c>
      <c r="M220" s="4" t="e">
        <f>IF(F220="Tindakan",VLOOKUP(O220,#REF!,4,FALSE),IF(F220="Intensif",VLOOKUP(O220,#REF!,10,FALSE),IF(F220="Penunjang",VLOOKUP(O220,#REF!,16,FALSE),IF(F220="Visitase Berdasarkan Jumlah Pasien",VLOOKUP(O220,#REF!,22,FALSE),IF(F220="Visitase",VLOOKUP(O220,#REF!,28,FALSE),IF(F220="Rawat Jalan",VLOOKUP(O220,#REF!,34,FALSE),0))))))</f>
        <v>#REF!</v>
      </c>
      <c r="N220" s="12">
        <f t="shared" si="6"/>
        <v>0</v>
      </c>
      <c r="O220" t="s">
        <v>688</v>
      </c>
      <c r="P220">
        <v>210</v>
      </c>
    </row>
    <row r="221" spans="2:16" x14ac:dyDescent="0.35">
      <c r="B221" s="7">
        <f t="shared" si="7"/>
        <v>211</v>
      </c>
      <c r="C221" s="3" t="s">
        <v>241</v>
      </c>
      <c r="D221" s="4" t="s">
        <v>511</v>
      </c>
      <c r="E221" s="9" t="s">
        <v>177</v>
      </c>
      <c r="F221" s="9" t="s">
        <v>190</v>
      </c>
      <c r="G221" s="14">
        <v>23</v>
      </c>
      <c r="H221" s="14">
        <v>2875000</v>
      </c>
      <c r="I221" s="14">
        <v>0</v>
      </c>
      <c r="J221" s="14">
        <v>0</v>
      </c>
      <c r="K221" s="14">
        <v>0</v>
      </c>
      <c r="L221" s="14">
        <v>0</v>
      </c>
      <c r="M221" s="4" t="e">
        <f>IF(F221="Tindakan",VLOOKUP(O221,#REF!,4,FALSE),IF(F221="Intensif",VLOOKUP(O221,#REF!,10,FALSE),IF(F221="Penunjang",VLOOKUP(O221,#REF!,16,FALSE),IF(F221="Visitase Berdasarkan Jumlah Pasien",VLOOKUP(O221,#REF!,22,FALSE),IF(F221="Visitase",VLOOKUP(O221,#REF!,28,FALSE),IF(F221="Rawat Jalan",VLOOKUP(O221,#REF!,34,FALSE),0))))))</f>
        <v>#REF!</v>
      </c>
      <c r="N221" s="12">
        <f t="shared" si="6"/>
        <v>0</v>
      </c>
      <c r="O221" t="s">
        <v>702</v>
      </c>
      <c r="P221">
        <v>211</v>
      </c>
    </row>
    <row r="222" spans="2:16" x14ac:dyDescent="0.35">
      <c r="B222" s="7">
        <f t="shared" si="7"/>
        <v>212</v>
      </c>
      <c r="C222" s="3" t="s">
        <v>241</v>
      </c>
      <c r="D222" s="4" t="s">
        <v>511</v>
      </c>
      <c r="E222" s="9" t="s">
        <v>177</v>
      </c>
      <c r="F222" s="9" t="s">
        <v>22</v>
      </c>
      <c r="G222" s="14">
        <v>462</v>
      </c>
      <c r="H222" s="14">
        <v>31431000</v>
      </c>
      <c r="I222" s="14">
        <v>6</v>
      </c>
      <c r="J222" s="14">
        <v>426000</v>
      </c>
      <c r="K222" s="14">
        <v>13</v>
      </c>
      <c r="L222" s="14">
        <v>2486000</v>
      </c>
      <c r="M222" s="4" t="e">
        <f>IF(F222="Tindakan",VLOOKUP(O222,#REF!,4,FALSE),IF(F222="Intensif",VLOOKUP(O222,#REF!,10,FALSE),IF(F222="Penunjang",VLOOKUP(O222,#REF!,16,FALSE),IF(F222="Visitase Berdasarkan Jumlah Pasien",VLOOKUP(O222,#REF!,22,FALSE),IF(F222="Visitase",VLOOKUP(O222,#REF!,28,FALSE),IF(F222="Rawat Jalan",VLOOKUP(O222,#REF!,34,FALSE),0))))))</f>
        <v>#REF!</v>
      </c>
      <c r="N222" s="12">
        <f t="shared" si="6"/>
        <v>0</v>
      </c>
      <c r="O222" t="s">
        <v>702</v>
      </c>
      <c r="P222">
        <v>212</v>
      </c>
    </row>
    <row r="223" spans="2:16" x14ac:dyDescent="0.35">
      <c r="B223" s="7">
        <f t="shared" si="7"/>
        <v>213</v>
      </c>
      <c r="C223" s="3" t="s">
        <v>241</v>
      </c>
      <c r="D223" s="4" t="s">
        <v>511</v>
      </c>
      <c r="E223" s="9" t="s">
        <v>177</v>
      </c>
      <c r="F223" s="9" t="s">
        <v>19</v>
      </c>
      <c r="G223" s="14">
        <v>13</v>
      </c>
      <c r="H223" s="14">
        <v>366110000</v>
      </c>
      <c r="I223" s="14">
        <v>0</v>
      </c>
      <c r="J223" s="14">
        <v>0</v>
      </c>
      <c r="K223" s="14">
        <v>0</v>
      </c>
      <c r="L223" s="14">
        <v>0</v>
      </c>
      <c r="M223" s="4" t="e">
        <f>IF(F223="Tindakan",VLOOKUP(O223,#REF!,4,FALSE),IF(F223="Intensif",VLOOKUP(O223,#REF!,10,FALSE),IF(F223="Penunjang",VLOOKUP(O223,#REF!,16,FALSE),IF(F223="Visitase Berdasarkan Jumlah Pasien",VLOOKUP(O223,#REF!,22,FALSE),IF(F223="Visitase",VLOOKUP(O223,#REF!,28,FALSE),IF(F223="Rawat Jalan",VLOOKUP(O223,#REF!,34,FALSE),0))))))</f>
        <v>#REF!</v>
      </c>
      <c r="N223" s="12">
        <f t="shared" si="6"/>
        <v>0</v>
      </c>
      <c r="O223" t="s">
        <v>702</v>
      </c>
      <c r="P223">
        <v>213</v>
      </c>
    </row>
    <row r="224" spans="2:16" x14ac:dyDescent="0.35">
      <c r="B224" s="7">
        <f t="shared" si="7"/>
        <v>214</v>
      </c>
      <c r="C224" s="3" t="s">
        <v>400</v>
      </c>
      <c r="D224" s="4" t="s">
        <v>512</v>
      </c>
      <c r="E224" s="9" t="s">
        <v>686</v>
      </c>
      <c r="F224" s="9" t="s">
        <v>22</v>
      </c>
      <c r="G224" s="14">
        <v>0</v>
      </c>
      <c r="H224" s="14">
        <v>0</v>
      </c>
      <c r="I224" s="14">
        <v>0</v>
      </c>
      <c r="J224" s="14">
        <v>0</v>
      </c>
      <c r="K224" s="14">
        <v>49</v>
      </c>
      <c r="L224" s="14">
        <v>8445000</v>
      </c>
      <c r="M224" s="4" t="e">
        <f>IF(F224="Tindakan",VLOOKUP(O224,#REF!,4,FALSE),IF(F224="Intensif",VLOOKUP(O224,#REF!,10,FALSE),IF(F224="Penunjang",VLOOKUP(O224,#REF!,16,FALSE),IF(F224="Visitase Berdasarkan Jumlah Pasien",VLOOKUP(O224,#REF!,22,FALSE),IF(F224="Visitase",VLOOKUP(O224,#REF!,28,FALSE),IF(F224="Rawat Jalan",VLOOKUP(O224,#REF!,34,FALSE),0))))))</f>
        <v>#REF!</v>
      </c>
      <c r="N224" s="12">
        <f t="shared" si="6"/>
        <v>0</v>
      </c>
      <c r="O224" t="s">
        <v>695</v>
      </c>
      <c r="P224">
        <v>214</v>
      </c>
    </row>
    <row r="225" spans="2:16" x14ac:dyDescent="0.35">
      <c r="B225" s="7">
        <f t="shared" si="7"/>
        <v>215</v>
      </c>
      <c r="C225" s="3" t="s">
        <v>228</v>
      </c>
      <c r="D225" s="4" t="s">
        <v>513</v>
      </c>
      <c r="E225" s="9" t="s">
        <v>175</v>
      </c>
      <c r="F225" s="9" t="s">
        <v>20</v>
      </c>
      <c r="G225" s="14">
        <v>18</v>
      </c>
      <c r="H225" s="14">
        <v>2972000</v>
      </c>
      <c r="I225" s="14">
        <v>0</v>
      </c>
      <c r="J225" s="14">
        <v>0</v>
      </c>
      <c r="K225" s="14">
        <v>0</v>
      </c>
      <c r="L225" s="14">
        <v>0</v>
      </c>
      <c r="M225" s="4" t="e">
        <f>IF(F225="Tindakan",VLOOKUP(O225,#REF!,4,FALSE),IF(F225="Intensif",VLOOKUP(O225,#REF!,10,FALSE),IF(F225="Penunjang",VLOOKUP(O225,#REF!,16,FALSE),IF(F225="Visitase Berdasarkan Jumlah Pasien",VLOOKUP(O225,#REF!,22,FALSE),IF(F225="Visitase",VLOOKUP(O225,#REF!,28,FALSE),IF(F225="Rawat Jalan",VLOOKUP(O225,#REF!,34,FALSE),0))))))</f>
        <v>#REF!</v>
      </c>
      <c r="N225" s="12">
        <f t="shared" si="6"/>
        <v>0</v>
      </c>
      <c r="O225" t="s">
        <v>688</v>
      </c>
      <c r="P225">
        <v>215</v>
      </c>
    </row>
    <row r="226" spans="2:16" x14ac:dyDescent="0.35">
      <c r="B226" s="7">
        <f t="shared" si="7"/>
        <v>216</v>
      </c>
      <c r="C226" s="3" t="s">
        <v>228</v>
      </c>
      <c r="D226" s="4" t="s">
        <v>513</v>
      </c>
      <c r="E226" s="9" t="s">
        <v>175</v>
      </c>
      <c r="F226" s="9" t="s">
        <v>190</v>
      </c>
      <c r="G226" s="14">
        <v>13</v>
      </c>
      <c r="H226" s="14">
        <v>1870000</v>
      </c>
      <c r="I226" s="14">
        <v>2</v>
      </c>
      <c r="J226" s="14">
        <v>285000</v>
      </c>
      <c r="K226" s="14">
        <v>0</v>
      </c>
      <c r="L226" s="14">
        <v>0</v>
      </c>
      <c r="M226" s="4" t="e">
        <f>IF(F226="Tindakan",VLOOKUP(O226,#REF!,4,FALSE),IF(F226="Intensif",VLOOKUP(O226,#REF!,10,FALSE),IF(F226="Penunjang",VLOOKUP(O226,#REF!,16,FALSE),IF(F226="Visitase Berdasarkan Jumlah Pasien",VLOOKUP(O226,#REF!,22,FALSE),IF(F226="Visitase",VLOOKUP(O226,#REF!,28,FALSE),IF(F226="Rawat Jalan",VLOOKUP(O226,#REF!,34,FALSE),0))))))</f>
        <v>#REF!</v>
      </c>
      <c r="N226" s="12">
        <f t="shared" si="6"/>
        <v>0</v>
      </c>
      <c r="O226" t="s">
        <v>688</v>
      </c>
      <c r="P226">
        <v>216</v>
      </c>
    </row>
    <row r="227" spans="2:16" x14ac:dyDescent="0.35">
      <c r="B227" s="7">
        <f t="shared" si="7"/>
        <v>217</v>
      </c>
      <c r="C227" s="3" t="s">
        <v>228</v>
      </c>
      <c r="D227" s="4" t="s">
        <v>513</v>
      </c>
      <c r="E227" s="9" t="s">
        <v>175</v>
      </c>
      <c r="F227" s="9" t="s">
        <v>22</v>
      </c>
      <c r="G227" s="14">
        <v>50</v>
      </c>
      <c r="H227" s="14">
        <v>9379000</v>
      </c>
      <c r="I227" s="14">
        <v>5</v>
      </c>
      <c r="J227" s="14">
        <v>928000</v>
      </c>
      <c r="K227" s="14">
        <v>23</v>
      </c>
      <c r="L227" s="14">
        <v>46830000</v>
      </c>
      <c r="M227" s="4" t="e">
        <f>IF(F227="Tindakan",VLOOKUP(O227,#REF!,4,FALSE),IF(F227="Intensif",VLOOKUP(O227,#REF!,10,FALSE),IF(F227="Penunjang",VLOOKUP(O227,#REF!,16,FALSE),IF(F227="Visitase Berdasarkan Jumlah Pasien",VLOOKUP(O227,#REF!,22,FALSE),IF(F227="Visitase",VLOOKUP(O227,#REF!,28,FALSE),IF(F227="Rawat Jalan",VLOOKUP(O227,#REF!,34,FALSE),0))))))</f>
        <v>#REF!</v>
      </c>
      <c r="N227" s="12">
        <f t="shared" si="6"/>
        <v>0</v>
      </c>
      <c r="O227" t="s">
        <v>688</v>
      </c>
      <c r="P227">
        <v>217</v>
      </c>
    </row>
    <row r="228" spans="2:16" x14ac:dyDescent="0.35">
      <c r="B228" s="7">
        <f t="shared" si="7"/>
        <v>218</v>
      </c>
      <c r="C228" s="3" t="s">
        <v>228</v>
      </c>
      <c r="D228" s="4" t="s">
        <v>513</v>
      </c>
      <c r="E228" s="9" t="s">
        <v>175</v>
      </c>
      <c r="F228" s="9" t="s">
        <v>19</v>
      </c>
      <c r="G228" s="14">
        <v>7</v>
      </c>
      <c r="H228" s="14">
        <v>71750000</v>
      </c>
      <c r="I228" s="14">
        <v>2</v>
      </c>
      <c r="J228" s="14">
        <v>3500000</v>
      </c>
      <c r="K228" s="14">
        <v>0</v>
      </c>
      <c r="L228" s="14">
        <v>0</v>
      </c>
      <c r="M228" s="4" t="e">
        <f>IF(F228="Tindakan",VLOOKUP(O228,#REF!,4,FALSE),IF(F228="Intensif",VLOOKUP(O228,#REF!,10,FALSE),IF(F228="Penunjang",VLOOKUP(O228,#REF!,16,FALSE),IF(F228="Visitase Berdasarkan Jumlah Pasien",VLOOKUP(O228,#REF!,22,FALSE),IF(F228="Visitase",VLOOKUP(O228,#REF!,28,FALSE),IF(F228="Rawat Jalan",VLOOKUP(O228,#REF!,34,FALSE),0))))))</f>
        <v>#REF!</v>
      </c>
      <c r="N228" s="12">
        <f t="shared" si="6"/>
        <v>0</v>
      </c>
      <c r="O228" t="s">
        <v>688</v>
      </c>
      <c r="P228">
        <v>218</v>
      </c>
    </row>
    <row r="229" spans="2:16" x14ac:dyDescent="0.35">
      <c r="B229" s="7">
        <f t="shared" si="7"/>
        <v>219</v>
      </c>
      <c r="C229" s="3" t="s">
        <v>315</v>
      </c>
      <c r="D229" s="4" t="s">
        <v>514</v>
      </c>
      <c r="E229" s="9" t="s">
        <v>146</v>
      </c>
      <c r="F229" s="9" t="s">
        <v>190</v>
      </c>
      <c r="G229" s="14">
        <v>29</v>
      </c>
      <c r="H229" s="14">
        <v>4300000</v>
      </c>
      <c r="I229" s="14">
        <v>0</v>
      </c>
      <c r="J229" s="14">
        <v>0</v>
      </c>
      <c r="K229" s="14">
        <v>0</v>
      </c>
      <c r="L229" s="14">
        <v>0</v>
      </c>
      <c r="M229" s="4" t="e">
        <f>IF(F229="Tindakan",VLOOKUP(O229,#REF!,4,FALSE),IF(F229="Intensif",VLOOKUP(O229,#REF!,10,FALSE),IF(F229="Penunjang",VLOOKUP(O229,#REF!,16,FALSE),IF(F229="Visitase Berdasarkan Jumlah Pasien",VLOOKUP(O229,#REF!,22,FALSE),IF(F229="Visitase",VLOOKUP(O229,#REF!,28,FALSE),IF(F229="Rawat Jalan",VLOOKUP(O229,#REF!,34,FALSE),0))))))</f>
        <v>#REF!</v>
      </c>
      <c r="N229" s="12">
        <f t="shared" si="6"/>
        <v>0</v>
      </c>
      <c r="O229" t="s">
        <v>696</v>
      </c>
      <c r="P229">
        <v>219</v>
      </c>
    </row>
    <row r="230" spans="2:16" x14ac:dyDescent="0.35">
      <c r="B230" s="7">
        <f t="shared" si="7"/>
        <v>220</v>
      </c>
      <c r="C230" s="3" t="s">
        <v>315</v>
      </c>
      <c r="D230" s="4" t="s">
        <v>514</v>
      </c>
      <c r="E230" s="9" t="s">
        <v>146</v>
      </c>
      <c r="F230" s="9" t="s">
        <v>20</v>
      </c>
      <c r="G230" s="14">
        <v>8</v>
      </c>
      <c r="H230" s="14">
        <v>1400000</v>
      </c>
      <c r="I230" s="14">
        <v>1</v>
      </c>
      <c r="J230" s="14">
        <v>175000</v>
      </c>
      <c r="K230" s="14">
        <v>0</v>
      </c>
      <c r="L230" s="14">
        <v>0</v>
      </c>
      <c r="M230" s="4" t="e">
        <f>IF(F230="Tindakan",VLOOKUP(O230,#REF!,4,FALSE),IF(F230="Intensif",VLOOKUP(O230,#REF!,10,FALSE),IF(F230="Penunjang",VLOOKUP(O230,#REF!,16,FALSE),IF(F230="Visitase Berdasarkan Jumlah Pasien",VLOOKUP(O230,#REF!,22,FALSE),IF(F230="Visitase",VLOOKUP(O230,#REF!,28,FALSE),IF(F230="Rawat Jalan",VLOOKUP(O230,#REF!,34,FALSE),0))))))</f>
        <v>#REF!</v>
      </c>
      <c r="N230" s="12">
        <f t="shared" si="6"/>
        <v>0</v>
      </c>
      <c r="O230" t="s">
        <v>696</v>
      </c>
      <c r="P230">
        <v>220</v>
      </c>
    </row>
    <row r="231" spans="2:16" x14ac:dyDescent="0.35">
      <c r="B231" s="7">
        <f t="shared" si="7"/>
        <v>221</v>
      </c>
      <c r="C231" s="3" t="s">
        <v>315</v>
      </c>
      <c r="D231" s="4" t="s">
        <v>514</v>
      </c>
      <c r="E231" s="9" t="s">
        <v>146</v>
      </c>
      <c r="F231" s="9" t="s">
        <v>22</v>
      </c>
      <c r="G231" s="14">
        <v>858</v>
      </c>
      <c r="H231" s="14">
        <v>698063000</v>
      </c>
      <c r="I231" s="14">
        <v>13</v>
      </c>
      <c r="J231" s="14">
        <v>8140000</v>
      </c>
      <c r="K231" s="14">
        <v>21</v>
      </c>
      <c r="L231" s="14">
        <v>6985000</v>
      </c>
      <c r="M231" s="4" t="e">
        <f>IF(F231="Tindakan",VLOOKUP(O231,#REF!,4,FALSE),IF(F231="Intensif",VLOOKUP(O231,#REF!,10,FALSE),IF(F231="Penunjang",VLOOKUP(O231,#REF!,16,FALSE),IF(F231="Visitase Berdasarkan Jumlah Pasien",VLOOKUP(O231,#REF!,22,FALSE),IF(F231="Visitase",VLOOKUP(O231,#REF!,28,FALSE),IF(F231="Rawat Jalan",VLOOKUP(O231,#REF!,34,FALSE),0))))))</f>
        <v>#REF!</v>
      </c>
      <c r="N231" s="12">
        <f t="shared" si="6"/>
        <v>0</v>
      </c>
      <c r="O231" t="s">
        <v>696</v>
      </c>
      <c r="P231">
        <v>221</v>
      </c>
    </row>
    <row r="232" spans="2:16" x14ac:dyDescent="0.35">
      <c r="B232" s="7">
        <f t="shared" si="7"/>
        <v>222</v>
      </c>
      <c r="C232" s="3" t="s">
        <v>401</v>
      </c>
      <c r="D232" s="4" t="s">
        <v>515</v>
      </c>
      <c r="E232" s="9" t="s">
        <v>686</v>
      </c>
      <c r="F232" s="9" t="s">
        <v>190</v>
      </c>
      <c r="G232" s="14">
        <v>3</v>
      </c>
      <c r="H232" s="14">
        <v>445000</v>
      </c>
      <c r="I232" s="14">
        <v>0</v>
      </c>
      <c r="J232" s="14">
        <v>0</v>
      </c>
      <c r="K232" s="14">
        <v>0</v>
      </c>
      <c r="L232" s="14">
        <v>0</v>
      </c>
      <c r="M232" s="4" t="e">
        <f>IF(F232="Tindakan",VLOOKUP(O232,#REF!,4,FALSE),IF(F232="Intensif",VLOOKUP(O232,#REF!,10,FALSE),IF(F232="Penunjang",VLOOKUP(O232,#REF!,16,FALSE),IF(F232="Visitase Berdasarkan Jumlah Pasien",VLOOKUP(O232,#REF!,22,FALSE),IF(F232="Visitase",VLOOKUP(O232,#REF!,28,FALSE),IF(F232="Rawat Jalan",VLOOKUP(O232,#REF!,34,FALSE),0))))))</f>
        <v>#REF!</v>
      </c>
      <c r="N232" s="12">
        <f t="shared" si="6"/>
        <v>0</v>
      </c>
      <c r="O232" t="s">
        <v>695</v>
      </c>
      <c r="P232">
        <v>222</v>
      </c>
    </row>
    <row r="233" spans="2:16" x14ac:dyDescent="0.35">
      <c r="B233" s="7">
        <f t="shared" si="7"/>
        <v>223</v>
      </c>
      <c r="C233" s="3" t="s">
        <v>199</v>
      </c>
      <c r="D233" s="4" t="s">
        <v>516</v>
      </c>
      <c r="E233" s="9" t="s">
        <v>185</v>
      </c>
      <c r="F233" s="9" t="s">
        <v>190</v>
      </c>
      <c r="G233" s="14">
        <v>86</v>
      </c>
      <c r="H233" s="14">
        <v>11135000</v>
      </c>
      <c r="I233" s="14">
        <v>0</v>
      </c>
      <c r="J233" s="14">
        <v>0</v>
      </c>
      <c r="K233" s="14">
        <v>4</v>
      </c>
      <c r="L233" s="14">
        <v>720000</v>
      </c>
      <c r="M233" s="4" t="e">
        <f>IF(F233="Tindakan",VLOOKUP(O233,#REF!,4,FALSE),IF(F233="Intensif",VLOOKUP(O233,#REF!,10,FALSE),IF(F233="Penunjang",VLOOKUP(O233,#REF!,16,FALSE),IF(F233="Visitase Berdasarkan Jumlah Pasien",VLOOKUP(O233,#REF!,22,FALSE),IF(F233="Visitase",VLOOKUP(O233,#REF!,28,FALSE),IF(F233="Rawat Jalan",VLOOKUP(O233,#REF!,34,FALSE),0))))))</f>
        <v>#REF!</v>
      </c>
      <c r="N233" s="12">
        <f t="shared" si="6"/>
        <v>0</v>
      </c>
      <c r="O233" t="s">
        <v>688</v>
      </c>
      <c r="P233">
        <v>223</v>
      </c>
    </row>
    <row r="234" spans="2:16" x14ac:dyDescent="0.35">
      <c r="B234" s="7">
        <f t="shared" si="7"/>
        <v>224</v>
      </c>
      <c r="C234" s="3" t="s">
        <v>199</v>
      </c>
      <c r="D234" s="4" t="s">
        <v>516</v>
      </c>
      <c r="E234" s="9" t="s">
        <v>185</v>
      </c>
      <c r="F234" s="9" t="s">
        <v>20</v>
      </c>
      <c r="G234" s="14">
        <v>14</v>
      </c>
      <c r="H234" s="14">
        <v>2420000</v>
      </c>
      <c r="I234" s="14">
        <v>0</v>
      </c>
      <c r="J234" s="14">
        <v>0</v>
      </c>
      <c r="K234" s="14">
        <v>2</v>
      </c>
      <c r="L234" s="14">
        <v>350000</v>
      </c>
      <c r="M234" s="4" t="e">
        <f>IF(F234="Tindakan",VLOOKUP(O234,#REF!,4,FALSE),IF(F234="Intensif",VLOOKUP(O234,#REF!,10,FALSE),IF(F234="Penunjang",VLOOKUP(O234,#REF!,16,FALSE),IF(F234="Visitase Berdasarkan Jumlah Pasien",VLOOKUP(O234,#REF!,22,FALSE),IF(F234="Visitase",VLOOKUP(O234,#REF!,28,FALSE),IF(F234="Rawat Jalan",VLOOKUP(O234,#REF!,34,FALSE),0))))))</f>
        <v>#REF!</v>
      </c>
      <c r="N234" s="12">
        <f t="shared" si="6"/>
        <v>0</v>
      </c>
      <c r="O234" t="s">
        <v>688</v>
      </c>
      <c r="P234">
        <v>224</v>
      </c>
    </row>
    <row r="235" spans="2:16" x14ac:dyDescent="0.35">
      <c r="B235" s="7">
        <f t="shared" si="7"/>
        <v>225</v>
      </c>
      <c r="C235" s="3" t="s">
        <v>199</v>
      </c>
      <c r="D235" s="4" t="s">
        <v>516</v>
      </c>
      <c r="E235" s="9" t="s">
        <v>185</v>
      </c>
      <c r="F235" s="9" t="s">
        <v>19</v>
      </c>
      <c r="G235" s="14">
        <v>13</v>
      </c>
      <c r="H235" s="14">
        <v>115750000</v>
      </c>
      <c r="I235" s="14">
        <v>0</v>
      </c>
      <c r="J235" s="14">
        <v>0</v>
      </c>
      <c r="K235" s="14">
        <v>3</v>
      </c>
      <c r="L235" s="14">
        <v>48175000</v>
      </c>
      <c r="M235" s="4" t="e">
        <f>IF(F235="Tindakan",VLOOKUP(O235,#REF!,4,FALSE),IF(F235="Intensif",VLOOKUP(O235,#REF!,10,FALSE),IF(F235="Penunjang",VLOOKUP(O235,#REF!,16,FALSE),IF(F235="Visitase Berdasarkan Jumlah Pasien",VLOOKUP(O235,#REF!,22,FALSE),IF(F235="Visitase",VLOOKUP(O235,#REF!,28,FALSE),IF(F235="Rawat Jalan",VLOOKUP(O235,#REF!,34,FALSE),0))))))</f>
        <v>#REF!</v>
      </c>
      <c r="N235" s="12">
        <f t="shared" si="6"/>
        <v>0</v>
      </c>
      <c r="O235" t="s">
        <v>688</v>
      </c>
      <c r="P235">
        <v>225</v>
      </c>
    </row>
    <row r="236" spans="2:16" x14ac:dyDescent="0.35">
      <c r="B236" s="7">
        <f t="shared" si="7"/>
        <v>226</v>
      </c>
      <c r="C236" s="3" t="s">
        <v>199</v>
      </c>
      <c r="D236" s="4" t="s">
        <v>516</v>
      </c>
      <c r="E236" s="9" t="s">
        <v>185</v>
      </c>
      <c r="F236" s="9" t="s">
        <v>22</v>
      </c>
      <c r="G236" s="14">
        <v>211</v>
      </c>
      <c r="H236" s="14">
        <v>22044000</v>
      </c>
      <c r="I236" s="14">
        <v>5</v>
      </c>
      <c r="J236" s="14">
        <v>567000</v>
      </c>
      <c r="K236" s="14">
        <v>20</v>
      </c>
      <c r="L236" s="14">
        <v>5880000</v>
      </c>
      <c r="M236" s="4" t="e">
        <f>IF(F236="Tindakan",VLOOKUP(O236,#REF!,4,FALSE),IF(F236="Intensif",VLOOKUP(O236,#REF!,10,FALSE),IF(F236="Penunjang",VLOOKUP(O236,#REF!,16,FALSE),IF(F236="Visitase Berdasarkan Jumlah Pasien",VLOOKUP(O236,#REF!,22,FALSE),IF(F236="Visitase",VLOOKUP(O236,#REF!,28,FALSE),IF(F236="Rawat Jalan",VLOOKUP(O236,#REF!,34,FALSE),0))))))</f>
        <v>#REF!</v>
      </c>
      <c r="N236" s="12">
        <f t="shared" si="6"/>
        <v>0</v>
      </c>
      <c r="O236" t="s">
        <v>688</v>
      </c>
      <c r="P236">
        <v>226</v>
      </c>
    </row>
    <row r="237" spans="2:16" x14ac:dyDescent="0.35">
      <c r="B237" s="7">
        <f t="shared" si="7"/>
        <v>227</v>
      </c>
      <c r="C237" s="3" t="s">
        <v>381</v>
      </c>
      <c r="D237" s="4" t="s">
        <v>517</v>
      </c>
      <c r="E237" s="9" t="s">
        <v>153</v>
      </c>
      <c r="F237" s="9" t="s">
        <v>21</v>
      </c>
      <c r="G237" s="14">
        <v>1</v>
      </c>
      <c r="H237" s="14">
        <v>404000</v>
      </c>
      <c r="I237" s="14">
        <v>0</v>
      </c>
      <c r="J237" s="14">
        <v>0</v>
      </c>
      <c r="K237" s="14">
        <v>0</v>
      </c>
      <c r="L237" s="14">
        <v>0</v>
      </c>
      <c r="M237" s="4" t="e">
        <f>IF(F237="Tindakan",VLOOKUP(O237,#REF!,4,FALSE),IF(F237="Intensif",VLOOKUP(O237,#REF!,10,FALSE),IF(F237="Penunjang",VLOOKUP(O237,#REF!,16,FALSE),IF(F237="Visitase Berdasarkan Jumlah Pasien",VLOOKUP(O237,#REF!,22,FALSE),IF(F237="Visitase",VLOOKUP(O237,#REF!,28,FALSE),IF(F237="Rawat Jalan",VLOOKUP(O237,#REF!,34,FALSE),0))))))</f>
        <v>#REF!</v>
      </c>
      <c r="N237" s="12">
        <f t="shared" si="6"/>
        <v>0</v>
      </c>
      <c r="O237" t="s">
        <v>698</v>
      </c>
      <c r="P237">
        <v>227</v>
      </c>
    </row>
    <row r="238" spans="2:16" x14ac:dyDescent="0.35">
      <c r="B238" s="7">
        <f t="shared" si="7"/>
        <v>228</v>
      </c>
      <c r="C238" s="3" t="s">
        <v>333</v>
      </c>
      <c r="D238" s="4" t="s">
        <v>518</v>
      </c>
      <c r="E238" s="9" t="s">
        <v>172</v>
      </c>
      <c r="F238" s="9" t="s">
        <v>190</v>
      </c>
      <c r="G238" s="14">
        <v>14</v>
      </c>
      <c r="H238" s="14">
        <v>2170000</v>
      </c>
      <c r="I238" s="14">
        <v>0</v>
      </c>
      <c r="J238" s="14">
        <v>0</v>
      </c>
      <c r="K238" s="14">
        <v>0</v>
      </c>
      <c r="L238" s="14">
        <v>0</v>
      </c>
      <c r="M238" s="4" t="e">
        <f>IF(F238="Tindakan",VLOOKUP(O238,#REF!,4,FALSE),IF(F238="Intensif",VLOOKUP(O238,#REF!,10,FALSE),IF(F238="Penunjang",VLOOKUP(O238,#REF!,16,FALSE),IF(F238="Visitase Berdasarkan Jumlah Pasien",VLOOKUP(O238,#REF!,22,FALSE),IF(F238="Visitase",VLOOKUP(O238,#REF!,28,FALSE),IF(F238="Rawat Jalan",VLOOKUP(O238,#REF!,34,FALSE),0))))))</f>
        <v>#REF!</v>
      </c>
      <c r="N238" s="12">
        <f t="shared" si="6"/>
        <v>0</v>
      </c>
      <c r="O238" t="s">
        <v>701</v>
      </c>
      <c r="P238">
        <v>228</v>
      </c>
    </row>
    <row r="239" spans="2:16" x14ac:dyDescent="0.35">
      <c r="B239" s="7">
        <f t="shared" si="7"/>
        <v>229</v>
      </c>
      <c r="C239" s="3" t="s">
        <v>333</v>
      </c>
      <c r="D239" s="4" t="s">
        <v>518</v>
      </c>
      <c r="E239" s="9" t="s">
        <v>172</v>
      </c>
      <c r="F239" s="9" t="s">
        <v>20</v>
      </c>
      <c r="G239" s="14">
        <v>0</v>
      </c>
      <c r="H239" s="14">
        <v>0</v>
      </c>
      <c r="I239" s="14">
        <v>8</v>
      </c>
      <c r="J239" s="14">
        <v>1315000</v>
      </c>
      <c r="K239" s="14">
        <v>0</v>
      </c>
      <c r="L239" s="14">
        <v>0</v>
      </c>
      <c r="M239" s="4" t="e">
        <f>IF(F239="Tindakan",VLOOKUP(O239,#REF!,4,FALSE),IF(F239="Intensif",VLOOKUP(O239,#REF!,10,FALSE),IF(F239="Penunjang",VLOOKUP(O239,#REF!,16,FALSE),IF(F239="Visitase Berdasarkan Jumlah Pasien",VLOOKUP(O239,#REF!,22,FALSE),IF(F239="Visitase",VLOOKUP(O239,#REF!,28,FALSE),IF(F239="Rawat Jalan",VLOOKUP(O239,#REF!,34,FALSE),0))))))</f>
        <v>#REF!</v>
      </c>
      <c r="N239" s="12">
        <f t="shared" si="6"/>
        <v>0</v>
      </c>
      <c r="O239" t="s">
        <v>701</v>
      </c>
      <c r="P239">
        <v>229</v>
      </c>
    </row>
    <row r="240" spans="2:16" x14ac:dyDescent="0.35">
      <c r="B240" s="7">
        <f t="shared" si="7"/>
        <v>230</v>
      </c>
      <c r="C240" s="3" t="s">
        <v>333</v>
      </c>
      <c r="D240" s="4" t="s">
        <v>518</v>
      </c>
      <c r="E240" s="9" t="s">
        <v>172</v>
      </c>
      <c r="F240" s="9" t="s">
        <v>22</v>
      </c>
      <c r="G240" s="14">
        <v>4</v>
      </c>
      <c r="H240" s="14">
        <v>960000</v>
      </c>
      <c r="I240" s="14">
        <v>0</v>
      </c>
      <c r="J240" s="14">
        <v>0</v>
      </c>
      <c r="K240" s="14">
        <v>3</v>
      </c>
      <c r="L240" s="14">
        <v>900000</v>
      </c>
      <c r="M240" s="4" t="e">
        <f>IF(F240="Tindakan",VLOOKUP(O240,#REF!,4,FALSE),IF(F240="Intensif",VLOOKUP(O240,#REF!,10,FALSE),IF(F240="Penunjang",VLOOKUP(O240,#REF!,16,FALSE),IF(F240="Visitase Berdasarkan Jumlah Pasien",VLOOKUP(O240,#REF!,22,FALSE),IF(F240="Visitase",VLOOKUP(O240,#REF!,28,FALSE),IF(F240="Rawat Jalan",VLOOKUP(O240,#REF!,34,FALSE),0))))))</f>
        <v>#REF!</v>
      </c>
      <c r="N240" s="12">
        <f t="shared" si="6"/>
        <v>0</v>
      </c>
      <c r="O240" t="s">
        <v>701</v>
      </c>
      <c r="P240">
        <v>230</v>
      </c>
    </row>
    <row r="241" spans="2:16" x14ac:dyDescent="0.35">
      <c r="B241" s="7">
        <f t="shared" si="7"/>
        <v>231</v>
      </c>
      <c r="C241" s="3" t="s">
        <v>235</v>
      </c>
      <c r="D241" s="4" t="s">
        <v>519</v>
      </c>
      <c r="E241" s="9" t="s">
        <v>147</v>
      </c>
      <c r="F241" s="9" t="s">
        <v>190</v>
      </c>
      <c r="G241" s="14">
        <v>25</v>
      </c>
      <c r="H241" s="14">
        <v>3125000</v>
      </c>
      <c r="I241" s="14">
        <v>0</v>
      </c>
      <c r="J241" s="14">
        <v>0</v>
      </c>
      <c r="K241" s="14">
        <v>1</v>
      </c>
      <c r="L241" s="14">
        <v>180000</v>
      </c>
      <c r="M241" s="4" t="e">
        <f>IF(F241="Tindakan",VLOOKUP(O241,#REF!,4,FALSE),IF(F241="Intensif",VLOOKUP(O241,#REF!,10,FALSE),IF(F241="Penunjang",VLOOKUP(O241,#REF!,16,FALSE),IF(F241="Visitase Berdasarkan Jumlah Pasien",VLOOKUP(O241,#REF!,22,FALSE),IF(F241="Visitase",VLOOKUP(O241,#REF!,28,FALSE),IF(F241="Rawat Jalan",VLOOKUP(O241,#REF!,34,FALSE),0))))))</f>
        <v>#REF!</v>
      </c>
      <c r="N241" s="12">
        <f t="shared" si="6"/>
        <v>0</v>
      </c>
      <c r="O241" t="s">
        <v>691</v>
      </c>
      <c r="P241">
        <v>231</v>
      </c>
    </row>
    <row r="242" spans="2:16" x14ac:dyDescent="0.35">
      <c r="B242" s="7">
        <f t="shared" si="7"/>
        <v>232</v>
      </c>
      <c r="C242" s="3" t="s">
        <v>235</v>
      </c>
      <c r="D242" s="4" t="s">
        <v>519</v>
      </c>
      <c r="E242" s="9" t="s">
        <v>147</v>
      </c>
      <c r="F242" s="9" t="s">
        <v>20</v>
      </c>
      <c r="G242" s="14">
        <v>7</v>
      </c>
      <c r="H242" s="14">
        <v>1145000</v>
      </c>
      <c r="I242" s="14">
        <v>0</v>
      </c>
      <c r="J242" s="14">
        <v>0</v>
      </c>
      <c r="K242" s="14">
        <v>0</v>
      </c>
      <c r="L242" s="14">
        <v>0</v>
      </c>
      <c r="M242" s="4" t="e">
        <f>IF(F242="Tindakan",VLOOKUP(O242,#REF!,4,FALSE),IF(F242="Intensif",VLOOKUP(O242,#REF!,10,FALSE),IF(F242="Penunjang",VLOOKUP(O242,#REF!,16,FALSE),IF(F242="Visitase Berdasarkan Jumlah Pasien",VLOOKUP(O242,#REF!,22,FALSE),IF(F242="Visitase",VLOOKUP(O242,#REF!,28,FALSE),IF(F242="Rawat Jalan",VLOOKUP(O242,#REF!,34,FALSE),0))))))</f>
        <v>#REF!</v>
      </c>
      <c r="N242" s="12">
        <f t="shared" si="6"/>
        <v>0</v>
      </c>
      <c r="O242" t="s">
        <v>691</v>
      </c>
      <c r="P242">
        <v>232</v>
      </c>
    </row>
    <row r="243" spans="2:16" x14ac:dyDescent="0.35">
      <c r="B243" s="7">
        <f t="shared" si="7"/>
        <v>233</v>
      </c>
      <c r="C243" s="3" t="s">
        <v>235</v>
      </c>
      <c r="D243" s="4" t="s">
        <v>519</v>
      </c>
      <c r="E243" s="9" t="s">
        <v>147</v>
      </c>
      <c r="F243" s="9" t="s">
        <v>22</v>
      </c>
      <c r="G243" s="14">
        <v>263</v>
      </c>
      <c r="H243" s="14">
        <v>57834000</v>
      </c>
      <c r="I243" s="14">
        <v>23</v>
      </c>
      <c r="J243" s="14">
        <v>4536000</v>
      </c>
      <c r="K243" s="14">
        <v>36</v>
      </c>
      <c r="L243" s="14">
        <v>19055000</v>
      </c>
      <c r="M243" s="4" t="e">
        <f>IF(F243="Tindakan",VLOOKUP(O243,#REF!,4,FALSE),IF(F243="Intensif",VLOOKUP(O243,#REF!,10,FALSE),IF(F243="Penunjang",VLOOKUP(O243,#REF!,16,FALSE),IF(F243="Visitase Berdasarkan Jumlah Pasien",VLOOKUP(O243,#REF!,22,FALSE),IF(F243="Visitase",VLOOKUP(O243,#REF!,28,FALSE),IF(F243="Rawat Jalan",VLOOKUP(O243,#REF!,34,FALSE),0))))))</f>
        <v>#REF!</v>
      </c>
      <c r="N243" s="12">
        <f t="shared" si="6"/>
        <v>0</v>
      </c>
      <c r="O243" t="s">
        <v>691</v>
      </c>
      <c r="P243">
        <v>233</v>
      </c>
    </row>
    <row r="244" spans="2:16" x14ac:dyDescent="0.35">
      <c r="B244" s="7">
        <f t="shared" si="7"/>
        <v>234</v>
      </c>
      <c r="C244" s="3" t="s">
        <v>235</v>
      </c>
      <c r="D244" s="4" t="s">
        <v>519</v>
      </c>
      <c r="E244" s="9" t="s">
        <v>147</v>
      </c>
      <c r="F244" s="9" t="s">
        <v>19</v>
      </c>
      <c r="G244" s="14">
        <v>7</v>
      </c>
      <c r="H244" s="14">
        <v>27722000</v>
      </c>
      <c r="I244" s="14">
        <v>0</v>
      </c>
      <c r="J244" s="14">
        <v>0</v>
      </c>
      <c r="K244" s="14">
        <v>0</v>
      </c>
      <c r="L244" s="14">
        <v>0</v>
      </c>
      <c r="M244" s="4" t="e">
        <f>IF(F244="Tindakan",VLOOKUP(O244,#REF!,4,FALSE),IF(F244="Intensif",VLOOKUP(O244,#REF!,10,FALSE),IF(F244="Penunjang",VLOOKUP(O244,#REF!,16,FALSE),IF(F244="Visitase Berdasarkan Jumlah Pasien",VLOOKUP(O244,#REF!,22,FALSE),IF(F244="Visitase",VLOOKUP(O244,#REF!,28,FALSE),IF(F244="Rawat Jalan",VLOOKUP(O244,#REF!,34,FALSE),0))))))</f>
        <v>#REF!</v>
      </c>
      <c r="N244" s="12">
        <f t="shared" si="6"/>
        <v>0</v>
      </c>
      <c r="O244" t="s">
        <v>691</v>
      </c>
      <c r="P244">
        <v>234</v>
      </c>
    </row>
    <row r="245" spans="2:16" x14ac:dyDescent="0.35">
      <c r="B245" s="7">
        <f t="shared" si="7"/>
        <v>235</v>
      </c>
      <c r="C245" s="3" t="s">
        <v>195</v>
      </c>
      <c r="D245" s="4" t="s">
        <v>520</v>
      </c>
      <c r="E245" s="9" t="s">
        <v>164</v>
      </c>
      <c r="F245" s="9" t="s">
        <v>190</v>
      </c>
      <c r="G245" s="14">
        <v>32</v>
      </c>
      <c r="H245" s="14">
        <v>4070000</v>
      </c>
      <c r="I245" s="14">
        <v>0</v>
      </c>
      <c r="J245" s="14">
        <v>0</v>
      </c>
      <c r="K245" s="14">
        <v>0</v>
      </c>
      <c r="L245" s="14">
        <v>0</v>
      </c>
      <c r="M245" s="4" t="e">
        <f>IF(F245="Tindakan",VLOOKUP(O245,#REF!,4,FALSE),IF(F245="Intensif",VLOOKUP(O245,#REF!,10,FALSE),IF(F245="Penunjang",VLOOKUP(O245,#REF!,16,FALSE),IF(F245="Visitase Berdasarkan Jumlah Pasien",VLOOKUP(O245,#REF!,22,FALSE),IF(F245="Visitase",VLOOKUP(O245,#REF!,28,FALSE),IF(F245="Rawat Jalan",VLOOKUP(O245,#REF!,34,FALSE),0))))))</f>
        <v>#REF!</v>
      </c>
      <c r="N245" s="12">
        <f t="shared" si="6"/>
        <v>0</v>
      </c>
      <c r="O245" t="s">
        <v>693</v>
      </c>
      <c r="P245">
        <v>235</v>
      </c>
    </row>
    <row r="246" spans="2:16" x14ac:dyDescent="0.35">
      <c r="B246" s="7">
        <f t="shared" si="7"/>
        <v>236</v>
      </c>
      <c r="C246" s="3" t="s">
        <v>195</v>
      </c>
      <c r="D246" s="4" t="s">
        <v>520</v>
      </c>
      <c r="E246" s="9" t="s">
        <v>164</v>
      </c>
      <c r="F246" s="9" t="s">
        <v>20</v>
      </c>
      <c r="G246" s="14">
        <v>9</v>
      </c>
      <c r="H246" s="14">
        <v>1545000</v>
      </c>
      <c r="I246" s="14">
        <v>0</v>
      </c>
      <c r="J246" s="14">
        <v>0</v>
      </c>
      <c r="K246" s="14">
        <v>0</v>
      </c>
      <c r="L246" s="14">
        <v>0</v>
      </c>
      <c r="M246" s="4" t="e">
        <f>IF(F246="Tindakan",VLOOKUP(O246,#REF!,4,FALSE),IF(F246="Intensif",VLOOKUP(O246,#REF!,10,FALSE),IF(F246="Penunjang",VLOOKUP(O246,#REF!,16,FALSE),IF(F246="Visitase Berdasarkan Jumlah Pasien",VLOOKUP(O246,#REF!,22,FALSE),IF(F246="Visitase",VLOOKUP(O246,#REF!,28,FALSE),IF(F246="Rawat Jalan",VLOOKUP(O246,#REF!,34,FALSE),0))))))</f>
        <v>#REF!</v>
      </c>
      <c r="N246" s="12">
        <f t="shared" si="6"/>
        <v>0</v>
      </c>
      <c r="O246" t="s">
        <v>693</v>
      </c>
      <c r="P246">
        <v>236</v>
      </c>
    </row>
    <row r="247" spans="2:16" x14ac:dyDescent="0.35">
      <c r="B247" s="7">
        <f t="shared" si="7"/>
        <v>237</v>
      </c>
      <c r="C247" s="3" t="s">
        <v>195</v>
      </c>
      <c r="D247" s="4" t="s">
        <v>520</v>
      </c>
      <c r="E247" s="9" t="s">
        <v>164</v>
      </c>
      <c r="F247" s="9" t="s">
        <v>22</v>
      </c>
      <c r="G247" s="14">
        <v>32</v>
      </c>
      <c r="H247" s="14">
        <v>2625000</v>
      </c>
      <c r="I247" s="14">
        <v>4</v>
      </c>
      <c r="J247" s="14">
        <v>300000</v>
      </c>
      <c r="K247" s="14">
        <v>2</v>
      </c>
      <c r="L247" s="14">
        <v>600000</v>
      </c>
      <c r="M247" s="4" t="e">
        <f>IF(F247="Tindakan",VLOOKUP(O247,#REF!,4,FALSE),IF(F247="Intensif",VLOOKUP(O247,#REF!,10,FALSE),IF(F247="Penunjang",VLOOKUP(O247,#REF!,16,FALSE),IF(F247="Visitase Berdasarkan Jumlah Pasien",VLOOKUP(O247,#REF!,22,FALSE),IF(F247="Visitase",VLOOKUP(O247,#REF!,28,FALSE),IF(F247="Rawat Jalan",VLOOKUP(O247,#REF!,34,FALSE),0))))))</f>
        <v>#REF!</v>
      </c>
      <c r="N247" s="12">
        <f t="shared" si="6"/>
        <v>0</v>
      </c>
      <c r="O247" t="s">
        <v>693</v>
      </c>
      <c r="P247">
        <v>237</v>
      </c>
    </row>
    <row r="248" spans="2:16" x14ac:dyDescent="0.35">
      <c r="B248" s="7">
        <f t="shared" si="7"/>
        <v>238</v>
      </c>
      <c r="C248" s="3" t="s">
        <v>195</v>
      </c>
      <c r="D248" s="4" t="s">
        <v>520</v>
      </c>
      <c r="E248" s="9" t="s">
        <v>164</v>
      </c>
      <c r="F248" s="9" t="s">
        <v>19</v>
      </c>
      <c r="G248" s="14">
        <v>6</v>
      </c>
      <c r="H248" s="14">
        <v>94500000</v>
      </c>
      <c r="I248" s="14">
        <v>0</v>
      </c>
      <c r="J248" s="14">
        <v>0</v>
      </c>
      <c r="K248" s="14">
        <v>0</v>
      </c>
      <c r="L248" s="14">
        <v>0</v>
      </c>
      <c r="M248" s="4" t="e">
        <f>IF(F248="Tindakan",VLOOKUP(O248,#REF!,4,FALSE),IF(F248="Intensif",VLOOKUP(O248,#REF!,10,FALSE),IF(F248="Penunjang",VLOOKUP(O248,#REF!,16,FALSE),IF(F248="Visitase Berdasarkan Jumlah Pasien",VLOOKUP(O248,#REF!,22,FALSE),IF(F248="Visitase",VLOOKUP(O248,#REF!,28,FALSE),IF(F248="Rawat Jalan",VLOOKUP(O248,#REF!,34,FALSE),0))))))</f>
        <v>#REF!</v>
      </c>
      <c r="N248" s="12">
        <f t="shared" si="6"/>
        <v>0</v>
      </c>
      <c r="O248" t="s">
        <v>693</v>
      </c>
      <c r="P248">
        <v>238</v>
      </c>
    </row>
    <row r="249" spans="2:16" x14ac:dyDescent="0.35">
      <c r="B249" s="7">
        <f t="shared" si="7"/>
        <v>239</v>
      </c>
      <c r="C249" s="3" t="s">
        <v>316</v>
      </c>
      <c r="D249" s="4" t="s">
        <v>521</v>
      </c>
      <c r="E249" s="9" t="s">
        <v>146</v>
      </c>
      <c r="F249" s="9" t="s">
        <v>190</v>
      </c>
      <c r="G249" s="14">
        <v>173</v>
      </c>
      <c r="H249" s="14">
        <v>21625000</v>
      </c>
      <c r="I249" s="14">
        <v>13</v>
      </c>
      <c r="J249" s="14">
        <v>1625000</v>
      </c>
      <c r="K249" s="14">
        <v>0</v>
      </c>
      <c r="L249" s="14">
        <v>0</v>
      </c>
      <c r="M249" s="4" t="e">
        <f>IF(F249="Tindakan",VLOOKUP(O249,#REF!,4,FALSE),IF(F249="Intensif",VLOOKUP(O249,#REF!,10,FALSE),IF(F249="Penunjang",VLOOKUP(O249,#REF!,16,FALSE),IF(F249="Visitase Berdasarkan Jumlah Pasien",VLOOKUP(O249,#REF!,22,FALSE),IF(F249="Visitase",VLOOKUP(O249,#REF!,28,FALSE),IF(F249="Rawat Jalan",VLOOKUP(O249,#REF!,34,FALSE),0))))))</f>
        <v>#REF!</v>
      </c>
      <c r="N249" s="12">
        <f t="shared" si="6"/>
        <v>0</v>
      </c>
      <c r="O249" t="s">
        <v>696</v>
      </c>
      <c r="P249">
        <v>239</v>
      </c>
    </row>
    <row r="250" spans="2:16" x14ac:dyDescent="0.35">
      <c r="B250" s="7">
        <f t="shared" si="7"/>
        <v>240</v>
      </c>
      <c r="C250" s="3" t="s">
        <v>316</v>
      </c>
      <c r="D250" s="4" t="s">
        <v>521</v>
      </c>
      <c r="E250" s="9" t="s">
        <v>146</v>
      </c>
      <c r="F250" s="9" t="s">
        <v>22</v>
      </c>
      <c r="G250" s="14">
        <v>163</v>
      </c>
      <c r="H250" s="14">
        <v>16015000</v>
      </c>
      <c r="I250" s="14">
        <v>0</v>
      </c>
      <c r="J250" s="14">
        <v>0</v>
      </c>
      <c r="K250" s="14">
        <v>21</v>
      </c>
      <c r="L250" s="14">
        <v>6300000</v>
      </c>
      <c r="M250" s="4" t="e">
        <f>IF(F250="Tindakan",VLOOKUP(O250,#REF!,4,FALSE),IF(F250="Intensif",VLOOKUP(O250,#REF!,10,FALSE),IF(F250="Penunjang",VLOOKUP(O250,#REF!,16,FALSE),IF(F250="Visitase Berdasarkan Jumlah Pasien",VLOOKUP(O250,#REF!,22,FALSE),IF(F250="Visitase",VLOOKUP(O250,#REF!,28,FALSE),IF(F250="Rawat Jalan",VLOOKUP(O250,#REF!,34,FALSE),0))))))</f>
        <v>#REF!</v>
      </c>
      <c r="N250" s="12">
        <f t="shared" si="6"/>
        <v>0</v>
      </c>
      <c r="O250" t="s">
        <v>696</v>
      </c>
      <c r="P250">
        <v>240</v>
      </c>
    </row>
    <row r="251" spans="2:16" x14ac:dyDescent="0.35">
      <c r="B251" s="7">
        <f t="shared" si="7"/>
        <v>241</v>
      </c>
      <c r="C251" s="3" t="s">
        <v>402</v>
      </c>
      <c r="D251" s="4" t="s">
        <v>522</v>
      </c>
      <c r="E251" s="9" t="s">
        <v>178</v>
      </c>
      <c r="F251" s="9" t="s">
        <v>190</v>
      </c>
      <c r="G251" s="14">
        <v>18</v>
      </c>
      <c r="H251" s="14">
        <v>2530000</v>
      </c>
      <c r="I251" s="14">
        <v>0</v>
      </c>
      <c r="J251" s="14">
        <v>0</v>
      </c>
      <c r="K251" s="14">
        <v>0</v>
      </c>
      <c r="L251" s="14">
        <v>0</v>
      </c>
      <c r="M251" s="4" t="e">
        <f>IF(F251="Tindakan",VLOOKUP(O251,#REF!,4,FALSE),IF(F251="Intensif",VLOOKUP(O251,#REF!,10,FALSE),IF(F251="Penunjang",VLOOKUP(O251,#REF!,16,FALSE),IF(F251="Visitase Berdasarkan Jumlah Pasien",VLOOKUP(O251,#REF!,22,FALSE),IF(F251="Visitase",VLOOKUP(O251,#REF!,28,FALSE),IF(F251="Rawat Jalan",VLOOKUP(O251,#REF!,34,FALSE),0))))))</f>
        <v>#REF!</v>
      </c>
      <c r="N251" s="12">
        <f t="shared" si="6"/>
        <v>0</v>
      </c>
      <c r="O251" t="s">
        <v>689</v>
      </c>
      <c r="P251">
        <v>241</v>
      </c>
    </row>
    <row r="252" spans="2:16" x14ac:dyDescent="0.35">
      <c r="B252" s="7">
        <f t="shared" si="7"/>
        <v>242</v>
      </c>
      <c r="C252" s="3" t="s">
        <v>402</v>
      </c>
      <c r="D252" s="4" t="s">
        <v>522</v>
      </c>
      <c r="E252" s="9" t="s">
        <v>178</v>
      </c>
      <c r="F252" s="9" t="s">
        <v>20</v>
      </c>
      <c r="G252" s="14">
        <v>48</v>
      </c>
      <c r="H252" s="14">
        <v>5640000</v>
      </c>
      <c r="I252" s="14">
        <v>1</v>
      </c>
      <c r="J252" s="14">
        <v>175000</v>
      </c>
      <c r="K252" s="14">
        <v>0</v>
      </c>
      <c r="L252" s="14">
        <v>0</v>
      </c>
      <c r="M252" s="4" t="e">
        <f>IF(F252="Tindakan",VLOOKUP(O252,#REF!,4,FALSE),IF(F252="Intensif",VLOOKUP(O252,#REF!,10,FALSE),IF(F252="Penunjang",VLOOKUP(O252,#REF!,16,FALSE),IF(F252="Visitase Berdasarkan Jumlah Pasien",VLOOKUP(O252,#REF!,22,FALSE),IF(F252="Visitase",VLOOKUP(O252,#REF!,28,FALSE),IF(F252="Rawat Jalan",VLOOKUP(O252,#REF!,34,FALSE),0))))))</f>
        <v>#REF!</v>
      </c>
      <c r="N252" s="12">
        <f t="shared" si="6"/>
        <v>0</v>
      </c>
      <c r="O252" t="s">
        <v>689</v>
      </c>
      <c r="P252">
        <v>242</v>
      </c>
    </row>
    <row r="253" spans="2:16" x14ac:dyDescent="0.35">
      <c r="B253" s="7">
        <f t="shared" si="7"/>
        <v>243</v>
      </c>
      <c r="C253" s="3" t="s">
        <v>402</v>
      </c>
      <c r="D253" s="4" t="s">
        <v>522</v>
      </c>
      <c r="E253" s="9" t="s">
        <v>178</v>
      </c>
      <c r="F253" s="9" t="s">
        <v>22</v>
      </c>
      <c r="G253" s="14">
        <v>322</v>
      </c>
      <c r="H253" s="14">
        <v>60840000</v>
      </c>
      <c r="I253" s="14">
        <v>10</v>
      </c>
      <c r="J253" s="14">
        <v>740000</v>
      </c>
      <c r="K253" s="14">
        <v>18</v>
      </c>
      <c r="L253" s="14">
        <v>3015000</v>
      </c>
      <c r="M253" s="4" t="e">
        <f>IF(F253="Tindakan",VLOOKUP(O253,#REF!,4,FALSE),IF(F253="Intensif",VLOOKUP(O253,#REF!,10,FALSE),IF(F253="Penunjang",VLOOKUP(O253,#REF!,16,FALSE),IF(F253="Visitase Berdasarkan Jumlah Pasien",VLOOKUP(O253,#REF!,22,FALSE),IF(F253="Visitase",VLOOKUP(O253,#REF!,28,FALSE),IF(F253="Rawat Jalan",VLOOKUP(O253,#REF!,34,FALSE),0))))))</f>
        <v>#REF!</v>
      </c>
      <c r="N253" s="12">
        <f t="shared" si="6"/>
        <v>0</v>
      </c>
      <c r="O253" t="s">
        <v>689</v>
      </c>
      <c r="P253">
        <v>243</v>
      </c>
    </row>
    <row r="254" spans="2:16" x14ac:dyDescent="0.35">
      <c r="B254" s="7">
        <f t="shared" si="7"/>
        <v>244</v>
      </c>
      <c r="C254" s="3" t="s">
        <v>363</v>
      </c>
      <c r="D254" s="4" t="s">
        <v>523</v>
      </c>
      <c r="E254" s="9" t="s">
        <v>178</v>
      </c>
      <c r="F254" s="9" t="s">
        <v>190</v>
      </c>
      <c r="G254" s="14">
        <v>46</v>
      </c>
      <c r="H254" s="14">
        <v>6590000</v>
      </c>
      <c r="I254" s="14">
        <v>0</v>
      </c>
      <c r="J254" s="14">
        <v>0</v>
      </c>
      <c r="K254" s="14">
        <v>0</v>
      </c>
      <c r="L254" s="14">
        <v>0</v>
      </c>
      <c r="M254" s="4" t="e">
        <f>IF(F254="Tindakan",VLOOKUP(O254,#REF!,4,FALSE),IF(F254="Intensif",VLOOKUP(O254,#REF!,10,FALSE),IF(F254="Penunjang",VLOOKUP(O254,#REF!,16,FALSE),IF(F254="Visitase Berdasarkan Jumlah Pasien",VLOOKUP(O254,#REF!,22,FALSE),IF(F254="Visitase",VLOOKUP(O254,#REF!,28,FALSE),IF(F254="Rawat Jalan",VLOOKUP(O254,#REF!,34,FALSE),0))))))</f>
        <v>#REF!</v>
      </c>
      <c r="N254" s="12">
        <f t="shared" si="6"/>
        <v>0</v>
      </c>
      <c r="O254" t="s">
        <v>689</v>
      </c>
      <c r="P254">
        <v>244</v>
      </c>
    </row>
    <row r="255" spans="2:16" x14ac:dyDescent="0.35">
      <c r="B255" s="7">
        <f t="shared" si="7"/>
        <v>245</v>
      </c>
      <c r="C255" s="3" t="s">
        <v>363</v>
      </c>
      <c r="D255" s="4" t="s">
        <v>523</v>
      </c>
      <c r="E255" s="9" t="s">
        <v>178</v>
      </c>
      <c r="F255" s="9" t="s">
        <v>20</v>
      </c>
      <c r="G255" s="14">
        <v>51</v>
      </c>
      <c r="H255" s="14">
        <v>8174000</v>
      </c>
      <c r="I255" s="14">
        <v>4</v>
      </c>
      <c r="J255" s="14">
        <v>470000</v>
      </c>
      <c r="K255" s="14">
        <v>0</v>
      </c>
      <c r="L255" s="14">
        <v>0</v>
      </c>
      <c r="M255" s="4" t="e">
        <f>IF(F255="Tindakan",VLOOKUP(O255,#REF!,4,FALSE),IF(F255="Intensif",VLOOKUP(O255,#REF!,10,FALSE),IF(F255="Penunjang",VLOOKUP(O255,#REF!,16,FALSE),IF(F255="Visitase Berdasarkan Jumlah Pasien",VLOOKUP(O255,#REF!,22,FALSE),IF(F255="Visitase",VLOOKUP(O255,#REF!,28,FALSE),IF(F255="Rawat Jalan",VLOOKUP(O255,#REF!,34,FALSE),0))))))</f>
        <v>#REF!</v>
      </c>
      <c r="N255" s="12">
        <f t="shared" si="6"/>
        <v>0</v>
      </c>
      <c r="O255" t="s">
        <v>689</v>
      </c>
      <c r="P255">
        <v>245</v>
      </c>
    </row>
    <row r="256" spans="2:16" x14ac:dyDescent="0.35">
      <c r="B256" s="7">
        <f t="shared" si="7"/>
        <v>246</v>
      </c>
      <c r="C256" s="3" t="s">
        <v>363</v>
      </c>
      <c r="D256" s="4" t="s">
        <v>523</v>
      </c>
      <c r="E256" s="9" t="s">
        <v>178</v>
      </c>
      <c r="F256" s="9" t="s">
        <v>22</v>
      </c>
      <c r="G256" s="14">
        <v>505</v>
      </c>
      <c r="H256" s="14">
        <v>138026500</v>
      </c>
      <c r="I256" s="14">
        <v>117</v>
      </c>
      <c r="J256" s="14">
        <v>8005000</v>
      </c>
      <c r="K256" s="14">
        <v>8</v>
      </c>
      <c r="L256" s="14">
        <v>1340000</v>
      </c>
      <c r="M256" s="4" t="e">
        <f>IF(F256="Tindakan",VLOOKUP(O256,#REF!,4,FALSE),IF(F256="Intensif",VLOOKUP(O256,#REF!,10,FALSE),IF(F256="Penunjang",VLOOKUP(O256,#REF!,16,FALSE),IF(F256="Visitase Berdasarkan Jumlah Pasien",VLOOKUP(O256,#REF!,22,FALSE),IF(F256="Visitase",VLOOKUP(O256,#REF!,28,FALSE),IF(F256="Rawat Jalan",VLOOKUP(O256,#REF!,34,FALSE),0))))))</f>
        <v>#REF!</v>
      </c>
      <c r="N256" s="12">
        <f t="shared" si="6"/>
        <v>0</v>
      </c>
      <c r="O256" t="s">
        <v>689</v>
      </c>
      <c r="P256">
        <v>246</v>
      </c>
    </row>
    <row r="257" spans="2:16" x14ac:dyDescent="0.35">
      <c r="B257" s="7">
        <f t="shared" si="7"/>
        <v>247</v>
      </c>
      <c r="C257" s="3" t="s">
        <v>363</v>
      </c>
      <c r="D257" s="4" t="s">
        <v>523</v>
      </c>
      <c r="E257" s="9" t="s">
        <v>178</v>
      </c>
      <c r="F257" s="9" t="s">
        <v>22</v>
      </c>
      <c r="G257" s="14">
        <v>10</v>
      </c>
      <c r="H257" s="14">
        <v>1270000</v>
      </c>
      <c r="I257" s="14">
        <v>1</v>
      </c>
      <c r="J257" s="14">
        <v>140000</v>
      </c>
      <c r="K257" s="14">
        <v>0</v>
      </c>
      <c r="L257" s="14">
        <v>0</v>
      </c>
      <c r="M257" s="4" t="e">
        <f>IF(F257="Tindakan",VLOOKUP(O257,#REF!,4,FALSE),IF(F257="Intensif",VLOOKUP(O257,#REF!,10,FALSE),IF(F257="Penunjang",VLOOKUP(O257,#REF!,16,FALSE),IF(F257="Visitase Berdasarkan Jumlah Pasien",VLOOKUP(O257,#REF!,22,FALSE),IF(F257="Visitase",VLOOKUP(O257,#REF!,28,FALSE),IF(F257="Rawat Jalan",VLOOKUP(O257,#REF!,34,FALSE),0))))))</f>
        <v>#REF!</v>
      </c>
      <c r="N257" s="12">
        <f t="shared" si="6"/>
        <v>0</v>
      </c>
      <c r="O257" t="s">
        <v>689</v>
      </c>
      <c r="P257">
        <v>247</v>
      </c>
    </row>
    <row r="258" spans="2:16" x14ac:dyDescent="0.35">
      <c r="B258" s="7">
        <f t="shared" si="7"/>
        <v>248</v>
      </c>
      <c r="C258" s="3" t="s">
        <v>212</v>
      </c>
      <c r="D258" s="4" t="s">
        <v>524</v>
      </c>
      <c r="E258" s="9" t="s">
        <v>164</v>
      </c>
      <c r="F258" s="9" t="s">
        <v>190</v>
      </c>
      <c r="G258" s="14">
        <v>29</v>
      </c>
      <c r="H258" s="14">
        <v>3625000</v>
      </c>
      <c r="I258" s="14">
        <v>0</v>
      </c>
      <c r="J258" s="14">
        <v>0</v>
      </c>
      <c r="K258" s="14">
        <v>0</v>
      </c>
      <c r="L258" s="14">
        <v>0</v>
      </c>
      <c r="M258" s="4" t="e">
        <f>IF(F258="Tindakan",VLOOKUP(O258,#REF!,4,FALSE),IF(F258="Intensif",VLOOKUP(O258,#REF!,10,FALSE),IF(F258="Penunjang",VLOOKUP(O258,#REF!,16,FALSE),IF(F258="Visitase Berdasarkan Jumlah Pasien",VLOOKUP(O258,#REF!,22,FALSE),IF(F258="Visitase",VLOOKUP(O258,#REF!,28,FALSE),IF(F258="Rawat Jalan",VLOOKUP(O258,#REF!,34,FALSE),0))))))</f>
        <v>#REF!</v>
      </c>
      <c r="N258" s="12">
        <f t="shared" si="6"/>
        <v>0</v>
      </c>
      <c r="O258" t="s">
        <v>693</v>
      </c>
      <c r="P258">
        <v>248</v>
      </c>
    </row>
    <row r="259" spans="2:16" x14ac:dyDescent="0.35">
      <c r="B259" s="7">
        <f t="shared" si="7"/>
        <v>249</v>
      </c>
      <c r="C259" s="3" t="s">
        <v>212</v>
      </c>
      <c r="D259" s="4" t="s">
        <v>524</v>
      </c>
      <c r="E259" s="9" t="s">
        <v>164</v>
      </c>
      <c r="F259" s="9" t="s">
        <v>22</v>
      </c>
      <c r="G259" s="14">
        <v>181</v>
      </c>
      <c r="H259" s="14">
        <v>31212000</v>
      </c>
      <c r="I259" s="14">
        <v>5</v>
      </c>
      <c r="J259" s="14">
        <v>478000</v>
      </c>
      <c r="K259" s="14">
        <v>30</v>
      </c>
      <c r="L259" s="14">
        <v>13870000</v>
      </c>
      <c r="M259" s="4" t="e">
        <f>IF(F259="Tindakan",VLOOKUP(O259,#REF!,4,FALSE),IF(F259="Intensif",VLOOKUP(O259,#REF!,10,FALSE),IF(F259="Penunjang",VLOOKUP(O259,#REF!,16,FALSE),IF(F259="Visitase Berdasarkan Jumlah Pasien",VLOOKUP(O259,#REF!,22,FALSE),IF(F259="Visitase",VLOOKUP(O259,#REF!,28,FALSE),IF(F259="Rawat Jalan",VLOOKUP(O259,#REF!,34,FALSE),0))))))</f>
        <v>#REF!</v>
      </c>
      <c r="N259" s="12">
        <f t="shared" si="6"/>
        <v>0</v>
      </c>
      <c r="O259" t="s">
        <v>693</v>
      </c>
      <c r="P259">
        <v>249</v>
      </c>
    </row>
    <row r="260" spans="2:16" x14ac:dyDescent="0.35">
      <c r="B260" s="7">
        <f t="shared" si="7"/>
        <v>250</v>
      </c>
      <c r="C260" s="3" t="s">
        <v>212</v>
      </c>
      <c r="D260" s="4" t="s">
        <v>524</v>
      </c>
      <c r="E260" s="9" t="s">
        <v>164</v>
      </c>
      <c r="F260" s="9" t="s">
        <v>19</v>
      </c>
      <c r="G260" s="14">
        <v>32</v>
      </c>
      <c r="H260" s="14">
        <v>230900000</v>
      </c>
      <c r="I260" s="14">
        <v>0</v>
      </c>
      <c r="J260" s="14">
        <v>0</v>
      </c>
      <c r="K260" s="14">
        <v>1</v>
      </c>
      <c r="L260" s="14">
        <v>19760000</v>
      </c>
      <c r="M260" s="4" t="e">
        <f>IF(F260="Tindakan",VLOOKUP(O260,#REF!,4,FALSE),IF(F260="Intensif",VLOOKUP(O260,#REF!,10,FALSE),IF(F260="Penunjang",VLOOKUP(O260,#REF!,16,FALSE),IF(F260="Visitase Berdasarkan Jumlah Pasien",VLOOKUP(O260,#REF!,22,FALSE),IF(F260="Visitase",VLOOKUP(O260,#REF!,28,FALSE),IF(F260="Rawat Jalan",VLOOKUP(O260,#REF!,34,FALSE),0))))))</f>
        <v>#REF!</v>
      </c>
      <c r="N260" s="12">
        <f t="shared" si="6"/>
        <v>0</v>
      </c>
      <c r="O260" t="s">
        <v>693</v>
      </c>
      <c r="P260">
        <v>250</v>
      </c>
    </row>
    <row r="261" spans="2:16" x14ac:dyDescent="0.35">
      <c r="B261" s="7">
        <f t="shared" si="7"/>
        <v>251</v>
      </c>
      <c r="C261" s="3" t="s">
        <v>236</v>
      </c>
      <c r="D261" s="4" t="s">
        <v>525</v>
      </c>
      <c r="E261" s="9" t="s">
        <v>147</v>
      </c>
      <c r="F261" s="9" t="s">
        <v>190</v>
      </c>
      <c r="G261" s="14">
        <v>123</v>
      </c>
      <c r="H261" s="14">
        <v>15405000</v>
      </c>
      <c r="I261" s="14">
        <v>32</v>
      </c>
      <c r="J261" s="14">
        <v>4480000</v>
      </c>
      <c r="K261" s="14">
        <v>0</v>
      </c>
      <c r="L261" s="14">
        <v>0</v>
      </c>
      <c r="M261" s="4" t="e">
        <f>IF(F261="Tindakan",VLOOKUP(O261,#REF!,4,FALSE),IF(F261="Intensif",VLOOKUP(O261,#REF!,10,FALSE),IF(F261="Penunjang",VLOOKUP(O261,#REF!,16,FALSE),IF(F261="Visitase Berdasarkan Jumlah Pasien",VLOOKUP(O261,#REF!,22,FALSE),IF(F261="Visitase",VLOOKUP(O261,#REF!,28,FALSE),IF(F261="Rawat Jalan",VLOOKUP(O261,#REF!,34,FALSE),0))))))</f>
        <v>#REF!</v>
      </c>
      <c r="N261" s="12">
        <f t="shared" si="6"/>
        <v>0</v>
      </c>
      <c r="O261" t="s">
        <v>691</v>
      </c>
      <c r="P261">
        <v>251</v>
      </c>
    </row>
    <row r="262" spans="2:16" x14ac:dyDescent="0.35">
      <c r="B262" s="7">
        <f t="shared" si="7"/>
        <v>252</v>
      </c>
      <c r="C262" s="3" t="s">
        <v>236</v>
      </c>
      <c r="D262" s="4" t="s">
        <v>525</v>
      </c>
      <c r="E262" s="9" t="s">
        <v>147</v>
      </c>
      <c r="F262" s="9" t="s">
        <v>20</v>
      </c>
      <c r="G262" s="14">
        <v>9</v>
      </c>
      <c r="H262" s="14">
        <v>1485000</v>
      </c>
      <c r="I262" s="14">
        <v>0</v>
      </c>
      <c r="J262" s="14">
        <v>0</v>
      </c>
      <c r="K262" s="14">
        <v>0</v>
      </c>
      <c r="L262" s="14">
        <v>0</v>
      </c>
      <c r="M262" s="4" t="e">
        <f>IF(F262="Tindakan",VLOOKUP(O262,#REF!,4,FALSE),IF(F262="Intensif",VLOOKUP(O262,#REF!,10,FALSE),IF(F262="Penunjang",VLOOKUP(O262,#REF!,16,FALSE),IF(F262="Visitase Berdasarkan Jumlah Pasien",VLOOKUP(O262,#REF!,22,FALSE),IF(F262="Visitase",VLOOKUP(O262,#REF!,28,FALSE),IF(F262="Rawat Jalan",VLOOKUP(O262,#REF!,34,FALSE),0))))))</f>
        <v>#REF!</v>
      </c>
      <c r="N262" s="12">
        <f t="shared" si="6"/>
        <v>0</v>
      </c>
      <c r="O262" t="s">
        <v>691</v>
      </c>
      <c r="P262">
        <v>252</v>
      </c>
    </row>
    <row r="263" spans="2:16" x14ac:dyDescent="0.35">
      <c r="B263" s="7">
        <f t="shared" si="7"/>
        <v>253</v>
      </c>
      <c r="C263" s="3" t="s">
        <v>236</v>
      </c>
      <c r="D263" s="4" t="s">
        <v>525</v>
      </c>
      <c r="E263" s="9" t="s">
        <v>147</v>
      </c>
      <c r="F263" s="9" t="s">
        <v>22</v>
      </c>
      <c r="G263" s="14">
        <v>116</v>
      </c>
      <c r="H263" s="14">
        <v>20256000</v>
      </c>
      <c r="I263" s="14">
        <v>1</v>
      </c>
      <c r="J263" s="14">
        <v>75000</v>
      </c>
      <c r="K263" s="14">
        <v>0</v>
      </c>
      <c r="L263" s="14">
        <v>0</v>
      </c>
      <c r="M263" s="4" t="e">
        <f>IF(F263="Tindakan",VLOOKUP(O263,#REF!,4,FALSE),IF(F263="Intensif",VLOOKUP(O263,#REF!,10,FALSE),IF(F263="Penunjang",VLOOKUP(O263,#REF!,16,FALSE),IF(F263="Visitase Berdasarkan Jumlah Pasien",VLOOKUP(O263,#REF!,22,FALSE),IF(F263="Visitase",VLOOKUP(O263,#REF!,28,FALSE),IF(F263="Rawat Jalan",VLOOKUP(O263,#REF!,34,FALSE),0))))))</f>
        <v>#REF!</v>
      </c>
      <c r="N263" s="12">
        <f t="shared" si="6"/>
        <v>0</v>
      </c>
      <c r="O263" t="s">
        <v>691</v>
      </c>
      <c r="P263">
        <v>253</v>
      </c>
    </row>
    <row r="264" spans="2:16" x14ac:dyDescent="0.35">
      <c r="B264" s="7">
        <f t="shared" si="7"/>
        <v>254</v>
      </c>
      <c r="C264" s="3" t="s">
        <v>236</v>
      </c>
      <c r="D264" s="4" t="s">
        <v>525</v>
      </c>
      <c r="E264" s="9" t="s">
        <v>147</v>
      </c>
      <c r="F264" s="9" t="s">
        <v>19</v>
      </c>
      <c r="G264" s="14">
        <v>25</v>
      </c>
      <c r="H264" s="14">
        <v>162800000</v>
      </c>
      <c r="I264" s="14">
        <v>0</v>
      </c>
      <c r="J264" s="14">
        <v>0</v>
      </c>
      <c r="K264" s="14">
        <v>0</v>
      </c>
      <c r="L264" s="14">
        <v>0</v>
      </c>
      <c r="M264" s="4" t="e">
        <f>IF(F264="Tindakan",VLOOKUP(O264,#REF!,4,FALSE),IF(F264="Intensif",VLOOKUP(O264,#REF!,10,FALSE),IF(F264="Penunjang",VLOOKUP(O264,#REF!,16,FALSE),IF(F264="Visitase Berdasarkan Jumlah Pasien",VLOOKUP(O264,#REF!,22,FALSE),IF(F264="Visitase",VLOOKUP(O264,#REF!,28,FALSE),IF(F264="Rawat Jalan",VLOOKUP(O264,#REF!,34,FALSE),0))))))</f>
        <v>#REF!</v>
      </c>
      <c r="N264" s="12">
        <f t="shared" si="6"/>
        <v>0</v>
      </c>
      <c r="O264" t="s">
        <v>691</v>
      </c>
      <c r="P264">
        <v>254</v>
      </c>
    </row>
    <row r="265" spans="2:16" x14ac:dyDescent="0.35">
      <c r="B265" s="7">
        <f t="shared" si="7"/>
        <v>255</v>
      </c>
      <c r="C265" s="3" t="s">
        <v>403</v>
      </c>
      <c r="D265" s="4" t="s">
        <v>526</v>
      </c>
      <c r="E265" s="9" t="s">
        <v>146</v>
      </c>
      <c r="F265" s="9" t="s">
        <v>22</v>
      </c>
      <c r="G265" s="14">
        <v>122</v>
      </c>
      <c r="H265" s="14">
        <v>9150000</v>
      </c>
      <c r="I265" s="14">
        <v>2</v>
      </c>
      <c r="J265" s="14">
        <v>150000</v>
      </c>
      <c r="K265" s="14">
        <v>0</v>
      </c>
      <c r="L265" s="14">
        <v>0</v>
      </c>
      <c r="M265" s="4" t="e">
        <f>IF(F265="Tindakan",VLOOKUP(O265,#REF!,4,FALSE),IF(F265="Intensif",VLOOKUP(O265,#REF!,10,FALSE),IF(F265="Penunjang",VLOOKUP(O265,#REF!,16,FALSE),IF(F265="Visitase Berdasarkan Jumlah Pasien",VLOOKUP(O265,#REF!,22,FALSE),IF(F265="Visitase",VLOOKUP(O265,#REF!,28,FALSE),IF(F265="Rawat Jalan",VLOOKUP(O265,#REF!,34,FALSE),0))))))</f>
        <v>#REF!</v>
      </c>
      <c r="N265" s="12">
        <f t="shared" si="6"/>
        <v>0</v>
      </c>
      <c r="O265" t="s">
        <v>696</v>
      </c>
      <c r="P265">
        <v>255</v>
      </c>
    </row>
    <row r="266" spans="2:16" x14ac:dyDescent="0.35">
      <c r="B266" s="7">
        <f t="shared" si="7"/>
        <v>256</v>
      </c>
      <c r="C266" s="3" t="s">
        <v>307</v>
      </c>
      <c r="D266" s="4" t="s">
        <v>527</v>
      </c>
      <c r="E266" s="9" t="s">
        <v>174</v>
      </c>
      <c r="F266" s="9" t="s">
        <v>190</v>
      </c>
      <c r="G266" s="14">
        <v>15</v>
      </c>
      <c r="H266" s="14">
        <v>1875000</v>
      </c>
      <c r="I266" s="14">
        <v>0</v>
      </c>
      <c r="J266" s="14">
        <v>0</v>
      </c>
      <c r="K266" s="14">
        <v>0</v>
      </c>
      <c r="L266" s="14">
        <v>0</v>
      </c>
      <c r="M266" s="4" t="e">
        <f>IF(F266="Tindakan",VLOOKUP(O266,#REF!,4,FALSE),IF(F266="Intensif",VLOOKUP(O266,#REF!,10,FALSE),IF(F266="Penunjang",VLOOKUP(O266,#REF!,16,FALSE),IF(F266="Visitase Berdasarkan Jumlah Pasien",VLOOKUP(O266,#REF!,22,FALSE),IF(F266="Visitase",VLOOKUP(O266,#REF!,28,FALSE),IF(F266="Rawat Jalan",VLOOKUP(O266,#REF!,34,FALSE),0))))))</f>
        <v>#REF!</v>
      </c>
      <c r="N266" s="12">
        <f t="shared" si="6"/>
        <v>0</v>
      </c>
      <c r="O266" t="s">
        <v>705</v>
      </c>
      <c r="P266">
        <v>256</v>
      </c>
    </row>
    <row r="267" spans="2:16" x14ac:dyDescent="0.35">
      <c r="B267" s="7">
        <f t="shared" si="7"/>
        <v>257</v>
      </c>
      <c r="C267" s="3" t="s">
        <v>307</v>
      </c>
      <c r="D267" s="4" t="s">
        <v>527</v>
      </c>
      <c r="E267" s="9" t="s">
        <v>174</v>
      </c>
      <c r="F267" s="9" t="s">
        <v>20</v>
      </c>
      <c r="G267" s="14">
        <v>18</v>
      </c>
      <c r="H267" s="14">
        <v>3025000</v>
      </c>
      <c r="I267" s="14">
        <v>1</v>
      </c>
      <c r="J267" s="14">
        <v>175000</v>
      </c>
      <c r="K267" s="14">
        <v>0</v>
      </c>
      <c r="L267" s="14">
        <v>0</v>
      </c>
      <c r="M267" s="4" t="e">
        <f>IF(F267="Tindakan",VLOOKUP(O267,#REF!,4,FALSE),IF(F267="Intensif",VLOOKUP(O267,#REF!,10,FALSE),IF(F267="Penunjang",VLOOKUP(O267,#REF!,16,FALSE),IF(F267="Visitase Berdasarkan Jumlah Pasien",VLOOKUP(O267,#REF!,22,FALSE),IF(F267="Visitase",VLOOKUP(O267,#REF!,28,FALSE),IF(F267="Rawat Jalan",VLOOKUP(O267,#REF!,34,FALSE),0))))))</f>
        <v>#REF!</v>
      </c>
      <c r="N267" s="12">
        <f t="shared" si="6"/>
        <v>0</v>
      </c>
      <c r="O267" t="s">
        <v>705</v>
      </c>
      <c r="P267">
        <v>257</v>
      </c>
    </row>
    <row r="268" spans="2:16" x14ac:dyDescent="0.35">
      <c r="B268" s="7">
        <f t="shared" si="7"/>
        <v>258</v>
      </c>
      <c r="C268" s="3" t="s">
        <v>307</v>
      </c>
      <c r="D268" s="4" t="s">
        <v>527</v>
      </c>
      <c r="E268" s="9" t="s">
        <v>174</v>
      </c>
      <c r="F268" s="9" t="s">
        <v>19</v>
      </c>
      <c r="G268" s="14">
        <v>28</v>
      </c>
      <c r="H268" s="14">
        <v>229500000</v>
      </c>
      <c r="I268" s="14">
        <v>0</v>
      </c>
      <c r="J268" s="14">
        <v>0</v>
      </c>
      <c r="K268" s="14">
        <v>0</v>
      </c>
      <c r="L268" s="14">
        <v>0</v>
      </c>
      <c r="M268" s="4" t="e">
        <f>IF(F268="Tindakan",VLOOKUP(O268,#REF!,4,FALSE),IF(F268="Intensif",VLOOKUP(O268,#REF!,10,FALSE),IF(F268="Penunjang",VLOOKUP(O268,#REF!,16,FALSE),IF(F268="Visitase Berdasarkan Jumlah Pasien",VLOOKUP(O268,#REF!,22,FALSE),IF(F268="Visitase",VLOOKUP(O268,#REF!,28,FALSE),IF(F268="Rawat Jalan",VLOOKUP(O268,#REF!,34,FALSE),0))))))</f>
        <v>#REF!</v>
      </c>
      <c r="N268" s="12">
        <f t="shared" ref="N268:N331" si="8">IFERROR((G268/M268)*100%, 0)</f>
        <v>0</v>
      </c>
      <c r="O268" t="s">
        <v>705</v>
      </c>
      <c r="P268">
        <v>258</v>
      </c>
    </row>
    <row r="269" spans="2:16" x14ac:dyDescent="0.35">
      <c r="B269" s="7">
        <f t="shared" ref="B269:B332" si="9">B268+1</f>
        <v>259</v>
      </c>
      <c r="C269" s="3" t="s">
        <v>307</v>
      </c>
      <c r="D269" s="4" t="s">
        <v>527</v>
      </c>
      <c r="E269" s="9" t="s">
        <v>174</v>
      </c>
      <c r="F269" s="9" t="s">
        <v>22</v>
      </c>
      <c r="G269" s="14">
        <v>148</v>
      </c>
      <c r="H269" s="14">
        <v>16030000</v>
      </c>
      <c r="I269" s="14">
        <v>8</v>
      </c>
      <c r="J269" s="14">
        <v>1220000</v>
      </c>
      <c r="K269" s="14">
        <v>1</v>
      </c>
      <c r="L269" s="14">
        <v>250000</v>
      </c>
      <c r="M269" s="4" t="e">
        <f>IF(F269="Tindakan",VLOOKUP(O269,#REF!,4,FALSE),IF(F269="Intensif",VLOOKUP(O269,#REF!,10,FALSE),IF(F269="Penunjang",VLOOKUP(O269,#REF!,16,FALSE),IF(F269="Visitase Berdasarkan Jumlah Pasien",VLOOKUP(O269,#REF!,22,FALSE),IF(F269="Visitase",VLOOKUP(O269,#REF!,28,FALSE),IF(F269="Rawat Jalan",VLOOKUP(O269,#REF!,34,FALSE),0))))))</f>
        <v>#REF!</v>
      </c>
      <c r="N269" s="12">
        <f t="shared" si="8"/>
        <v>0</v>
      </c>
      <c r="O269" t="s">
        <v>705</v>
      </c>
      <c r="P269">
        <v>259</v>
      </c>
    </row>
    <row r="270" spans="2:16" x14ac:dyDescent="0.35">
      <c r="B270" s="7">
        <f t="shared" si="9"/>
        <v>260</v>
      </c>
      <c r="C270" s="3" t="s">
        <v>353</v>
      </c>
      <c r="D270" s="4" t="s">
        <v>528</v>
      </c>
      <c r="E270" s="9" t="s">
        <v>148</v>
      </c>
      <c r="F270" s="9" t="s">
        <v>190</v>
      </c>
      <c r="G270" s="14">
        <v>45</v>
      </c>
      <c r="H270" s="14">
        <v>5780000</v>
      </c>
      <c r="I270" s="14">
        <v>0</v>
      </c>
      <c r="J270" s="14">
        <v>0</v>
      </c>
      <c r="K270" s="14">
        <v>0</v>
      </c>
      <c r="L270" s="14">
        <v>0</v>
      </c>
      <c r="M270" s="4" t="e">
        <f>IF(F270="Tindakan",VLOOKUP(O270,#REF!,4,FALSE),IF(F270="Intensif",VLOOKUP(O270,#REF!,10,FALSE),IF(F270="Penunjang",VLOOKUP(O270,#REF!,16,FALSE),IF(F270="Visitase Berdasarkan Jumlah Pasien",VLOOKUP(O270,#REF!,22,FALSE),IF(F270="Visitase",VLOOKUP(O270,#REF!,28,FALSE),IF(F270="Rawat Jalan",VLOOKUP(O270,#REF!,34,FALSE),0))))))</f>
        <v>#REF!</v>
      </c>
      <c r="N270" s="12">
        <f t="shared" si="8"/>
        <v>0</v>
      </c>
      <c r="O270" t="s">
        <v>700</v>
      </c>
      <c r="P270">
        <v>260</v>
      </c>
    </row>
    <row r="271" spans="2:16" x14ac:dyDescent="0.35">
      <c r="B271" s="7">
        <f t="shared" si="9"/>
        <v>261</v>
      </c>
      <c r="C271" s="3" t="s">
        <v>353</v>
      </c>
      <c r="D271" s="4" t="s">
        <v>528</v>
      </c>
      <c r="E271" s="9" t="s">
        <v>148</v>
      </c>
      <c r="F271" s="9" t="s">
        <v>20</v>
      </c>
      <c r="G271" s="14">
        <v>18</v>
      </c>
      <c r="H271" s="14">
        <v>4761000</v>
      </c>
      <c r="I271" s="14">
        <v>6</v>
      </c>
      <c r="J271" s="14">
        <v>980000</v>
      </c>
      <c r="K271" s="14">
        <v>0</v>
      </c>
      <c r="L271" s="14">
        <v>0</v>
      </c>
      <c r="M271" s="4" t="e">
        <f>IF(F271="Tindakan",VLOOKUP(O271,#REF!,4,FALSE),IF(F271="Intensif",VLOOKUP(O271,#REF!,10,FALSE),IF(F271="Penunjang",VLOOKUP(O271,#REF!,16,FALSE),IF(F271="Visitase Berdasarkan Jumlah Pasien",VLOOKUP(O271,#REF!,22,FALSE),IF(F271="Visitase",VLOOKUP(O271,#REF!,28,FALSE),IF(F271="Rawat Jalan",VLOOKUP(O271,#REF!,34,FALSE),0))))))</f>
        <v>#REF!</v>
      </c>
      <c r="N271" s="12">
        <f t="shared" si="8"/>
        <v>0</v>
      </c>
      <c r="O271" t="s">
        <v>700</v>
      </c>
      <c r="P271">
        <v>261</v>
      </c>
    </row>
    <row r="272" spans="2:16" x14ac:dyDescent="0.35">
      <c r="B272" s="7">
        <f t="shared" si="9"/>
        <v>262</v>
      </c>
      <c r="C272" s="3" t="s">
        <v>353</v>
      </c>
      <c r="D272" s="4" t="s">
        <v>528</v>
      </c>
      <c r="E272" s="9" t="s">
        <v>148</v>
      </c>
      <c r="F272" s="9" t="s">
        <v>22</v>
      </c>
      <c r="G272" s="14">
        <v>139</v>
      </c>
      <c r="H272" s="14">
        <v>11871000</v>
      </c>
      <c r="I272" s="14">
        <v>29</v>
      </c>
      <c r="J272" s="14">
        <v>2240000</v>
      </c>
      <c r="K272" s="14">
        <v>6</v>
      </c>
      <c r="L272" s="14">
        <v>1701000</v>
      </c>
      <c r="M272" s="4" t="e">
        <f>IF(F272="Tindakan",VLOOKUP(O272,#REF!,4,FALSE),IF(F272="Intensif",VLOOKUP(O272,#REF!,10,FALSE),IF(F272="Penunjang",VLOOKUP(O272,#REF!,16,FALSE),IF(F272="Visitase Berdasarkan Jumlah Pasien",VLOOKUP(O272,#REF!,22,FALSE),IF(F272="Visitase",VLOOKUP(O272,#REF!,28,FALSE),IF(F272="Rawat Jalan",VLOOKUP(O272,#REF!,34,FALSE),0))))))</f>
        <v>#REF!</v>
      </c>
      <c r="N272" s="12">
        <f t="shared" si="8"/>
        <v>0</v>
      </c>
      <c r="O272" t="s">
        <v>700</v>
      </c>
      <c r="P272">
        <v>262</v>
      </c>
    </row>
    <row r="273" spans="2:16" x14ac:dyDescent="0.35">
      <c r="B273" s="7">
        <f t="shared" si="9"/>
        <v>263</v>
      </c>
      <c r="C273" s="3" t="s">
        <v>353</v>
      </c>
      <c r="D273" s="4" t="s">
        <v>528</v>
      </c>
      <c r="E273" s="9" t="s">
        <v>148</v>
      </c>
      <c r="F273" s="9" t="s">
        <v>19</v>
      </c>
      <c r="G273" s="14">
        <v>2</v>
      </c>
      <c r="H273" s="14">
        <v>11000000</v>
      </c>
      <c r="I273" s="14">
        <v>0</v>
      </c>
      <c r="J273" s="14">
        <v>0</v>
      </c>
      <c r="K273" s="14">
        <v>0</v>
      </c>
      <c r="L273" s="14">
        <v>0</v>
      </c>
      <c r="M273" s="4" t="e">
        <f>IF(F273="Tindakan",VLOOKUP(O273,#REF!,4,FALSE),IF(F273="Intensif",VLOOKUP(O273,#REF!,10,FALSE),IF(F273="Penunjang",VLOOKUP(O273,#REF!,16,FALSE),IF(F273="Visitase Berdasarkan Jumlah Pasien",VLOOKUP(O273,#REF!,22,FALSE),IF(F273="Visitase",VLOOKUP(O273,#REF!,28,FALSE),IF(F273="Rawat Jalan",VLOOKUP(O273,#REF!,34,FALSE),0))))))</f>
        <v>#REF!</v>
      </c>
      <c r="N273" s="12">
        <f t="shared" si="8"/>
        <v>0</v>
      </c>
      <c r="O273" t="s">
        <v>700</v>
      </c>
      <c r="P273">
        <v>263</v>
      </c>
    </row>
    <row r="274" spans="2:16" x14ac:dyDescent="0.35">
      <c r="B274" s="7">
        <f t="shared" si="9"/>
        <v>264</v>
      </c>
      <c r="C274" s="3" t="s">
        <v>292</v>
      </c>
      <c r="D274" s="4" t="s">
        <v>529</v>
      </c>
      <c r="E274" s="9" t="s">
        <v>151</v>
      </c>
      <c r="F274" s="9" t="s">
        <v>20</v>
      </c>
      <c r="G274" s="14">
        <v>8</v>
      </c>
      <c r="H274" s="14">
        <v>3641500</v>
      </c>
      <c r="I274" s="14">
        <v>0</v>
      </c>
      <c r="J274" s="14">
        <v>0</v>
      </c>
      <c r="K274" s="14">
        <v>0</v>
      </c>
      <c r="L274" s="14">
        <v>0</v>
      </c>
      <c r="M274" s="4" t="e">
        <f>IF(F274="Tindakan",VLOOKUP(O274,#REF!,4,FALSE),IF(F274="Intensif",VLOOKUP(O274,#REF!,10,FALSE),IF(F274="Penunjang",VLOOKUP(O274,#REF!,16,FALSE),IF(F274="Visitase Berdasarkan Jumlah Pasien",VLOOKUP(O274,#REF!,22,FALSE),IF(F274="Visitase",VLOOKUP(O274,#REF!,28,FALSE),IF(F274="Rawat Jalan",VLOOKUP(O274,#REF!,34,FALSE),0))))))</f>
        <v>#REF!</v>
      </c>
      <c r="N274" s="12">
        <f t="shared" si="8"/>
        <v>0</v>
      </c>
      <c r="O274" t="s">
        <v>690</v>
      </c>
      <c r="P274">
        <v>264</v>
      </c>
    </row>
    <row r="275" spans="2:16" x14ac:dyDescent="0.35">
      <c r="B275" s="7">
        <f t="shared" si="9"/>
        <v>265</v>
      </c>
      <c r="C275" s="3" t="s">
        <v>292</v>
      </c>
      <c r="D275" s="4" t="s">
        <v>529</v>
      </c>
      <c r="E275" s="9" t="s">
        <v>151</v>
      </c>
      <c r="F275" s="9" t="s">
        <v>190</v>
      </c>
      <c r="G275" s="14">
        <v>1</v>
      </c>
      <c r="H275" s="14">
        <v>125000</v>
      </c>
      <c r="I275" s="14">
        <v>0</v>
      </c>
      <c r="J275" s="14">
        <v>0</v>
      </c>
      <c r="K275" s="14">
        <v>0</v>
      </c>
      <c r="L275" s="14">
        <v>0</v>
      </c>
      <c r="M275" s="4" t="e">
        <f>IF(F275="Tindakan",VLOOKUP(O275,#REF!,4,FALSE),IF(F275="Intensif",VLOOKUP(O275,#REF!,10,FALSE),IF(F275="Penunjang",VLOOKUP(O275,#REF!,16,FALSE),IF(F275="Visitase Berdasarkan Jumlah Pasien",VLOOKUP(O275,#REF!,22,FALSE),IF(F275="Visitase",VLOOKUP(O275,#REF!,28,FALSE),IF(F275="Rawat Jalan",VLOOKUP(O275,#REF!,34,FALSE),0))))))</f>
        <v>#REF!</v>
      </c>
      <c r="N275" s="12">
        <f t="shared" si="8"/>
        <v>0</v>
      </c>
      <c r="O275" t="s">
        <v>690</v>
      </c>
      <c r="P275">
        <v>265</v>
      </c>
    </row>
    <row r="276" spans="2:16" x14ac:dyDescent="0.35">
      <c r="B276" s="7">
        <f t="shared" si="9"/>
        <v>266</v>
      </c>
      <c r="C276" s="3" t="s">
        <v>292</v>
      </c>
      <c r="D276" s="4" t="s">
        <v>529</v>
      </c>
      <c r="E276" s="9" t="s">
        <v>151</v>
      </c>
      <c r="F276" s="9" t="s">
        <v>22</v>
      </c>
      <c r="G276" s="14">
        <v>33</v>
      </c>
      <c r="H276" s="14">
        <v>15740000</v>
      </c>
      <c r="I276" s="14">
        <v>1</v>
      </c>
      <c r="J276" s="14">
        <v>140000</v>
      </c>
      <c r="K276" s="14">
        <v>0</v>
      </c>
      <c r="L276" s="14">
        <v>0</v>
      </c>
      <c r="M276" s="4" t="e">
        <f>IF(F276="Tindakan",VLOOKUP(O276,#REF!,4,FALSE),IF(F276="Intensif",VLOOKUP(O276,#REF!,10,FALSE),IF(F276="Penunjang",VLOOKUP(O276,#REF!,16,FALSE),IF(F276="Visitase Berdasarkan Jumlah Pasien",VLOOKUP(O276,#REF!,22,FALSE),IF(F276="Visitase",VLOOKUP(O276,#REF!,28,FALSE),IF(F276="Rawat Jalan",VLOOKUP(O276,#REF!,34,FALSE),0))))))</f>
        <v>#REF!</v>
      </c>
      <c r="N276" s="12">
        <f t="shared" si="8"/>
        <v>0</v>
      </c>
      <c r="O276" t="s">
        <v>690</v>
      </c>
      <c r="P276">
        <v>266</v>
      </c>
    </row>
    <row r="277" spans="2:16" x14ac:dyDescent="0.35">
      <c r="B277" s="7">
        <f t="shared" si="9"/>
        <v>267</v>
      </c>
      <c r="C277" s="3" t="s">
        <v>292</v>
      </c>
      <c r="D277" s="4" t="s">
        <v>529</v>
      </c>
      <c r="E277" s="9" t="s">
        <v>151</v>
      </c>
      <c r="F277" s="9" t="s">
        <v>19</v>
      </c>
      <c r="G277" s="14">
        <v>12</v>
      </c>
      <c r="H277" s="14">
        <v>103800000</v>
      </c>
      <c r="I277" s="14">
        <v>1</v>
      </c>
      <c r="J277" s="14">
        <v>8800000</v>
      </c>
      <c r="K277" s="14">
        <v>3</v>
      </c>
      <c r="L277" s="14">
        <v>59085000</v>
      </c>
      <c r="M277" s="4" t="e">
        <f>IF(F277="Tindakan",VLOOKUP(O277,#REF!,4,FALSE),IF(F277="Intensif",VLOOKUP(O277,#REF!,10,FALSE),IF(F277="Penunjang",VLOOKUP(O277,#REF!,16,FALSE),IF(F277="Visitase Berdasarkan Jumlah Pasien",VLOOKUP(O277,#REF!,22,FALSE),IF(F277="Visitase",VLOOKUP(O277,#REF!,28,FALSE),IF(F277="Rawat Jalan",VLOOKUP(O277,#REF!,34,FALSE),0))))))</f>
        <v>#REF!</v>
      </c>
      <c r="N277" s="12">
        <f t="shared" si="8"/>
        <v>0</v>
      </c>
      <c r="O277" t="s">
        <v>690</v>
      </c>
      <c r="P277">
        <v>267</v>
      </c>
    </row>
    <row r="278" spans="2:16" x14ac:dyDescent="0.35">
      <c r="B278" s="7">
        <f t="shared" si="9"/>
        <v>268</v>
      </c>
      <c r="C278" s="3" t="s">
        <v>404</v>
      </c>
      <c r="D278" s="4" t="s">
        <v>530</v>
      </c>
      <c r="E278" s="9" t="s">
        <v>161</v>
      </c>
      <c r="F278" s="9" t="s">
        <v>190</v>
      </c>
      <c r="G278" s="14">
        <v>24</v>
      </c>
      <c r="H278" s="14">
        <v>3175000</v>
      </c>
      <c r="I278" s="14">
        <v>0</v>
      </c>
      <c r="J278" s="14">
        <v>0</v>
      </c>
      <c r="K278" s="14">
        <v>2</v>
      </c>
      <c r="L278" s="14">
        <v>305000</v>
      </c>
      <c r="M278" s="4" t="e">
        <f>IF(F278="Tindakan",VLOOKUP(O278,#REF!,4,FALSE),IF(F278="Intensif",VLOOKUP(O278,#REF!,10,FALSE),IF(F278="Penunjang",VLOOKUP(O278,#REF!,16,FALSE),IF(F278="Visitase Berdasarkan Jumlah Pasien",VLOOKUP(O278,#REF!,22,FALSE),IF(F278="Visitase",VLOOKUP(O278,#REF!,28,FALSE),IF(F278="Rawat Jalan",VLOOKUP(O278,#REF!,34,FALSE),0))))))</f>
        <v>#REF!</v>
      </c>
      <c r="N278" s="12">
        <f t="shared" si="8"/>
        <v>0</v>
      </c>
      <c r="O278" t="s">
        <v>688</v>
      </c>
      <c r="P278">
        <v>268</v>
      </c>
    </row>
    <row r="279" spans="2:16" x14ac:dyDescent="0.35">
      <c r="B279" s="7">
        <f t="shared" si="9"/>
        <v>269</v>
      </c>
      <c r="C279" s="3" t="s">
        <v>404</v>
      </c>
      <c r="D279" s="4" t="s">
        <v>530</v>
      </c>
      <c r="E279" s="9" t="s">
        <v>161</v>
      </c>
      <c r="F279" s="9" t="s">
        <v>20</v>
      </c>
      <c r="G279" s="14">
        <v>1</v>
      </c>
      <c r="H279" s="14">
        <v>175000</v>
      </c>
      <c r="I279" s="14">
        <v>0</v>
      </c>
      <c r="J279" s="14">
        <v>0</v>
      </c>
      <c r="K279" s="14">
        <v>0</v>
      </c>
      <c r="L279" s="14">
        <v>0</v>
      </c>
      <c r="M279" s="4" t="e">
        <f>IF(F279="Tindakan",VLOOKUP(O279,#REF!,4,FALSE),IF(F279="Intensif",VLOOKUP(O279,#REF!,10,FALSE),IF(F279="Penunjang",VLOOKUP(O279,#REF!,16,FALSE),IF(F279="Visitase Berdasarkan Jumlah Pasien",VLOOKUP(O279,#REF!,22,FALSE),IF(F279="Visitase",VLOOKUP(O279,#REF!,28,FALSE),IF(F279="Rawat Jalan",VLOOKUP(O279,#REF!,34,FALSE),0))))))</f>
        <v>#REF!</v>
      </c>
      <c r="N279" s="12">
        <f t="shared" si="8"/>
        <v>0</v>
      </c>
      <c r="O279" t="s">
        <v>688</v>
      </c>
      <c r="P279">
        <v>269</v>
      </c>
    </row>
    <row r="280" spans="2:16" x14ac:dyDescent="0.35">
      <c r="B280" s="7">
        <f t="shared" si="9"/>
        <v>270</v>
      </c>
      <c r="C280" s="3" t="s">
        <v>404</v>
      </c>
      <c r="D280" s="4" t="s">
        <v>530</v>
      </c>
      <c r="E280" s="9" t="s">
        <v>161</v>
      </c>
      <c r="F280" s="9" t="s">
        <v>22</v>
      </c>
      <c r="G280" s="14">
        <v>76</v>
      </c>
      <c r="H280" s="14">
        <v>5769000</v>
      </c>
      <c r="I280" s="14">
        <v>2</v>
      </c>
      <c r="J280" s="14">
        <v>150000</v>
      </c>
      <c r="K280" s="14">
        <v>2</v>
      </c>
      <c r="L280" s="14">
        <v>500000</v>
      </c>
      <c r="M280" s="4" t="e">
        <f>IF(F280="Tindakan",VLOOKUP(O280,#REF!,4,FALSE),IF(F280="Intensif",VLOOKUP(O280,#REF!,10,FALSE),IF(F280="Penunjang",VLOOKUP(O280,#REF!,16,FALSE),IF(F280="Visitase Berdasarkan Jumlah Pasien",VLOOKUP(O280,#REF!,22,FALSE),IF(F280="Visitase",VLOOKUP(O280,#REF!,28,FALSE),IF(F280="Rawat Jalan",VLOOKUP(O280,#REF!,34,FALSE),0))))))</f>
        <v>#REF!</v>
      </c>
      <c r="N280" s="12">
        <f t="shared" si="8"/>
        <v>0</v>
      </c>
      <c r="O280" t="s">
        <v>688</v>
      </c>
      <c r="P280">
        <v>270</v>
      </c>
    </row>
    <row r="281" spans="2:16" x14ac:dyDescent="0.35">
      <c r="B281" s="7">
        <f t="shared" si="9"/>
        <v>271</v>
      </c>
      <c r="C281" s="3" t="s">
        <v>404</v>
      </c>
      <c r="D281" s="4" t="s">
        <v>530</v>
      </c>
      <c r="E281" s="9" t="s">
        <v>161</v>
      </c>
      <c r="F281" s="9" t="s">
        <v>19</v>
      </c>
      <c r="G281" s="14">
        <v>25</v>
      </c>
      <c r="H281" s="14">
        <v>203000000</v>
      </c>
      <c r="I281" s="14">
        <v>1</v>
      </c>
      <c r="J281" s="14">
        <v>4250000</v>
      </c>
      <c r="K281" s="14">
        <v>1</v>
      </c>
      <c r="L281" s="14">
        <v>15100000</v>
      </c>
      <c r="M281" s="4" t="e">
        <f>IF(F281="Tindakan",VLOOKUP(O281,#REF!,4,FALSE),IF(F281="Intensif",VLOOKUP(O281,#REF!,10,FALSE),IF(F281="Penunjang",VLOOKUP(O281,#REF!,16,FALSE),IF(F281="Visitase Berdasarkan Jumlah Pasien",VLOOKUP(O281,#REF!,22,FALSE),IF(F281="Visitase",VLOOKUP(O281,#REF!,28,FALSE),IF(F281="Rawat Jalan",VLOOKUP(O281,#REF!,34,FALSE),0))))))</f>
        <v>#REF!</v>
      </c>
      <c r="N281" s="12">
        <f t="shared" si="8"/>
        <v>0</v>
      </c>
      <c r="O281" t="s">
        <v>688</v>
      </c>
      <c r="P281">
        <v>271</v>
      </c>
    </row>
    <row r="282" spans="2:16" x14ac:dyDescent="0.35">
      <c r="B282" s="7">
        <f t="shared" si="9"/>
        <v>272</v>
      </c>
      <c r="C282" s="3" t="s">
        <v>338</v>
      </c>
      <c r="D282" s="4" t="s">
        <v>531</v>
      </c>
      <c r="E282" s="9" t="s">
        <v>163</v>
      </c>
      <c r="F282" s="9" t="s">
        <v>190</v>
      </c>
      <c r="G282" s="14">
        <v>83</v>
      </c>
      <c r="H282" s="14">
        <v>12580000</v>
      </c>
      <c r="I282" s="14">
        <v>5</v>
      </c>
      <c r="J282" s="14">
        <v>700000</v>
      </c>
      <c r="K282" s="14">
        <v>0</v>
      </c>
      <c r="L282" s="14">
        <v>0</v>
      </c>
      <c r="M282" s="4" t="e">
        <f>IF(F282="Tindakan",VLOOKUP(O282,#REF!,4,FALSE),IF(F282="Intensif",VLOOKUP(O282,#REF!,10,FALSE),IF(F282="Penunjang",VLOOKUP(O282,#REF!,16,FALSE),IF(F282="Visitase Berdasarkan Jumlah Pasien",VLOOKUP(O282,#REF!,22,FALSE),IF(F282="Visitase",VLOOKUP(O282,#REF!,28,FALSE),IF(F282="Rawat Jalan",VLOOKUP(O282,#REF!,34,FALSE),0))))))</f>
        <v>#REF!</v>
      </c>
      <c r="N282" s="12">
        <f t="shared" si="8"/>
        <v>0</v>
      </c>
      <c r="O282" t="s">
        <v>694</v>
      </c>
      <c r="P282">
        <v>272</v>
      </c>
    </row>
    <row r="283" spans="2:16" x14ac:dyDescent="0.35">
      <c r="B283" s="7">
        <f t="shared" si="9"/>
        <v>273</v>
      </c>
      <c r="C283" s="3" t="s">
        <v>338</v>
      </c>
      <c r="D283" s="4" t="s">
        <v>531</v>
      </c>
      <c r="E283" s="9" t="s">
        <v>163</v>
      </c>
      <c r="F283" s="9" t="s">
        <v>20</v>
      </c>
      <c r="G283" s="14">
        <v>0</v>
      </c>
      <c r="H283" s="14">
        <v>0</v>
      </c>
      <c r="I283" s="14">
        <v>4</v>
      </c>
      <c r="J283" s="14">
        <v>700000</v>
      </c>
      <c r="K283" s="14">
        <v>0</v>
      </c>
      <c r="L283" s="14">
        <v>0</v>
      </c>
      <c r="M283" s="4" t="e">
        <f>IF(F283="Tindakan",VLOOKUP(O283,#REF!,4,FALSE),IF(F283="Intensif",VLOOKUP(O283,#REF!,10,FALSE),IF(F283="Penunjang",VLOOKUP(O283,#REF!,16,FALSE),IF(F283="Visitase Berdasarkan Jumlah Pasien",VLOOKUP(O283,#REF!,22,FALSE),IF(F283="Visitase",VLOOKUP(O283,#REF!,28,FALSE),IF(F283="Rawat Jalan",VLOOKUP(O283,#REF!,34,FALSE),0))))))</f>
        <v>#REF!</v>
      </c>
      <c r="N283" s="12">
        <f t="shared" si="8"/>
        <v>0</v>
      </c>
      <c r="O283" t="s">
        <v>694</v>
      </c>
      <c r="P283">
        <v>273</v>
      </c>
    </row>
    <row r="284" spans="2:16" x14ac:dyDescent="0.35">
      <c r="B284" s="7">
        <f t="shared" si="9"/>
        <v>274</v>
      </c>
      <c r="C284" s="3" t="s">
        <v>338</v>
      </c>
      <c r="D284" s="4" t="s">
        <v>531</v>
      </c>
      <c r="E284" s="9" t="s">
        <v>163</v>
      </c>
      <c r="F284" s="9" t="s">
        <v>22</v>
      </c>
      <c r="G284" s="14">
        <v>220</v>
      </c>
      <c r="H284" s="14">
        <v>17305000</v>
      </c>
      <c r="I284" s="14">
        <v>8</v>
      </c>
      <c r="J284" s="14">
        <v>665000</v>
      </c>
      <c r="K284" s="14">
        <v>3</v>
      </c>
      <c r="L284" s="14">
        <v>750000</v>
      </c>
      <c r="M284" s="4" t="e">
        <f>IF(F284="Tindakan",VLOOKUP(O284,#REF!,4,FALSE),IF(F284="Intensif",VLOOKUP(O284,#REF!,10,FALSE),IF(F284="Penunjang",VLOOKUP(O284,#REF!,16,FALSE),IF(F284="Visitase Berdasarkan Jumlah Pasien",VLOOKUP(O284,#REF!,22,FALSE),IF(F284="Visitase",VLOOKUP(O284,#REF!,28,FALSE),IF(F284="Rawat Jalan",VLOOKUP(O284,#REF!,34,FALSE),0))))))</f>
        <v>#REF!</v>
      </c>
      <c r="N284" s="12">
        <f t="shared" si="8"/>
        <v>0</v>
      </c>
      <c r="O284" t="s">
        <v>694</v>
      </c>
      <c r="P284">
        <v>274</v>
      </c>
    </row>
    <row r="285" spans="2:16" x14ac:dyDescent="0.35">
      <c r="B285" s="7">
        <f t="shared" si="9"/>
        <v>275</v>
      </c>
      <c r="C285" s="3" t="s">
        <v>374</v>
      </c>
      <c r="D285" s="4" t="s">
        <v>532</v>
      </c>
      <c r="E285" s="9" t="s">
        <v>185</v>
      </c>
      <c r="F285" s="9" t="s">
        <v>22</v>
      </c>
      <c r="G285" s="14">
        <v>123</v>
      </c>
      <c r="H285" s="14">
        <v>16791000</v>
      </c>
      <c r="I285" s="14">
        <v>8</v>
      </c>
      <c r="J285" s="14">
        <v>1070000</v>
      </c>
      <c r="K285" s="14">
        <v>13</v>
      </c>
      <c r="L285" s="14">
        <v>3467000</v>
      </c>
      <c r="M285" s="4" t="e">
        <f>IF(F285="Tindakan",VLOOKUP(O285,#REF!,4,FALSE),IF(F285="Intensif",VLOOKUP(O285,#REF!,10,FALSE),IF(F285="Penunjang",VLOOKUP(O285,#REF!,16,FALSE),IF(F285="Visitase Berdasarkan Jumlah Pasien",VLOOKUP(O285,#REF!,22,FALSE),IF(F285="Visitase",VLOOKUP(O285,#REF!,28,FALSE),IF(F285="Rawat Jalan",VLOOKUP(O285,#REF!,34,FALSE),0))))))</f>
        <v>#REF!</v>
      </c>
      <c r="N285" s="12">
        <f t="shared" si="8"/>
        <v>0</v>
      </c>
      <c r="O285" t="s">
        <v>706</v>
      </c>
      <c r="P285">
        <v>275</v>
      </c>
    </row>
    <row r="286" spans="2:16" x14ac:dyDescent="0.35">
      <c r="B286" s="7">
        <f t="shared" si="9"/>
        <v>276</v>
      </c>
      <c r="C286" s="3" t="s">
        <v>301</v>
      </c>
      <c r="D286" s="4" t="s">
        <v>533</v>
      </c>
      <c r="E286" s="9" t="s">
        <v>168</v>
      </c>
      <c r="F286" s="9" t="s">
        <v>190</v>
      </c>
      <c r="G286" s="14">
        <v>4</v>
      </c>
      <c r="H286" s="14">
        <v>535000</v>
      </c>
      <c r="I286" s="14">
        <v>2</v>
      </c>
      <c r="J286" s="14">
        <v>250000</v>
      </c>
      <c r="K286" s="14">
        <v>0</v>
      </c>
      <c r="L286" s="14">
        <v>0</v>
      </c>
      <c r="M286" s="4" t="e">
        <f>IF(F286="Tindakan",VLOOKUP(O286,#REF!,4,FALSE),IF(F286="Intensif",VLOOKUP(O286,#REF!,10,FALSE),IF(F286="Penunjang",VLOOKUP(O286,#REF!,16,FALSE),IF(F286="Visitase Berdasarkan Jumlah Pasien",VLOOKUP(O286,#REF!,22,FALSE),IF(F286="Visitase",VLOOKUP(O286,#REF!,28,FALSE),IF(F286="Rawat Jalan",VLOOKUP(O286,#REF!,34,FALSE),0))))))</f>
        <v>#REF!</v>
      </c>
      <c r="N286" s="12">
        <f t="shared" si="8"/>
        <v>0</v>
      </c>
      <c r="O286" t="s">
        <v>688</v>
      </c>
      <c r="P286">
        <v>276</v>
      </c>
    </row>
    <row r="287" spans="2:16" x14ac:dyDescent="0.35">
      <c r="B287" s="7">
        <f t="shared" si="9"/>
        <v>277</v>
      </c>
      <c r="C287" s="3" t="s">
        <v>301</v>
      </c>
      <c r="D287" s="4" t="s">
        <v>533</v>
      </c>
      <c r="E287" s="9" t="s">
        <v>168</v>
      </c>
      <c r="F287" s="9" t="s">
        <v>22</v>
      </c>
      <c r="G287" s="14">
        <v>27</v>
      </c>
      <c r="H287" s="14">
        <v>2453000</v>
      </c>
      <c r="I287" s="14">
        <v>0</v>
      </c>
      <c r="J287" s="14">
        <v>0</v>
      </c>
      <c r="K287" s="14">
        <v>0</v>
      </c>
      <c r="L287" s="14">
        <v>0</v>
      </c>
      <c r="M287" s="4" t="e">
        <f>IF(F287="Tindakan",VLOOKUP(O287,#REF!,4,FALSE),IF(F287="Intensif",VLOOKUP(O287,#REF!,10,FALSE),IF(F287="Penunjang",VLOOKUP(O287,#REF!,16,FALSE),IF(F287="Visitase Berdasarkan Jumlah Pasien",VLOOKUP(O287,#REF!,22,FALSE),IF(F287="Visitase",VLOOKUP(O287,#REF!,28,FALSE),IF(F287="Rawat Jalan",VLOOKUP(O287,#REF!,34,FALSE),0))))))</f>
        <v>#REF!</v>
      </c>
      <c r="N287" s="12">
        <f t="shared" si="8"/>
        <v>0</v>
      </c>
      <c r="O287" t="s">
        <v>688</v>
      </c>
      <c r="P287">
        <v>277</v>
      </c>
    </row>
    <row r="288" spans="2:16" x14ac:dyDescent="0.35">
      <c r="B288" s="7">
        <f t="shared" si="9"/>
        <v>278</v>
      </c>
      <c r="C288" s="3" t="s">
        <v>405</v>
      </c>
      <c r="D288" s="4" t="s">
        <v>534</v>
      </c>
      <c r="E288" s="9" t="s">
        <v>686</v>
      </c>
      <c r="F288" s="9" t="s">
        <v>22</v>
      </c>
      <c r="G288" s="14">
        <v>0</v>
      </c>
      <c r="H288" s="14">
        <v>0</v>
      </c>
      <c r="I288" s="14">
        <v>1</v>
      </c>
      <c r="J288" s="14">
        <v>44000</v>
      </c>
      <c r="K288" s="14">
        <v>0</v>
      </c>
      <c r="L288" s="14">
        <v>0</v>
      </c>
      <c r="M288" s="4" t="e">
        <f>IF(F288="Tindakan",VLOOKUP(O288,#REF!,4,FALSE),IF(F288="Intensif",VLOOKUP(O288,#REF!,10,FALSE),IF(F288="Penunjang",VLOOKUP(O288,#REF!,16,FALSE),IF(F288="Visitase Berdasarkan Jumlah Pasien",VLOOKUP(O288,#REF!,22,FALSE),IF(F288="Visitase",VLOOKUP(O288,#REF!,28,FALSE),IF(F288="Rawat Jalan",VLOOKUP(O288,#REF!,34,FALSE),0))))))</f>
        <v>#REF!</v>
      </c>
      <c r="N288" s="12">
        <f t="shared" si="8"/>
        <v>0</v>
      </c>
      <c r="O288" t="s">
        <v>695</v>
      </c>
      <c r="P288">
        <v>278</v>
      </c>
    </row>
    <row r="289" spans="2:16" x14ac:dyDescent="0.35">
      <c r="B289" s="7">
        <f t="shared" si="9"/>
        <v>279</v>
      </c>
      <c r="C289" s="3" t="s">
        <v>406</v>
      </c>
      <c r="D289" s="4" t="s">
        <v>535</v>
      </c>
      <c r="E289" s="9" t="s">
        <v>686</v>
      </c>
      <c r="F289" s="9" t="s">
        <v>190</v>
      </c>
      <c r="G289" s="14">
        <v>128</v>
      </c>
      <c r="H289" s="14">
        <v>16220000</v>
      </c>
      <c r="I289" s="14">
        <v>0</v>
      </c>
      <c r="J289" s="14">
        <v>0</v>
      </c>
      <c r="K289" s="14">
        <v>0</v>
      </c>
      <c r="L289" s="14">
        <v>0</v>
      </c>
      <c r="M289" s="4" t="e">
        <f>IF(F289="Tindakan",VLOOKUP(O289,#REF!,4,FALSE),IF(F289="Intensif",VLOOKUP(O289,#REF!,10,FALSE),IF(F289="Penunjang",VLOOKUP(O289,#REF!,16,FALSE),IF(F289="Visitase Berdasarkan Jumlah Pasien",VLOOKUP(O289,#REF!,22,FALSE),IF(F289="Visitase",VLOOKUP(O289,#REF!,28,FALSE),IF(F289="Rawat Jalan",VLOOKUP(O289,#REF!,34,FALSE),0))))))</f>
        <v>#REF!</v>
      </c>
      <c r="N289" s="12">
        <f t="shared" si="8"/>
        <v>0</v>
      </c>
      <c r="O289" t="s">
        <v>695</v>
      </c>
      <c r="P289">
        <v>279</v>
      </c>
    </row>
    <row r="290" spans="2:16" x14ac:dyDescent="0.35">
      <c r="B290" s="7">
        <f t="shared" si="9"/>
        <v>280</v>
      </c>
      <c r="C290" s="3" t="s">
        <v>406</v>
      </c>
      <c r="D290" s="4" t="s">
        <v>535</v>
      </c>
      <c r="E290" s="9" t="s">
        <v>686</v>
      </c>
      <c r="F290" s="9" t="s">
        <v>22</v>
      </c>
      <c r="G290" s="14">
        <v>162</v>
      </c>
      <c r="H290" s="14">
        <v>8100000</v>
      </c>
      <c r="I290" s="14">
        <v>2</v>
      </c>
      <c r="J290" s="14">
        <v>100000</v>
      </c>
      <c r="K290" s="14">
        <v>0</v>
      </c>
      <c r="L290" s="14">
        <v>0</v>
      </c>
      <c r="M290" s="4" t="e">
        <f>IF(F290="Tindakan",VLOOKUP(O290,#REF!,4,FALSE),IF(F290="Intensif",VLOOKUP(O290,#REF!,10,FALSE),IF(F290="Penunjang",VLOOKUP(O290,#REF!,16,FALSE),IF(F290="Visitase Berdasarkan Jumlah Pasien",VLOOKUP(O290,#REF!,22,FALSE),IF(F290="Visitase",VLOOKUP(O290,#REF!,28,FALSE),IF(F290="Rawat Jalan",VLOOKUP(O290,#REF!,34,FALSE),0))))))</f>
        <v>#REF!</v>
      </c>
      <c r="N290" s="12">
        <f t="shared" si="8"/>
        <v>0</v>
      </c>
      <c r="O290" t="s">
        <v>695</v>
      </c>
      <c r="P290">
        <v>280</v>
      </c>
    </row>
    <row r="291" spans="2:16" x14ac:dyDescent="0.35">
      <c r="B291" s="7">
        <f t="shared" si="9"/>
        <v>281</v>
      </c>
      <c r="C291" s="3" t="s">
        <v>342</v>
      </c>
      <c r="D291" s="4" t="s">
        <v>536</v>
      </c>
      <c r="E291" s="9" t="s">
        <v>146</v>
      </c>
      <c r="F291" s="9" t="s">
        <v>190</v>
      </c>
      <c r="G291" s="14">
        <v>89</v>
      </c>
      <c r="H291" s="14">
        <v>13995000</v>
      </c>
      <c r="I291" s="14">
        <v>1</v>
      </c>
      <c r="J291" s="14">
        <v>160000</v>
      </c>
      <c r="K291" s="14">
        <v>0</v>
      </c>
      <c r="L291" s="14">
        <v>0</v>
      </c>
      <c r="M291" s="4" t="e">
        <f>IF(F291="Tindakan",VLOOKUP(O291,#REF!,4,FALSE),IF(F291="Intensif",VLOOKUP(O291,#REF!,10,FALSE),IF(F291="Penunjang",VLOOKUP(O291,#REF!,16,FALSE),IF(F291="Visitase Berdasarkan Jumlah Pasien",VLOOKUP(O291,#REF!,22,FALSE),IF(F291="Visitase",VLOOKUP(O291,#REF!,28,FALSE),IF(F291="Rawat Jalan",VLOOKUP(O291,#REF!,34,FALSE),0))))))</f>
        <v>#REF!</v>
      </c>
      <c r="N291" s="12">
        <f t="shared" si="8"/>
        <v>0</v>
      </c>
      <c r="O291" t="s">
        <v>696</v>
      </c>
      <c r="P291">
        <v>281</v>
      </c>
    </row>
    <row r="292" spans="2:16" x14ac:dyDescent="0.35">
      <c r="B292" s="7">
        <f t="shared" si="9"/>
        <v>282</v>
      </c>
      <c r="C292" s="3" t="s">
        <v>342</v>
      </c>
      <c r="D292" s="4" t="s">
        <v>536</v>
      </c>
      <c r="E292" s="9" t="s">
        <v>146</v>
      </c>
      <c r="F292" s="9" t="s">
        <v>22</v>
      </c>
      <c r="G292" s="14">
        <v>63</v>
      </c>
      <c r="H292" s="14">
        <v>5620000</v>
      </c>
      <c r="I292" s="14">
        <v>5</v>
      </c>
      <c r="J292" s="14">
        <v>635000</v>
      </c>
      <c r="K292" s="14">
        <v>0</v>
      </c>
      <c r="L292" s="14">
        <v>0</v>
      </c>
      <c r="M292" s="4" t="e">
        <f>IF(F292="Tindakan",VLOOKUP(O292,#REF!,4,FALSE),IF(F292="Intensif",VLOOKUP(O292,#REF!,10,FALSE),IF(F292="Penunjang",VLOOKUP(O292,#REF!,16,FALSE),IF(F292="Visitase Berdasarkan Jumlah Pasien",VLOOKUP(O292,#REF!,22,FALSE),IF(F292="Visitase",VLOOKUP(O292,#REF!,28,FALSE),IF(F292="Rawat Jalan",VLOOKUP(O292,#REF!,34,FALSE),0))))))</f>
        <v>#REF!</v>
      </c>
      <c r="N292" s="12">
        <f t="shared" si="8"/>
        <v>0</v>
      </c>
      <c r="O292" t="s">
        <v>696</v>
      </c>
      <c r="P292">
        <v>282</v>
      </c>
    </row>
    <row r="293" spans="2:16" x14ac:dyDescent="0.35">
      <c r="B293" s="7">
        <f t="shared" si="9"/>
        <v>283</v>
      </c>
      <c r="C293" s="3" t="s">
        <v>203</v>
      </c>
      <c r="D293" s="4" t="s">
        <v>537</v>
      </c>
      <c r="E293" s="9" t="s">
        <v>147</v>
      </c>
      <c r="F293" s="9" t="s">
        <v>190</v>
      </c>
      <c r="G293" s="14">
        <v>19</v>
      </c>
      <c r="H293" s="14">
        <v>2375000</v>
      </c>
      <c r="I293" s="14">
        <v>0</v>
      </c>
      <c r="J293" s="14">
        <v>0</v>
      </c>
      <c r="K293" s="14">
        <v>0</v>
      </c>
      <c r="L293" s="14">
        <v>0</v>
      </c>
      <c r="M293" s="4" t="e">
        <f>IF(F293="Tindakan",VLOOKUP(O293,#REF!,4,FALSE),IF(F293="Intensif",VLOOKUP(O293,#REF!,10,FALSE),IF(F293="Penunjang",VLOOKUP(O293,#REF!,16,FALSE),IF(F293="Visitase Berdasarkan Jumlah Pasien",VLOOKUP(O293,#REF!,22,FALSE),IF(F293="Visitase",VLOOKUP(O293,#REF!,28,FALSE),IF(F293="Rawat Jalan",VLOOKUP(O293,#REF!,34,FALSE),0))))))</f>
        <v>#REF!</v>
      </c>
      <c r="N293" s="12">
        <f t="shared" si="8"/>
        <v>0</v>
      </c>
      <c r="O293" t="s">
        <v>691</v>
      </c>
      <c r="P293">
        <v>283</v>
      </c>
    </row>
    <row r="294" spans="2:16" x14ac:dyDescent="0.35">
      <c r="B294" s="7">
        <f t="shared" si="9"/>
        <v>284</v>
      </c>
      <c r="C294" s="3" t="s">
        <v>203</v>
      </c>
      <c r="D294" s="4" t="s">
        <v>537</v>
      </c>
      <c r="E294" s="9" t="s">
        <v>147</v>
      </c>
      <c r="F294" s="9" t="s">
        <v>22</v>
      </c>
      <c r="G294" s="14">
        <v>62</v>
      </c>
      <c r="H294" s="14">
        <v>9070000</v>
      </c>
      <c r="I294" s="14">
        <v>0</v>
      </c>
      <c r="J294" s="14">
        <v>0</v>
      </c>
      <c r="K294" s="14">
        <v>0</v>
      </c>
      <c r="L294" s="14">
        <v>0</v>
      </c>
      <c r="M294" s="4" t="e">
        <f>IF(F294="Tindakan",VLOOKUP(O294,#REF!,4,FALSE),IF(F294="Intensif",VLOOKUP(O294,#REF!,10,FALSE),IF(F294="Penunjang",VLOOKUP(O294,#REF!,16,FALSE),IF(F294="Visitase Berdasarkan Jumlah Pasien",VLOOKUP(O294,#REF!,22,FALSE),IF(F294="Visitase",VLOOKUP(O294,#REF!,28,FALSE),IF(F294="Rawat Jalan",VLOOKUP(O294,#REF!,34,FALSE),0))))))</f>
        <v>#REF!</v>
      </c>
      <c r="N294" s="12">
        <f t="shared" si="8"/>
        <v>0</v>
      </c>
      <c r="O294" t="s">
        <v>691</v>
      </c>
      <c r="P294">
        <v>284</v>
      </c>
    </row>
    <row r="295" spans="2:16" x14ac:dyDescent="0.35">
      <c r="B295" s="7">
        <f t="shared" si="9"/>
        <v>285</v>
      </c>
      <c r="C295" s="3" t="s">
        <v>203</v>
      </c>
      <c r="D295" s="4" t="s">
        <v>537</v>
      </c>
      <c r="E295" s="9" t="s">
        <v>147</v>
      </c>
      <c r="F295" s="9" t="s">
        <v>19</v>
      </c>
      <c r="G295" s="14">
        <v>6</v>
      </c>
      <c r="H295" s="14">
        <v>23811000</v>
      </c>
      <c r="I295" s="14">
        <v>0</v>
      </c>
      <c r="J295" s="14">
        <v>0</v>
      </c>
      <c r="K295" s="14">
        <v>0</v>
      </c>
      <c r="L295" s="14">
        <v>0</v>
      </c>
      <c r="M295" s="4" t="e">
        <f>IF(F295="Tindakan",VLOOKUP(O295,#REF!,4,FALSE),IF(F295="Intensif",VLOOKUP(O295,#REF!,10,FALSE),IF(F295="Penunjang",VLOOKUP(O295,#REF!,16,FALSE),IF(F295="Visitase Berdasarkan Jumlah Pasien",VLOOKUP(O295,#REF!,22,FALSE),IF(F295="Visitase",VLOOKUP(O295,#REF!,28,FALSE),IF(F295="Rawat Jalan",VLOOKUP(O295,#REF!,34,FALSE),0))))))</f>
        <v>#REF!</v>
      </c>
      <c r="N295" s="12">
        <f t="shared" si="8"/>
        <v>0</v>
      </c>
      <c r="O295" t="s">
        <v>691</v>
      </c>
      <c r="P295">
        <v>285</v>
      </c>
    </row>
    <row r="296" spans="2:16" x14ac:dyDescent="0.35">
      <c r="B296" s="7">
        <f t="shared" si="9"/>
        <v>286</v>
      </c>
      <c r="C296" s="3" t="s">
        <v>310</v>
      </c>
      <c r="D296" s="4" t="s">
        <v>538</v>
      </c>
      <c r="E296" s="9" t="s">
        <v>163</v>
      </c>
      <c r="F296" s="9" t="s">
        <v>190</v>
      </c>
      <c r="G296" s="14">
        <v>107</v>
      </c>
      <c r="H296" s="14">
        <v>15140000</v>
      </c>
      <c r="I296" s="14">
        <v>2</v>
      </c>
      <c r="J296" s="14">
        <v>250000</v>
      </c>
      <c r="K296" s="14">
        <v>0</v>
      </c>
      <c r="L296" s="14">
        <v>0</v>
      </c>
      <c r="M296" s="4" t="e">
        <f>IF(F296="Tindakan",VLOOKUP(O296,#REF!,4,FALSE),IF(F296="Intensif",VLOOKUP(O296,#REF!,10,FALSE),IF(F296="Penunjang",VLOOKUP(O296,#REF!,16,FALSE),IF(F296="Visitase Berdasarkan Jumlah Pasien",VLOOKUP(O296,#REF!,22,FALSE),IF(F296="Visitase",VLOOKUP(O296,#REF!,28,FALSE),IF(F296="Rawat Jalan",VLOOKUP(O296,#REF!,34,FALSE),0))))))</f>
        <v>#REF!</v>
      </c>
      <c r="N296" s="12">
        <f t="shared" si="8"/>
        <v>0</v>
      </c>
      <c r="O296" t="s">
        <v>694</v>
      </c>
      <c r="P296">
        <v>286</v>
      </c>
    </row>
    <row r="297" spans="2:16" x14ac:dyDescent="0.35">
      <c r="B297" s="7">
        <f t="shared" si="9"/>
        <v>287</v>
      </c>
      <c r="C297" s="3" t="s">
        <v>310</v>
      </c>
      <c r="D297" s="4" t="s">
        <v>538</v>
      </c>
      <c r="E297" s="9" t="s">
        <v>163</v>
      </c>
      <c r="F297" s="9" t="s">
        <v>20</v>
      </c>
      <c r="G297" s="14">
        <v>22</v>
      </c>
      <c r="H297" s="14">
        <v>3745000</v>
      </c>
      <c r="I297" s="14">
        <v>0</v>
      </c>
      <c r="J297" s="14">
        <v>0</v>
      </c>
      <c r="K297" s="14">
        <v>0</v>
      </c>
      <c r="L297" s="14">
        <v>0</v>
      </c>
      <c r="M297" s="4" t="e">
        <f>IF(F297="Tindakan",VLOOKUP(O297,#REF!,4,FALSE),IF(F297="Intensif",VLOOKUP(O297,#REF!,10,FALSE),IF(F297="Penunjang",VLOOKUP(O297,#REF!,16,FALSE),IF(F297="Visitase Berdasarkan Jumlah Pasien",VLOOKUP(O297,#REF!,22,FALSE),IF(F297="Visitase",VLOOKUP(O297,#REF!,28,FALSE),IF(F297="Rawat Jalan",VLOOKUP(O297,#REF!,34,FALSE),0))))))</f>
        <v>#REF!</v>
      </c>
      <c r="N297" s="12">
        <f t="shared" si="8"/>
        <v>0</v>
      </c>
      <c r="O297" t="s">
        <v>694</v>
      </c>
      <c r="P297">
        <v>287</v>
      </c>
    </row>
    <row r="298" spans="2:16" x14ac:dyDescent="0.35">
      <c r="B298" s="7">
        <f t="shared" si="9"/>
        <v>288</v>
      </c>
      <c r="C298" s="3" t="s">
        <v>310</v>
      </c>
      <c r="D298" s="4" t="s">
        <v>538</v>
      </c>
      <c r="E298" s="9" t="s">
        <v>163</v>
      </c>
      <c r="F298" s="9" t="s">
        <v>22</v>
      </c>
      <c r="G298" s="14">
        <v>138</v>
      </c>
      <c r="H298" s="14">
        <v>14915000</v>
      </c>
      <c r="I298" s="14">
        <v>7</v>
      </c>
      <c r="J298" s="14">
        <v>525000</v>
      </c>
      <c r="K298" s="14">
        <v>11</v>
      </c>
      <c r="L298" s="14">
        <v>2750000</v>
      </c>
      <c r="M298" s="4" t="e">
        <f>IF(F298="Tindakan",VLOOKUP(O298,#REF!,4,FALSE),IF(F298="Intensif",VLOOKUP(O298,#REF!,10,FALSE),IF(F298="Penunjang",VLOOKUP(O298,#REF!,16,FALSE),IF(F298="Visitase Berdasarkan Jumlah Pasien",VLOOKUP(O298,#REF!,22,FALSE),IF(F298="Visitase",VLOOKUP(O298,#REF!,28,FALSE),IF(F298="Rawat Jalan",VLOOKUP(O298,#REF!,34,FALSE),0))))))</f>
        <v>#REF!</v>
      </c>
      <c r="N298" s="12">
        <f t="shared" si="8"/>
        <v>0</v>
      </c>
      <c r="O298" t="s">
        <v>694</v>
      </c>
      <c r="P298">
        <v>288</v>
      </c>
    </row>
    <row r="299" spans="2:16" x14ac:dyDescent="0.35">
      <c r="B299" s="7">
        <f t="shared" si="9"/>
        <v>289</v>
      </c>
      <c r="C299" s="3" t="s">
        <v>262</v>
      </c>
      <c r="D299" s="4" t="s">
        <v>539</v>
      </c>
      <c r="E299" s="9" t="s">
        <v>174</v>
      </c>
      <c r="F299" s="9" t="s">
        <v>20</v>
      </c>
      <c r="G299" s="14">
        <v>1</v>
      </c>
      <c r="H299" s="14">
        <v>175000</v>
      </c>
      <c r="I299" s="14">
        <v>0</v>
      </c>
      <c r="J299" s="14">
        <v>0</v>
      </c>
      <c r="K299" s="14">
        <v>0</v>
      </c>
      <c r="L299" s="14">
        <v>0</v>
      </c>
      <c r="M299" s="4" t="e">
        <f>IF(F299="Tindakan",VLOOKUP(O299,#REF!,4,FALSE),IF(F299="Intensif",VLOOKUP(O299,#REF!,10,FALSE),IF(F299="Penunjang",VLOOKUP(O299,#REF!,16,FALSE),IF(F299="Visitase Berdasarkan Jumlah Pasien",VLOOKUP(O299,#REF!,22,FALSE),IF(F299="Visitase",VLOOKUP(O299,#REF!,28,FALSE),IF(F299="Rawat Jalan",VLOOKUP(O299,#REF!,34,FALSE),0))))))</f>
        <v>#REF!</v>
      </c>
      <c r="N299" s="12">
        <f t="shared" si="8"/>
        <v>0</v>
      </c>
      <c r="O299" t="s">
        <v>705</v>
      </c>
      <c r="P299">
        <v>289</v>
      </c>
    </row>
    <row r="300" spans="2:16" x14ac:dyDescent="0.35">
      <c r="B300" s="7">
        <f t="shared" si="9"/>
        <v>290</v>
      </c>
      <c r="C300" s="3" t="s">
        <v>262</v>
      </c>
      <c r="D300" s="4" t="s">
        <v>539</v>
      </c>
      <c r="E300" s="9" t="s">
        <v>174</v>
      </c>
      <c r="F300" s="9" t="s">
        <v>190</v>
      </c>
      <c r="G300" s="14">
        <v>2</v>
      </c>
      <c r="H300" s="14">
        <v>250000</v>
      </c>
      <c r="I300" s="14">
        <v>0</v>
      </c>
      <c r="J300" s="14">
        <v>0</v>
      </c>
      <c r="K300" s="14">
        <v>0</v>
      </c>
      <c r="L300" s="14">
        <v>0</v>
      </c>
      <c r="M300" s="4" t="e">
        <f>IF(F300="Tindakan",VLOOKUP(O300,#REF!,4,FALSE),IF(F300="Intensif",VLOOKUP(O300,#REF!,10,FALSE),IF(F300="Penunjang",VLOOKUP(O300,#REF!,16,FALSE),IF(F300="Visitase Berdasarkan Jumlah Pasien",VLOOKUP(O300,#REF!,22,FALSE),IF(F300="Visitase",VLOOKUP(O300,#REF!,28,FALSE),IF(F300="Rawat Jalan",VLOOKUP(O300,#REF!,34,FALSE),0))))))</f>
        <v>#REF!</v>
      </c>
      <c r="N300" s="12">
        <f t="shared" si="8"/>
        <v>0</v>
      </c>
      <c r="O300" t="s">
        <v>705</v>
      </c>
      <c r="P300">
        <v>290</v>
      </c>
    </row>
    <row r="301" spans="2:16" x14ac:dyDescent="0.35">
      <c r="B301" s="7">
        <f t="shared" si="9"/>
        <v>291</v>
      </c>
      <c r="C301" s="3" t="s">
        <v>262</v>
      </c>
      <c r="D301" s="4" t="s">
        <v>539</v>
      </c>
      <c r="E301" s="9" t="s">
        <v>174</v>
      </c>
      <c r="F301" s="9" t="s">
        <v>22</v>
      </c>
      <c r="G301" s="14">
        <v>83</v>
      </c>
      <c r="H301" s="14">
        <v>9608000</v>
      </c>
      <c r="I301" s="14">
        <v>19</v>
      </c>
      <c r="J301" s="14">
        <v>1656000</v>
      </c>
      <c r="K301" s="14">
        <v>0</v>
      </c>
      <c r="L301" s="14">
        <v>0</v>
      </c>
      <c r="M301" s="4" t="e">
        <f>IF(F301="Tindakan",VLOOKUP(O301,#REF!,4,FALSE),IF(F301="Intensif",VLOOKUP(O301,#REF!,10,FALSE),IF(F301="Penunjang",VLOOKUP(O301,#REF!,16,FALSE),IF(F301="Visitase Berdasarkan Jumlah Pasien",VLOOKUP(O301,#REF!,22,FALSE),IF(F301="Visitase",VLOOKUP(O301,#REF!,28,FALSE),IF(F301="Rawat Jalan",VLOOKUP(O301,#REF!,34,FALSE),0))))))</f>
        <v>#REF!</v>
      </c>
      <c r="N301" s="12">
        <f t="shared" si="8"/>
        <v>0</v>
      </c>
      <c r="O301" t="s">
        <v>705</v>
      </c>
      <c r="P301">
        <v>291</v>
      </c>
    </row>
    <row r="302" spans="2:16" x14ac:dyDescent="0.35">
      <c r="B302" s="7">
        <f t="shared" si="9"/>
        <v>292</v>
      </c>
      <c r="C302" s="3" t="s">
        <v>262</v>
      </c>
      <c r="D302" s="4" t="s">
        <v>539</v>
      </c>
      <c r="E302" s="9" t="s">
        <v>174</v>
      </c>
      <c r="F302" s="9" t="s">
        <v>19</v>
      </c>
      <c r="G302" s="14">
        <v>1</v>
      </c>
      <c r="H302" s="14">
        <v>5000000</v>
      </c>
      <c r="I302" s="14">
        <v>0</v>
      </c>
      <c r="J302" s="14">
        <v>0</v>
      </c>
      <c r="K302" s="14">
        <v>0</v>
      </c>
      <c r="L302" s="14">
        <v>0</v>
      </c>
      <c r="M302" s="4" t="e">
        <f>IF(F302="Tindakan",VLOOKUP(O302,#REF!,4,FALSE),IF(F302="Intensif",VLOOKUP(O302,#REF!,10,FALSE),IF(F302="Penunjang",VLOOKUP(O302,#REF!,16,FALSE),IF(F302="Visitase Berdasarkan Jumlah Pasien",VLOOKUP(O302,#REF!,22,FALSE),IF(F302="Visitase",VLOOKUP(O302,#REF!,28,FALSE),IF(F302="Rawat Jalan",VLOOKUP(O302,#REF!,34,FALSE),0))))))</f>
        <v>#REF!</v>
      </c>
      <c r="N302" s="12">
        <f t="shared" si="8"/>
        <v>0</v>
      </c>
      <c r="O302" t="s">
        <v>705</v>
      </c>
      <c r="P302">
        <v>292</v>
      </c>
    </row>
    <row r="303" spans="2:16" x14ac:dyDescent="0.35">
      <c r="B303" s="7">
        <f t="shared" si="9"/>
        <v>293</v>
      </c>
      <c r="C303" s="3" t="s">
        <v>407</v>
      </c>
      <c r="D303" s="4" t="s">
        <v>540</v>
      </c>
      <c r="E303" s="9" t="s">
        <v>686</v>
      </c>
      <c r="F303" s="9" t="s">
        <v>20</v>
      </c>
      <c r="G303" s="14">
        <v>2</v>
      </c>
      <c r="H303" s="14">
        <v>606000</v>
      </c>
      <c r="I303" s="14">
        <v>0</v>
      </c>
      <c r="J303" s="14">
        <v>0</v>
      </c>
      <c r="K303" s="14">
        <v>0</v>
      </c>
      <c r="L303" s="14">
        <v>0</v>
      </c>
      <c r="M303" s="4" t="e">
        <f>IF(F303="Tindakan",VLOOKUP(O303,#REF!,4,FALSE),IF(F303="Intensif",VLOOKUP(O303,#REF!,10,FALSE),IF(F303="Penunjang",VLOOKUP(O303,#REF!,16,FALSE),IF(F303="Visitase Berdasarkan Jumlah Pasien",VLOOKUP(O303,#REF!,22,FALSE),IF(F303="Visitase",VLOOKUP(O303,#REF!,28,FALSE),IF(F303="Rawat Jalan",VLOOKUP(O303,#REF!,34,FALSE),0))))))</f>
        <v>#REF!</v>
      </c>
      <c r="N303" s="12">
        <f t="shared" si="8"/>
        <v>0</v>
      </c>
      <c r="O303" t="s">
        <v>695</v>
      </c>
      <c r="P303">
        <v>293</v>
      </c>
    </row>
    <row r="304" spans="2:16" x14ac:dyDescent="0.35">
      <c r="B304" s="7">
        <f t="shared" si="9"/>
        <v>294</v>
      </c>
      <c r="C304" s="3" t="s">
        <v>407</v>
      </c>
      <c r="D304" s="4" t="s">
        <v>540</v>
      </c>
      <c r="E304" s="9" t="s">
        <v>686</v>
      </c>
      <c r="F304" s="9" t="s">
        <v>22</v>
      </c>
      <c r="G304" s="14">
        <v>0</v>
      </c>
      <c r="H304" s="14">
        <v>0</v>
      </c>
      <c r="I304" s="14">
        <v>0</v>
      </c>
      <c r="J304" s="14">
        <v>0</v>
      </c>
      <c r="K304" s="14">
        <v>33</v>
      </c>
      <c r="L304" s="14">
        <v>4810000</v>
      </c>
      <c r="M304" s="4" t="e">
        <f>IF(F304="Tindakan",VLOOKUP(O304,#REF!,4,FALSE),IF(F304="Intensif",VLOOKUP(O304,#REF!,10,FALSE),IF(F304="Penunjang",VLOOKUP(O304,#REF!,16,FALSE),IF(F304="Visitase Berdasarkan Jumlah Pasien",VLOOKUP(O304,#REF!,22,FALSE),IF(F304="Visitase",VLOOKUP(O304,#REF!,28,FALSE),IF(F304="Rawat Jalan",VLOOKUP(O304,#REF!,34,FALSE),0))))))</f>
        <v>#REF!</v>
      </c>
      <c r="N304" s="12">
        <f t="shared" si="8"/>
        <v>0</v>
      </c>
      <c r="O304" t="s">
        <v>695</v>
      </c>
      <c r="P304">
        <v>294</v>
      </c>
    </row>
    <row r="305" spans="2:16" x14ac:dyDescent="0.35">
      <c r="B305" s="7">
        <f t="shared" si="9"/>
        <v>295</v>
      </c>
      <c r="C305" s="3" t="s">
        <v>408</v>
      </c>
      <c r="D305" s="4" t="s">
        <v>541</v>
      </c>
      <c r="E305" s="9" t="s">
        <v>149</v>
      </c>
      <c r="F305" s="9" t="s">
        <v>20</v>
      </c>
      <c r="G305" s="14">
        <v>13</v>
      </c>
      <c r="H305" s="14">
        <v>2275000</v>
      </c>
      <c r="I305" s="14">
        <v>0</v>
      </c>
      <c r="J305" s="14">
        <v>0</v>
      </c>
      <c r="K305" s="14">
        <v>0</v>
      </c>
      <c r="L305" s="14">
        <v>0</v>
      </c>
      <c r="M305" s="4" t="e">
        <f>IF(F305="Tindakan",VLOOKUP(O305,#REF!,4,FALSE),IF(F305="Intensif",VLOOKUP(O305,#REF!,10,FALSE),IF(F305="Penunjang",VLOOKUP(O305,#REF!,16,FALSE),IF(F305="Visitase Berdasarkan Jumlah Pasien",VLOOKUP(O305,#REF!,22,FALSE),IF(F305="Visitase",VLOOKUP(O305,#REF!,28,FALSE),IF(F305="Rawat Jalan",VLOOKUP(O305,#REF!,34,FALSE),0))))))</f>
        <v>#REF!</v>
      </c>
      <c r="N305" s="12">
        <f t="shared" si="8"/>
        <v>0</v>
      </c>
      <c r="O305" t="s">
        <v>688</v>
      </c>
      <c r="P305">
        <v>295</v>
      </c>
    </row>
    <row r="306" spans="2:16" x14ac:dyDescent="0.35">
      <c r="B306" s="7">
        <f t="shared" si="9"/>
        <v>296</v>
      </c>
      <c r="C306" s="3" t="s">
        <v>408</v>
      </c>
      <c r="D306" s="4" t="s">
        <v>541</v>
      </c>
      <c r="E306" s="9" t="s">
        <v>149</v>
      </c>
      <c r="F306" s="9" t="s">
        <v>190</v>
      </c>
      <c r="G306" s="14">
        <v>17</v>
      </c>
      <c r="H306" s="14">
        <v>2195000</v>
      </c>
      <c r="I306" s="14">
        <v>0</v>
      </c>
      <c r="J306" s="14">
        <v>0</v>
      </c>
      <c r="K306" s="14">
        <v>0</v>
      </c>
      <c r="L306" s="14">
        <v>0</v>
      </c>
      <c r="M306" s="4" t="e">
        <f>IF(F306="Tindakan",VLOOKUP(O306,#REF!,4,FALSE),IF(F306="Intensif",VLOOKUP(O306,#REF!,10,FALSE),IF(F306="Penunjang",VLOOKUP(O306,#REF!,16,FALSE),IF(F306="Visitase Berdasarkan Jumlah Pasien",VLOOKUP(O306,#REF!,22,FALSE),IF(F306="Visitase",VLOOKUP(O306,#REF!,28,FALSE),IF(F306="Rawat Jalan",VLOOKUP(O306,#REF!,34,FALSE),0))))))</f>
        <v>#REF!</v>
      </c>
      <c r="N306" s="12">
        <f t="shared" si="8"/>
        <v>0</v>
      </c>
      <c r="O306" t="s">
        <v>688</v>
      </c>
      <c r="P306">
        <v>296</v>
      </c>
    </row>
    <row r="307" spans="2:16" x14ac:dyDescent="0.35">
      <c r="B307" s="7">
        <f t="shared" si="9"/>
        <v>297</v>
      </c>
      <c r="C307" s="3" t="s">
        <v>408</v>
      </c>
      <c r="D307" s="4" t="s">
        <v>541</v>
      </c>
      <c r="E307" s="9" t="s">
        <v>149</v>
      </c>
      <c r="F307" s="9" t="s">
        <v>19</v>
      </c>
      <c r="G307" s="14">
        <v>4</v>
      </c>
      <c r="H307" s="14">
        <v>33250000</v>
      </c>
      <c r="I307" s="14">
        <v>0</v>
      </c>
      <c r="J307" s="14">
        <v>0</v>
      </c>
      <c r="K307" s="14">
        <v>0</v>
      </c>
      <c r="L307" s="14">
        <v>0</v>
      </c>
      <c r="M307" s="4" t="e">
        <f>IF(F307="Tindakan",VLOOKUP(O307,#REF!,4,FALSE),IF(F307="Intensif",VLOOKUP(O307,#REF!,10,FALSE),IF(F307="Penunjang",VLOOKUP(O307,#REF!,16,FALSE),IF(F307="Visitase Berdasarkan Jumlah Pasien",VLOOKUP(O307,#REF!,22,FALSE),IF(F307="Visitase",VLOOKUP(O307,#REF!,28,FALSE),IF(F307="Rawat Jalan",VLOOKUP(O307,#REF!,34,FALSE),0))))))</f>
        <v>#REF!</v>
      </c>
      <c r="N307" s="12">
        <f t="shared" si="8"/>
        <v>0</v>
      </c>
      <c r="O307" t="s">
        <v>688</v>
      </c>
      <c r="P307">
        <v>297</v>
      </c>
    </row>
    <row r="308" spans="2:16" x14ac:dyDescent="0.35">
      <c r="B308" s="7">
        <f t="shared" si="9"/>
        <v>298</v>
      </c>
      <c r="C308" s="3" t="s">
        <v>408</v>
      </c>
      <c r="D308" s="4" t="s">
        <v>541</v>
      </c>
      <c r="E308" s="9" t="s">
        <v>149</v>
      </c>
      <c r="F308" s="9" t="s">
        <v>22</v>
      </c>
      <c r="G308" s="14">
        <v>2</v>
      </c>
      <c r="H308" s="14">
        <v>940000</v>
      </c>
      <c r="I308" s="14">
        <v>0</v>
      </c>
      <c r="J308" s="14">
        <v>0</v>
      </c>
      <c r="K308" s="14">
        <v>0</v>
      </c>
      <c r="L308" s="14">
        <v>0</v>
      </c>
      <c r="M308" s="4" t="e">
        <f>IF(F308="Tindakan",VLOOKUP(O308,#REF!,4,FALSE),IF(F308="Intensif",VLOOKUP(O308,#REF!,10,FALSE),IF(F308="Penunjang",VLOOKUP(O308,#REF!,16,FALSE),IF(F308="Visitase Berdasarkan Jumlah Pasien",VLOOKUP(O308,#REF!,22,FALSE),IF(F308="Visitase",VLOOKUP(O308,#REF!,28,FALSE),IF(F308="Rawat Jalan",VLOOKUP(O308,#REF!,34,FALSE),0))))))</f>
        <v>#REF!</v>
      </c>
      <c r="N308" s="12">
        <f t="shared" si="8"/>
        <v>0</v>
      </c>
      <c r="O308" t="s">
        <v>688</v>
      </c>
      <c r="P308">
        <v>298</v>
      </c>
    </row>
    <row r="309" spans="2:16" x14ac:dyDescent="0.35">
      <c r="B309" s="7">
        <f t="shared" si="9"/>
        <v>299</v>
      </c>
      <c r="C309" s="3" t="s">
        <v>293</v>
      </c>
      <c r="D309" s="4" t="s">
        <v>542</v>
      </c>
      <c r="E309" s="9" t="s">
        <v>151</v>
      </c>
      <c r="F309" s="9" t="s">
        <v>20</v>
      </c>
      <c r="G309" s="14">
        <v>10</v>
      </c>
      <c r="H309" s="14">
        <v>4418000</v>
      </c>
      <c r="I309" s="14">
        <v>6</v>
      </c>
      <c r="J309" s="14">
        <v>1050000</v>
      </c>
      <c r="K309" s="14">
        <v>0</v>
      </c>
      <c r="L309" s="14">
        <v>0</v>
      </c>
      <c r="M309" s="4" t="e">
        <f>IF(F309="Tindakan",VLOOKUP(O309,#REF!,4,FALSE),IF(F309="Intensif",VLOOKUP(O309,#REF!,10,FALSE),IF(F309="Penunjang",VLOOKUP(O309,#REF!,16,FALSE),IF(F309="Visitase Berdasarkan Jumlah Pasien",VLOOKUP(O309,#REF!,22,FALSE),IF(F309="Visitase",VLOOKUP(O309,#REF!,28,FALSE),IF(F309="Rawat Jalan",VLOOKUP(O309,#REF!,34,FALSE),0))))))</f>
        <v>#REF!</v>
      </c>
      <c r="N309" s="12">
        <f t="shared" si="8"/>
        <v>0</v>
      </c>
      <c r="O309" t="s">
        <v>690</v>
      </c>
      <c r="P309">
        <v>299</v>
      </c>
    </row>
    <row r="310" spans="2:16" x14ac:dyDescent="0.35">
      <c r="B310" s="7">
        <f t="shared" si="9"/>
        <v>300</v>
      </c>
      <c r="C310" s="3" t="s">
        <v>293</v>
      </c>
      <c r="D310" s="4" t="s">
        <v>542</v>
      </c>
      <c r="E310" s="9" t="s">
        <v>151</v>
      </c>
      <c r="F310" s="9" t="s">
        <v>190</v>
      </c>
      <c r="G310" s="14">
        <v>3</v>
      </c>
      <c r="H310" s="14">
        <v>430000</v>
      </c>
      <c r="I310" s="14">
        <v>0</v>
      </c>
      <c r="J310" s="14">
        <v>0</v>
      </c>
      <c r="K310" s="14">
        <v>0</v>
      </c>
      <c r="L310" s="14">
        <v>0</v>
      </c>
      <c r="M310" s="4" t="e">
        <f>IF(F310="Tindakan",VLOOKUP(O310,#REF!,4,FALSE),IF(F310="Intensif",VLOOKUP(O310,#REF!,10,FALSE),IF(F310="Penunjang",VLOOKUP(O310,#REF!,16,FALSE),IF(F310="Visitase Berdasarkan Jumlah Pasien",VLOOKUP(O310,#REF!,22,FALSE),IF(F310="Visitase",VLOOKUP(O310,#REF!,28,FALSE),IF(F310="Rawat Jalan",VLOOKUP(O310,#REF!,34,FALSE),0))))))</f>
        <v>#REF!</v>
      </c>
      <c r="N310" s="12">
        <f t="shared" si="8"/>
        <v>0</v>
      </c>
      <c r="O310" t="s">
        <v>690</v>
      </c>
      <c r="P310">
        <v>300</v>
      </c>
    </row>
    <row r="311" spans="2:16" x14ac:dyDescent="0.35">
      <c r="B311" s="7">
        <f t="shared" si="9"/>
        <v>301</v>
      </c>
      <c r="C311" s="3" t="s">
        <v>293</v>
      </c>
      <c r="D311" s="4" t="s">
        <v>542</v>
      </c>
      <c r="E311" s="9" t="s">
        <v>151</v>
      </c>
      <c r="F311" s="9" t="s">
        <v>19</v>
      </c>
      <c r="G311" s="14">
        <v>46</v>
      </c>
      <c r="H311" s="14">
        <v>386173000</v>
      </c>
      <c r="I311" s="14">
        <v>2</v>
      </c>
      <c r="J311" s="14">
        <v>24440000</v>
      </c>
      <c r="K311" s="14">
        <v>2</v>
      </c>
      <c r="L311" s="14">
        <v>53590000</v>
      </c>
      <c r="M311" s="4" t="e">
        <f>IF(F311="Tindakan",VLOOKUP(O311,#REF!,4,FALSE),IF(F311="Intensif",VLOOKUP(O311,#REF!,10,FALSE),IF(F311="Penunjang",VLOOKUP(O311,#REF!,16,FALSE),IF(F311="Visitase Berdasarkan Jumlah Pasien",VLOOKUP(O311,#REF!,22,FALSE),IF(F311="Visitase",VLOOKUP(O311,#REF!,28,FALSE),IF(F311="Rawat Jalan",VLOOKUP(O311,#REF!,34,FALSE),0))))))</f>
        <v>#REF!</v>
      </c>
      <c r="N311" s="12">
        <f t="shared" si="8"/>
        <v>0</v>
      </c>
      <c r="O311" t="s">
        <v>690</v>
      </c>
      <c r="P311">
        <v>301</v>
      </c>
    </row>
    <row r="312" spans="2:16" x14ac:dyDescent="0.35">
      <c r="B312" s="7">
        <f t="shared" si="9"/>
        <v>302</v>
      </c>
      <c r="C312" s="3" t="s">
        <v>293</v>
      </c>
      <c r="D312" s="4" t="s">
        <v>542</v>
      </c>
      <c r="E312" s="9" t="s">
        <v>151</v>
      </c>
      <c r="F312" s="9" t="s">
        <v>22</v>
      </c>
      <c r="G312" s="14">
        <v>6</v>
      </c>
      <c r="H312" s="14">
        <v>3851300</v>
      </c>
      <c r="I312" s="14">
        <v>2</v>
      </c>
      <c r="J312" s="14">
        <v>184000</v>
      </c>
      <c r="K312" s="14">
        <v>0</v>
      </c>
      <c r="L312" s="14">
        <v>0</v>
      </c>
      <c r="M312" s="4" t="e">
        <f>IF(F312="Tindakan",VLOOKUP(O312,#REF!,4,FALSE),IF(F312="Intensif",VLOOKUP(O312,#REF!,10,FALSE),IF(F312="Penunjang",VLOOKUP(O312,#REF!,16,FALSE),IF(F312="Visitase Berdasarkan Jumlah Pasien",VLOOKUP(O312,#REF!,22,FALSE),IF(F312="Visitase",VLOOKUP(O312,#REF!,28,FALSE),IF(F312="Rawat Jalan",VLOOKUP(O312,#REF!,34,FALSE),0))))))</f>
        <v>#REF!</v>
      </c>
      <c r="N312" s="12">
        <f t="shared" si="8"/>
        <v>0</v>
      </c>
      <c r="O312" t="s">
        <v>690</v>
      </c>
      <c r="P312">
        <v>302</v>
      </c>
    </row>
    <row r="313" spans="2:16" x14ac:dyDescent="0.35">
      <c r="B313" s="7">
        <f t="shared" si="9"/>
        <v>303</v>
      </c>
      <c r="C313" s="3" t="s">
        <v>325</v>
      </c>
      <c r="D313" s="4" t="s">
        <v>543</v>
      </c>
      <c r="E313" s="9" t="s">
        <v>162</v>
      </c>
      <c r="F313" s="9" t="s">
        <v>190</v>
      </c>
      <c r="G313" s="14">
        <v>5</v>
      </c>
      <c r="H313" s="14">
        <v>625000</v>
      </c>
      <c r="I313" s="14">
        <v>0</v>
      </c>
      <c r="J313" s="14">
        <v>0</v>
      </c>
      <c r="K313" s="14">
        <v>0</v>
      </c>
      <c r="L313" s="14">
        <v>0</v>
      </c>
      <c r="M313" s="4" t="e">
        <f>IF(F313="Tindakan",VLOOKUP(O313,#REF!,4,FALSE),IF(F313="Intensif",VLOOKUP(O313,#REF!,10,FALSE),IF(F313="Penunjang",VLOOKUP(O313,#REF!,16,FALSE),IF(F313="Visitase Berdasarkan Jumlah Pasien",VLOOKUP(O313,#REF!,22,FALSE),IF(F313="Visitase",VLOOKUP(O313,#REF!,28,FALSE),IF(F313="Rawat Jalan",VLOOKUP(O313,#REF!,34,FALSE),0))))))</f>
        <v>#REF!</v>
      </c>
      <c r="N313" s="12">
        <f t="shared" si="8"/>
        <v>0</v>
      </c>
      <c r="O313" t="s">
        <v>703</v>
      </c>
      <c r="P313">
        <v>303</v>
      </c>
    </row>
    <row r="314" spans="2:16" x14ac:dyDescent="0.35">
      <c r="B314" s="7">
        <f t="shared" si="9"/>
        <v>304</v>
      </c>
      <c r="C314" s="3" t="s">
        <v>325</v>
      </c>
      <c r="D314" s="4" t="s">
        <v>543</v>
      </c>
      <c r="E314" s="9" t="s">
        <v>162</v>
      </c>
      <c r="F314" s="9" t="s">
        <v>22</v>
      </c>
      <c r="G314" s="14">
        <v>89</v>
      </c>
      <c r="H314" s="14">
        <v>11754850</v>
      </c>
      <c r="I314" s="14">
        <v>46</v>
      </c>
      <c r="J314" s="14">
        <v>5847300</v>
      </c>
      <c r="K314" s="14">
        <v>38</v>
      </c>
      <c r="L314" s="14">
        <v>10886600</v>
      </c>
      <c r="M314" s="4" t="e">
        <f>IF(F314="Tindakan",VLOOKUP(O314,#REF!,4,FALSE),IF(F314="Intensif",VLOOKUP(O314,#REF!,10,FALSE),IF(F314="Penunjang",VLOOKUP(O314,#REF!,16,FALSE),IF(F314="Visitase Berdasarkan Jumlah Pasien",VLOOKUP(O314,#REF!,22,FALSE),IF(F314="Visitase",VLOOKUP(O314,#REF!,28,FALSE),IF(F314="Rawat Jalan",VLOOKUP(O314,#REF!,34,FALSE),0))))))</f>
        <v>#REF!</v>
      </c>
      <c r="N314" s="12">
        <f t="shared" si="8"/>
        <v>0</v>
      </c>
      <c r="O314" t="s">
        <v>703</v>
      </c>
      <c r="P314">
        <v>304</v>
      </c>
    </row>
    <row r="315" spans="2:16" x14ac:dyDescent="0.35">
      <c r="B315" s="7">
        <f t="shared" si="9"/>
        <v>305</v>
      </c>
      <c r="C315" s="3" t="s">
        <v>325</v>
      </c>
      <c r="D315" s="4" t="s">
        <v>543</v>
      </c>
      <c r="E315" s="9" t="s">
        <v>162</v>
      </c>
      <c r="F315" s="9" t="s">
        <v>20</v>
      </c>
      <c r="G315" s="14">
        <v>1</v>
      </c>
      <c r="H315" s="14">
        <v>140000</v>
      </c>
      <c r="I315" s="14">
        <v>0</v>
      </c>
      <c r="J315" s="14">
        <v>0</v>
      </c>
      <c r="K315" s="14">
        <v>0</v>
      </c>
      <c r="L315" s="14">
        <v>0</v>
      </c>
      <c r="M315" s="4" t="e">
        <f>IF(F315="Tindakan",VLOOKUP(O315,#REF!,4,FALSE),IF(F315="Intensif",VLOOKUP(O315,#REF!,10,FALSE),IF(F315="Penunjang",VLOOKUP(O315,#REF!,16,FALSE),IF(F315="Visitase Berdasarkan Jumlah Pasien",VLOOKUP(O315,#REF!,22,FALSE),IF(F315="Visitase",VLOOKUP(O315,#REF!,28,FALSE),IF(F315="Rawat Jalan",VLOOKUP(O315,#REF!,34,FALSE),0))))))</f>
        <v>#REF!</v>
      </c>
      <c r="N315" s="12">
        <f t="shared" si="8"/>
        <v>0</v>
      </c>
      <c r="O315" t="s">
        <v>703</v>
      </c>
      <c r="P315">
        <v>305</v>
      </c>
    </row>
    <row r="316" spans="2:16" x14ac:dyDescent="0.35">
      <c r="B316" s="7">
        <f t="shared" si="9"/>
        <v>306</v>
      </c>
      <c r="C316" s="3" t="s">
        <v>253</v>
      </c>
      <c r="D316" s="4" t="s">
        <v>544</v>
      </c>
      <c r="E316" s="9" t="s">
        <v>146</v>
      </c>
      <c r="F316" s="9" t="s">
        <v>190</v>
      </c>
      <c r="G316" s="14">
        <v>173</v>
      </c>
      <c r="H316" s="14">
        <v>21680000</v>
      </c>
      <c r="I316" s="14">
        <v>0</v>
      </c>
      <c r="J316" s="14">
        <v>0</v>
      </c>
      <c r="K316" s="14">
        <v>0</v>
      </c>
      <c r="L316" s="14">
        <v>0</v>
      </c>
      <c r="M316" s="4" t="e">
        <f>IF(F316="Tindakan",VLOOKUP(O316,#REF!,4,FALSE),IF(F316="Intensif",VLOOKUP(O316,#REF!,10,FALSE),IF(F316="Penunjang",VLOOKUP(O316,#REF!,16,FALSE),IF(F316="Visitase Berdasarkan Jumlah Pasien",VLOOKUP(O316,#REF!,22,FALSE),IF(F316="Visitase",VLOOKUP(O316,#REF!,28,FALSE),IF(F316="Rawat Jalan",VLOOKUP(O316,#REF!,34,FALSE),0))))))</f>
        <v>#REF!</v>
      </c>
      <c r="N316" s="12">
        <f t="shared" si="8"/>
        <v>0</v>
      </c>
      <c r="O316" t="s">
        <v>696</v>
      </c>
      <c r="P316">
        <v>306</v>
      </c>
    </row>
    <row r="317" spans="2:16" x14ac:dyDescent="0.35">
      <c r="B317" s="7">
        <f t="shared" si="9"/>
        <v>307</v>
      </c>
      <c r="C317" s="3" t="s">
        <v>253</v>
      </c>
      <c r="D317" s="4" t="s">
        <v>544</v>
      </c>
      <c r="E317" s="9" t="s">
        <v>146</v>
      </c>
      <c r="F317" s="9" t="s">
        <v>20</v>
      </c>
      <c r="G317" s="14">
        <v>43</v>
      </c>
      <c r="H317" s="14">
        <v>7231000</v>
      </c>
      <c r="I317" s="14">
        <v>0</v>
      </c>
      <c r="J317" s="14">
        <v>0</v>
      </c>
      <c r="K317" s="14">
        <v>0</v>
      </c>
      <c r="L317" s="14">
        <v>0</v>
      </c>
      <c r="M317" s="4" t="e">
        <f>IF(F317="Tindakan",VLOOKUP(O317,#REF!,4,FALSE),IF(F317="Intensif",VLOOKUP(O317,#REF!,10,FALSE),IF(F317="Penunjang",VLOOKUP(O317,#REF!,16,FALSE),IF(F317="Visitase Berdasarkan Jumlah Pasien",VLOOKUP(O317,#REF!,22,FALSE),IF(F317="Visitase",VLOOKUP(O317,#REF!,28,FALSE),IF(F317="Rawat Jalan",VLOOKUP(O317,#REF!,34,FALSE),0))))))</f>
        <v>#REF!</v>
      </c>
      <c r="N317" s="12">
        <f t="shared" si="8"/>
        <v>0</v>
      </c>
      <c r="O317" t="s">
        <v>696</v>
      </c>
      <c r="P317">
        <v>307</v>
      </c>
    </row>
    <row r="318" spans="2:16" x14ac:dyDescent="0.35">
      <c r="B318" s="7">
        <f t="shared" si="9"/>
        <v>308</v>
      </c>
      <c r="C318" s="3" t="s">
        <v>253</v>
      </c>
      <c r="D318" s="4" t="s">
        <v>544</v>
      </c>
      <c r="E318" s="9" t="s">
        <v>146</v>
      </c>
      <c r="F318" s="9" t="s">
        <v>22</v>
      </c>
      <c r="G318" s="14">
        <v>206</v>
      </c>
      <c r="H318" s="14">
        <v>47500000</v>
      </c>
      <c r="I318" s="14">
        <v>4</v>
      </c>
      <c r="J318" s="14">
        <v>500000</v>
      </c>
      <c r="K318" s="14">
        <v>27</v>
      </c>
      <c r="L318" s="14">
        <v>8100000</v>
      </c>
      <c r="M318" s="4" t="e">
        <f>IF(F318="Tindakan",VLOOKUP(O318,#REF!,4,FALSE),IF(F318="Intensif",VLOOKUP(O318,#REF!,10,FALSE),IF(F318="Penunjang",VLOOKUP(O318,#REF!,16,FALSE),IF(F318="Visitase Berdasarkan Jumlah Pasien",VLOOKUP(O318,#REF!,22,FALSE),IF(F318="Visitase",VLOOKUP(O318,#REF!,28,FALSE),IF(F318="Rawat Jalan",VLOOKUP(O318,#REF!,34,FALSE),0))))))</f>
        <v>#REF!</v>
      </c>
      <c r="N318" s="12">
        <f t="shared" si="8"/>
        <v>0</v>
      </c>
      <c r="O318" t="s">
        <v>696</v>
      </c>
      <c r="P318">
        <v>308</v>
      </c>
    </row>
    <row r="319" spans="2:16" x14ac:dyDescent="0.35">
      <c r="B319" s="7">
        <f t="shared" si="9"/>
        <v>309</v>
      </c>
      <c r="C319" s="3" t="s">
        <v>409</v>
      </c>
      <c r="D319" s="4" t="s">
        <v>545</v>
      </c>
      <c r="E319" s="9" t="s">
        <v>686</v>
      </c>
      <c r="F319" s="9" t="s">
        <v>190</v>
      </c>
      <c r="G319" s="14">
        <v>8</v>
      </c>
      <c r="H319" s="14">
        <v>1210000</v>
      </c>
      <c r="I319" s="14">
        <v>0</v>
      </c>
      <c r="J319" s="14">
        <v>0</v>
      </c>
      <c r="K319" s="14">
        <v>0</v>
      </c>
      <c r="L319" s="14">
        <v>0</v>
      </c>
      <c r="M319" s="4" t="e">
        <f>IF(F319="Tindakan",VLOOKUP(O319,#REF!,4,FALSE),IF(F319="Intensif",VLOOKUP(O319,#REF!,10,FALSE),IF(F319="Penunjang",VLOOKUP(O319,#REF!,16,FALSE),IF(F319="Visitase Berdasarkan Jumlah Pasien",VLOOKUP(O319,#REF!,22,FALSE),IF(F319="Visitase",VLOOKUP(O319,#REF!,28,FALSE),IF(F319="Rawat Jalan",VLOOKUP(O319,#REF!,34,FALSE),0))))))</f>
        <v>#REF!</v>
      </c>
      <c r="N319" s="12">
        <f t="shared" si="8"/>
        <v>0</v>
      </c>
      <c r="O319" t="s">
        <v>695</v>
      </c>
      <c r="P319">
        <v>309</v>
      </c>
    </row>
    <row r="320" spans="2:16" x14ac:dyDescent="0.35">
      <c r="B320" s="7">
        <f t="shared" si="9"/>
        <v>310</v>
      </c>
      <c r="C320" s="3" t="s">
        <v>254</v>
      </c>
      <c r="D320" s="4" t="s">
        <v>546</v>
      </c>
      <c r="E320" s="9" t="s">
        <v>146</v>
      </c>
      <c r="F320" s="9" t="s">
        <v>190</v>
      </c>
      <c r="G320" s="14">
        <v>143</v>
      </c>
      <c r="H320" s="14">
        <v>17875000</v>
      </c>
      <c r="I320" s="14">
        <v>7</v>
      </c>
      <c r="J320" s="14">
        <v>875000</v>
      </c>
      <c r="K320" s="14">
        <v>0</v>
      </c>
      <c r="L320" s="14">
        <v>0</v>
      </c>
      <c r="M320" s="4" t="e">
        <f>IF(F320="Tindakan",VLOOKUP(O320,#REF!,4,FALSE),IF(F320="Intensif",VLOOKUP(O320,#REF!,10,FALSE),IF(F320="Penunjang",VLOOKUP(O320,#REF!,16,FALSE),IF(F320="Visitase Berdasarkan Jumlah Pasien",VLOOKUP(O320,#REF!,22,FALSE),IF(F320="Visitase",VLOOKUP(O320,#REF!,28,FALSE),IF(F320="Rawat Jalan",VLOOKUP(O320,#REF!,34,FALSE),0))))))</f>
        <v>#REF!</v>
      </c>
      <c r="N320" s="12">
        <f t="shared" si="8"/>
        <v>0</v>
      </c>
      <c r="O320" t="s">
        <v>696</v>
      </c>
      <c r="P320">
        <v>310</v>
      </c>
    </row>
    <row r="321" spans="2:16" x14ac:dyDescent="0.35">
      <c r="B321" s="7">
        <f t="shared" si="9"/>
        <v>311</v>
      </c>
      <c r="C321" s="3" t="s">
        <v>254</v>
      </c>
      <c r="D321" s="4" t="s">
        <v>546</v>
      </c>
      <c r="E321" s="9" t="s">
        <v>146</v>
      </c>
      <c r="F321" s="9" t="s">
        <v>22</v>
      </c>
      <c r="G321" s="14">
        <v>253</v>
      </c>
      <c r="H321" s="14">
        <v>52490000</v>
      </c>
      <c r="I321" s="14">
        <v>7</v>
      </c>
      <c r="J321" s="14">
        <v>1200000</v>
      </c>
      <c r="K321" s="14">
        <v>27</v>
      </c>
      <c r="L321" s="14">
        <v>8100000</v>
      </c>
      <c r="M321" s="4" t="e">
        <f>IF(F321="Tindakan",VLOOKUP(O321,#REF!,4,FALSE),IF(F321="Intensif",VLOOKUP(O321,#REF!,10,FALSE),IF(F321="Penunjang",VLOOKUP(O321,#REF!,16,FALSE),IF(F321="Visitase Berdasarkan Jumlah Pasien",VLOOKUP(O321,#REF!,22,FALSE),IF(F321="Visitase",VLOOKUP(O321,#REF!,28,FALSE),IF(F321="Rawat Jalan",VLOOKUP(O321,#REF!,34,FALSE),0))))))</f>
        <v>#REF!</v>
      </c>
      <c r="N321" s="12">
        <f t="shared" si="8"/>
        <v>0</v>
      </c>
      <c r="O321" t="s">
        <v>696</v>
      </c>
      <c r="P321">
        <v>311</v>
      </c>
    </row>
    <row r="322" spans="2:16" x14ac:dyDescent="0.35">
      <c r="B322" s="7">
        <f t="shared" si="9"/>
        <v>312</v>
      </c>
      <c r="C322" s="3" t="s">
        <v>410</v>
      </c>
      <c r="D322" s="4" t="s">
        <v>547</v>
      </c>
      <c r="E322" s="9" t="s">
        <v>151</v>
      </c>
      <c r="F322" s="9" t="s">
        <v>20</v>
      </c>
      <c r="G322" s="14">
        <v>20</v>
      </c>
      <c r="H322" s="14">
        <v>5779500</v>
      </c>
      <c r="I322" s="14">
        <v>36</v>
      </c>
      <c r="J322" s="14">
        <v>6543500</v>
      </c>
      <c r="K322" s="14">
        <v>0</v>
      </c>
      <c r="L322" s="14">
        <v>0</v>
      </c>
      <c r="M322" s="4" t="e">
        <f>IF(F322="Tindakan",VLOOKUP(O322,#REF!,4,FALSE),IF(F322="Intensif",VLOOKUP(O322,#REF!,10,FALSE),IF(F322="Penunjang",VLOOKUP(O322,#REF!,16,FALSE),IF(F322="Visitase Berdasarkan Jumlah Pasien",VLOOKUP(O322,#REF!,22,FALSE),IF(F322="Visitase",VLOOKUP(O322,#REF!,28,FALSE),IF(F322="Rawat Jalan",VLOOKUP(O322,#REF!,34,FALSE),0))))))</f>
        <v>#REF!</v>
      </c>
      <c r="N322" s="12">
        <f t="shared" si="8"/>
        <v>0</v>
      </c>
      <c r="O322" t="s">
        <v>690</v>
      </c>
      <c r="P322">
        <v>312</v>
      </c>
    </row>
    <row r="323" spans="2:16" x14ac:dyDescent="0.35">
      <c r="B323" s="7">
        <f t="shared" si="9"/>
        <v>313</v>
      </c>
      <c r="C323" s="3" t="s">
        <v>410</v>
      </c>
      <c r="D323" s="4" t="s">
        <v>547</v>
      </c>
      <c r="E323" s="9" t="s">
        <v>151</v>
      </c>
      <c r="F323" s="9" t="s">
        <v>19</v>
      </c>
      <c r="G323" s="14">
        <v>40</v>
      </c>
      <c r="H323" s="14">
        <v>426223000</v>
      </c>
      <c r="I323" s="14">
        <v>1</v>
      </c>
      <c r="J323" s="14">
        <v>3000000</v>
      </c>
      <c r="K323" s="14">
        <v>2</v>
      </c>
      <c r="L323" s="14">
        <v>42750000</v>
      </c>
      <c r="M323" s="4" t="e">
        <f>IF(F323="Tindakan",VLOOKUP(O323,#REF!,4,FALSE),IF(F323="Intensif",VLOOKUP(O323,#REF!,10,FALSE),IF(F323="Penunjang",VLOOKUP(O323,#REF!,16,FALSE),IF(F323="Visitase Berdasarkan Jumlah Pasien",VLOOKUP(O323,#REF!,22,FALSE),IF(F323="Visitase",VLOOKUP(O323,#REF!,28,FALSE),IF(F323="Rawat Jalan",VLOOKUP(O323,#REF!,34,FALSE),0))))))</f>
        <v>#REF!</v>
      </c>
      <c r="N323" s="12">
        <f t="shared" si="8"/>
        <v>0</v>
      </c>
      <c r="O323" t="s">
        <v>690</v>
      </c>
      <c r="P323">
        <v>313</v>
      </c>
    </row>
    <row r="324" spans="2:16" x14ac:dyDescent="0.35">
      <c r="B324" s="7">
        <f t="shared" si="9"/>
        <v>314</v>
      </c>
      <c r="C324" s="3" t="s">
        <v>410</v>
      </c>
      <c r="D324" s="4" t="s">
        <v>547</v>
      </c>
      <c r="E324" s="9" t="s">
        <v>151</v>
      </c>
      <c r="F324" s="9" t="s">
        <v>22</v>
      </c>
      <c r="G324" s="14">
        <v>130</v>
      </c>
      <c r="H324" s="14">
        <v>10770000</v>
      </c>
      <c r="I324" s="14">
        <v>4</v>
      </c>
      <c r="J324" s="14">
        <v>365000</v>
      </c>
      <c r="K324" s="14">
        <v>7</v>
      </c>
      <c r="L324" s="14">
        <v>1750000</v>
      </c>
      <c r="M324" s="4" t="e">
        <f>IF(F324="Tindakan",VLOOKUP(O324,#REF!,4,FALSE),IF(F324="Intensif",VLOOKUP(O324,#REF!,10,FALSE),IF(F324="Penunjang",VLOOKUP(O324,#REF!,16,FALSE),IF(F324="Visitase Berdasarkan Jumlah Pasien",VLOOKUP(O324,#REF!,22,FALSE),IF(F324="Visitase",VLOOKUP(O324,#REF!,28,FALSE),IF(F324="Rawat Jalan",VLOOKUP(O324,#REF!,34,FALSE),0))))))</f>
        <v>#REF!</v>
      </c>
      <c r="N324" s="12">
        <f t="shared" si="8"/>
        <v>0</v>
      </c>
      <c r="O324" t="s">
        <v>690</v>
      </c>
      <c r="P324">
        <v>314</v>
      </c>
    </row>
    <row r="325" spans="2:16" x14ac:dyDescent="0.35">
      <c r="B325" s="7">
        <f t="shared" si="9"/>
        <v>315</v>
      </c>
      <c r="C325" s="3" t="s">
        <v>280</v>
      </c>
      <c r="D325" s="4" t="s">
        <v>548</v>
      </c>
      <c r="E325" s="9" t="s">
        <v>171</v>
      </c>
      <c r="F325" s="9" t="s">
        <v>22</v>
      </c>
      <c r="G325" s="14">
        <v>57</v>
      </c>
      <c r="H325" s="14">
        <v>6258000</v>
      </c>
      <c r="I325" s="14">
        <v>14</v>
      </c>
      <c r="J325" s="14">
        <v>1250000</v>
      </c>
      <c r="K325" s="14">
        <v>18</v>
      </c>
      <c r="L325" s="14">
        <v>3850000</v>
      </c>
      <c r="M325" s="4" t="e">
        <f>IF(F325="Tindakan",VLOOKUP(O325,#REF!,4,FALSE),IF(F325="Intensif",VLOOKUP(O325,#REF!,10,FALSE),IF(F325="Penunjang",VLOOKUP(O325,#REF!,16,FALSE),IF(F325="Visitase Berdasarkan Jumlah Pasien",VLOOKUP(O325,#REF!,22,FALSE),IF(F325="Visitase",VLOOKUP(O325,#REF!,28,FALSE),IF(F325="Rawat Jalan",VLOOKUP(O325,#REF!,34,FALSE),0))))))</f>
        <v>#REF!</v>
      </c>
      <c r="N325" s="12">
        <f t="shared" si="8"/>
        <v>0</v>
      </c>
      <c r="O325" t="s">
        <v>704</v>
      </c>
      <c r="P325">
        <v>315</v>
      </c>
    </row>
    <row r="326" spans="2:16" x14ac:dyDescent="0.35">
      <c r="B326" s="7">
        <f t="shared" si="9"/>
        <v>316</v>
      </c>
      <c r="C326" s="3" t="s">
        <v>339</v>
      </c>
      <c r="D326" s="4" t="s">
        <v>549</v>
      </c>
      <c r="E326" s="9" t="s">
        <v>163</v>
      </c>
      <c r="F326" s="9" t="s">
        <v>190</v>
      </c>
      <c r="G326" s="14">
        <v>237</v>
      </c>
      <c r="H326" s="14">
        <v>33585000</v>
      </c>
      <c r="I326" s="14">
        <v>2</v>
      </c>
      <c r="J326" s="14">
        <v>250000</v>
      </c>
      <c r="K326" s="14">
        <v>0</v>
      </c>
      <c r="L326" s="14">
        <v>0</v>
      </c>
      <c r="M326" s="4" t="e">
        <f>IF(F326="Tindakan",VLOOKUP(O326,#REF!,4,FALSE),IF(F326="Intensif",VLOOKUP(O326,#REF!,10,FALSE),IF(F326="Penunjang",VLOOKUP(O326,#REF!,16,FALSE),IF(F326="Visitase Berdasarkan Jumlah Pasien",VLOOKUP(O326,#REF!,22,FALSE),IF(F326="Visitase",VLOOKUP(O326,#REF!,28,FALSE),IF(F326="Rawat Jalan",VLOOKUP(O326,#REF!,34,FALSE),0))))))</f>
        <v>#REF!</v>
      </c>
      <c r="N326" s="12">
        <f t="shared" si="8"/>
        <v>0</v>
      </c>
      <c r="O326" t="s">
        <v>694</v>
      </c>
      <c r="P326">
        <v>316</v>
      </c>
    </row>
    <row r="327" spans="2:16" x14ac:dyDescent="0.35">
      <c r="B327" s="7">
        <f t="shared" si="9"/>
        <v>317</v>
      </c>
      <c r="C327" s="3" t="s">
        <v>339</v>
      </c>
      <c r="D327" s="4" t="s">
        <v>549</v>
      </c>
      <c r="E327" s="9" t="s">
        <v>163</v>
      </c>
      <c r="F327" s="9" t="s">
        <v>20</v>
      </c>
      <c r="G327" s="14">
        <v>12</v>
      </c>
      <c r="H327" s="14">
        <v>2100000</v>
      </c>
      <c r="I327" s="14">
        <v>0</v>
      </c>
      <c r="J327" s="14">
        <v>0</v>
      </c>
      <c r="K327" s="14">
        <v>0</v>
      </c>
      <c r="L327" s="14">
        <v>0</v>
      </c>
      <c r="M327" s="4" t="e">
        <f>IF(F327="Tindakan",VLOOKUP(O327,#REF!,4,FALSE),IF(F327="Intensif",VLOOKUP(O327,#REF!,10,FALSE),IF(F327="Penunjang",VLOOKUP(O327,#REF!,16,FALSE),IF(F327="Visitase Berdasarkan Jumlah Pasien",VLOOKUP(O327,#REF!,22,FALSE),IF(F327="Visitase",VLOOKUP(O327,#REF!,28,FALSE),IF(F327="Rawat Jalan",VLOOKUP(O327,#REF!,34,FALSE),0))))))</f>
        <v>#REF!</v>
      </c>
      <c r="N327" s="12">
        <f t="shared" si="8"/>
        <v>0</v>
      </c>
      <c r="O327" t="s">
        <v>694</v>
      </c>
      <c r="P327">
        <v>317</v>
      </c>
    </row>
    <row r="328" spans="2:16" x14ac:dyDescent="0.35">
      <c r="B328" s="7">
        <f t="shared" si="9"/>
        <v>318</v>
      </c>
      <c r="C328" s="3" t="s">
        <v>339</v>
      </c>
      <c r="D328" s="4" t="s">
        <v>549</v>
      </c>
      <c r="E328" s="9" t="s">
        <v>163</v>
      </c>
      <c r="F328" s="9" t="s">
        <v>22</v>
      </c>
      <c r="G328" s="14">
        <v>134</v>
      </c>
      <c r="H328" s="14">
        <v>11490000</v>
      </c>
      <c r="I328" s="14">
        <v>4</v>
      </c>
      <c r="J328" s="14">
        <v>300000</v>
      </c>
      <c r="K328" s="14">
        <v>5</v>
      </c>
      <c r="L328" s="14">
        <v>1300000</v>
      </c>
      <c r="M328" s="4" t="e">
        <f>IF(F328="Tindakan",VLOOKUP(O328,#REF!,4,FALSE),IF(F328="Intensif",VLOOKUP(O328,#REF!,10,FALSE),IF(F328="Penunjang",VLOOKUP(O328,#REF!,16,FALSE),IF(F328="Visitase Berdasarkan Jumlah Pasien",VLOOKUP(O328,#REF!,22,FALSE),IF(F328="Visitase",VLOOKUP(O328,#REF!,28,FALSE),IF(F328="Rawat Jalan",VLOOKUP(O328,#REF!,34,FALSE),0))))))</f>
        <v>#REF!</v>
      </c>
      <c r="N328" s="12">
        <f t="shared" si="8"/>
        <v>0</v>
      </c>
      <c r="O328" t="s">
        <v>694</v>
      </c>
      <c r="P328">
        <v>318</v>
      </c>
    </row>
    <row r="329" spans="2:16" x14ac:dyDescent="0.35">
      <c r="B329" s="7">
        <f t="shared" si="9"/>
        <v>319</v>
      </c>
      <c r="C329" s="3" t="s">
        <v>375</v>
      </c>
      <c r="D329" s="4" t="s">
        <v>550</v>
      </c>
      <c r="E329" s="9" t="s">
        <v>185</v>
      </c>
      <c r="F329" s="9" t="s">
        <v>190</v>
      </c>
      <c r="G329" s="14">
        <v>7</v>
      </c>
      <c r="H329" s="14">
        <v>875000</v>
      </c>
      <c r="I329" s="14">
        <v>0</v>
      </c>
      <c r="J329" s="14">
        <v>0</v>
      </c>
      <c r="K329" s="14">
        <v>0</v>
      </c>
      <c r="L329" s="14">
        <v>0</v>
      </c>
      <c r="M329" s="4" t="e">
        <f>IF(F329="Tindakan",VLOOKUP(O329,#REF!,4,FALSE),IF(F329="Intensif",VLOOKUP(O329,#REF!,10,FALSE),IF(F329="Penunjang",VLOOKUP(O329,#REF!,16,FALSE),IF(F329="Visitase Berdasarkan Jumlah Pasien",VLOOKUP(O329,#REF!,22,FALSE),IF(F329="Visitase",VLOOKUP(O329,#REF!,28,FALSE),IF(F329="Rawat Jalan",VLOOKUP(O329,#REF!,34,FALSE),0))))))</f>
        <v>#REF!</v>
      </c>
      <c r="N329" s="12">
        <f t="shared" si="8"/>
        <v>0</v>
      </c>
      <c r="O329" t="s">
        <v>706</v>
      </c>
      <c r="P329">
        <v>319</v>
      </c>
    </row>
    <row r="330" spans="2:16" x14ac:dyDescent="0.35">
      <c r="B330" s="7">
        <f t="shared" si="9"/>
        <v>320</v>
      </c>
      <c r="C330" s="3" t="s">
        <v>375</v>
      </c>
      <c r="D330" s="4" t="s">
        <v>550</v>
      </c>
      <c r="E330" s="9" t="s">
        <v>185</v>
      </c>
      <c r="F330" s="9" t="s">
        <v>20</v>
      </c>
      <c r="G330" s="14">
        <v>1</v>
      </c>
      <c r="H330" s="14">
        <v>175000</v>
      </c>
      <c r="I330" s="14">
        <v>0</v>
      </c>
      <c r="J330" s="14">
        <v>0</v>
      </c>
      <c r="K330" s="14">
        <v>0</v>
      </c>
      <c r="L330" s="14">
        <v>0</v>
      </c>
      <c r="M330" s="4" t="e">
        <f>IF(F330="Tindakan",VLOOKUP(O330,#REF!,4,FALSE),IF(F330="Intensif",VLOOKUP(O330,#REF!,10,FALSE),IF(F330="Penunjang",VLOOKUP(O330,#REF!,16,FALSE),IF(F330="Visitase Berdasarkan Jumlah Pasien",VLOOKUP(O330,#REF!,22,FALSE),IF(F330="Visitase",VLOOKUP(O330,#REF!,28,FALSE),IF(F330="Rawat Jalan",VLOOKUP(O330,#REF!,34,FALSE),0))))))</f>
        <v>#REF!</v>
      </c>
      <c r="N330" s="12">
        <f t="shared" si="8"/>
        <v>0</v>
      </c>
      <c r="O330" t="s">
        <v>706</v>
      </c>
      <c r="P330">
        <v>320</v>
      </c>
    </row>
    <row r="331" spans="2:16" x14ac:dyDescent="0.35">
      <c r="B331" s="7">
        <f t="shared" si="9"/>
        <v>321</v>
      </c>
      <c r="C331" s="3" t="s">
        <v>375</v>
      </c>
      <c r="D331" s="4" t="s">
        <v>550</v>
      </c>
      <c r="E331" s="9" t="s">
        <v>185</v>
      </c>
      <c r="F331" s="9" t="s">
        <v>22</v>
      </c>
      <c r="G331" s="14">
        <v>135</v>
      </c>
      <c r="H331" s="14">
        <v>49006000</v>
      </c>
      <c r="I331" s="14">
        <v>20</v>
      </c>
      <c r="J331" s="14">
        <v>2856000</v>
      </c>
      <c r="K331" s="14">
        <v>10</v>
      </c>
      <c r="L331" s="14">
        <v>6810000</v>
      </c>
      <c r="M331" s="4" t="e">
        <f>IF(F331="Tindakan",VLOOKUP(O331,#REF!,4,FALSE),IF(F331="Intensif",VLOOKUP(O331,#REF!,10,FALSE),IF(F331="Penunjang",VLOOKUP(O331,#REF!,16,FALSE),IF(F331="Visitase Berdasarkan Jumlah Pasien",VLOOKUP(O331,#REF!,22,FALSE),IF(F331="Visitase",VLOOKUP(O331,#REF!,28,FALSE),IF(F331="Rawat Jalan",VLOOKUP(O331,#REF!,34,FALSE),0))))))</f>
        <v>#REF!</v>
      </c>
      <c r="N331" s="12">
        <f t="shared" si="8"/>
        <v>0</v>
      </c>
      <c r="O331" t="s">
        <v>706</v>
      </c>
      <c r="P331">
        <v>321</v>
      </c>
    </row>
    <row r="332" spans="2:16" x14ac:dyDescent="0.35">
      <c r="B332" s="7">
        <f t="shared" si="9"/>
        <v>322</v>
      </c>
      <c r="C332" s="3" t="s">
        <v>375</v>
      </c>
      <c r="D332" s="4" t="s">
        <v>550</v>
      </c>
      <c r="E332" s="9" t="s">
        <v>185</v>
      </c>
      <c r="F332" s="9" t="s">
        <v>19</v>
      </c>
      <c r="G332" s="14">
        <v>6</v>
      </c>
      <c r="H332" s="14">
        <v>20400000</v>
      </c>
      <c r="I332" s="14">
        <v>0</v>
      </c>
      <c r="J332" s="14">
        <v>0</v>
      </c>
      <c r="K332" s="14">
        <v>0</v>
      </c>
      <c r="L332" s="14">
        <v>0</v>
      </c>
      <c r="M332" s="4" t="e">
        <f>IF(F332="Tindakan",VLOOKUP(O332,#REF!,4,FALSE),IF(F332="Intensif",VLOOKUP(O332,#REF!,10,FALSE),IF(F332="Penunjang",VLOOKUP(O332,#REF!,16,FALSE),IF(F332="Visitase Berdasarkan Jumlah Pasien",VLOOKUP(O332,#REF!,22,FALSE),IF(F332="Visitase",VLOOKUP(O332,#REF!,28,FALSE),IF(F332="Rawat Jalan",VLOOKUP(O332,#REF!,34,FALSE),0))))))</f>
        <v>#REF!</v>
      </c>
      <c r="N332" s="12">
        <f t="shared" ref="N332:N395" si="10">IFERROR((G332/M332)*100%, 0)</f>
        <v>0</v>
      </c>
      <c r="O332" t="s">
        <v>706</v>
      </c>
      <c r="P332">
        <v>322</v>
      </c>
    </row>
    <row r="333" spans="2:16" x14ac:dyDescent="0.35">
      <c r="B333" s="7">
        <f t="shared" ref="B333:B396" si="11">B332+1</f>
        <v>323</v>
      </c>
      <c r="C333" s="3" t="s">
        <v>213</v>
      </c>
      <c r="D333" s="4" t="s">
        <v>551</v>
      </c>
      <c r="E333" s="9" t="s">
        <v>164</v>
      </c>
      <c r="F333" s="9" t="s">
        <v>190</v>
      </c>
      <c r="G333" s="14">
        <v>33</v>
      </c>
      <c r="H333" s="14">
        <v>4125000</v>
      </c>
      <c r="I333" s="14">
        <v>1</v>
      </c>
      <c r="J333" s="14">
        <v>125000</v>
      </c>
      <c r="K333" s="14">
        <v>0</v>
      </c>
      <c r="L333" s="14">
        <v>0</v>
      </c>
      <c r="M333" s="4" t="e">
        <f>IF(F333="Tindakan",VLOOKUP(O333,#REF!,4,FALSE),IF(F333="Intensif",VLOOKUP(O333,#REF!,10,FALSE),IF(F333="Penunjang",VLOOKUP(O333,#REF!,16,FALSE),IF(F333="Visitase Berdasarkan Jumlah Pasien",VLOOKUP(O333,#REF!,22,FALSE),IF(F333="Visitase",VLOOKUP(O333,#REF!,28,FALSE),IF(F333="Rawat Jalan",VLOOKUP(O333,#REF!,34,FALSE),0))))))</f>
        <v>#REF!</v>
      </c>
      <c r="N333" s="12">
        <f t="shared" si="10"/>
        <v>0</v>
      </c>
      <c r="O333" t="s">
        <v>693</v>
      </c>
      <c r="P333">
        <v>323</v>
      </c>
    </row>
    <row r="334" spans="2:16" x14ac:dyDescent="0.35">
      <c r="B334" s="7">
        <f t="shared" si="11"/>
        <v>324</v>
      </c>
      <c r="C334" s="3" t="s">
        <v>213</v>
      </c>
      <c r="D334" s="4" t="s">
        <v>551</v>
      </c>
      <c r="E334" s="9" t="s">
        <v>164</v>
      </c>
      <c r="F334" s="9" t="s">
        <v>19</v>
      </c>
      <c r="G334" s="14">
        <v>12</v>
      </c>
      <c r="H334" s="14">
        <v>102300000</v>
      </c>
      <c r="I334" s="14">
        <v>1</v>
      </c>
      <c r="J334" s="14">
        <v>8800000</v>
      </c>
      <c r="K334" s="14">
        <v>0</v>
      </c>
      <c r="L334" s="14">
        <v>0</v>
      </c>
      <c r="M334" s="4" t="e">
        <f>IF(F334="Tindakan",VLOOKUP(O334,#REF!,4,FALSE),IF(F334="Intensif",VLOOKUP(O334,#REF!,10,FALSE),IF(F334="Penunjang",VLOOKUP(O334,#REF!,16,FALSE),IF(F334="Visitase Berdasarkan Jumlah Pasien",VLOOKUP(O334,#REF!,22,FALSE),IF(F334="Visitase",VLOOKUP(O334,#REF!,28,FALSE),IF(F334="Rawat Jalan",VLOOKUP(O334,#REF!,34,FALSE),0))))))</f>
        <v>#REF!</v>
      </c>
      <c r="N334" s="12">
        <f t="shared" si="10"/>
        <v>0</v>
      </c>
      <c r="O334" t="s">
        <v>693</v>
      </c>
      <c r="P334">
        <v>324</v>
      </c>
    </row>
    <row r="335" spans="2:16" x14ac:dyDescent="0.35">
      <c r="B335" s="7">
        <f t="shared" si="11"/>
        <v>325</v>
      </c>
      <c r="C335" s="3" t="s">
        <v>213</v>
      </c>
      <c r="D335" s="4" t="s">
        <v>551</v>
      </c>
      <c r="E335" s="9" t="s">
        <v>164</v>
      </c>
      <c r="F335" s="9" t="s">
        <v>22</v>
      </c>
      <c r="G335" s="14">
        <v>103</v>
      </c>
      <c r="H335" s="14">
        <v>9766000</v>
      </c>
      <c r="I335" s="14">
        <v>2</v>
      </c>
      <c r="J335" s="14">
        <v>150000</v>
      </c>
      <c r="K335" s="14">
        <v>0</v>
      </c>
      <c r="L335" s="14">
        <v>0</v>
      </c>
      <c r="M335" s="4" t="e">
        <f>IF(F335="Tindakan",VLOOKUP(O335,#REF!,4,FALSE),IF(F335="Intensif",VLOOKUP(O335,#REF!,10,FALSE),IF(F335="Penunjang",VLOOKUP(O335,#REF!,16,FALSE),IF(F335="Visitase Berdasarkan Jumlah Pasien",VLOOKUP(O335,#REF!,22,FALSE),IF(F335="Visitase",VLOOKUP(O335,#REF!,28,FALSE),IF(F335="Rawat Jalan",VLOOKUP(O335,#REF!,34,FALSE),0))))))</f>
        <v>#REF!</v>
      </c>
      <c r="N335" s="12">
        <f t="shared" si="10"/>
        <v>0</v>
      </c>
      <c r="O335" t="s">
        <v>693</v>
      </c>
      <c r="P335">
        <v>325</v>
      </c>
    </row>
    <row r="336" spans="2:16" x14ac:dyDescent="0.35">
      <c r="B336" s="7">
        <f t="shared" si="11"/>
        <v>326</v>
      </c>
      <c r="C336" s="3" t="s">
        <v>411</v>
      </c>
      <c r="D336" s="4" t="s">
        <v>552</v>
      </c>
      <c r="E336" s="9" t="s">
        <v>686</v>
      </c>
      <c r="F336" s="9" t="s">
        <v>22</v>
      </c>
      <c r="G336" s="14">
        <v>0</v>
      </c>
      <c r="H336" s="14">
        <v>0</v>
      </c>
      <c r="I336" s="14">
        <v>0</v>
      </c>
      <c r="J336" s="14">
        <v>0</v>
      </c>
      <c r="K336" s="14">
        <v>27</v>
      </c>
      <c r="L336" s="14">
        <v>6235000</v>
      </c>
      <c r="M336" s="4" t="e">
        <f>IF(F336="Tindakan",VLOOKUP(O336,#REF!,4,FALSE),IF(F336="Intensif",VLOOKUP(O336,#REF!,10,FALSE),IF(F336="Penunjang",VLOOKUP(O336,#REF!,16,FALSE),IF(F336="Visitase Berdasarkan Jumlah Pasien",VLOOKUP(O336,#REF!,22,FALSE),IF(F336="Visitase",VLOOKUP(O336,#REF!,28,FALSE),IF(F336="Rawat Jalan",VLOOKUP(O336,#REF!,34,FALSE),0))))))</f>
        <v>#REF!</v>
      </c>
      <c r="N336" s="12">
        <f t="shared" si="10"/>
        <v>0</v>
      </c>
      <c r="O336" t="s">
        <v>695</v>
      </c>
      <c r="P336">
        <v>326</v>
      </c>
    </row>
    <row r="337" spans="2:16" x14ac:dyDescent="0.35">
      <c r="B337" s="7">
        <f t="shared" si="11"/>
        <v>327</v>
      </c>
      <c r="C337" s="3" t="s">
        <v>412</v>
      </c>
      <c r="D337" s="4" t="s">
        <v>553</v>
      </c>
      <c r="E337" s="9" t="s">
        <v>172</v>
      </c>
      <c r="F337" s="9" t="s">
        <v>190</v>
      </c>
      <c r="G337" s="14">
        <v>19</v>
      </c>
      <c r="H337" s="14">
        <v>2445000</v>
      </c>
      <c r="I337" s="14">
        <v>0</v>
      </c>
      <c r="J337" s="14">
        <v>0</v>
      </c>
      <c r="K337" s="14">
        <v>0</v>
      </c>
      <c r="L337" s="14">
        <v>0</v>
      </c>
      <c r="M337" s="4" t="e">
        <f>IF(F337="Tindakan",VLOOKUP(O337,#REF!,4,FALSE),IF(F337="Intensif",VLOOKUP(O337,#REF!,10,FALSE),IF(F337="Penunjang",VLOOKUP(O337,#REF!,16,FALSE),IF(F337="Visitase Berdasarkan Jumlah Pasien",VLOOKUP(O337,#REF!,22,FALSE),IF(F337="Visitase",VLOOKUP(O337,#REF!,28,FALSE),IF(F337="Rawat Jalan",VLOOKUP(O337,#REF!,34,FALSE),0))))))</f>
        <v>#REF!</v>
      </c>
      <c r="N337" s="12">
        <f t="shared" si="10"/>
        <v>0</v>
      </c>
      <c r="O337" t="s">
        <v>701</v>
      </c>
      <c r="P337">
        <v>327</v>
      </c>
    </row>
    <row r="338" spans="2:16" x14ac:dyDescent="0.35">
      <c r="B338" s="7">
        <f t="shared" si="11"/>
        <v>328</v>
      </c>
      <c r="C338" s="3" t="s">
        <v>412</v>
      </c>
      <c r="D338" s="4" t="s">
        <v>553</v>
      </c>
      <c r="E338" s="9" t="s">
        <v>172</v>
      </c>
      <c r="F338" s="9" t="s">
        <v>22</v>
      </c>
      <c r="G338" s="14">
        <v>2</v>
      </c>
      <c r="H338" s="14">
        <v>600000</v>
      </c>
      <c r="I338" s="14">
        <v>0</v>
      </c>
      <c r="J338" s="14">
        <v>0</v>
      </c>
      <c r="K338" s="14">
        <v>0</v>
      </c>
      <c r="L338" s="14">
        <v>0</v>
      </c>
      <c r="M338" s="4" t="e">
        <f>IF(F338="Tindakan",VLOOKUP(O338,#REF!,4,FALSE),IF(F338="Intensif",VLOOKUP(O338,#REF!,10,FALSE),IF(F338="Penunjang",VLOOKUP(O338,#REF!,16,FALSE),IF(F338="Visitase Berdasarkan Jumlah Pasien",VLOOKUP(O338,#REF!,22,FALSE),IF(F338="Visitase",VLOOKUP(O338,#REF!,28,FALSE),IF(F338="Rawat Jalan",VLOOKUP(O338,#REF!,34,FALSE),0))))))</f>
        <v>#REF!</v>
      </c>
      <c r="N338" s="12">
        <f t="shared" si="10"/>
        <v>0</v>
      </c>
      <c r="O338" t="s">
        <v>701</v>
      </c>
      <c r="P338">
        <v>328</v>
      </c>
    </row>
    <row r="339" spans="2:16" x14ac:dyDescent="0.35">
      <c r="B339" s="7">
        <f t="shared" si="11"/>
        <v>329</v>
      </c>
      <c r="C339" s="3" t="s">
        <v>358</v>
      </c>
      <c r="D339" s="4" t="s">
        <v>554</v>
      </c>
      <c r="E339" s="9" t="s">
        <v>150</v>
      </c>
      <c r="F339" s="9" t="s">
        <v>21</v>
      </c>
      <c r="G339" s="14">
        <v>526</v>
      </c>
      <c r="H339" s="14">
        <v>535051800</v>
      </c>
      <c r="I339" s="14">
        <v>61</v>
      </c>
      <c r="J339" s="14">
        <v>46141000</v>
      </c>
      <c r="K339" s="14">
        <v>3</v>
      </c>
      <c r="L339" s="14">
        <v>710000</v>
      </c>
      <c r="M339" s="4" t="e">
        <f>IF(F339="Tindakan",VLOOKUP(O339,#REF!,4,FALSE),IF(F339="Intensif",VLOOKUP(O339,#REF!,10,FALSE),IF(F339="Penunjang",VLOOKUP(O339,#REF!,16,FALSE),IF(F339="Visitase Berdasarkan Jumlah Pasien",VLOOKUP(O339,#REF!,22,FALSE),IF(F339="Visitase",VLOOKUP(O339,#REF!,28,FALSE),IF(F339="Rawat Jalan",VLOOKUP(O339,#REF!,34,FALSE),0))))))</f>
        <v>#REF!</v>
      </c>
      <c r="N339" s="12">
        <f t="shared" si="10"/>
        <v>0</v>
      </c>
      <c r="O339" t="s">
        <v>707</v>
      </c>
      <c r="P339">
        <v>329</v>
      </c>
    </row>
    <row r="340" spans="2:16" x14ac:dyDescent="0.35">
      <c r="B340" s="7">
        <f t="shared" si="11"/>
        <v>330</v>
      </c>
      <c r="C340" s="3" t="s">
        <v>303</v>
      </c>
      <c r="D340" s="4" t="s">
        <v>555</v>
      </c>
      <c r="E340" s="9" t="s">
        <v>147</v>
      </c>
      <c r="F340" s="9" t="s">
        <v>190</v>
      </c>
      <c r="G340" s="14">
        <v>55</v>
      </c>
      <c r="H340" s="14">
        <v>6980000</v>
      </c>
      <c r="I340" s="14">
        <v>0</v>
      </c>
      <c r="J340" s="14">
        <v>0</v>
      </c>
      <c r="K340" s="14">
        <v>0</v>
      </c>
      <c r="L340" s="14">
        <v>0</v>
      </c>
      <c r="M340" s="4" t="e">
        <f>IF(F340="Tindakan",VLOOKUP(O340,#REF!,4,FALSE),IF(F340="Intensif",VLOOKUP(O340,#REF!,10,FALSE),IF(F340="Penunjang",VLOOKUP(O340,#REF!,16,FALSE),IF(F340="Visitase Berdasarkan Jumlah Pasien",VLOOKUP(O340,#REF!,22,FALSE),IF(F340="Visitase",VLOOKUP(O340,#REF!,28,FALSE),IF(F340="Rawat Jalan",VLOOKUP(O340,#REF!,34,FALSE),0))))))</f>
        <v>#REF!</v>
      </c>
      <c r="N340" s="12">
        <f t="shared" si="10"/>
        <v>0</v>
      </c>
      <c r="O340" t="s">
        <v>691</v>
      </c>
      <c r="P340">
        <v>330</v>
      </c>
    </row>
    <row r="341" spans="2:16" x14ac:dyDescent="0.35">
      <c r="B341" s="7">
        <f t="shared" si="11"/>
        <v>331</v>
      </c>
      <c r="C341" s="3" t="s">
        <v>303</v>
      </c>
      <c r="D341" s="4" t="s">
        <v>555</v>
      </c>
      <c r="E341" s="9" t="s">
        <v>147</v>
      </c>
      <c r="F341" s="9" t="s">
        <v>20</v>
      </c>
      <c r="G341" s="14">
        <v>11</v>
      </c>
      <c r="H341" s="14">
        <v>1608000</v>
      </c>
      <c r="I341" s="14">
        <v>0</v>
      </c>
      <c r="J341" s="14">
        <v>0</v>
      </c>
      <c r="K341" s="14">
        <v>0</v>
      </c>
      <c r="L341" s="14">
        <v>0</v>
      </c>
      <c r="M341" s="4" t="e">
        <f>IF(F341="Tindakan",VLOOKUP(O341,#REF!,4,FALSE),IF(F341="Intensif",VLOOKUP(O341,#REF!,10,FALSE),IF(F341="Penunjang",VLOOKUP(O341,#REF!,16,FALSE),IF(F341="Visitase Berdasarkan Jumlah Pasien",VLOOKUP(O341,#REF!,22,FALSE),IF(F341="Visitase",VLOOKUP(O341,#REF!,28,FALSE),IF(F341="Rawat Jalan",VLOOKUP(O341,#REF!,34,FALSE),0))))))</f>
        <v>#REF!</v>
      </c>
      <c r="N341" s="12">
        <f t="shared" si="10"/>
        <v>0</v>
      </c>
      <c r="O341" t="s">
        <v>691</v>
      </c>
      <c r="P341">
        <v>331</v>
      </c>
    </row>
    <row r="342" spans="2:16" x14ac:dyDescent="0.35">
      <c r="B342" s="7">
        <f t="shared" si="11"/>
        <v>332</v>
      </c>
      <c r="C342" s="3" t="s">
        <v>303</v>
      </c>
      <c r="D342" s="4" t="s">
        <v>555</v>
      </c>
      <c r="E342" s="9" t="s">
        <v>147</v>
      </c>
      <c r="F342" s="9" t="s">
        <v>22</v>
      </c>
      <c r="G342" s="14">
        <v>117</v>
      </c>
      <c r="H342" s="14">
        <v>12306000</v>
      </c>
      <c r="I342" s="14">
        <v>12</v>
      </c>
      <c r="J342" s="14">
        <v>1551000</v>
      </c>
      <c r="K342" s="14">
        <v>3</v>
      </c>
      <c r="L342" s="14">
        <v>740000</v>
      </c>
      <c r="M342" s="4" t="e">
        <f>IF(F342="Tindakan",VLOOKUP(O342,#REF!,4,FALSE),IF(F342="Intensif",VLOOKUP(O342,#REF!,10,FALSE),IF(F342="Penunjang",VLOOKUP(O342,#REF!,16,FALSE),IF(F342="Visitase Berdasarkan Jumlah Pasien",VLOOKUP(O342,#REF!,22,FALSE),IF(F342="Visitase",VLOOKUP(O342,#REF!,28,FALSE),IF(F342="Rawat Jalan",VLOOKUP(O342,#REF!,34,FALSE),0))))))</f>
        <v>#REF!</v>
      </c>
      <c r="N342" s="12">
        <f t="shared" si="10"/>
        <v>0</v>
      </c>
      <c r="O342" t="s">
        <v>691</v>
      </c>
      <c r="P342">
        <v>332</v>
      </c>
    </row>
    <row r="343" spans="2:16" x14ac:dyDescent="0.35">
      <c r="B343" s="7">
        <f t="shared" si="11"/>
        <v>333</v>
      </c>
      <c r="C343" s="3" t="s">
        <v>303</v>
      </c>
      <c r="D343" s="4" t="s">
        <v>555</v>
      </c>
      <c r="E343" s="9" t="s">
        <v>147</v>
      </c>
      <c r="F343" s="9" t="s">
        <v>19</v>
      </c>
      <c r="G343" s="14">
        <v>31</v>
      </c>
      <c r="H343" s="14">
        <v>187733000</v>
      </c>
      <c r="I343" s="14">
        <v>0</v>
      </c>
      <c r="J343" s="14">
        <v>0</v>
      </c>
      <c r="K343" s="14">
        <v>0</v>
      </c>
      <c r="L343" s="14">
        <v>0</v>
      </c>
      <c r="M343" s="4" t="e">
        <f>IF(F343="Tindakan",VLOOKUP(O343,#REF!,4,FALSE),IF(F343="Intensif",VLOOKUP(O343,#REF!,10,FALSE),IF(F343="Penunjang",VLOOKUP(O343,#REF!,16,FALSE),IF(F343="Visitase Berdasarkan Jumlah Pasien",VLOOKUP(O343,#REF!,22,FALSE),IF(F343="Visitase",VLOOKUP(O343,#REF!,28,FALSE),IF(F343="Rawat Jalan",VLOOKUP(O343,#REF!,34,FALSE),0))))))</f>
        <v>#REF!</v>
      </c>
      <c r="N343" s="12">
        <f t="shared" si="10"/>
        <v>0</v>
      </c>
      <c r="O343" t="s">
        <v>691</v>
      </c>
      <c r="P343">
        <v>333</v>
      </c>
    </row>
    <row r="344" spans="2:16" x14ac:dyDescent="0.35">
      <c r="B344" s="7">
        <f t="shared" si="11"/>
        <v>334</v>
      </c>
      <c r="C344" s="3" t="s">
        <v>413</v>
      </c>
      <c r="D344" s="4" t="s">
        <v>556</v>
      </c>
      <c r="E344" s="9" t="s">
        <v>686</v>
      </c>
      <c r="F344" s="9" t="s">
        <v>22</v>
      </c>
      <c r="G344" s="14">
        <v>0</v>
      </c>
      <c r="H344" s="14">
        <v>0</v>
      </c>
      <c r="I344" s="14">
        <v>0</v>
      </c>
      <c r="J344" s="14">
        <v>0</v>
      </c>
      <c r="K344" s="14">
        <v>31</v>
      </c>
      <c r="L344" s="14">
        <v>4700000</v>
      </c>
      <c r="M344" s="4" t="e">
        <f>IF(F344="Tindakan",VLOOKUP(O344,#REF!,4,FALSE),IF(F344="Intensif",VLOOKUP(O344,#REF!,10,FALSE),IF(F344="Penunjang",VLOOKUP(O344,#REF!,16,FALSE),IF(F344="Visitase Berdasarkan Jumlah Pasien",VLOOKUP(O344,#REF!,22,FALSE),IF(F344="Visitase",VLOOKUP(O344,#REF!,28,FALSE),IF(F344="Rawat Jalan",VLOOKUP(O344,#REF!,34,FALSE),0))))))</f>
        <v>#REF!</v>
      </c>
      <c r="N344" s="12">
        <f t="shared" si="10"/>
        <v>0</v>
      </c>
      <c r="O344" t="s">
        <v>695</v>
      </c>
      <c r="P344">
        <v>334</v>
      </c>
    </row>
    <row r="345" spans="2:16" x14ac:dyDescent="0.35">
      <c r="B345" s="7">
        <f t="shared" si="11"/>
        <v>335</v>
      </c>
      <c r="C345" s="3" t="s">
        <v>414</v>
      </c>
      <c r="D345" s="4" t="s">
        <v>557</v>
      </c>
      <c r="E345" s="9" t="s">
        <v>147</v>
      </c>
      <c r="F345" s="9" t="s">
        <v>190</v>
      </c>
      <c r="G345" s="14">
        <v>29</v>
      </c>
      <c r="H345" s="14">
        <v>3660000</v>
      </c>
      <c r="I345" s="14">
        <v>0</v>
      </c>
      <c r="J345" s="14">
        <v>0</v>
      </c>
      <c r="K345" s="14">
        <v>0</v>
      </c>
      <c r="L345" s="14">
        <v>0</v>
      </c>
      <c r="M345" s="4" t="e">
        <f>IF(F345="Tindakan",VLOOKUP(O345,#REF!,4,FALSE),IF(F345="Intensif",VLOOKUP(O345,#REF!,10,FALSE),IF(F345="Penunjang",VLOOKUP(O345,#REF!,16,FALSE),IF(F345="Visitase Berdasarkan Jumlah Pasien",VLOOKUP(O345,#REF!,22,FALSE),IF(F345="Visitase",VLOOKUP(O345,#REF!,28,FALSE),IF(F345="Rawat Jalan",VLOOKUP(O345,#REF!,34,FALSE),0))))))</f>
        <v>#REF!</v>
      </c>
      <c r="N345" s="12">
        <f t="shared" si="10"/>
        <v>0</v>
      </c>
      <c r="O345" t="s">
        <v>691</v>
      </c>
      <c r="P345">
        <v>335</v>
      </c>
    </row>
    <row r="346" spans="2:16" x14ac:dyDescent="0.35">
      <c r="B346" s="7">
        <f t="shared" si="11"/>
        <v>336</v>
      </c>
      <c r="C346" s="3" t="s">
        <v>414</v>
      </c>
      <c r="D346" s="4" t="s">
        <v>557</v>
      </c>
      <c r="E346" s="9" t="s">
        <v>147</v>
      </c>
      <c r="F346" s="9" t="s">
        <v>20</v>
      </c>
      <c r="G346" s="14">
        <v>7</v>
      </c>
      <c r="H346" s="14">
        <v>1135000</v>
      </c>
      <c r="I346" s="14">
        <v>0</v>
      </c>
      <c r="J346" s="14">
        <v>0</v>
      </c>
      <c r="K346" s="14">
        <v>0</v>
      </c>
      <c r="L346" s="14">
        <v>0</v>
      </c>
      <c r="M346" s="4" t="e">
        <f>IF(F346="Tindakan",VLOOKUP(O346,#REF!,4,FALSE),IF(F346="Intensif",VLOOKUP(O346,#REF!,10,FALSE),IF(F346="Penunjang",VLOOKUP(O346,#REF!,16,FALSE),IF(F346="Visitase Berdasarkan Jumlah Pasien",VLOOKUP(O346,#REF!,22,FALSE),IF(F346="Visitase",VLOOKUP(O346,#REF!,28,FALSE),IF(F346="Rawat Jalan",VLOOKUP(O346,#REF!,34,FALSE),0))))))</f>
        <v>#REF!</v>
      </c>
      <c r="N346" s="12">
        <f t="shared" si="10"/>
        <v>0</v>
      </c>
      <c r="O346" t="s">
        <v>691</v>
      </c>
      <c r="P346">
        <v>336</v>
      </c>
    </row>
    <row r="347" spans="2:16" x14ac:dyDescent="0.35">
      <c r="B347" s="7">
        <f t="shared" si="11"/>
        <v>337</v>
      </c>
      <c r="C347" s="3" t="s">
        <v>414</v>
      </c>
      <c r="D347" s="4" t="s">
        <v>557</v>
      </c>
      <c r="E347" s="9" t="s">
        <v>147</v>
      </c>
      <c r="F347" s="9" t="s">
        <v>19</v>
      </c>
      <c r="G347" s="14">
        <v>27</v>
      </c>
      <c r="H347" s="14">
        <v>163800000</v>
      </c>
      <c r="I347" s="14">
        <v>0</v>
      </c>
      <c r="J347" s="14">
        <v>0</v>
      </c>
      <c r="K347" s="14">
        <v>0</v>
      </c>
      <c r="L347" s="14">
        <v>0</v>
      </c>
      <c r="M347" s="4" t="e">
        <f>IF(F347="Tindakan",VLOOKUP(O347,#REF!,4,FALSE),IF(F347="Intensif",VLOOKUP(O347,#REF!,10,FALSE),IF(F347="Penunjang",VLOOKUP(O347,#REF!,16,FALSE),IF(F347="Visitase Berdasarkan Jumlah Pasien",VLOOKUP(O347,#REF!,22,FALSE),IF(F347="Visitase",VLOOKUP(O347,#REF!,28,FALSE),IF(F347="Rawat Jalan",VLOOKUP(O347,#REF!,34,FALSE),0))))))</f>
        <v>#REF!</v>
      </c>
      <c r="N347" s="12">
        <f t="shared" si="10"/>
        <v>0</v>
      </c>
      <c r="O347" t="s">
        <v>691</v>
      </c>
      <c r="P347">
        <v>337</v>
      </c>
    </row>
    <row r="348" spans="2:16" x14ac:dyDescent="0.35">
      <c r="B348" s="7">
        <f t="shared" si="11"/>
        <v>338</v>
      </c>
      <c r="C348" s="3" t="s">
        <v>414</v>
      </c>
      <c r="D348" s="4" t="s">
        <v>557</v>
      </c>
      <c r="E348" s="9" t="s">
        <v>147</v>
      </c>
      <c r="F348" s="9" t="s">
        <v>22</v>
      </c>
      <c r="G348" s="14">
        <v>54</v>
      </c>
      <c r="H348" s="14">
        <v>4728000</v>
      </c>
      <c r="I348" s="14">
        <v>1</v>
      </c>
      <c r="J348" s="14">
        <v>75000</v>
      </c>
      <c r="K348" s="14">
        <v>2</v>
      </c>
      <c r="L348" s="14">
        <v>430000</v>
      </c>
      <c r="M348" s="4" t="e">
        <f>IF(F348="Tindakan",VLOOKUP(O348,#REF!,4,FALSE),IF(F348="Intensif",VLOOKUP(O348,#REF!,10,FALSE),IF(F348="Penunjang",VLOOKUP(O348,#REF!,16,FALSE),IF(F348="Visitase Berdasarkan Jumlah Pasien",VLOOKUP(O348,#REF!,22,FALSE),IF(F348="Visitase",VLOOKUP(O348,#REF!,28,FALSE),IF(F348="Rawat Jalan",VLOOKUP(O348,#REF!,34,FALSE),0))))))</f>
        <v>#REF!</v>
      </c>
      <c r="N348" s="12">
        <f t="shared" si="10"/>
        <v>0</v>
      </c>
      <c r="O348" t="s">
        <v>691</v>
      </c>
      <c r="P348">
        <v>338</v>
      </c>
    </row>
    <row r="349" spans="2:16" x14ac:dyDescent="0.35">
      <c r="B349" s="7">
        <f t="shared" si="11"/>
        <v>339</v>
      </c>
      <c r="C349" s="3" t="s">
        <v>415</v>
      </c>
      <c r="D349" s="4" t="s">
        <v>558</v>
      </c>
      <c r="E349" s="9" t="s">
        <v>686</v>
      </c>
      <c r="F349" s="9" t="s">
        <v>190</v>
      </c>
      <c r="G349" s="14">
        <v>41</v>
      </c>
      <c r="H349" s="14">
        <v>5445000</v>
      </c>
      <c r="I349" s="14">
        <v>0</v>
      </c>
      <c r="J349" s="14">
        <v>0</v>
      </c>
      <c r="K349" s="14">
        <v>0</v>
      </c>
      <c r="L349" s="14">
        <v>0</v>
      </c>
      <c r="M349" s="4" t="e">
        <f>IF(F349="Tindakan",VLOOKUP(O349,#REF!,4,FALSE),IF(F349="Intensif",VLOOKUP(O349,#REF!,10,FALSE),IF(F349="Penunjang",VLOOKUP(O349,#REF!,16,FALSE),IF(F349="Visitase Berdasarkan Jumlah Pasien",VLOOKUP(O349,#REF!,22,FALSE),IF(F349="Visitase",VLOOKUP(O349,#REF!,28,FALSE),IF(F349="Rawat Jalan",VLOOKUP(O349,#REF!,34,FALSE),0))))))</f>
        <v>#REF!</v>
      </c>
      <c r="N349" s="12">
        <f t="shared" si="10"/>
        <v>0</v>
      </c>
      <c r="O349" t="s">
        <v>695</v>
      </c>
      <c r="P349">
        <v>339</v>
      </c>
    </row>
    <row r="350" spans="2:16" x14ac:dyDescent="0.35">
      <c r="B350" s="7">
        <f t="shared" si="11"/>
        <v>340</v>
      </c>
      <c r="C350" s="3" t="s">
        <v>415</v>
      </c>
      <c r="D350" s="4" t="s">
        <v>558</v>
      </c>
      <c r="E350" s="9" t="s">
        <v>686</v>
      </c>
      <c r="F350" s="9" t="s">
        <v>22</v>
      </c>
      <c r="G350" s="14">
        <v>118</v>
      </c>
      <c r="H350" s="14">
        <v>5900000</v>
      </c>
      <c r="I350" s="14">
        <v>0</v>
      </c>
      <c r="J350" s="14">
        <v>0</v>
      </c>
      <c r="K350" s="14">
        <v>0</v>
      </c>
      <c r="L350" s="14">
        <v>0</v>
      </c>
      <c r="M350" s="4" t="e">
        <f>IF(F350="Tindakan",VLOOKUP(O350,#REF!,4,FALSE),IF(F350="Intensif",VLOOKUP(O350,#REF!,10,FALSE),IF(F350="Penunjang",VLOOKUP(O350,#REF!,16,FALSE),IF(F350="Visitase Berdasarkan Jumlah Pasien",VLOOKUP(O350,#REF!,22,FALSE),IF(F350="Visitase",VLOOKUP(O350,#REF!,28,FALSE),IF(F350="Rawat Jalan",VLOOKUP(O350,#REF!,34,FALSE),0))))))</f>
        <v>#REF!</v>
      </c>
      <c r="N350" s="12">
        <f t="shared" si="10"/>
        <v>0</v>
      </c>
      <c r="O350" t="s">
        <v>695</v>
      </c>
      <c r="P350">
        <v>340</v>
      </c>
    </row>
    <row r="351" spans="2:16" x14ac:dyDescent="0.35">
      <c r="B351" s="7">
        <f t="shared" si="11"/>
        <v>341</v>
      </c>
      <c r="C351" s="3" t="s">
        <v>348</v>
      </c>
      <c r="D351" s="4" t="s">
        <v>559</v>
      </c>
      <c r="E351" s="9" t="s">
        <v>185</v>
      </c>
      <c r="F351" s="9" t="s">
        <v>22</v>
      </c>
      <c r="G351" s="14">
        <v>149</v>
      </c>
      <c r="H351" s="14">
        <v>31760000</v>
      </c>
      <c r="I351" s="14">
        <v>15</v>
      </c>
      <c r="J351" s="14">
        <v>3675000</v>
      </c>
      <c r="K351" s="14">
        <v>21</v>
      </c>
      <c r="L351" s="14">
        <v>6268000</v>
      </c>
      <c r="M351" s="4" t="e">
        <f>IF(F351="Tindakan",VLOOKUP(O351,#REF!,4,FALSE),IF(F351="Intensif",VLOOKUP(O351,#REF!,10,FALSE),IF(F351="Penunjang",VLOOKUP(O351,#REF!,16,FALSE),IF(F351="Visitase Berdasarkan Jumlah Pasien",VLOOKUP(O351,#REF!,22,FALSE),IF(F351="Visitase",VLOOKUP(O351,#REF!,28,FALSE),IF(F351="Rawat Jalan",VLOOKUP(O351,#REF!,34,FALSE),0))))))</f>
        <v>#REF!</v>
      </c>
      <c r="N351" s="12">
        <f t="shared" si="10"/>
        <v>0</v>
      </c>
      <c r="O351" t="s">
        <v>706</v>
      </c>
      <c r="P351">
        <v>341</v>
      </c>
    </row>
    <row r="352" spans="2:16" x14ac:dyDescent="0.35">
      <c r="B352" s="7">
        <f t="shared" si="11"/>
        <v>342</v>
      </c>
      <c r="C352" s="3" t="s">
        <v>214</v>
      </c>
      <c r="D352" s="4" t="s">
        <v>560</v>
      </c>
      <c r="E352" s="9" t="s">
        <v>164</v>
      </c>
      <c r="F352" s="9" t="s">
        <v>190</v>
      </c>
      <c r="G352" s="14">
        <v>64</v>
      </c>
      <c r="H352" s="14">
        <v>8140000</v>
      </c>
      <c r="I352" s="14">
        <v>0</v>
      </c>
      <c r="J352" s="14">
        <v>0</v>
      </c>
      <c r="K352" s="14">
        <v>0</v>
      </c>
      <c r="L352" s="14">
        <v>0</v>
      </c>
      <c r="M352" s="4" t="e">
        <f>IF(F352="Tindakan",VLOOKUP(O352,#REF!,4,FALSE),IF(F352="Intensif",VLOOKUP(O352,#REF!,10,FALSE),IF(F352="Penunjang",VLOOKUP(O352,#REF!,16,FALSE),IF(F352="Visitase Berdasarkan Jumlah Pasien",VLOOKUP(O352,#REF!,22,FALSE),IF(F352="Visitase",VLOOKUP(O352,#REF!,28,FALSE),IF(F352="Rawat Jalan",VLOOKUP(O352,#REF!,34,FALSE),0))))))</f>
        <v>#REF!</v>
      </c>
      <c r="N352" s="12">
        <f t="shared" si="10"/>
        <v>0</v>
      </c>
      <c r="O352" t="s">
        <v>693</v>
      </c>
      <c r="P352">
        <v>342</v>
      </c>
    </row>
    <row r="353" spans="2:16" x14ac:dyDescent="0.35">
      <c r="B353" s="7">
        <f t="shared" si="11"/>
        <v>343</v>
      </c>
      <c r="C353" s="3" t="s">
        <v>214</v>
      </c>
      <c r="D353" s="4" t="s">
        <v>560</v>
      </c>
      <c r="E353" s="9" t="s">
        <v>164</v>
      </c>
      <c r="F353" s="9" t="s">
        <v>20</v>
      </c>
      <c r="G353" s="14">
        <v>3</v>
      </c>
      <c r="H353" s="14">
        <v>480000</v>
      </c>
      <c r="I353" s="14">
        <v>0</v>
      </c>
      <c r="J353" s="14">
        <v>0</v>
      </c>
      <c r="K353" s="14">
        <v>0</v>
      </c>
      <c r="L353" s="14">
        <v>0</v>
      </c>
      <c r="M353" s="4" t="e">
        <f>IF(F353="Tindakan",VLOOKUP(O353,#REF!,4,FALSE),IF(F353="Intensif",VLOOKUP(O353,#REF!,10,FALSE),IF(F353="Penunjang",VLOOKUP(O353,#REF!,16,FALSE),IF(F353="Visitase Berdasarkan Jumlah Pasien",VLOOKUP(O353,#REF!,22,FALSE),IF(F353="Visitase",VLOOKUP(O353,#REF!,28,FALSE),IF(F353="Rawat Jalan",VLOOKUP(O353,#REF!,34,FALSE),0))))))</f>
        <v>#REF!</v>
      </c>
      <c r="N353" s="12">
        <f t="shared" si="10"/>
        <v>0</v>
      </c>
      <c r="O353" t="s">
        <v>693</v>
      </c>
      <c r="P353">
        <v>343</v>
      </c>
    </row>
    <row r="354" spans="2:16" x14ac:dyDescent="0.35">
      <c r="B354" s="7">
        <f t="shared" si="11"/>
        <v>344</v>
      </c>
      <c r="C354" s="3" t="s">
        <v>214</v>
      </c>
      <c r="D354" s="4" t="s">
        <v>560</v>
      </c>
      <c r="E354" s="9" t="s">
        <v>164</v>
      </c>
      <c r="F354" s="9" t="s">
        <v>22</v>
      </c>
      <c r="G354" s="14">
        <v>2</v>
      </c>
      <c r="H354" s="14">
        <v>356000</v>
      </c>
      <c r="I354" s="14">
        <v>2</v>
      </c>
      <c r="J354" s="14">
        <v>356000</v>
      </c>
      <c r="K354" s="14">
        <v>3</v>
      </c>
      <c r="L354" s="14">
        <v>900000</v>
      </c>
      <c r="M354" s="4" t="e">
        <f>IF(F354="Tindakan",VLOOKUP(O354,#REF!,4,FALSE),IF(F354="Intensif",VLOOKUP(O354,#REF!,10,FALSE),IF(F354="Penunjang",VLOOKUP(O354,#REF!,16,FALSE),IF(F354="Visitase Berdasarkan Jumlah Pasien",VLOOKUP(O354,#REF!,22,FALSE),IF(F354="Visitase",VLOOKUP(O354,#REF!,28,FALSE),IF(F354="Rawat Jalan",VLOOKUP(O354,#REF!,34,FALSE),0))))))</f>
        <v>#REF!</v>
      </c>
      <c r="N354" s="12">
        <f t="shared" si="10"/>
        <v>0</v>
      </c>
      <c r="O354" t="s">
        <v>693</v>
      </c>
      <c r="P354">
        <v>344</v>
      </c>
    </row>
    <row r="355" spans="2:16" x14ac:dyDescent="0.35">
      <c r="B355" s="7">
        <f t="shared" si="11"/>
        <v>345</v>
      </c>
      <c r="C355" s="3" t="s">
        <v>214</v>
      </c>
      <c r="D355" s="4" t="s">
        <v>560</v>
      </c>
      <c r="E355" s="9" t="s">
        <v>164</v>
      </c>
      <c r="F355" s="9" t="s">
        <v>19</v>
      </c>
      <c r="G355" s="14">
        <v>17</v>
      </c>
      <c r="H355" s="14">
        <v>113300000</v>
      </c>
      <c r="I355" s="14">
        <v>2</v>
      </c>
      <c r="J355" s="14">
        <v>14300000</v>
      </c>
      <c r="K355" s="14">
        <v>0</v>
      </c>
      <c r="L355" s="14">
        <v>0</v>
      </c>
      <c r="M355" s="4" t="e">
        <f>IF(F355="Tindakan",VLOOKUP(O355,#REF!,4,FALSE),IF(F355="Intensif",VLOOKUP(O355,#REF!,10,FALSE),IF(F355="Penunjang",VLOOKUP(O355,#REF!,16,FALSE),IF(F355="Visitase Berdasarkan Jumlah Pasien",VLOOKUP(O355,#REF!,22,FALSE),IF(F355="Visitase",VLOOKUP(O355,#REF!,28,FALSE),IF(F355="Rawat Jalan",VLOOKUP(O355,#REF!,34,FALSE),0))))))</f>
        <v>#REF!</v>
      </c>
      <c r="N355" s="12">
        <f t="shared" si="10"/>
        <v>0</v>
      </c>
      <c r="O355" t="s">
        <v>693</v>
      </c>
      <c r="P355">
        <v>345</v>
      </c>
    </row>
    <row r="356" spans="2:16" x14ac:dyDescent="0.35">
      <c r="B356" s="7">
        <f t="shared" si="11"/>
        <v>346</v>
      </c>
      <c r="C356" s="3" t="s">
        <v>329</v>
      </c>
      <c r="D356" s="4" t="s">
        <v>561</v>
      </c>
      <c r="E356" s="9" t="s">
        <v>148</v>
      </c>
      <c r="F356" s="9" t="s">
        <v>190</v>
      </c>
      <c r="G356" s="14">
        <v>28</v>
      </c>
      <c r="H356" s="14">
        <v>3985000</v>
      </c>
      <c r="I356" s="14">
        <v>1</v>
      </c>
      <c r="J356" s="14">
        <v>180000</v>
      </c>
      <c r="K356" s="14">
        <v>1</v>
      </c>
      <c r="L356" s="14">
        <v>180000</v>
      </c>
      <c r="M356" s="4" t="e">
        <f>IF(F356="Tindakan",VLOOKUP(O356,#REF!,4,FALSE),IF(F356="Intensif",VLOOKUP(O356,#REF!,10,FALSE),IF(F356="Penunjang",VLOOKUP(O356,#REF!,16,FALSE),IF(F356="Visitase Berdasarkan Jumlah Pasien",VLOOKUP(O356,#REF!,22,FALSE),IF(F356="Visitase",VLOOKUP(O356,#REF!,28,FALSE),IF(F356="Rawat Jalan",VLOOKUP(O356,#REF!,34,FALSE),0))))))</f>
        <v>#REF!</v>
      </c>
      <c r="N356" s="12">
        <f t="shared" si="10"/>
        <v>0</v>
      </c>
      <c r="O356" t="s">
        <v>700</v>
      </c>
      <c r="P356">
        <v>346</v>
      </c>
    </row>
    <row r="357" spans="2:16" x14ac:dyDescent="0.35">
      <c r="B357" s="7">
        <f t="shared" si="11"/>
        <v>347</v>
      </c>
      <c r="C357" s="3" t="s">
        <v>329</v>
      </c>
      <c r="D357" s="4" t="s">
        <v>561</v>
      </c>
      <c r="E357" s="9" t="s">
        <v>148</v>
      </c>
      <c r="F357" s="9" t="s">
        <v>20</v>
      </c>
      <c r="G357" s="14">
        <v>88</v>
      </c>
      <c r="H357" s="14">
        <v>17461000</v>
      </c>
      <c r="I357" s="14">
        <v>2</v>
      </c>
      <c r="J357" s="14">
        <v>350000</v>
      </c>
      <c r="K357" s="14">
        <v>0</v>
      </c>
      <c r="L357" s="14">
        <v>0</v>
      </c>
      <c r="M357" s="4" t="e">
        <f>IF(F357="Tindakan",VLOOKUP(O357,#REF!,4,FALSE),IF(F357="Intensif",VLOOKUP(O357,#REF!,10,FALSE),IF(F357="Penunjang",VLOOKUP(O357,#REF!,16,FALSE),IF(F357="Visitase Berdasarkan Jumlah Pasien",VLOOKUP(O357,#REF!,22,FALSE),IF(F357="Visitase",VLOOKUP(O357,#REF!,28,FALSE),IF(F357="Rawat Jalan",VLOOKUP(O357,#REF!,34,FALSE),0))))))</f>
        <v>#REF!</v>
      </c>
      <c r="N357" s="12">
        <f t="shared" si="10"/>
        <v>0</v>
      </c>
      <c r="O357" t="s">
        <v>700</v>
      </c>
      <c r="P357">
        <v>347</v>
      </c>
    </row>
    <row r="358" spans="2:16" x14ac:dyDescent="0.35">
      <c r="B358" s="7">
        <f t="shared" si="11"/>
        <v>348</v>
      </c>
      <c r="C358" s="3" t="s">
        <v>329</v>
      </c>
      <c r="D358" s="4" t="s">
        <v>561</v>
      </c>
      <c r="E358" s="9" t="s">
        <v>148</v>
      </c>
      <c r="F358" s="9" t="s">
        <v>19</v>
      </c>
      <c r="G358" s="14">
        <v>9</v>
      </c>
      <c r="H358" s="14">
        <v>49500000</v>
      </c>
      <c r="I358" s="14">
        <v>0</v>
      </c>
      <c r="J358" s="14">
        <v>0</v>
      </c>
      <c r="K358" s="14">
        <v>0</v>
      </c>
      <c r="L358" s="14">
        <v>0</v>
      </c>
      <c r="M358" s="4" t="e">
        <f>IF(F358="Tindakan",VLOOKUP(O358,#REF!,4,FALSE),IF(F358="Intensif",VLOOKUP(O358,#REF!,10,FALSE),IF(F358="Penunjang",VLOOKUP(O358,#REF!,16,FALSE),IF(F358="Visitase Berdasarkan Jumlah Pasien",VLOOKUP(O358,#REF!,22,FALSE),IF(F358="Visitase",VLOOKUP(O358,#REF!,28,FALSE),IF(F358="Rawat Jalan",VLOOKUP(O358,#REF!,34,FALSE),0))))))</f>
        <v>#REF!</v>
      </c>
      <c r="N358" s="12">
        <f t="shared" si="10"/>
        <v>0</v>
      </c>
      <c r="O358" t="s">
        <v>700</v>
      </c>
      <c r="P358">
        <v>348</v>
      </c>
    </row>
    <row r="359" spans="2:16" x14ac:dyDescent="0.35">
      <c r="B359" s="7">
        <f t="shared" si="11"/>
        <v>349</v>
      </c>
      <c r="C359" s="3" t="s">
        <v>367</v>
      </c>
      <c r="D359" s="4" t="s">
        <v>562</v>
      </c>
      <c r="E359" s="9" t="s">
        <v>146</v>
      </c>
      <c r="F359" s="9" t="s">
        <v>190</v>
      </c>
      <c r="G359" s="14">
        <v>365</v>
      </c>
      <c r="H359" s="14">
        <v>48600000</v>
      </c>
      <c r="I359" s="14">
        <v>22</v>
      </c>
      <c r="J359" s="14">
        <v>3350000</v>
      </c>
      <c r="K359" s="14">
        <v>0</v>
      </c>
      <c r="L359" s="14">
        <v>0</v>
      </c>
      <c r="M359" s="4" t="e">
        <f>IF(F359="Tindakan",VLOOKUP(O359,#REF!,4,FALSE),IF(F359="Intensif",VLOOKUP(O359,#REF!,10,FALSE),IF(F359="Penunjang",VLOOKUP(O359,#REF!,16,FALSE),IF(F359="Visitase Berdasarkan Jumlah Pasien",VLOOKUP(O359,#REF!,22,FALSE),IF(F359="Visitase",VLOOKUP(O359,#REF!,28,FALSE),IF(F359="Rawat Jalan",VLOOKUP(O359,#REF!,34,FALSE),0))))))</f>
        <v>#REF!</v>
      </c>
      <c r="N359" s="12">
        <f t="shared" si="10"/>
        <v>0</v>
      </c>
      <c r="O359" t="s">
        <v>696</v>
      </c>
      <c r="P359">
        <v>349</v>
      </c>
    </row>
    <row r="360" spans="2:16" x14ac:dyDescent="0.35">
      <c r="B360" s="7">
        <f t="shared" si="11"/>
        <v>350</v>
      </c>
      <c r="C360" s="3" t="s">
        <v>367</v>
      </c>
      <c r="D360" s="4" t="s">
        <v>562</v>
      </c>
      <c r="E360" s="9" t="s">
        <v>146</v>
      </c>
      <c r="F360" s="9" t="s">
        <v>22</v>
      </c>
      <c r="G360" s="14">
        <v>21</v>
      </c>
      <c r="H360" s="14">
        <v>3286000</v>
      </c>
      <c r="I360" s="14">
        <v>0</v>
      </c>
      <c r="J360" s="14">
        <v>0</v>
      </c>
      <c r="K360" s="14">
        <v>4</v>
      </c>
      <c r="L360" s="14">
        <v>1000000</v>
      </c>
      <c r="M360" s="4" t="e">
        <f>IF(F360="Tindakan",VLOOKUP(O360,#REF!,4,FALSE),IF(F360="Intensif",VLOOKUP(O360,#REF!,10,FALSE),IF(F360="Penunjang",VLOOKUP(O360,#REF!,16,FALSE),IF(F360="Visitase Berdasarkan Jumlah Pasien",VLOOKUP(O360,#REF!,22,FALSE),IF(F360="Visitase",VLOOKUP(O360,#REF!,28,FALSE),IF(F360="Rawat Jalan",VLOOKUP(O360,#REF!,34,FALSE),0))))))</f>
        <v>#REF!</v>
      </c>
      <c r="N360" s="12">
        <f t="shared" si="10"/>
        <v>0</v>
      </c>
      <c r="O360" t="s">
        <v>696</v>
      </c>
      <c r="P360">
        <v>350</v>
      </c>
    </row>
    <row r="361" spans="2:16" x14ac:dyDescent="0.35">
      <c r="B361" s="7">
        <f t="shared" si="11"/>
        <v>351</v>
      </c>
      <c r="C361" s="3" t="s">
        <v>416</v>
      </c>
      <c r="D361" s="4" t="s">
        <v>563</v>
      </c>
      <c r="E361" s="9" t="s">
        <v>148</v>
      </c>
      <c r="F361" s="9" t="s">
        <v>190</v>
      </c>
      <c r="G361" s="14">
        <v>43</v>
      </c>
      <c r="H361" s="14">
        <v>5510000</v>
      </c>
      <c r="I361" s="14">
        <v>0</v>
      </c>
      <c r="J361" s="14">
        <v>0</v>
      </c>
      <c r="K361" s="14">
        <v>0</v>
      </c>
      <c r="L361" s="14">
        <v>0</v>
      </c>
      <c r="M361" s="4" t="e">
        <f>IF(F361="Tindakan",VLOOKUP(O361,#REF!,4,FALSE),IF(F361="Intensif",VLOOKUP(O361,#REF!,10,FALSE),IF(F361="Penunjang",VLOOKUP(O361,#REF!,16,FALSE),IF(F361="Visitase Berdasarkan Jumlah Pasien",VLOOKUP(O361,#REF!,22,FALSE),IF(F361="Visitase",VLOOKUP(O361,#REF!,28,FALSE),IF(F361="Rawat Jalan",VLOOKUP(O361,#REF!,34,FALSE),0))))))</f>
        <v>#REF!</v>
      </c>
      <c r="N361" s="12">
        <f t="shared" si="10"/>
        <v>0</v>
      </c>
      <c r="O361" t="s">
        <v>700</v>
      </c>
      <c r="P361">
        <v>351</v>
      </c>
    </row>
    <row r="362" spans="2:16" x14ac:dyDescent="0.35">
      <c r="B362" s="7">
        <f t="shared" si="11"/>
        <v>352</v>
      </c>
      <c r="C362" s="3" t="s">
        <v>416</v>
      </c>
      <c r="D362" s="4" t="s">
        <v>563</v>
      </c>
      <c r="E362" s="9" t="s">
        <v>148</v>
      </c>
      <c r="F362" s="9" t="s">
        <v>20</v>
      </c>
      <c r="G362" s="14">
        <v>11</v>
      </c>
      <c r="H362" s="14">
        <v>2181000</v>
      </c>
      <c r="I362" s="14">
        <v>1</v>
      </c>
      <c r="J362" s="14">
        <v>140000</v>
      </c>
      <c r="K362" s="14">
        <v>0</v>
      </c>
      <c r="L362" s="14">
        <v>0</v>
      </c>
      <c r="M362" s="4" t="e">
        <f>IF(F362="Tindakan",VLOOKUP(O362,#REF!,4,FALSE),IF(F362="Intensif",VLOOKUP(O362,#REF!,10,FALSE),IF(F362="Penunjang",VLOOKUP(O362,#REF!,16,FALSE),IF(F362="Visitase Berdasarkan Jumlah Pasien",VLOOKUP(O362,#REF!,22,FALSE),IF(F362="Visitase",VLOOKUP(O362,#REF!,28,FALSE),IF(F362="Rawat Jalan",VLOOKUP(O362,#REF!,34,FALSE),0))))))</f>
        <v>#REF!</v>
      </c>
      <c r="N362" s="12">
        <f t="shared" si="10"/>
        <v>0</v>
      </c>
      <c r="O362" t="s">
        <v>700</v>
      </c>
      <c r="P362">
        <v>352</v>
      </c>
    </row>
    <row r="363" spans="2:16" x14ac:dyDescent="0.35">
      <c r="B363" s="7">
        <f t="shared" si="11"/>
        <v>353</v>
      </c>
      <c r="C363" s="3" t="s">
        <v>416</v>
      </c>
      <c r="D363" s="4" t="s">
        <v>563</v>
      </c>
      <c r="E363" s="9" t="s">
        <v>148</v>
      </c>
      <c r="F363" s="9" t="s">
        <v>22</v>
      </c>
      <c r="G363" s="14">
        <v>299</v>
      </c>
      <c r="H363" s="14">
        <v>21712000</v>
      </c>
      <c r="I363" s="14">
        <v>4</v>
      </c>
      <c r="J363" s="14">
        <v>365000</v>
      </c>
      <c r="K363" s="14">
        <v>2</v>
      </c>
      <c r="L363" s="14">
        <v>500000</v>
      </c>
      <c r="M363" s="4" t="e">
        <f>IF(F363="Tindakan",VLOOKUP(O363,#REF!,4,FALSE),IF(F363="Intensif",VLOOKUP(O363,#REF!,10,FALSE),IF(F363="Penunjang",VLOOKUP(O363,#REF!,16,FALSE),IF(F363="Visitase Berdasarkan Jumlah Pasien",VLOOKUP(O363,#REF!,22,FALSE),IF(F363="Visitase",VLOOKUP(O363,#REF!,28,FALSE),IF(F363="Rawat Jalan",VLOOKUP(O363,#REF!,34,FALSE),0))))))</f>
        <v>#REF!</v>
      </c>
      <c r="N363" s="12">
        <f t="shared" si="10"/>
        <v>0</v>
      </c>
      <c r="O363" t="s">
        <v>700</v>
      </c>
      <c r="P363">
        <v>353</v>
      </c>
    </row>
    <row r="364" spans="2:16" x14ac:dyDescent="0.35">
      <c r="B364" s="7">
        <f t="shared" si="11"/>
        <v>354</v>
      </c>
      <c r="C364" s="3" t="s">
        <v>416</v>
      </c>
      <c r="D364" s="4" t="s">
        <v>563</v>
      </c>
      <c r="E364" s="9" t="s">
        <v>148</v>
      </c>
      <c r="F364" s="9" t="s">
        <v>19</v>
      </c>
      <c r="G364" s="14">
        <v>2</v>
      </c>
      <c r="H364" s="14">
        <v>11000000</v>
      </c>
      <c r="I364" s="14">
        <v>0</v>
      </c>
      <c r="J364" s="14">
        <v>0</v>
      </c>
      <c r="K364" s="14">
        <v>0</v>
      </c>
      <c r="L364" s="14">
        <v>0</v>
      </c>
      <c r="M364" s="4" t="e">
        <f>IF(F364="Tindakan",VLOOKUP(O364,#REF!,4,FALSE),IF(F364="Intensif",VLOOKUP(O364,#REF!,10,FALSE),IF(F364="Penunjang",VLOOKUP(O364,#REF!,16,FALSE),IF(F364="Visitase Berdasarkan Jumlah Pasien",VLOOKUP(O364,#REF!,22,FALSE),IF(F364="Visitase",VLOOKUP(O364,#REF!,28,FALSE),IF(F364="Rawat Jalan",VLOOKUP(O364,#REF!,34,FALSE),0))))))</f>
        <v>#REF!</v>
      </c>
      <c r="N364" s="12">
        <f t="shared" si="10"/>
        <v>0</v>
      </c>
      <c r="O364" t="s">
        <v>700</v>
      </c>
      <c r="P364">
        <v>354</v>
      </c>
    </row>
    <row r="365" spans="2:16" x14ac:dyDescent="0.35">
      <c r="B365" s="7">
        <f t="shared" si="11"/>
        <v>355</v>
      </c>
      <c r="C365" s="3" t="s">
        <v>304</v>
      </c>
      <c r="D365" s="4" t="s">
        <v>564</v>
      </c>
      <c r="E365" s="9" t="s">
        <v>147</v>
      </c>
      <c r="F365" s="9" t="s">
        <v>190</v>
      </c>
      <c r="G365" s="14">
        <v>36</v>
      </c>
      <c r="H365" s="14">
        <v>4500000</v>
      </c>
      <c r="I365" s="14">
        <v>0</v>
      </c>
      <c r="J365" s="14">
        <v>0</v>
      </c>
      <c r="K365" s="14">
        <v>0</v>
      </c>
      <c r="L365" s="14">
        <v>0</v>
      </c>
      <c r="M365" s="4" t="e">
        <f>IF(F365="Tindakan",VLOOKUP(O365,#REF!,4,FALSE),IF(F365="Intensif",VLOOKUP(O365,#REF!,10,FALSE),IF(F365="Penunjang",VLOOKUP(O365,#REF!,16,FALSE),IF(F365="Visitase Berdasarkan Jumlah Pasien",VLOOKUP(O365,#REF!,22,FALSE),IF(F365="Visitase",VLOOKUP(O365,#REF!,28,FALSE),IF(F365="Rawat Jalan",VLOOKUP(O365,#REF!,34,FALSE),0))))))</f>
        <v>#REF!</v>
      </c>
      <c r="N365" s="12">
        <f t="shared" si="10"/>
        <v>0</v>
      </c>
      <c r="O365" t="s">
        <v>691</v>
      </c>
      <c r="P365">
        <v>355</v>
      </c>
    </row>
    <row r="366" spans="2:16" x14ac:dyDescent="0.35">
      <c r="B366" s="7">
        <f t="shared" si="11"/>
        <v>356</v>
      </c>
      <c r="C366" s="3" t="s">
        <v>304</v>
      </c>
      <c r="D366" s="4" t="s">
        <v>564</v>
      </c>
      <c r="E366" s="9" t="s">
        <v>147</v>
      </c>
      <c r="F366" s="9" t="s">
        <v>20</v>
      </c>
      <c r="G366" s="14">
        <v>5</v>
      </c>
      <c r="H366" s="14">
        <v>800000</v>
      </c>
      <c r="I366" s="14">
        <v>0</v>
      </c>
      <c r="J366" s="14">
        <v>0</v>
      </c>
      <c r="K366" s="14">
        <v>0</v>
      </c>
      <c r="L366" s="14">
        <v>0</v>
      </c>
      <c r="M366" s="4" t="e">
        <f>IF(F366="Tindakan",VLOOKUP(O366,#REF!,4,FALSE),IF(F366="Intensif",VLOOKUP(O366,#REF!,10,FALSE),IF(F366="Penunjang",VLOOKUP(O366,#REF!,16,FALSE),IF(F366="Visitase Berdasarkan Jumlah Pasien",VLOOKUP(O366,#REF!,22,FALSE),IF(F366="Visitase",VLOOKUP(O366,#REF!,28,FALSE),IF(F366="Rawat Jalan",VLOOKUP(O366,#REF!,34,FALSE),0))))))</f>
        <v>#REF!</v>
      </c>
      <c r="N366" s="12">
        <f t="shared" si="10"/>
        <v>0</v>
      </c>
      <c r="O366" t="s">
        <v>691</v>
      </c>
      <c r="P366">
        <v>356</v>
      </c>
    </row>
    <row r="367" spans="2:16" x14ac:dyDescent="0.35">
      <c r="B367" s="7">
        <f t="shared" si="11"/>
        <v>357</v>
      </c>
      <c r="C367" s="3" t="s">
        <v>304</v>
      </c>
      <c r="D367" s="4" t="s">
        <v>564</v>
      </c>
      <c r="E367" s="9" t="s">
        <v>147</v>
      </c>
      <c r="F367" s="9" t="s">
        <v>22</v>
      </c>
      <c r="G367" s="14">
        <v>82</v>
      </c>
      <c r="H367" s="14">
        <v>6761000</v>
      </c>
      <c r="I367" s="14">
        <v>3</v>
      </c>
      <c r="J367" s="14">
        <v>225000</v>
      </c>
      <c r="K367" s="14">
        <v>2</v>
      </c>
      <c r="L367" s="14">
        <v>500000</v>
      </c>
      <c r="M367" s="4" t="e">
        <f>IF(F367="Tindakan",VLOOKUP(O367,#REF!,4,FALSE),IF(F367="Intensif",VLOOKUP(O367,#REF!,10,FALSE),IF(F367="Penunjang",VLOOKUP(O367,#REF!,16,FALSE),IF(F367="Visitase Berdasarkan Jumlah Pasien",VLOOKUP(O367,#REF!,22,FALSE),IF(F367="Visitase",VLOOKUP(O367,#REF!,28,FALSE),IF(F367="Rawat Jalan",VLOOKUP(O367,#REF!,34,FALSE),0))))))</f>
        <v>#REF!</v>
      </c>
      <c r="N367" s="12">
        <f t="shared" si="10"/>
        <v>0</v>
      </c>
      <c r="O367" t="s">
        <v>691</v>
      </c>
      <c r="P367">
        <v>357</v>
      </c>
    </row>
    <row r="368" spans="2:16" x14ac:dyDescent="0.35">
      <c r="B368" s="7">
        <f t="shared" si="11"/>
        <v>358</v>
      </c>
      <c r="C368" s="3" t="s">
        <v>304</v>
      </c>
      <c r="D368" s="4" t="s">
        <v>564</v>
      </c>
      <c r="E368" s="9" t="s">
        <v>147</v>
      </c>
      <c r="F368" s="9" t="s">
        <v>19</v>
      </c>
      <c r="G368" s="14">
        <v>40</v>
      </c>
      <c r="H368" s="14">
        <v>259122000</v>
      </c>
      <c r="I368" s="14">
        <v>0</v>
      </c>
      <c r="J368" s="14">
        <v>0</v>
      </c>
      <c r="K368" s="14">
        <v>0</v>
      </c>
      <c r="L368" s="14">
        <v>0</v>
      </c>
      <c r="M368" s="4" t="e">
        <f>IF(F368="Tindakan",VLOOKUP(O368,#REF!,4,FALSE),IF(F368="Intensif",VLOOKUP(O368,#REF!,10,FALSE),IF(F368="Penunjang",VLOOKUP(O368,#REF!,16,FALSE),IF(F368="Visitase Berdasarkan Jumlah Pasien",VLOOKUP(O368,#REF!,22,FALSE),IF(F368="Visitase",VLOOKUP(O368,#REF!,28,FALSE),IF(F368="Rawat Jalan",VLOOKUP(O368,#REF!,34,FALSE),0))))))</f>
        <v>#REF!</v>
      </c>
      <c r="N368" s="12">
        <f t="shared" si="10"/>
        <v>0</v>
      </c>
      <c r="O368" t="s">
        <v>691</v>
      </c>
      <c r="P368">
        <v>358</v>
      </c>
    </row>
    <row r="369" spans="2:16" x14ac:dyDescent="0.35">
      <c r="B369" s="7">
        <f t="shared" si="11"/>
        <v>359</v>
      </c>
      <c r="C369" s="3" t="s">
        <v>417</v>
      </c>
      <c r="D369" s="4" t="s">
        <v>565</v>
      </c>
      <c r="E369" s="9" t="s">
        <v>686</v>
      </c>
      <c r="F369" s="9" t="s">
        <v>21</v>
      </c>
      <c r="G369" s="14">
        <v>5</v>
      </c>
      <c r="H369" s="14">
        <v>1380000</v>
      </c>
      <c r="I369" s="14">
        <v>0</v>
      </c>
      <c r="J369" s="14">
        <v>0</v>
      </c>
      <c r="K369" s="14">
        <v>0</v>
      </c>
      <c r="L369" s="14">
        <v>0</v>
      </c>
      <c r="M369" s="4" t="e">
        <f>IF(F369="Tindakan",VLOOKUP(O369,#REF!,4,FALSE),IF(F369="Intensif",VLOOKUP(O369,#REF!,10,FALSE),IF(F369="Penunjang",VLOOKUP(O369,#REF!,16,FALSE),IF(F369="Visitase Berdasarkan Jumlah Pasien",VLOOKUP(O369,#REF!,22,FALSE),IF(F369="Visitase",VLOOKUP(O369,#REF!,28,FALSE),IF(F369="Rawat Jalan",VLOOKUP(O369,#REF!,34,FALSE),0))))))</f>
        <v>#REF!</v>
      </c>
      <c r="N369" s="12">
        <f t="shared" si="10"/>
        <v>0</v>
      </c>
      <c r="O369" t="s">
        <v>695</v>
      </c>
      <c r="P369">
        <v>359</v>
      </c>
    </row>
    <row r="370" spans="2:16" x14ac:dyDescent="0.35">
      <c r="B370" s="7">
        <f t="shared" si="11"/>
        <v>360</v>
      </c>
      <c r="C370" s="3" t="s">
        <v>205</v>
      </c>
      <c r="D370" s="4" t="s">
        <v>566</v>
      </c>
      <c r="E370" s="9" t="s">
        <v>177</v>
      </c>
      <c r="F370" s="9" t="s">
        <v>22</v>
      </c>
      <c r="G370" s="14">
        <v>366</v>
      </c>
      <c r="H370" s="14">
        <v>41850000</v>
      </c>
      <c r="I370" s="14">
        <v>56</v>
      </c>
      <c r="J370" s="14">
        <v>4271000</v>
      </c>
      <c r="K370" s="14">
        <v>0</v>
      </c>
      <c r="L370" s="14">
        <v>0</v>
      </c>
      <c r="M370" s="4" t="e">
        <f>IF(F370="Tindakan",VLOOKUP(O370,#REF!,4,FALSE),IF(F370="Intensif",VLOOKUP(O370,#REF!,10,FALSE),IF(F370="Penunjang",VLOOKUP(O370,#REF!,16,FALSE),IF(F370="Visitase Berdasarkan Jumlah Pasien",VLOOKUP(O370,#REF!,22,FALSE),IF(F370="Visitase",VLOOKUP(O370,#REF!,28,FALSE),IF(F370="Rawat Jalan",VLOOKUP(O370,#REF!,34,FALSE),0))))))</f>
        <v>#REF!</v>
      </c>
      <c r="N370" s="12">
        <f t="shared" si="10"/>
        <v>0</v>
      </c>
      <c r="O370" t="s">
        <v>702</v>
      </c>
      <c r="P370">
        <v>360</v>
      </c>
    </row>
    <row r="371" spans="2:16" x14ac:dyDescent="0.35">
      <c r="B371" s="7">
        <f t="shared" si="11"/>
        <v>361</v>
      </c>
      <c r="C371" s="3" t="s">
        <v>205</v>
      </c>
      <c r="D371" s="4" t="s">
        <v>566</v>
      </c>
      <c r="E371" s="9" t="s">
        <v>177</v>
      </c>
      <c r="F371" s="9" t="s">
        <v>19</v>
      </c>
      <c r="G371" s="14">
        <v>3</v>
      </c>
      <c r="H371" s="14">
        <v>10930000</v>
      </c>
      <c r="I371" s="14">
        <v>0</v>
      </c>
      <c r="J371" s="14">
        <v>0</v>
      </c>
      <c r="K371" s="14">
        <v>0</v>
      </c>
      <c r="L371" s="14">
        <v>0</v>
      </c>
      <c r="M371" s="4" t="e">
        <f>IF(F371="Tindakan",VLOOKUP(O371,#REF!,4,FALSE),IF(F371="Intensif",VLOOKUP(O371,#REF!,10,FALSE),IF(F371="Penunjang",VLOOKUP(O371,#REF!,16,FALSE),IF(F371="Visitase Berdasarkan Jumlah Pasien",VLOOKUP(O371,#REF!,22,FALSE),IF(F371="Visitase",VLOOKUP(O371,#REF!,28,FALSE),IF(F371="Rawat Jalan",VLOOKUP(O371,#REF!,34,FALSE),0))))))</f>
        <v>#REF!</v>
      </c>
      <c r="N371" s="12">
        <f t="shared" si="10"/>
        <v>0</v>
      </c>
      <c r="O371" t="s">
        <v>702</v>
      </c>
      <c r="P371">
        <v>361</v>
      </c>
    </row>
    <row r="372" spans="2:16" x14ac:dyDescent="0.35">
      <c r="B372" s="7">
        <f t="shared" si="11"/>
        <v>362</v>
      </c>
      <c r="C372" s="3" t="s">
        <v>418</v>
      </c>
      <c r="D372" s="4" t="s">
        <v>566</v>
      </c>
      <c r="E372" s="9" t="s">
        <v>686</v>
      </c>
      <c r="F372" s="9" t="s">
        <v>22</v>
      </c>
      <c r="G372" s="14">
        <v>1</v>
      </c>
      <c r="H372" s="14">
        <v>140000</v>
      </c>
      <c r="I372" s="14">
        <v>0</v>
      </c>
      <c r="J372" s="14">
        <v>0</v>
      </c>
      <c r="K372" s="14">
        <v>0</v>
      </c>
      <c r="L372" s="14">
        <v>0</v>
      </c>
      <c r="M372" s="4" t="e">
        <f>IF(F372="Tindakan",VLOOKUP(O372,#REF!,4,FALSE),IF(F372="Intensif",VLOOKUP(O372,#REF!,10,FALSE),IF(F372="Penunjang",VLOOKUP(O372,#REF!,16,FALSE),IF(F372="Visitase Berdasarkan Jumlah Pasien",VLOOKUP(O372,#REF!,22,FALSE),IF(F372="Visitase",VLOOKUP(O372,#REF!,28,FALSE),IF(F372="Rawat Jalan",VLOOKUP(O372,#REF!,34,FALSE),0))))))</f>
        <v>#REF!</v>
      </c>
      <c r="N372" s="12">
        <f t="shared" si="10"/>
        <v>0</v>
      </c>
      <c r="O372" t="s">
        <v>695</v>
      </c>
      <c r="P372">
        <v>362</v>
      </c>
    </row>
    <row r="373" spans="2:16" x14ac:dyDescent="0.35">
      <c r="B373" s="7">
        <f t="shared" si="11"/>
        <v>363</v>
      </c>
      <c r="C373" s="3" t="s">
        <v>373</v>
      </c>
      <c r="D373" s="4" t="s">
        <v>567</v>
      </c>
      <c r="E373" s="9" t="s">
        <v>151</v>
      </c>
      <c r="F373" s="9" t="s">
        <v>190</v>
      </c>
      <c r="G373" s="14">
        <v>0</v>
      </c>
      <c r="H373" s="14">
        <v>0</v>
      </c>
      <c r="I373" s="14">
        <v>0</v>
      </c>
      <c r="J373" s="14">
        <v>0</v>
      </c>
      <c r="K373" s="14">
        <v>1</v>
      </c>
      <c r="L373" s="14">
        <v>125000</v>
      </c>
      <c r="M373" s="4" t="e">
        <f>IF(F373="Tindakan",VLOOKUP(O373,#REF!,4,FALSE),IF(F373="Intensif",VLOOKUP(O373,#REF!,10,FALSE),IF(F373="Penunjang",VLOOKUP(O373,#REF!,16,FALSE),IF(F373="Visitase Berdasarkan Jumlah Pasien",VLOOKUP(O373,#REF!,22,FALSE),IF(F373="Visitase",VLOOKUP(O373,#REF!,28,FALSE),IF(F373="Rawat Jalan",VLOOKUP(O373,#REF!,34,FALSE),0))))))</f>
        <v>#REF!</v>
      </c>
      <c r="N373" s="12">
        <f t="shared" si="10"/>
        <v>0</v>
      </c>
      <c r="O373" t="s">
        <v>690</v>
      </c>
      <c r="P373">
        <v>363</v>
      </c>
    </row>
    <row r="374" spans="2:16" x14ac:dyDescent="0.35">
      <c r="B374" s="7">
        <f t="shared" si="11"/>
        <v>364</v>
      </c>
      <c r="C374" s="3" t="s">
        <v>373</v>
      </c>
      <c r="D374" s="4" t="s">
        <v>567</v>
      </c>
      <c r="E374" s="9" t="s">
        <v>151</v>
      </c>
      <c r="F374" s="9" t="s">
        <v>19</v>
      </c>
      <c r="G374" s="14">
        <v>61</v>
      </c>
      <c r="H374" s="14">
        <v>535397000</v>
      </c>
      <c r="I374" s="14">
        <v>1</v>
      </c>
      <c r="J374" s="14">
        <v>5500000</v>
      </c>
      <c r="K374" s="14">
        <v>0</v>
      </c>
      <c r="L374" s="14">
        <v>0</v>
      </c>
      <c r="M374" s="4" t="e">
        <f>IF(F374="Tindakan",VLOOKUP(O374,#REF!,4,FALSE),IF(F374="Intensif",VLOOKUP(O374,#REF!,10,FALSE),IF(F374="Penunjang",VLOOKUP(O374,#REF!,16,FALSE),IF(F374="Visitase Berdasarkan Jumlah Pasien",VLOOKUP(O374,#REF!,22,FALSE),IF(F374="Visitase",VLOOKUP(O374,#REF!,28,FALSE),IF(F374="Rawat Jalan",VLOOKUP(O374,#REF!,34,FALSE),0))))))</f>
        <v>#REF!</v>
      </c>
      <c r="N374" s="12">
        <f t="shared" si="10"/>
        <v>0</v>
      </c>
      <c r="O374" t="s">
        <v>690</v>
      </c>
      <c r="P374">
        <v>364</v>
      </c>
    </row>
    <row r="375" spans="2:16" x14ac:dyDescent="0.35">
      <c r="B375" s="7">
        <f t="shared" si="11"/>
        <v>365</v>
      </c>
      <c r="C375" s="3" t="s">
        <v>373</v>
      </c>
      <c r="D375" s="4" t="s">
        <v>567</v>
      </c>
      <c r="E375" s="9" t="s">
        <v>151</v>
      </c>
      <c r="F375" s="9" t="s">
        <v>22</v>
      </c>
      <c r="G375" s="14">
        <v>138</v>
      </c>
      <c r="H375" s="14">
        <v>12755000</v>
      </c>
      <c r="I375" s="14">
        <v>6</v>
      </c>
      <c r="J375" s="14">
        <v>710000</v>
      </c>
      <c r="K375" s="14">
        <v>0</v>
      </c>
      <c r="L375" s="14">
        <v>0</v>
      </c>
      <c r="M375" s="4" t="e">
        <f>IF(F375="Tindakan",VLOOKUP(O375,#REF!,4,FALSE),IF(F375="Intensif",VLOOKUP(O375,#REF!,10,FALSE),IF(F375="Penunjang",VLOOKUP(O375,#REF!,16,FALSE),IF(F375="Visitase Berdasarkan Jumlah Pasien",VLOOKUP(O375,#REF!,22,FALSE),IF(F375="Visitase",VLOOKUP(O375,#REF!,28,FALSE),IF(F375="Rawat Jalan",VLOOKUP(O375,#REF!,34,FALSE),0))))))</f>
        <v>#REF!</v>
      </c>
      <c r="N375" s="12">
        <f t="shared" si="10"/>
        <v>0</v>
      </c>
      <c r="O375" t="s">
        <v>690</v>
      </c>
      <c r="P375">
        <v>365</v>
      </c>
    </row>
    <row r="376" spans="2:16" x14ac:dyDescent="0.35">
      <c r="B376" s="7">
        <f t="shared" si="11"/>
        <v>366</v>
      </c>
      <c r="C376" s="3" t="s">
        <v>373</v>
      </c>
      <c r="D376" s="4" t="s">
        <v>567</v>
      </c>
      <c r="E376" s="9" t="s">
        <v>151</v>
      </c>
      <c r="F376" s="9" t="s">
        <v>20</v>
      </c>
      <c r="G376" s="14">
        <v>2</v>
      </c>
      <c r="H376" s="14">
        <v>891500</v>
      </c>
      <c r="I376" s="14">
        <v>5</v>
      </c>
      <c r="J376" s="14">
        <v>9203000</v>
      </c>
      <c r="K376" s="14">
        <v>0</v>
      </c>
      <c r="L376" s="14">
        <v>0</v>
      </c>
      <c r="M376" s="4" t="e">
        <f>IF(F376="Tindakan",VLOOKUP(O376,#REF!,4,FALSE),IF(F376="Intensif",VLOOKUP(O376,#REF!,10,FALSE),IF(F376="Penunjang",VLOOKUP(O376,#REF!,16,FALSE),IF(F376="Visitase Berdasarkan Jumlah Pasien",VLOOKUP(O376,#REF!,22,FALSE),IF(F376="Visitase",VLOOKUP(O376,#REF!,28,FALSE),IF(F376="Rawat Jalan",VLOOKUP(O376,#REF!,34,FALSE),0))))))</f>
        <v>#REF!</v>
      </c>
      <c r="N376" s="12">
        <f t="shared" si="10"/>
        <v>0</v>
      </c>
      <c r="O376" t="s">
        <v>690</v>
      </c>
      <c r="P376">
        <v>366</v>
      </c>
    </row>
    <row r="377" spans="2:16" x14ac:dyDescent="0.35">
      <c r="B377" s="7">
        <f t="shared" si="11"/>
        <v>367</v>
      </c>
      <c r="C377" s="3" t="s">
        <v>368</v>
      </c>
      <c r="D377" s="4" t="s">
        <v>568</v>
      </c>
      <c r="E377" s="9" t="s">
        <v>146</v>
      </c>
      <c r="F377" s="9" t="s">
        <v>190</v>
      </c>
      <c r="G377" s="14">
        <v>230</v>
      </c>
      <c r="H377" s="14">
        <v>33910000</v>
      </c>
      <c r="I377" s="14">
        <v>8</v>
      </c>
      <c r="J377" s="14">
        <v>1155000</v>
      </c>
      <c r="K377" s="14">
        <v>0</v>
      </c>
      <c r="L377" s="14">
        <v>0</v>
      </c>
      <c r="M377" s="4" t="e">
        <f>IF(F377="Tindakan",VLOOKUP(O377,#REF!,4,FALSE),IF(F377="Intensif",VLOOKUP(O377,#REF!,10,FALSE),IF(F377="Penunjang",VLOOKUP(O377,#REF!,16,FALSE),IF(F377="Visitase Berdasarkan Jumlah Pasien",VLOOKUP(O377,#REF!,22,FALSE),IF(F377="Visitase",VLOOKUP(O377,#REF!,28,FALSE),IF(F377="Rawat Jalan",VLOOKUP(O377,#REF!,34,FALSE),0))))))</f>
        <v>#REF!</v>
      </c>
      <c r="N377" s="12">
        <f t="shared" si="10"/>
        <v>0</v>
      </c>
      <c r="O377" t="s">
        <v>696</v>
      </c>
      <c r="P377">
        <v>367</v>
      </c>
    </row>
    <row r="378" spans="2:16" x14ac:dyDescent="0.35">
      <c r="B378" s="7">
        <f t="shared" si="11"/>
        <v>368</v>
      </c>
      <c r="C378" s="3" t="s">
        <v>368</v>
      </c>
      <c r="D378" s="4" t="s">
        <v>568</v>
      </c>
      <c r="E378" s="9" t="s">
        <v>146</v>
      </c>
      <c r="F378" s="9" t="s">
        <v>20</v>
      </c>
      <c r="G378" s="14">
        <v>53</v>
      </c>
      <c r="H378" s="14">
        <v>8705000</v>
      </c>
      <c r="I378" s="14">
        <v>5</v>
      </c>
      <c r="J378" s="14">
        <v>875000</v>
      </c>
      <c r="K378" s="14">
        <v>1</v>
      </c>
      <c r="L378" s="14">
        <v>160000</v>
      </c>
      <c r="M378" s="4" t="e">
        <f>IF(F378="Tindakan",VLOOKUP(O378,#REF!,4,FALSE),IF(F378="Intensif",VLOOKUP(O378,#REF!,10,FALSE),IF(F378="Penunjang",VLOOKUP(O378,#REF!,16,FALSE),IF(F378="Visitase Berdasarkan Jumlah Pasien",VLOOKUP(O378,#REF!,22,FALSE),IF(F378="Visitase",VLOOKUP(O378,#REF!,28,FALSE),IF(F378="Rawat Jalan",VLOOKUP(O378,#REF!,34,FALSE),0))))))</f>
        <v>#REF!</v>
      </c>
      <c r="N378" s="12">
        <f t="shared" si="10"/>
        <v>0</v>
      </c>
      <c r="O378" t="s">
        <v>696</v>
      </c>
      <c r="P378">
        <v>368</v>
      </c>
    </row>
    <row r="379" spans="2:16" x14ac:dyDescent="0.35">
      <c r="B379" s="7">
        <f t="shared" si="11"/>
        <v>369</v>
      </c>
      <c r="C379" s="3" t="s">
        <v>368</v>
      </c>
      <c r="D379" s="4" t="s">
        <v>568</v>
      </c>
      <c r="E379" s="9" t="s">
        <v>146</v>
      </c>
      <c r="F379" s="9" t="s">
        <v>22</v>
      </c>
      <c r="G379" s="14">
        <v>296</v>
      </c>
      <c r="H379" s="14">
        <v>22850000</v>
      </c>
      <c r="I379" s="14">
        <v>2</v>
      </c>
      <c r="J379" s="14">
        <v>150000</v>
      </c>
      <c r="K379" s="14">
        <v>0</v>
      </c>
      <c r="L379" s="14">
        <v>0</v>
      </c>
      <c r="M379" s="4" t="e">
        <f>IF(F379="Tindakan",VLOOKUP(O379,#REF!,4,FALSE),IF(F379="Intensif",VLOOKUP(O379,#REF!,10,FALSE),IF(F379="Penunjang",VLOOKUP(O379,#REF!,16,FALSE),IF(F379="Visitase Berdasarkan Jumlah Pasien",VLOOKUP(O379,#REF!,22,FALSE),IF(F379="Visitase",VLOOKUP(O379,#REF!,28,FALSE),IF(F379="Rawat Jalan",VLOOKUP(O379,#REF!,34,FALSE),0))))))</f>
        <v>#REF!</v>
      </c>
      <c r="N379" s="12">
        <f t="shared" si="10"/>
        <v>0</v>
      </c>
      <c r="O379" t="s">
        <v>696</v>
      </c>
      <c r="P379">
        <v>369</v>
      </c>
    </row>
    <row r="380" spans="2:16" x14ac:dyDescent="0.35">
      <c r="B380" s="7">
        <f t="shared" si="11"/>
        <v>370</v>
      </c>
      <c r="C380" s="3" t="s">
        <v>419</v>
      </c>
      <c r="D380" s="4" t="s">
        <v>569</v>
      </c>
      <c r="E380" s="9" t="s">
        <v>150</v>
      </c>
      <c r="F380" s="9" t="s">
        <v>21</v>
      </c>
      <c r="G380" s="14">
        <v>32</v>
      </c>
      <c r="H380" s="14">
        <v>47619400</v>
      </c>
      <c r="I380" s="14">
        <v>1</v>
      </c>
      <c r="J380" s="14">
        <v>392000</v>
      </c>
      <c r="K380" s="14">
        <v>0</v>
      </c>
      <c r="L380" s="14">
        <v>0</v>
      </c>
      <c r="M380" s="4" t="e">
        <f>IF(F380="Tindakan",VLOOKUP(O380,#REF!,4,FALSE),IF(F380="Intensif",VLOOKUP(O380,#REF!,10,FALSE),IF(F380="Penunjang",VLOOKUP(O380,#REF!,16,FALSE),IF(F380="Visitase Berdasarkan Jumlah Pasien",VLOOKUP(O380,#REF!,22,FALSE),IF(F380="Visitase",VLOOKUP(O380,#REF!,28,FALSE),IF(F380="Rawat Jalan",VLOOKUP(O380,#REF!,34,FALSE),0))))))</f>
        <v>#REF!</v>
      </c>
      <c r="N380" s="12">
        <f t="shared" si="10"/>
        <v>0</v>
      </c>
      <c r="O380" t="s">
        <v>707</v>
      </c>
      <c r="P380">
        <v>370</v>
      </c>
    </row>
    <row r="381" spans="2:16" x14ac:dyDescent="0.35">
      <c r="B381" s="7">
        <f t="shared" si="11"/>
        <v>371</v>
      </c>
      <c r="C381" s="3" t="s">
        <v>420</v>
      </c>
      <c r="D381" s="4" t="s">
        <v>570</v>
      </c>
      <c r="E381" s="9" t="s">
        <v>686</v>
      </c>
      <c r="F381" s="9" t="s">
        <v>190</v>
      </c>
      <c r="G381" s="14">
        <v>1</v>
      </c>
      <c r="H381" s="14">
        <v>160000</v>
      </c>
      <c r="I381" s="14">
        <v>0</v>
      </c>
      <c r="J381" s="14">
        <v>0</v>
      </c>
      <c r="K381" s="14">
        <v>0</v>
      </c>
      <c r="L381" s="14">
        <v>0</v>
      </c>
      <c r="M381" s="4" t="e">
        <f>IF(F381="Tindakan",VLOOKUP(O381,#REF!,4,FALSE),IF(F381="Intensif",VLOOKUP(O381,#REF!,10,FALSE),IF(F381="Penunjang",VLOOKUP(O381,#REF!,16,FALSE),IF(F381="Visitase Berdasarkan Jumlah Pasien",VLOOKUP(O381,#REF!,22,FALSE),IF(F381="Visitase",VLOOKUP(O381,#REF!,28,FALSE),IF(F381="Rawat Jalan",VLOOKUP(O381,#REF!,34,FALSE),0))))))</f>
        <v>#REF!</v>
      </c>
      <c r="N381" s="12">
        <f t="shared" si="10"/>
        <v>0</v>
      </c>
      <c r="O381" t="s">
        <v>695</v>
      </c>
      <c r="P381">
        <v>371</v>
      </c>
    </row>
    <row r="382" spans="2:16" x14ac:dyDescent="0.35">
      <c r="B382" s="7">
        <f t="shared" si="11"/>
        <v>372</v>
      </c>
      <c r="C382" s="3" t="s">
        <v>328</v>
      </c>
      <c r="D382" s="4" t="s">
        <v>571</v>
      </c>
      <c r="E382" s="9" t="s">
        <v>148</v>
      </c>
      <c r="F382" s="9" t="s">
        <v>190</v>
      </c>
      <c r="G382" s="14">
        <v>272</v>
      </c>
      <c r="H382" s="14">
        <v>34345000</v>
      </c>
      <c r="I382" s="14">
        <v>9</v>
      </c>
      <c r="J382" s="14">
        <v>1125000</v>
      </c>
      <c r="K382" s="14">
        <v>0</v>
      </c>
      <c r="L382" s="14">
        <v>0</v>
      </c>
      <c r="M382" s="4" t="e">
        <f>IF(F382="Tindakan",VLOOKUP(O382,#REF!,4,FALSE),IF(F382="Intensif",VLOOKUP(O382,#REF!,10,FALSE),IF(F382="Penunjang",VLOOKUP(O382,#REF!,16,FALSE),IF(F382="Visitase Berdasarkan Jumlah Pasien",VLOOKUP(O382,#REF!,22,FALSE),IF(F382="Visitase",VLOOKUP(O382,#REF!,28,FALSE),IF(F382="Rawat Jalan",VLOOKUP(O382,#REF!,34,FALSE),0))))))</f>
        <v>#REF!</v>
      </c>
      <c r="N382" s="12">
        <f t="shared" si="10"/>
        <v>0</v>
      </c>
      <c r="O382" t="s">
        <v>700</v>
      </c>
      <c r="P382">
        <v>372</v>
      </c>
    </row>
    <row r="383" spans="2:16" x14ac:dyDescent="0.35">
      <c r="B383" s="7">
        <f t="shared" si="11"/>
        <v>373</v>
      </c>
      <c r="C383" s="3" t="s">
        <v>328</v>
      </c>
      <c r="D383" s="4" t="s">
        <v>571</v>
      </c>
      <c r="E383" s="9" t="s">
        <v>148</v>
      </c>
      <c r="F383" s="9" t="s">
        <v>20</v>
      </c>
      <c r="G383" s="14">
        <v>5</v>
      </c>
      <c r="H383" s="14">
        <v>735000</v>
      </c>
      <c r="I383" s="14">
        <v>0</v>
      </c>
      <c r="J383" s="14">
        <v>0</v>
      </c>
      <c r="K383" s="14">
        <v>0</v>
      </c>
      <c r="L383" s="14">
        <v>0</v>
      </c>
      <c r="M383" s="4" t="e">
        <f>IF(F383="Tindakan",VLOOKUP(O383,#REF!,4,FALSE),IF(F383="Intensif",VLOOKUP(O383,#REF!,10,FALSE),IF(F383="Penunjang",VLOOKUP(O383,#REF!,16,FALSE),IF(F383="Visitase Berdasarkan Jumlah Pasien",VLOOKUP(O383,#REF!,22,FALSE),IF(F383="Visitase",VLOOKUP(O383,#REF!,28,FALSE),IF(F383="Rawat Jalan",VLOOKUP(O383,#REF!,34,FALSE),0))))))</f>
        <v>#REF!</v>
      </c>
      <c r="N383" s="12">
        <f t="shared" si="10"/>
        <v>0</v>
      </c>
      <c r="O383" t="s">
        <v>700</v>
      </c>
      <c r="P383">
        <v>373</v>
      </c>
    </row>
    <row r="384" spans="2:16" x14ac:dyDescent="0.35">
      <c r="B384" s="7">
        <f t="shared" si="11"/>
        <v>374</v>
      </c>
      <c r="C384" s="3" t="s">
        <v>328</v>
      </c>
      <c r="D384" s="4" t="s">
        <v>571</v>
      </c>
      <c r="E384" s="9" t="s">
        <v>148</v>
      </c>
      <c r="F384" s="9" t="s">
        <v>22</v>
      </c>
      <c r="G384" s="14">
        <v>182</v>
      </c>
      <c r="H384" s="14">
        <v>38819000</v>
      </c>
      <c r="I384" s="14">
        <v>5</v>
      </c>
      <c r="J384" s="14">
        <v>550000</v>
      </c>
      <c r="K384" s="14">
        <v>9</v>
      </c>
      <c r="L384" s="14">
        <v>2320000</v>
      </c>
      <c r="M384" s="4" t="e">
        <f>IF(F384="Tindakan",VLOOKUP(O384,#REF!,4,FALSE),IF(F384="Intensif",VLOOKUP(O384,#REF!,10,FALSE),IF(F384="Penunjang",VLOOKUP(O384,#REF!,16,FALSE),IF(F384="Visitase Berdasarkan Jumlah Pasien",VLOOKUP(O384,#REF!,22,FALSE),IF(F384="Visitase",VLOOKUP(O384,#REF!,28,FALSE),IF(F384="Rawat Jalan",VLOOKUP(O384,#REF!,34,FALSE),0))))))</f>
        <v>#REF!</v>
      </c>
      <c r="N384" s="12">
        <f t="shared" si="10"/>
        <v>0</v>
      </c>
      <c r="O384" t="s">
        <v>700</v>
      </c>
      <c r="P384">
        <v>374</v>
      </c>
    </row>
    <row r="385" spans="2:16" x14ac:dyDescent="0.35">
      <c r="B385" s="7">
        <f t="shared" si="11"/>
        <v>375</v>
      </c>
      <c r="C385" s="3" t="s">
        <v>364</v>
      </c>
      <c r="D385" s="4" t="s">
        <v>572</v>
      </c>
      <c r="E385" s="9" t="s">
        <v>178</v>
      </c>
      <c r="F385" s="9" t="s">
        <v>190</v>
      </c>
      <c r="G385" s="14">
        <v>32</v>
      </c>
      <c r="H385" s="14">
        <v>4470000</v>
      </c>
      <c r="I385" s="14">
        <v>5</v>
      </c>
      <c r="J385" s="14">
        <v>720000</v>
      </c>
      <c r="K385" s="14">
        <v>2</v>
      </c>
      <c r="L385" s="14">
        <v>360000</v>
      </c>
      <c r="M385" s="4" t="e">
        <f>IF(F385="Tindakan",VLOOKUP(O385,#REF!,4,FALSE),IF(F385="Intensif",VLOOKUP(O385,#REF!,10,FALSE),IF(F385="Penunjang",VLOOKUP(O385,#REF!,16,FALSE),IF(F385="Visitase Berdasarkan Jumlah Pasien",VLOOKUP(O385,#REF!,22,FALSE),IF(F385="Visitase",VLOOKUP(O385,#REF!,28,FALSE),IF(F385="Rawat Jalan",VLOOKUP(O385,#REF!,34,FALSE),0))))))</f>
        <v>#REF!</v>
      </c>
      <c r="N385" s="12">
        <f t="shared" si="10"/>
        <v>0</v>
      </c>
      <c r="O385" t="s">
        <v>689</v>
      </c>
      <c r="P385">
        <v>375</v>
      </c>
    </row>
    <row r="386" spans="2:16" x14ac:dyDescent="0.35">
      <c r="B386" s="7">
        <f t="shared" si="11"/>
        <v>376</v>
      </c>
      <c r="C386" s="3" t="s">
        <v>364</v>
      </c>
      <c r="D386" s="4" t="s">
        <v>572</v>
      </c>
      <c r="E386" s="9" t="s">
        <v>178</v>
      </c>
      <c r="F386" s="9" t="s">
        <v>20</v>
      </c>
      <c r="G386" s="14">
        <v>43</v>
      </c>
      <c r="H386" s="14">
        <v>4430000</v>
      </c>
      <c r="I386" s="14">
        <v>0</v>
      </c>
      <c r="J386" s="14">
        <v>0</v>
      </c>
      <c r="K386" s="14">
        <v>0</v>
      </c>
      <c r="L386" s="14">
        <v>0</v>
      </c>
      <c r="M386" s="4" t="e">
        <f>IF(F386="Tindakan",VLOOKUP(O386,#REF!,4,FALSE),IF(F386="Intensif",VLOOKUP(O386,#REF!,10,FALSE),IF(F386="Penunjang",VLOOKUP(O386,#REF!,16,FALSE),IF(F386="Visitase Berdasarkan Jumlah Pasien",VLOOKUP(O386,#REF!,22,FALSE),IF(F386="Visitase",VLOOKUP(O386,#REF!,28,FALSE),IF(F386="Rawat Jalan",VLOOKUP(O386,#REF!,34,FALSE),0))))))</f>
        <v>#REF!</v>
      </c>
      <c r="N386" s="12">
        <f t="shared" si="10"/>
        <v>0</v>
      </c>
      <c r="O386" t="s">
        <v>689</v>
      </c>
      <c r="P386">
        <v>376</v>
      </c>
    </row>
    <row r="387" spans="2:16" x14ac:dyDescent="0.35">
      <c r="B387" s="7">
        <f t="shared" si="11"/>
        <v>377</v>
      </c>
      <c r="C387" s="3" t="s">
        <v>364</v>
      </c>
      <c r="D387" s="4" t="s">
        <v>572</v>
      </c>
      <c r="E387" s="9" t="s">
        <v>178</v>
      </c>
      <c r="F387" s="9" t="s">
        <v>22</v>
      </c>
      <c r="G387" s="14">
        <v>367</v>
      </c>
      <c r="H387" s="14">
        <v>88190000</v>
      </c>
      <c r="I387" s="14">
        <v>8</v>
      </c>
      <c r="J387" s="14">
        <v>670000</v>
      </c>
      <c r="K387" s="14">
        <v>20</v>
      </c>
      <c r="L387" s="14">
        <v>3350000</v>
      </c>
      <c r="M387" s="4" t="e">
        <f>IF(F387="Tindakan",VLOOKUP(O387,#REF!,4,FALSE),IF(F387="Intensif",VLOOKUP(O387,#REF!,10,FALSE),IF(F387="Penunjang",VLOOKUP(O387,#REF!,16,FALSE),IF(F387="Visitase Berdasarkan Jumlah Pasien",VLOOKUP(O387,#REF!,22,FALSE),IF(F387="Visitase",VLOOKUP(O387,#REF!,28,FALSE),IF(F387="Rawat Jalan",VLOOKUP(O387,#REF!,34,FALSE),0))))))</f>
        <v>#REF!</v>
      </c>
      <c r="N387" s="12">
        <f t="shared" si="10"/>
        <v>0</v>
      </c>
      <c r="O387" t="s">
        <v>689</v>
      </c>
      <c r="P387">
        <v>377</v>
      </c>
    </row>
    <row r="388" spans="2:16" x14ac:dyDescent="0.35">
      <c r="B388" s="7">
        <f t="shared" si="11"/>
        <v>378</v>
      </c>
      <c r="C388" s="3" t="s">
        <v>196</v>
      </c>
      <c r="D388" s="4" t="s">
        <v>573</v>
      </c>
      <c r="E388" s="9" t="s">
        <v>146</v>
      </c>
      <c r="F388" s="9" t="s">
        <v>190</v>
      </c>
      <c r="G388" s="14">
        <v>103</v>
      </c>
      <c r="H388" s="14">
        <v>12875000</v>
      </c>
      <c r="I388" s="14">
        <v>0</v>
      </c>
      <c r="J388" s="14">
        <v>0</v>
      </c>
      <c r="K388" s="14">
        <v>0</v>
      </c>
      <c r="L388" s="14">
        <v>0</v>
      </c>
      <c r="M388" s="4" t="e">
        <f>IF(F388="Tindakan",VLOOKUP(O388,#REF!,4,FALSE),IF(F388="Intensif",VLOOKUP(O388,#REF!,10,FALSE),IF(F388="Penunjang",VLOOKUP(O388,#REF!,16,FALSE),IF(F388="Visitase Berdasarkan Jumlah Pasien",VLOOKUP(O388,#REF!,22,FALSE),IF(F388="Visitase",VLOOKUP(O388,#REF!,28,FALSE),IF(F388="Rawat Jalan",VLOOKUP(O388,#REF!,34,FALSE),0))))))</f>
        <v>#REF!</v>
      </c>
      <c r="N388" s="12">
        <f t="shared" si="10"/>
        <v>0</v>
      </c>
      <c r="O388" t="s">
        <v>696</v>
      </c>
      <c r="P388">
        <v>378</v>
      </c>
    </row>
    <row r="389" spans="2:16" x14ac:dyDescent="0.35">
      <c r="B389" s="7">
        <f t="shared" si="11"/>
        <v>379</v>
      </c>
      <c r="C389" s="3" t="s">
        <v>196</v>
      </c>
      <c r="D389" s="4" t="s">
        <v>573</v>
      </c>
      <c r="E389" s="9" t="s">
        <v>146</v>
      </c>
      <c r="F389" s="9" t="s">
        <v>22</v>
      </c>
      <c r="G389" s="14">
        <v>84</v>
      </c>
      <c r="H389" s="14">
        <v>6422000</v>
      </c>
      <c r="I389" s="14">
        <v>2</v>
      </c>
      <c r="J389" s="14">
        <v>150000</v>
      </c>
      <c r="K389" s="14">
        <v>0</v>
      </c>
      <c r="L389" s="14">
        <v>0</v>
      </c>
      <c r="M389" s="4" t="e">
        <f>IF(F389="Tindakan",VLOOKUP(O389,#REF!,4,FALSE),IF(F389="Intensif",VLOOKUP(O389,#REF!,10,FALSE),IF(F389="Penunjang",VLOOKUP(O389,#REF!,16,FALSE),IF(F389="Visitase Berdasarkan Jumlah Pasien",VLOOKUP(O389,#REF!,22,FALSE),IF(F389="Visitase",VLOOKUP(O389,#REF!,28,FALSE),IF(F389="Rawat Jalan",VLOOKUP(O389,#REF!,34,FALSE),0))))))</f>
        <v>#REF!</v>
      </c>
      <c r="N389" s="12">
        <f t="shared" si="10"/>
        <v>0</v>
      </c>
      <c r="O389" t="s">
        <v>696</v>
      </c>
      <c r="P389">
        <v>379</v>
      </c>
    </row>
    <row r="390" spans="2:16" x14ac:dyDescent="0.35">
      <c r="B390" s="7">
        <f t="shared" si="11"/>
        <v>380</v>
      </c>
      <c r="C390" s="3" t="s">
        <v>193</v>
      </c>
      <c r="D390" s="4" t="s">
        <v>574</v>
      </c>
      <c r="E390" s="9" t="s">
        <v>164</v>
      </c>
      <c r="F390" s="9" t="s">
        <v>190</v>
      </c>
      <c r="G390" s="14">
        <v>4</v>
      </c>
      <c r="H390" s="14">
        <v>500000</v>
      </c>
      <c r="I390" s="14">
        <v>0</v>
      </c>
      <c r="J390" s="14">
        <v>0</v>
      </c>
      <c r="K390" s="14">
        <v>0</v>
      </c>
      <c r="L390" s="14">
        <v>0</v>
      </c>
      <c r="M390" s="4" t="e">
        <f>IF(F390="Tindakan",VLOOKUP(O390,#REF!,4,FALSE),IF(F390="Intensif",VLOOKUP(O390,#REF!,10,FALSE),IF(F390="Penunjang",VLOOKUP(O390,#REF!,16,FALSE),IF(F390="Visitase Berdasarkan Jumlah Pasien",VLOOKUP(O390,#REF!,22,FALSE),IF(F390="Visitase",VLOOKUP(O390,#REF!,28,FALSE),IF(F390="Rawat Jalan",VLOOKUP(O390,#REF!,34,FALSE),0))))))</f>
        <v>#REF!</v>
      </c>
      <c r="N390" s="12">
        <f t="shared" si="10"/>
        <v>0</v>
      </c>
      <c r="O390" t="s">
        <v>693</v>
      </c>
      <c r="P390">
        <v>380</v>
      </c>
    </row>
    <row r="391" spans="2:16" x14ac:dyDescent="0.35">
      <c r="B391" s="7">
        <f t="shared" si="11"/>
        <v>381</v>
      </c>
      <c r="C391" s="3" t="s">
        <v>193</v>
      </c>
      <c r="D391" s="4" t="s">
        <v>574</v>
      </c>
      <c r="E391" s="9" t="s">
        <v>164</v>
      </c>
      <c r="F391" s="9" t="s">
        <v>19</v>
      </c>
      <c r="G391" s="14">
        <v>2</v>
      </c>
      <c r="H391" s="14">
        <v>26500000</v>
      </c>
      <c r="I391" s="14">
        <v>0</v>
      </c>
      <c r="J391" s="14">
        <v>0</v>
      </c>
      <c r="K391" s="14">
        <v>0</v>
      </c>
      <c r="L391" s="14">
        <v>0</v>
      </c>
      <c r="M391" s="4" t="e">
        <f>IF(F391="Tindakan",VLOOKUP(O391,#REF!,4,FALSE),IF(F391="Intensif",VLOOKUP(O391,#REF!,10,FALSE),IF(F391="Penunjang",VLOOKUP(O391,#REF!,16,FALSE),IF(F391="Visitase Berdasarkan Jumlah Pasien",VLOOKUP(O391,#REF!,22,FALSE),IF(F391="Visitase",VLOOKUP(O391,#REF!,28,FALSE),IF(F391="Rawat Jalan",VLOOKUP(O391,#REF!,34,FALSE),0))))))</f>
        <v>#REF!</v>
      </c>
      <c r="N391" s="12">
        <f t="shared" si="10"/>
        <v>0</v>
      </c>
      <c r="O391" t="s">
        <v>693</v>
      </c>
      <c r="P391">
        <v>381</v>
      </c>
    </row>
    <row r="392" spans="2:16" x14ac:dyDescent="0.35">
      <c r="B392" s="7">
        <f t="shared" si="11"/>
        <v>382</v>
      </c>
      <c r="C392" s="3" t="s">
        <v>383</v>
      </c>
      <c r="D392" s="4" t="s">
        <v>575</v>
      </c>
      <c r="E392" s="9" t="s">
        <v>158</v>
      </c>
      <c r="F392" s="9" t="s">
        <v>22</v>
      </c>
      <c r="G392" s="14">
        <v>8</v>
      </c>
      <c r="H392" s="14">
        <v>795000</v>
      </c>
      <c r="I392" s="14">
        <v>1</v>
      </c>
      <c r="J392" s="14">
        <v>75000</v>
      </c>
      <c r="K392" s="14">
        <v>0</v>
      </c>
      <c r="L392" s="14">
        <v>0</v>
      </c>
      <c r="M392" s="4" t="e">
        <f>IF(F392="Tindakan",VLOOKUP(O392,#REF!,4,FALSE),IF(F392="Intensif",VLOOKUP(O392,#REF!,10,FALSE),IF(F392="Penunjang",VLOOKUP(O392,#REF!,16,FALSE),IF(F392="Visitase Berdasarkan Jumlah Pasien",VLOOKUP(O392,#REF!,22,FALSE),IF(F392="Visitase",VLOOKUP(O392,#REF!,28,FALSE),IF(F392="Rawat Jalan",VLOOKUP(O392,#REF!,34,FALSE),0))))))</f>
        <v>#REF!</v>
      </c>
      <c r="N392" s="12">
        <f t="shared" si="10"/>
        <v>0</v>
      </c>
      <c r="O392" t="s">
        <v>699</v>
      </c>
      <c r="P392">
        <v>382</v>
      </c>
    </row>
    <row r="393" spans="2:16" x14ac:dyDescent="0.35">
      <c r="B393" s="7">
        <f t="shared" si="11"/>
        <v>383</v>
      </c>
      <c r="C393" s="3" t="s">
        <v>194</v>
      </c>
      <c r="D393" s="4" t="s">
        <v>576</v>
      </c>
      <c r="E393" s="9" t="s">
        <v>164</v>
      </c>
      <c r="F393" s="9" t="s">
        <v>190</v>
      </c>
      <c r="G393" s="14">
        <v>8</v>
      </c>
      <c r="H393" s="14">
        <v>1035000</v>
      </c>
      <c r="I393" s="14">
        <v>0</v>
      </c>
      <c r="J393" s="14">
        <v>0</v>
      </c>
      <c r="K393" s="14">
        <v>0</v>
      </c>
      <c r="L393" s="14">
        <v>0</v>
      </c>
      <c r="M393" s="4" t="e">
        <f>IF(F393="Tindakan",VLOOKUP(O393,#REF!,4,FALSE),IF(F393="Intensif",VLOOKUP(O393,#REF!,10,FALSE),IF(F393="Penunjang",VLOOKUP(O393,#REF!,16,FALSE),IF(F393="Visitase Berdasarkan Jumlah Pasien",VLOOKUP(O393,#REF!,22,FALSE),IF(F393="Visitase",VLOOKUP(O393,#REF!,28,FALSE),IF(F393="Rawat Jalan",VLOOKUP(O393,#REF!,34,FALSE),0))))))</f>
        <v>#REF!</v>
      </c>
      <c r="N393" s="12">
        <f t="shared" si="10"/>
        <v>0</v>
      </c>
      <c r="O393" t="s">
        <v>693</v>
      </c>
      <c r="P393">
        <v>383</v>
      </c>
    </row>
    <row r="394" spans="2:16" x14ac:dyDescent="0.35">
      <c r="B394" s="7">
        <f t="shared" si="11"/>
        <v>384</v>
      </c>
      <c r="C394" s="3" t="s">
        <v>194</v>
      </c>
      <c r="D394" s="4" t="s">
        <v>576</v>
      </c>
      <c r="E394" s="9" t="s">
        <v>164</v>
      </c>
      <c r="F394" s="9" t="s">
        <v>20</v>
      </c>
      <c r="G394" s="14">
        <v>1</v>
      </c>
      <c r="H394" s="14">
        <v>175000</v>
      </c>
      <c r="I394" s="14">
        <v>0</v>
      </c>
      <c r="J394" s="14">
        <v>0</v>
      </c>
      <c r="K394" s="14">
        <v>0</v>
      </c>
      <c r="L394" s="14">
        <v>0</v>
      </c>
      <c r="M394" s="4" t="e">
        <f>IF(F394="Tindakan",VLOOKUP(O394,#REF!,4,FALSE),IF(F394="Intensif",VLOOKUP(O394,#REF!,10,FALSE),IF(F394="Penunjang",VLOOKUP(O394,#REF!,16,FALSE),IF(F394="Visitase Berdasarkan Jumlah Pasien",VLOOKUP(O394,#REF!,22,FALSE),IF(F394="Visitase",VLOOKUP(O394,#REF!,28,FALSE),IF(F394="Rawat Jalan",VLOOKUP(O394,#REF!,34,FALSE),0))))))</f>
        <v>#REF!</v>
      </c>
      <c r="N394" s="12">
        <f t="shared" si="10"/>
        <v>0</v>
      </c>
      <c r="O394" t="s">
        <v>693</v>
      </c>
      <c r="P394">
        <v>384</v>
      </c>
    </row>
    <row r="395" spans="2:16" x14ac:dyDescent="0.35">
      <c r="B395" s="7">
        <f t="shared" si="11"/>
        <v>385</v>
      </c>
      <c r="C395" s="3" t="s">
        <v>194</v>
      </c>
      <c r="D395" s="4" t="s">
        <v>576</v>
      </c>
      <c r="E395" s="9" t="s">
        <v>164</v>
      </c>
      <c r="F395" s="9" t="s">
        <v>19</v>
      </c>
      <c r="G395" s="14">
        <v>2</v>
      </c>
      <c r="H395" s="14">
        <v>32500000</v>
      </c>
      <c r="I395" s="14">
        <v>0</v>
      </c>
      <c r="J395" s="14">
        <v>0</v>
      </c>
      <c r="K395" s="14">
        <v>0</v>
      </c>
      <c r="L395" s="14">
        <v>0</v>
      </c>
      <c r="M395" s="4" t="e">
        <f>IF(F395="Tindakan",VLOOKUP(O395,#REF!,4,FALSE),IF(F395="Intensif",VLOOKUP(O395,#REF!,10,FALSE),IF(F395="Penunjang",VLOOKUP(O395,#REF!,16,FALSE),IF(F395="Visitase Berdasarkan Jumlah Pasien",VLOOKUP(O395,#REF!,22,FALSE),IF(F395="Visitase",VLOOKUP(O395,#REF!,28,FALSE),IF(F395="Rawat Jalan",VLOOKUP(O395,#REF!,34,FALSE),0))))))</f>
        <v>#REF!</v>
      </c>
      <c r="N395" s="12">
        <f t="shared" si="10"/>
        <v>0</v>
      </c>
      <c r="O395" t="s">
        <v>693</v>
      </c>
      <c r="P395">
        <v>385</v>
      </c>
    </row>
    <row r="396" spans="2:16" x14ac:dyDescent="0.35">
      <c r="B396" s="7">
        <f t="shared" si="11"/>
        <v>386</v>
      </c>
      <c r="C396" s="3" t="s">
        <v>194</v>
      </c>
      <c r="D396" s="4" t="s">
        <v>576</v>
      </c>
      <c r="E396" s="9" t="s">
        <v>164</v>
      </c>
      <c r="F396" s="9" t="s">
        <v>22</v>
      </c>
      <c r="G396" s="14">
        <v>27</v>
      </c>
      <c r="H396" s="14">
        <v>2025000</v>
      </c>
      <c r="I396" s="14">
        <v>1</v>
      </c>
      <c r="J396" s="14">
        <v>75000</v>
      </c>
      <c r="K396" s="14">
        <v>0</v>
      </c>
      <c r="L396" s="14">
        <v>0</v>
      </c>
      <c r="M396" s="4" t="e">
        <f>IF(F396="Tindakan",VLOOKUP(O396,#REF!,4,FALSE),IF(F396="Intensif",VLOOKUP(O396,#REF!,10,FALSE),IF(F396="Penunjang",VLOOKUP(O396,#REF!,16,FALSE),IF(F396="Visitase Berdasarkan Jumlah Pasien",VLOOKUP(O396,#REF!,22,FALSE),IF(F396="Visitase",VLOOKUP(O396,#REF!,28,FALSE),IF(F396="Rawat Jalan",VLOOKUP(O396,#REF!,34,FALSE),0))))))</f>
        <v>#REF!</v>
      </c>
      <c r="N396" s="12">
        <f t="shared" ref="N396:N459" si="12">IFERROR((G396/M396)*100%, 0)</f>
        <v>0</v>
      </c>
      <c r="O396" t="s">
        <v>693</v>
      </c>
      <c r="P396">
        <v>386</v>
      </c>
    </row>
    <row r="397" spans="2:16" x14ac:dyDescent="0.35">
      <c r="B397" s="7">
        <f t="shared" ref="B397:B460" si="13">B396+1</f>
        <v>387</v>
      </c>
      <c r="C397" s="3" t="s">
        <v>229</v>
      </c>
      <c r="D397" s="4" t="s">
        <v>577</v>
      </c>
      <c r="E397" s="9" t="s">
        <v>185</v>
      </c>
      <c r="F397" s="9" t="s">
        <v>190</v>
      </c>
      <c r="G397" s="14">
        <v>57</v>
      </c>
      <c r="H397" s="14">
        <v>7160000</v>
      </c>
      <c r="I397" s="14">
        <v>0</v>
      </c>
      <c r="J397" s="14">
        <v>0</v>
      </c>
      <c r="K397" s="14">
        <v>2</v>
      </c>
      <c r="L397" s="14">
        <v>250000</v>
      </c>
      <c r="M397" s="4" t="e">
        <f>IF(F397="Tindakan",VLOOKUP(O397,#REF!,4,FALSE),IF(F397="Intensif",VLOOKUP(O397,#REF!,10,FALSE),IF(F397="Penunjang",VLOOKUP(O397,#REF!,16,FALSE),IF(F397="Visitase Berdasarkan Jumlah Pasien",VLOOKUP(O397,#REF!,22,FALSE),IF(F397="Visitase",VLOOKUP(O397,#REF!,28,FALSE),IF(F397="Rawat Jalan",VLOOKUP(O397,#REF!,34,FALSE),0))))))</f>
        <v>#REF!</v>
      </c>
      <c r="N397" s="12">
        <f t="shared" si="12"/>
        <v>0</v>
      </c>
      <c r="O397" t="s">
        <v>688</v>
      </c>
      <c r="P397">
        <v>387</v>
      </c>
    </row>
    <row r="398" spans="2:16" x14ac:dyDescent="0.35">
      <c r="B398" s="7">
        <f t="shared" si="13"/>
        <v>388</v>
      </c>
      <c r="C398" s="3" t="s">
        <v>229</v>
      </c>
      <c r="D398" s="4" t="s">
        <v>577</v>
      </c>
      <c r="E398" s="9" t="s">
        <v>185</v>
      </c>
      <c r="F398" s="9" t="s">
        <v>22</v>
      </c>
      <c r="G398" s="14">
        <v>224</v>
      </c>
      <c r="H398" s="14">
        <v>24837000</v>
      </c>
      <c r="I398" s="14">
        <v>1</v>
      </c>
      <c r="J398" s="14">
        <v>75000</v>
      </c>
      <c r="K398" s="14">
        <v>36</v>
      </c>
      <c r="L398" s="14">
        <v>9850000</v>
      </c>
      <c r="M398" s="4" t="e">
        <f>IF(F398="Tindakan",VLOOKUP(O398,#REF!,4,FALSE),IF(F398="Intensif",VLOOKUP(O398,#REF!,10,FALSE),IF(F398="Penunjang",VLOOKUP(O398,#REF!,16,FALSE),IF(F398="Visitase Berdasarkan Jumlah Pasien",VLOOKUP(O398,#REF!,22,FALSE),IF(F398="Visitase",VLOOKUP(O398,#REF!,28,FALSE),IF(F398="Rawat Jalan",VLOOKUP(O398,#REF!,34,FALSE),0))))))</f>
        <v>#REF!</v>
      </c>
      <c r="N398" s="12">
        <f t="shared" si="12"/>
        <v>0</v>
      </c>
      <c r="O398" t="s">
        <v>688</v>
      </c>
      <c r="P398">
        <v>388</v>
      </c>
    </row>
    <row r="399" spans="2:16" x14ac:dyDescent="0.35">
      <c r="B399" s="7">
        <f t="shared" si="13"/>
        <v>389</v>
      </c>
      <c r="C399" s="3" t="s">
        <v>229</v>
      </c>
      <c r="D399" s="4" t="s">
        <v>577</v>
      </c>
      <c r="E399" s="9" t="s">
        <v>185</v>
      </c>
      <c r="F399" s="9" t="s">
        <v>19</v>
      </c>
      <c r="G399" s="14">
        <v>15</v>
      </c>
      <c r="H399" s="14">
        <v>138250000</v>
      </c>
      <c r="I399" s="14">
        <v>0</v>
      </c>
      <c r="J399" s="14">
        <v>0</v>
      </c>
      <c r="K399" s="14">
        <v>2</v>
      </c>
      <c r="L399" s="14">
        <v>48190000</v>
      </c>
      <c r="M399" s="4" t="e">
        <f>IF(F399="Tindakan",VLOOKUP(O399,#REF!,4,FALSE),IF(F399="Intensif",VLOOKUP(O399,#REF!,10,FALSE),IF(F399="Penunjang",VLOOKUP(O399,#REF!,16,FALSE),IF(F399="Visitase Berdasarkan Jumlah Pasien",VLOOKUP(O399,#REF!,22,FALSE),IF(F399="Visitase",VLOOKUP(O399,#REF!,28,FALSE),IF(F399="Rawat Jalan",VLOOKUP(O399,#REF!,34,FALSE),0))))))</f>
        <v>#REF!</v>
      </c>
      <c r="N399" s="12">
        <f t="shared" si="12"/>
        <v>0</v>
      </c>
      <c r="O399" t="s">
        <v>688</v>
      </c>
      <c r="P399">
        <v>389</v>
      </c>
    </row>
    <row r="400" spans="2:16" x14ac:dyDescent="0.35">
      <c r="B400" s="7">
        <f t="shared" si="13"/>
        <v>390</v>
      </c>
      <c r="C400" s="3" t="s">
        <v>237</v>
      </c>
      <c r="D400" s="4" t="s">
        <v>578</v>
      </c>
      <c r="E400" s="9" t="s">
        <v>147</v>
      </c>
      <c r="F400" s="9" t="s">
        <v>190</v>
      </c>
      <c r="G400" s="14">
        <v>34</v>
      </c>
      <c r="H400" s="14">
        <v>4525000</v>
      </c>
      <c r="I400" s="14">
        <v>0</v>
      </c>
      <c r="J400" s="14">
        <v>0</v>
      </c>
      <c r="K400" s="14">
        <v>0</v>
      </c>
      <c r="L400" s="14">
        <v>0</v>
      </c>
      <c r="M400" s="4" t="e">
        <f>IF(F400="Tindakan",VLOOKUP(O400,#REF!,4,FALSE),IF(F400="Intensif",VLOOKUP(O400,#REF!,10,FALSE),IF(F400="Penunjang",VLOOKUP(O400,#REF!,16,FALSE),IF(F400="Visitase Berdasarkan Jumlah Pasien",VLOOKUP(O400,#REF!,22,FALSE),IF(F400="Visitase",VLOOKUP(O400,#REF!,28,FALSE),IF(F400="Rawat Jalan",VLOOKUP(O400,#REF!,34,FALSE),0))))))</f>
        <v>#REF!</v>
      </c>
      <c r="N400" s="12">
        <f t="shared" si="12"/>
        <v>0</v>
      </c>
      <c r="O400" t="s">
        <v>691</v>
      </c>
      <c r="P400">
        <v>390</v>
      </c>
    </row>
    <row r="401" spans="2:16" x14ac:dyDescent="0.35">
      <c r="B401" s="7">
        <f t="shared" si="13"/>
        <v>391</v>
      </c>
      <c r="C401" s="3" t="s">
        <v>237</v>
      </c>
      <c r="D401" s="4" t="s">
        <v>578</v>
      </c>
      <c r="E401" s="9" t="s">
        <v>147</v>
      </c>
      <c r="F401" s="9" t="s">
        <v>20</v>
      </c>
      <c r="G401" s="14">
        <v>4</v>
      </c>
      <c r="H401" s="14">
        <v>640000</v>
      </c>
      <c r="I401" s="14">
        <v>0</v>
      </c>
      <c r="J401" s="14">
        <v>0</v>
      </c>
      <c r="K401" s="14">
        <v>0</v>
      </c>
      <c r="L401" s="14">
        <v>0</v>
      </c>
      <c r="M401" s="4" t="e">
        <f>IF(F401="Tindakan",VLOOKUP(O401,#REF!,4,FALSE),IF(F401="Intensif",VLOOKUP(O401,#REF!,10,FALSE),IF(F401="Penunjang",VLOOKUP(O401,#REF!,16,FALSE),IF(F401="Visitase Berdasarkan Jumlah Pasien",VLOOKUP(O401,#REF!,22,FALSE),IF(F401="Visitase",VLOOKUP(O401,#REF!,28,FALSE),IF(F401="Rawat Jalan",VLOOKUP(O401,#REF!,34,FALSE),0))))))</f>
        <v>#REF!</v>
      </c>
      <c r="N401" s="12">
        <f t="shared" si="12"/>
        <v>0</v>
      </c>
      <c r="O401" t="s">
        <v>691</v>
      </c>
      <c r="P401">
        <v>391</v>
      </c>
    </row>
    <row r="402" spans="2:16" x14ac:dyDescent="0.35">
      <c r="B402" s="7">
        <f t="shared" si="13"/>
        <v>392</v>
      </c>
      <c r="C402" s="3" t="s">
        <v>237</v>
      </c>
      <c r="D402" s="4" t="s">
        <v>578</v>
      </c>
      <c r="E402" s="9" t="s">
        <v>147</v>
      </c>
      <c r="F402" s="9" t="s">
        <v>19</v>
      </c>
      <c r="G402" s="14">
        <v>31</v>
      </c>
      <c r="H402" s="14">
        <v>162311000</v>
      </c>
      <c r="I402" s="14">
        <v>0</v>
      </c>
      <c r="J402" s="14">
        <v>0</v>
      </c>
      <c r="K402" s="14">
        <v>0</v>
      </c>
      <c r="L402" s="14">
        <v>0</v>
      </c>
      <c r="M402" s="4" t="e">
        <f>IF(F402="Tindakan",VLOOKUP(O402,#REF!,4,FALSE),IF(F402="Intensif",VLOOKUP(O402,#REF!,10,FALSE),IF(F402="Penunjang",VLOOKUP(O402,#REF!,16,FALSE),IF(F402="Visitase Berdasarkan Jumlah Pasien",VLOOKUP(O402,#REF!,22,FALSE),IF(F402="Visitase",VLOOKUP(O402,#REF!,28,FALSE),IF(F402="Rawat Jalan",VLOOKUP(O402,#REF!,34,FALSE),0))))))</f>
        <v>#REF!</v>
      </c>
      <c r="N402" s="12">
        <f t="shared" si="12"/>
        <v>0</v>
      </c>
      <c r="O402" t="s">
        <v>691</v>
      </c>
      <c r="P402">
        <v>392</v>
      </c>
    </row>
    <row r="403" spans="2:16" x14ac:dyDescent="0.35">
      <c r="B403" s="7">
        <f t="shared" si="13"/>
        <v>393</v>
      </c>
      <c r="C403" s="3" t="s">
        <v>237</v>
      </c>
      <c r="D403" s="4" t="s">
        <v>578</v>
      </c>
      <c r="E403" s="9" t="s">
        <v>147</v>
      </c>
      <c r="F403" s="9" t="s">
        <v>22</v>
      </c>
      <c r="G403" s="14">
        <v>67</v>
      </c>
      <c r="H403" s="14">
        <v>5532000</v>
      </c>
      <c r="I403" s="14">
        <v>0</v>
      </c>
      <c r="J403" s="14">
        <v>0</v>
      </c>
      <c r="K403" s="14">
        <v>4</v>
      </c>
      <c r="L403" s="14">
        <v>1199000</v>
      </c>
      <c r="M403" s="4" t="e">
        <f>IF(F403="Tindakan",VLOOKUP(O403,#REF!,4,FALSE),IF(F403="Intensif",VLOOKUP(O403,#REF!,10,FALSE),IF(F403="Penunjang",VLOOKUP(O403,#REF!,16,FALSE),IF(F403="Visitase Berdasarkan Jumlah Pasien",VLOOKUP(O403,#REF!,22,FALSE),IF(F403="Visitase",VLOOKUP(O403,#REF!,28,FALSE),IF(F403="Rawat Jalan",VLOOKUP(O403,#REF!,34,FALSE),0))))))</f>
        <v>#REF!</v>
      </c>
      <c r="N403" s="12">
        <f t="shared" si="12"/>
        <v>0</v>
      </c>
      <c r="O403" t="s">
        <v>691</v>
      </c>
      <c r="P403">
        <v>393</v>
      </c>
    </row>
    <row r="404" spans="2:16" x14ac:dyDescent="0.35">
      <c r="B404" s="7">
        <f t="shared" si="13"/>
        <v>394</v>
      </c>
      <c r="C404" s="3" t="s">
        <v>421</v>
      </c>
      <c r="D404" s="4" t="s">
        <v>579</v>
      </c>
      <c r="E404" s="9" t="s">
        <v>151</v>
      </c>
      <c r="F404" s="9" t="s">
        <v>20</v>
      </c>
      <c r="G404" s="14">
        <v>5</v>
      </c>
      <c r="H404" s="14">
        <v>3001500</v>
      </c>
      <c r="I404" s="14">
        <v>8</v>
      </c>
      <c r="J404" s="14">
        <v>6526500</v>
      </c>
      <c r="K404" s="14">
        <v>0</v>
      </c>
      <c r="L404" s="14">
        <v>0</v>
      </c>
      <c r="M404" s="4" t="e">
        <f>IF(F404="Tindakan",VLOOKUP(O404,#REF!,4,FALSE),IF(F404="Intensif",VLOOKUP(O404,#REF!,10,FALSE),IF(F404="Penunjang",VLOOKUP(O404,#REF!,16,FALSE),IF(F404="Visitase Berdasarkan Jumlah Pasien",VLOOKUP(O404,#REF!,22,FALSE),IF(F404="Visitase",VLOOKUP(O404,#REF!,28,FALSE),IF(F404="Rawat Jalan",VLOOKUP(O404,#REF!,34,FALSE),0))))))</f>
        <v>#REF!</v>
      </c>
      <c r="N404" s="12">
        <f t="shared" si="12"/>
        <v>0</v>
      </c>
      <c r="O404" t="s">
        <v>690</v>
      </c>
      <c r="P404">
        <v>394</v>
      </c>
    </row>
    <row r="405" spans="2:16" x14ac:dyDescent="0.35">
      <c r="B405" s="7">
        <f t="shared" si="13"/>
        <v>395</v>
      </c>
      <c r="C405" s="3" t="s">
        <v>421</v>
      </c>
      <c r="D405" s="4" t="s">
        <v>579</v>
      </c>
      <c r="E405" s="9" t="s">
        <v>151</v>
      </c>
      <c r="F405" s="9" t="s">
        <v>190</v>
      </c>
      <c r="G405" s="14">
        <v>1</v>
      </c>
      <c r="H405" s="14">
        <v>125000</v>
      </c>
      <c r="I405" s="14">
        <v>1</v>
      </c>
      <c r="J405" s="14">
        <v>125000</v>
      </c>
      <c r="K405" s="14">
        <v>0</v>
      </c>
      <c r="L405" s="14">
        <v>0</v>
      </c>
      <c r="M405" s="4" t="e">
        <f>IF(F405="Tindakan",VLOOKUP(O405,#REF!,4,FALSE),IF(F405="Intensif",VLOOKUP(O405,#REF!,10,FALSE),IF(F405="Penunjang",VLOOKUP(O405,#REF!,16,FALSE),IF(F405="Visitase Berdasarkan Jumlah Pasien",VLOOKUP(O405,#REF!,22,FALSE),IF(F405="Visitase",VLOOKUP(O405,#REF!,28,FALSE),IF(F405="Rawat Jalan",VLOOKUP(O405,#REF!,34,FALSE),0))))))</f>
        <v>#REF!</v>
      </c>
      <c r="N405" s="12">
        <f t="shared" si="12"/>
        <v>0</v>
      </c>
      <c r="O405" t="s">
        <v>690</v>
      </c>
      <c r="P405">
        <v>395</v>
      </c>
    </row>
    <row r="406" spans="2:16" x14ac:dyDescent="0.35">
      <c r="B406" s="7">
        <f t="shared" si="13"/>
        <v>396</v>
      </c>
      <c r="C406" s="3" t="s">
        <v>421</v>
      </c>
      <c r="D406" s="4" t="s">
        <v>579</v>
      </c>
      <c r="E406" s="9" t="s">
        <v>151</v>
      </c>
      <c r="F406" s="9" t="s">
        <v>22</v>
      </c>
      <c r="G406" s="14">
        <v>52</v>
      </c>
      <c r="H406" s="14">
        <v>253936500</v>
      </c>
      <c r="I406" s="14">
        <v>4</v>
      </c>
      <c r="J406" s="14">
        <v>399000</v>
      </c>
      <c r="K406" s="14">
        <v>1</v>
      </c>
      <c r="L406" s="14">
        <v>250000</v>
      </c>
      <c r="M406" s="4" t="e">
        <f>IF(F406="Tindakan",VLOOKUP(O406,#REF!,4,FALSE),IF(F406="Intensif",VLOOKUP(O406,#REF!,10,FALSE),IF(F406="Penunjang",VLOOKUP(O406,#REF!,16,FALSE),IF(F406="Visitase Berdasarkan Jumlah Pasien",VLOOKUP(O406,#REF!,22,FALSE),IF(F406="Visitase",VLOOKUP(O406,#REF!,28,FALSE),IF(F406="Rawat Jalan",VLOOKUP(O406,#REF!,34,FALSE),0))))))</f>
        <v>#REF!</v>
      </c>
      <c r="N406" s="12">
        <f t="shared" si="12"/>
        <v>0</v>
      </c>
      <c r="O406" t="s">
        <v>690</v>
      </c>
      <c r="P406">
        <v>396</v>
      </c>
    </row>
    <row r="407" spans="2:16" x14ac:dyDescent="0.35">
      <c r="B407" s="7">
        <f t="shared" si="13"/>
        <v>397</v>
      </c>
      <c r="C407" s="3" t="s">
        <v>421</v>
      </c>
      <c r="D407" s="4" t="s">
        <v>579</v>
      </c>
      <c r="E407" s="9" t="s">
        <v>151</v>
      </c>
      <c r="F407" s="9" t="s">
        <v>19</v>
      </c>
      <c r="G407" s="14">
        <v>21</v>
      </c>
      <c r="H407" s="14">
        <v>163907500</v>
      </c>
      <c r="I407" s="14">
        <v>0</v>
      </c>
      <c r="J407" s="14">
        <v>0</v>
      </c>
      <c r="K407" s="14">
        <v>1</v>
      </c>
      <c r="L407" s="14">
        <v>24960000</v>
      </c>
      <c r="M407" s="4" t="e">
        <f>IF(F407="Tindakan",VLOOKUP(O407,#REF!,4,FALSE),IF(F407="Intensif",VLOOKUP(O407,#REF!,10,FALSE),IF(F407="Penunjang",VLOOKUP(O407,#REF!,16,FALSE),IF(F407="Visitase Berdasarkan Jumlah Pasien",VLOOKUP(O407,#REF!,22,FALSE),IF(F407="Visitase",VLOOKUP(O407,#REF!,28,FALSE),IF(F407="Rawat Jalan",VLOOKUP(O407,#REF!,34,FALSE),0))))))</f>
        <v>#REF!</v>
      </c>
      <c r="N407" s="12">
        <f t="shared" si="12"/>
        <v>0</v>
      </c>
      <c r="O407" t="s">
        <v>690</v>
      </c>
      <c r="P407">
        <v>397</v>
      </c>
    </row>
    <row r="408" spans="2:16" x14ac:dyDescent="0.35">
      <c r="B408" s="7">
        <f t="shared" si="13"/>
        <v>398</v>
      </c>
      <c r="C408" s="3" t="s">
        <v>421</v>
      </c>
      <c r="D408" s="4" t="s">
        <v>579</v>
      </c>
      <c r="E408" s="9" t="s">
        <v>151</v>
      </c>
      <c r="F408" s="9" t="s">
        <v>21</v>
      </c>
      <c r="G408" s="14">
        <v>3</v>
      </c>
      <c r="H408" s="14">
        <v>4498000</v>
      </c>
      <c r="I408" s="14">
        <v>0</v>
      </c>
      <c r="J408" s="14">
        <v>0</v>
      </c>
      <c r="K408" s="14">
        <v>0</v>
      </c>
      <c r="L408" s="14">
        <v>0</v>
      </c>
      <c r="M408" s="4" t="e">
        <f>IF(F408="Tindakan",VLOOKUP(O408,#REF!,4,FALSE),IF(F408="Intensif",VLOOKUP(O408,#REF!,10,FALSE),IF(F408="Penunjang",VLOOKUP(O408,#REF!,16,FALSE),IF(F408="Visitase Berdasarkan Jumlah Pasien",VLOOKUP(O408,#REF!,22,FALSE),IF(F408="Visitase",VLOOKUP(O408,#REF!,28,FALSE),IF(F408="Rawat Jalan",VLOOKUP(O408,#REF!,34,FALSE),0))))))</f>
        <v>#REF!</v>
      </c>
      <c r="N408" s="12">
        <f t="shared" si="12"/>
        <v>0</v>
      </c>
      <c r="O408" t="s">
        <v>690</v>
      </c>
      <c r="P408">
        <v>398</v>
      </c>
    </row>
    <row r="409" spans="2:16" x14ac:dyDescent="0.35">
      <c r="B409" s="7">
        <f t="shared" si="13"/>
        <v>399</v>
      </c>
      <c r="C409" s="3" t="s">
        <v>317</v>
      </c>
      <c r="D409" s="4" t="s">
        <v>580</v>
      </c>
      <c r="E409" s="9" t="s">
        <v>146</v>
      </c>
      <c r="F409" s="9" t="s">
        <v>190</v>
      </c>
      <c r="G409" s="14">
        <v>98</v>
      </c>
      <c r="H409" s="14">
        <v>12710000</v>
      </c>
      <c r="I409" s="14">
        <v>72</v>
      </c>
      <c r="J409" s="14">
        <v>10080000</v>
      </c>
      <c r="K409" s="14">
        <v>0</v>
      </c>
      <c r="L409" s="14">
        <v>0</v>
      </c>
      <c r="M409" s="4" t="e">
        <f>IF(F409="Tindakan",VLOOKUP(O409,#REF!,4,FALSE),IF(F409="Intensif",VLOOKUP(O409,#REF!,10,FALSE),IF(F409="Penunjang",VLOOKUP(O409,#REF!,16,FALSE),IF(F409="Visitase Berdasarkan Jumlah Pasien",VLOOKUP(O409,#REF!,22,FALSE),IF(F409="Visitase",VLOOKUP(O409,#REF!,28,FALSE),IF(F409="Rawat Jalan",VLOOKUP(O409,#REF!,34,FALSE),0))))))</f>
        <v>#REF!</v>
      </c>
      <c r="N409" s="12">
        <f t="shared" si="12"/>
        <v>0</v>
      </c>
      <c r="O409" t="s">
        <v>696</v>
      </c>
      <c r="P409">
        <v>399</v>
      </c>
    </row>
    <row r="410" spans="2:16" x14ac:dyDescent="0.35">
      <c r="B410" s="7">
        <f t="shared" si="13"/>
        <v>400</v>
      </c>
      <c r="C410" s="3" t="s">
        <v>317</v>
      </c>
      <c r="D410" s="4" t="s">
        <v>580</v>
      </c>
      <c r="E410" s="9" t="s">
        <v>146</v>
      </c>
      <c r="F410" s="9" t="s">
        <v>20</v>
      </c>
      <c r="G410" s="14">
        <v>28</v>
      </c>
      <c r="H410" s="14">
        <v>4900000</v>
      </c>
      <c r="I410" s="14">
        <v>35</v>
      </c>
      <c r="J410" s="14">
        <v>6090000</v>
      </c>
      <c r="K410" s="14">
        <v>0</v>
      </c>
      <c r="L410" s="14">
        <v>0</v>
      </c>
      <c r="M410" s="4" t="e">
        <f>IF(F410="Tindakan",VLOOKUP(O410,#REF!,4,FALSE),IF(F410="Intensif",VLOOKUP(O410,#REF!,10,FALSE),IF(F410="Penunjang",VLOOKUP(O410,#REF!,16,FALSE),IF(F410="Visitase Berdasarkan Jumlah Pasien",VLOOKUP(O410,#REF!,22,FALSE),IF(F410="Visitase",VLOOKUP(O410,#REF!,28,FALSE),IF(F410="Rawat Jalan",VLOOKUP(O410,#REF!,34,FALSE),0))))))</f>
        <v>#REF!</v>
      </c>
      <c r="N410" s="12">
        <f t="shared" si="12"/>
        <v>0</v>
      </c>
      <c r="O410" t="s">
        <v>696</v>
      </c>
      <c r="P410">
        <v>400</v>
      </c>
    </row>
    <row r="411" spans="2:16" x14ac:dyDescent="0.35">
      <c r="B411" s="7">
        <f t="shared" si="13"/>
        <v>401</v>
      </c>
      <c r="C411" s="3" t="s">
        <v>317</v>
      </c>
      <c r="D411" s="4" t="s">
        <v>580</v>
      </c>
      <c r="E411" s="9" t="s">
        <v>146</v>
      </c>
      <c r="F411" s="9" t="s">
        <v>22</v>
      </c>
      <c r="G411" s="14">
        <v>99</v>
      </c>
      <c r="H411" s="14">
        <v>12515000</v>
      </c>
      <c r="I411" s="14">
        <v>0</v>
      </c>
      <c r="J411" s="14">
        <v>0</v>
      </c>
      <c r="K411" s="14">
        <v>23</v>
      </c>
      <c r="L411" s="14">
        <v>6900000</v>
      </c>
      <c r="M411" s="4" t="e">
        <f>IF(F411="Tindakan",VLOOKUP(O411,#REF!,4,FALSE),IF(F411="Intensif",VLOOKUP(O411,#REF!,10,FALSE),IF(F411="Penunjang",VLOOKUP(O411,#REF!,16,FALSE),IF(F411="Visitase Berdasarkan Jumlah Pasien",VLOOKUP(O411,#REF!,22,FALSE),IF(F411="Visitase",VLOOKUP(O411,#REF!,28,FALSE),IF(F411="Rawat Jalan",VLOOKUP(O411,#REF!,34,FALSE),0))))))</f>
        <v>#REF!</v>
      </c>
      <c r="N411" s="12">
        <f t="shared" si="12"/>
        <v>0</v>
      </c>
      <c r="O411" t="s">
        <v>696</v>
      </c>
      <c r="P411">
        <v>401</v>
      </c>
    </row>
    <row r="412" spans="2:16" x14ac:dyDescent="0.35">
      <c r="B412" s="7">
        <f t="shared" si="13"/>
        <v>402</v>
      </c>
      <c r="C412" s="3" t="s">
        <v>318</v>
      </c>
      <c r="D412" s="4" t="s">
        <v>581</v>
      </c>
      <c r="E412" s="9" t="s">
        <v>146</v>
      </c>
      <c r="F412" s="9" t="s">
        <v>190</v>
      </c>
      <c r="G412" s="14">
        <v>65</v>
      </c>
      <c r="H412" s="14">
        <v>9135000</v>
      </c>
      <c r="I412" s="14">
        <v>3</v>
      </c>
      <c r="J412" s="14">
        <v>420000</v>
      </c>
      <c r="K412" s="14">
        <v>0</v>
      </c>
      <c r="L412" s="14">
        <v>0</v>
      </c>
      <c r="M412" s="4" t="e">
        <f>IF(F412="Tindakan",VLOOKUP(O412,#REF!,4,FALSE),IF(F412="Intensif",VLOOKUP(O412,#REF!,10,FALSE),IF(F412="Penunjang",VLOOKUP(O412,#REF!,16,FALSE),IF(F412="Visitase Berdasarkan Jumlah Pasien",VLOOKUP(O412,#REF!,22,FALSE),IF(F412="Visitase",VLOOKUP(O412,#REF!,28,FALSE),IF(F412="Rawat Jalan",VLOOKUP(O412,#REF!,34,FALSE),0))))))</f>
        <v>#REF!</v>
      </c>
      <c r="N412" s="12">
        <f t="shared" si="12"/>
        <v>0</v>
      </c>
      <c r="O412" t="s">
        <v>696</v>
      </c>
      <c r="P412">
        <v>402</v>
      </c>
    </row>
    <row r="413" spans="2:16" x14ac:dyDescent="0.35">
      <c r="B413" s="7">
        <f t="shared" si="13"/>
        <v>403</v>
      </c>
      <c r="C413" s="3" t="s">
        <v>318</v>
      </c>
      <c r="D413" s="4" t="s">
        <v>581</v>
      </c>
      <c r="E413" s="9" t="s">
        <v>146</v>
      </c>
      <c r="F413" s="9" t="s">
        <v>20</v>
      </c>
      <c r="G413" s="14">
        <v>15</v>
      </c>
      <c r="H413" s="14">
        <v>2570000</v>
      </c>
      <c r="I413" s="14">
        <v>5</v>
      </c>
      <c r="J413" s="14">
        <v>875000</v>
      </c>
      <c r="K413" s="14">
        <v>0</v>
      </c>
      <c r="L413" s="14">
        <v>0</v>
      </c>
      <c r="M413" s="4" t="e">
        <f>IF(F413="Tindakan",VLOOKUP(O413,#REF!,4,FALSE),IF(F413="Intensif",VLOOKUP(O413,#REF!,10,FALSE),IF(F413="Penunjang",VLOOKUP(O413,#REF!,16,FALSE),IF(F413="Visitase Berdasarkan Jumlah Pasien",VLOOKUP(O413,#REF!,22,FALSE),IF(F413="Visitase",VLOOKUP(O413,#REF!,28,FALSE),IF(F413="Rawat Jalan",VLOOKUP(O413,#REF!,34,FALSE),0))))))</f>
        <v>#REF!</v>
      </c>
      <c r="N413" s="12">
        <f t="shared" si="12"/>
        <v>0</v>
      </c>
      <c r="O413" t="s">
        <v>696</v>
      </c>
      <c r="P413">
        <v>403</v>
      </c>
    </row>
    <row r="414" spans="2:16" x14ac:dyDescent="0.35">
      <c r="B414" s="7">
        <f t="shared" si="13"/>
        <v>404</v>
      </c>
      <c r="C414" s="3" t="s">
        <v>318</v>
      </c>
      <c r="D414" s="4" t="s">
        <v>581</v>
      </c>
      <c r="E414" s="9" t="s">
        <v>146</v>
      </c>
      <c r="F414" s="9" t="s">
        <v>22</v>
      </c>
      <c r="G414" s="14">
        <v>224</v>
      </c>
      <c r="H414" s="14">
        <v>51575000</v>
      </c>
      <c r="I414" s="14">
        <v>3</v>
      </c>
      <c r="J414" s="14">
        <v>450000</v>
      </c>
      <c r="K414" s="14">
        <v>0</v>
      </c>
      <c r="L414" s="14">
        <v>0</v>
      </c>
      <c r="M414" s="4" t="e">
        <f>IF(F414="Tindakan",VLOOKUP(O414,#REF!,4,FALSE),IF(F414="Intensif",VLOOKUP(O414,#REF!,10,FALSE),IF(F414="Penunjang",VLOOKUP(O414,#REF!,16,FALSE),IF(F414="Visitase Berdasarkan Jumlah Pasien",VLOOKUP(O414,#REF!,22,FALSE),IF(F414="Visitase",VLOOKUP(O414,#REF!,28,FALSE),IF(F414="Rawat Jalan",VLOOKUP(O414,#REF!,34,FALSE),0))))))</f>
        <v>#REF!</v>
      </c>
      <c r="N414" s="12">
        <f t="shared" si="12"/>
        <v>0</v>
      </c>
      <c r="O414" t="s">
        <v>696</v>
      </c>
      <c r="P414">
        <v>404</v>
      </c>
    </row>
    <row r="415" spans="2:16" x14ac:dyDescent="0.35">
      <c r="B415" s="7">
        <f t="shared" si="13"/>
        <v>405</v>
      </c>
      <c r="C415" s="3" t="s">
        <v>281</v>
      </c>
      <c r="D415" s="4" t="s">
        <v>582</v>
      </c>
      <c r="E415" s="9" t="s">
        <v>171</v>
      </c>
      <c r="F415" s="9" t="s">
        <v>22</v>
      </c>
      <c r="G415" s="14">
        <v>43</v>
      </c>
      <c r="H415" s="14">
        <v>4915000</v>
      </c>
      <c r="I415" s="14">
        <v>22</v>
      </c>
      <c r="J415" s="14">
        <v>2100000</v>
      </c>
      <c r="K415" s="14">
        <v>10</v>
      </c>
      <c r="L415" s="14">
        <v>2375000</v>
      </c>
      <c r="M415" s="4" t="e">
        <f>IF(F415="Tindakan",VLOOKUP(O415,#REF!,4,FALSE),IF(F415="Intensif",VLOOKUP(O415,#REF!,10,FALSE),IF(F415="Penunjang",VLOOKUP(O415,#REF!,16,FALSE),IF(F415="Visitase Berdasarkan Jumlah Pasien",VLOOKUP(O415,#REF!,22,FALSE),IF(F415="Visitase",VLOOKUP(O415,#REF!,28,FALSE),IF(F415="Rawat Jalan",VLOOKUP(O415,#REF!,34,FALSE),0))))))</f>
        <v>#REF!</v>
      </c>
      <c r="N415" s="12">
        <f t="shared" si="12"/>
        <v>0</v>
      </c>
      <c r="O415" t="s">
        <v>704</v>
      </c>
      <c r="P415">
        <v>405</v>
      </c>
    </row>
    <row r="416" spans="2:16" x14ac:dyDescent="0.35">
      <c r="B416" s="7">
        <f t="shared" si="13"/>
        <v>406</v>
      </c>
      <c r="C416" s="3" t="s">
        <v>340</v>
      </c>
      <c r="D416" s="4" t="s">
        <v>583</v>
      </c>
      <c r="E416" s="9" t="s">
        <v>163</v>
      </c>
      <c r="F416" s="9" t="s">
        <v>190</v>
      </c>
      <c r="G416" s="14">
        <v>52</v>
      </c>
      <c r="H416" s="14">
        <v>7690000</v>
      </c>
      <c r="I416" s="14">
        <v>0</v>
      </c>
      <c r="J416" s="14">
        <v>0</v>
      </c>
      <c r="K416" s="14">
        <v>0</v>
      </c>
      <c r="L416" s="14">
        <v>0</v>
      </c>
      <c r="M416" s="4" t="e">
        <f>IF(F416="Tindakan",VLOOKUP(O416,#REF!,4,FALSE),IF(F416="Intensif",VLOOKUP(O416,#REF!,10,FALSE),IF(F416="Penunjang",VLOOKUP(O416,#REF!,16,FALSE),IF(F416="Visitase Berdasarkan Jumlah Pasien",VLOOKUP(O416,#REF!,22,FALSE),IF(F416="Visitase",VLOOKUP(O416,#REF!,28,FALSE),IF(F416="Rawat Jalan",VLOOKUP(O416,#REF!,34,FALSE),0))))))</f>
        <v>#REF!</v>
      </c>
      <c r="N416" s="12">
        <f t="shared" si="12"/>
        <v>0</v>
      </c>
      <c r="O416" t="s">
        <v>694</v>
      </c>
      <c r="P416">
        <v>406</v>
      </c>
    </row>
    <row r="417" spans="2:16" x14ac:dyDescent="0.35">
      <c r="B417" s="7">
        <f t="shared" si="13"/>
        <v>407</v>
      </c>
      <c r="C417" s="3" t="s">
        <v>340</v>
      </c>
      <c r="D417" s="4" t="s">
        <v>583</v>
      </c>
      <c r="E417" s="9" t="s">
        <v>163</v>
      </c>
      <c r="F417" s="9" t="s">
        <v>20</v>
      </c>
      <c r="G417" s="14">
        <v>1</v>
      </c>
      <c r="H417" s="14">
        <v>175000</v>
      </c>
      <c r="I417" s="14">
        <v>0</v>
      </c>
      <c r="J417" s="14">
        <v>0</v>
      </c>
      <c r="K417" s="14">
        <v>0</v>
      </c>
      <c r="L417" s="14">
        <v>0</v>
      </c>
      <c r="M417" s="4" t="e">
        <f>IF(F417="Tindakan",VLOOKUP(O417,#REF!,4,FALSE),IF(F417="Intensif",VLOOKUP(O417,#REF!,10,FALSE),IF(F417="Penunjang",VLOOKUP(O417,#REF!,16,FALSE),IF(F417="Visitase Berdasarkan Jumlah Pasien",VLOOKUP(O417,#REF!,22,FALSE),IF(F417="Visitase",VLOOKUP(O417,#REF!,28,FALSE),IF(F417="Rawat Jalan",VLOOKUP(O417,#REF!,34,FALSE),0))))))</f>
        <v>#REF!</v>
      </c>
      <c r="N417" s="12">
        <f t="shared" si="12"/>
        <v>0</v>
      </c>
      <c r="O417" t="s">
        <v>694</v>
      </c>
      <c r="P417">
        <v>407</v>
      </c>
    </row>
    <row r="418" spans="2:16" x14ac:dyDescent="0.35">
      <c r="B418" s="7">
        <f t="shared" si="13"/>
        <v>408</v>
      </c>
      <c r="C418" s="3" t="s">
        <v>340</v>
      </c>
      <c r="D418" s="4" t="s">
        <v>583</v>
      </c>
      <c r="E418" s="9" t="s">
        <v>163</v>
      </c>
      <c r="F418" s="9" t="s">
        <v>22</v>
      </c>
      <c r="G418" s="14">
        <v>36</v>
      </c>
      <c r="H418" s="14">
        <v>2830000</v>
      </c>
      <c r="I418" s="14">
        <v>5</v>
      </c>
      <c r="J418" s="14">
        <v>375000</v>
      </c>
      <c r="K418" s="14">
        <v>0</v>
      </c>
      <c r="L418" s="14">
        <v>0</v>
      </c>
      <c r="M418" s="4" t="e">
        <f>IF(F418="Tindakan",VLOOKUP(O418,#REF!,4,FALSE),IF(F418="Intensif",VLOOKUP(O418,#REF!,10,FALSE),IF(F418="Penunjang",VLOOKUP(O418,#REF!,16,FALSE),IF(F418="Visitase Berdasarkan Jumlah Pasien",VLOOKUP(O418,#REF!,22,FALSE),IF(F418="Visitase",VLOOKUP(O418,#REF!,28,FALSE),IF(F418="Rawat Jalan",VLOOKUP(O418,#REF!,34,FALSE),0))))))</f>
        <v>#REF!</v>
      </c>
      <c r="N418" s="12">
        <f t="shared" si="12"/>
        <v>0</v>
      </c>
      <c r="O418" t="s">
        <v>694</v>
      </c>
      <c r="P418">
        <v>408</v>
      </c>
    </row>
    <row r="419" spans="2:16" x14ac:dyDescent="0.35">
      <c r="B419" s="7">
        <f t="shared" si="13"/>
        <v>409</v>
      </c>
      <c r="C419" s="3" t="s">
        <v>340</v>
      </c>
      <c r="D419" s="4" t="s">
        <v>583</v>
      </c>
      <c r="E419" s="9" t="s">
        <v>163</v>
      </c>
      <c r="F419" s="9" t="s">
        <v>19</v>
      </c>
      <c r="G419" s="14">
        <v>2</v>
      </c>
      <c r="H419" s="14">
        <v>23278000</v>
      </c>
      <c r="I419" s="14">
        <v>0</v>
      </c>
      <c r="J419" s="14">
        <v>0</v>
      </c>
      <c r="K419" s="14">
        <v>0</v>
      </c>
      <c r="L419" s="14">
        <v>0</v>
      </c>
      <c r="M419" s="4" t="e">
        <f>IF(F419="Tindakan",VLOOKUP(O419,#REF!,4,FALSE),IF(F419="Intensif",VLOOKUP(O419,#REF!,10,FALSE),IF(F419="Penunjang",VLOOKUP(O419,#REF!,16,FALSE),IF(F419="Visitase Berdasarkan Jumlah Pasien",VLOOKUP(O419,#REF!,22,FALSE),IF(F419="Visitase",VLOOKUP(O419,#REF!,28,FALSE),IF(F419="Rawat Jalan",VLOOKUP(O419,#REF!,34,FALSE),0))))))</f>
        <v>#REF!</v>
      </c>
      <c r="N419" s="12">
        <f t="shared" si="12"/>
        <v>0</v>
      </c>
      <c r="O419" t="s">
        <v>694</v>
      </c>
      <c r="P419">
        <v>409</v>
      </c>
    </row>
    <row r="420" spans="2:16" x14ac:dyDescent="0.35">
      <c r="B420" s="7">
        <f t="shared" si="13"/>
        <v>410</v>
      </c>
      <c r="C420" s="3" t="s">
        <v>267</v>
      </c>
      <c r="D420" s="4" t="s">
        <v>584</v>
      </c>
      <c r="E420" s="9" t="s">
        <v>150</v>
      </c>
      <c r="F420" s="9" t="s">
        <v>21</v>
      </c>
      <c r="G420" s="14">
        <v>122</v>
      </c>
      <c r="H420" s="14">
        <v>126758400</v>
      </c>
      <c r="I420" s="14">
        <v>4</v>
      </c>
      <c r="J420" s="14">
        <v>5880000</v>
      </c>
      <c r="K420" s="14">
        <v>0</v>
      </c>
      <c r="L420" s="14">
        <v>0</v>
      </c>
      <c r="M420" s="4" t="e">
        <f>IF(F420="Tindakan",VLOOKUP(O420,#REF!,4,FALSE),IF(F420="Intensif",VLOOKUP(O420,#REF!,10,FALSE),IF(F420="Penunjang",VLOOKUP(O420,#REF!,16,FALSE),IF(F420="Visitase Berdasarkan Jumlah Pasien",VLOOKUP(O420,#REF!,22,FALSE),IF(F420="Visitase",VLOOKUP(O420,#REF!,28,FALSE),IF(F420="Rawat Jalan",VLOOKUP(O420,#REF!,34,FALSE),0))))))</f>
        <v>#REF!</v>
      </c>
      <c r="N420" s="12">
        <f t="shared" si="12"/>
        <v>0</v>
      </c>
      <c r="O420" t="s">
        <v>707</v>
      </c>
      <c r="P420">
        <v>410</v>
      </c>
    </row>
    <row r="421" spans="2:16" x14ac:dyDescent="0.35">
      <c r="B421" s="7">
        <f t="shared" si="13"/>
        <v>411</v>
      </c>
      <c r="C421" s="3" t="s">
        <v>210</v>
      </c>
      <c r="D421" s="4" t="s">
        <v>585</v>
      </c>
      <c r="E421" s="9" t="s">
        <v>178</v>
      </c>
      <c r="F421" s="9" t="s">
        <v>190</v>
      </c>
      <c r="G421" s="14">
        <v>7</v>
      </c>
      <c r="H421" s="14">
        <v>1015000</v>
      </c>
      <c r="I421" s="14">
        <v>0</v>
      </c>
      <c r="J421" s="14">
        <v>0</v>
      </c>
      <c r="K421" s="14">
        <v>0</v>
      </c>
      <c r="L421" s="14">
        <v>0</v>
      </c>
      <c r="M421" s="4" t="e">
        <f>IF(F421="Tindakan",VLOOKUP(O421,#REF!,4,FALSE),IF(F421="Intensif",VLOOKUP(O421,#REF!,10,FALSE),IF(F421="Penunjang",VLOOKUP(O421,#REF!,16,FALSE),IF(F421="Visitase Berdasarkan Jumlah Pasien",VLOOKUP(O421,#REF!,22,FALSE),IF(F421="Visitase",VLOOKUP(O421,#REF!,28,FALSE),IF(F421="Rawat Jalan",VLOOKUP(O421,#REF!,34,FALSE),0))))))</f>
        <v>#REF!</v>
      </c>
      <c r="N421" s="12">
        <f t="shared" si="12"/>
        <v>0</v>
      </c>
      <c r="O421" t="s">
        <v>689</v>
      </c>
      <c r="P421">
        <v>411</v>
      </c>
    </row>
    <row r="422" spans="2:16" x14ac:dyDescent="0.35">
      <c r="B422" s="7">
        <f t="shared" si="13"/>
        <v>412</v>
      </c>
      <c r="C422" s="3" t="s">
        <v>210</v>
      </c>
      <c r="D422" s="4" t="s">
        <v>585</v>
      </c>
      <c r="E422" s="9" t="s">
        <v>178</v>
      </c>
      <c r="F422" s="9" t="s">
        <v>20</v>
      </c>
      <c r="G422" s="14">
        <v>10</v>
      </c>
      <c r="H422" s="14">
        <v>1589000</v>
      </c>
      <c r="I422" s="14">
        <v>0</v>
      </c>
      <c r="J422" s="14">
        <v>0</v>
      </c>
      <c r="K422" s="14">
        <v>0</v>
      </c>
      <c r="L422" s="14">
        <v>0</v>
      </c>
      <c r="M422" s="4" t="e">
        <f>IF(F422="Tindakan",VLOOKUP(O422,#REF!,4,FALSE),IF(F422="Intensif",VLOOKUP(O422,#REF!,10,FALSE),IF(F422="Penunjang",VLOOKUP(O422,#REF!,16,FALSE),IF(F422="Visitase Berdasarkan Jumlah Pasien",VLOOKUP(O422,#REF!,22,FALSE),IF(F422="Visitase",VLOOKUP(O422,#REF!,28,FALSE),IF(F422="Rawat Jalan",VLOOKUP(O422,#REF!,34,FALSE),0))))))</f>
        <v>#REF!</v>
      </c>
      <c r="N422" s="12">
        <f t="shared" si="12"/>
        <v>0</v>
      </c>
      <c r="O422" t="s">
        <v>689</v>
      </c>
      <c r="P422">
        <v>412</v>
      </c>
    </row>
    <row r="423" spans="2:16" x14ac:dyDescent="0.35">
      <c r="B423" s="7">
        <f t="shared" si="13"/>
        <v>413</v>
      </c>
      <c r="C423" s="3" t="s">
        <v>210</v>
      </c>
      <c r="D423" s="4" t="s">
        <v>585</v>
      </c>
      <c r="E423" s="9" t="s">
        <v>178</v>
      </c>
      <c r="F423" s="9" t="s">
        <v>22</v>
      </c>
      <c r="G423" s="14">
        <v>388</v>
      </c>
      <c r="H423" s="14">
        <v>70480000</v>
      </c>
      <c r="I423" s="14">
        <v>4</v>
      </c>
      <c r="J423" s="14">
        <v>270000</v>
      </c>
      <c r="K423" s="14">
        <v>38</v>
      </c>
      <c r="L423" s="14">
        <v>6365000</v>
      </c>
      <c r="M423" s="4" t="e">
        <f>IF(F423="Tindakan",VLOOKUP(O423,#REF!,4,FALSE),IF(F423="Intensif",VLOOKUP(O423,#REF!,10,FALSE),IF(F423="Penunjang",VLOOKUP(O423,#REF!,16,FALSE),IF(F423="Visitase Berdasarkan Jumlah Pasien",VLOOKUP(O423,#REF!,22,FALSE),IF(F423="Visitase",VLOOKUP(O423,#REF!,28,FALSE),IF(F423="Rawat Jalan",VLOOKUP(O423,#REF!,34,FALSE),0))))))</f>
        <v>#REF!</v>
      </c>
      <c r="N423" s="12">
        <f t="shared" si="12"/>
        <v>0</v>
      </c>
      <c r="O423" t="s">
        <v>689</v>
      </c>
      <c r="P423">
        <v>413</v>
      </c>
    </row>
    <row r="424" spans="2:16" x14ac:dyDescent="0.35">
      <c r="B424" s="7">
        <f t="shared" si="13"/>
        <v>414</v>
      </c>
      <c r="C424" s="3" t="s">
        <v>321</v>
      </c>
      <c r="D424" s="4" t="s">
        <v>586</v>
      </c>
      <c r="E424" s="9" t="s">
        <v>185</v>
      </c>
      <c r="F424" s="9" t="s">
        <v>22</v>
      </c>
      <c r="G424" s="14">
        <v>0</v>
      </c>
      <c r="H424" s="14">
        <v>0</v>
      </c>
      <c r="I424" s="14">
        <v>3</v>
      </c>
      <c r="J424" s="14">
        <v>575000</v>
      </c>
      <c r="K424" s="14">
        <v>0</v>
      </c>
      <c r="L424" s="14">
        <v>0</v>
      </c>
      <c r="M424" s="4" t="e">
        <f>IF(F424="Tindakan",VLOOKUP(O424,#REF!,4,FALSE),IF(F424="Intensif",VLOOKUP(O424,#REF!,10,FALSE),IF(F424="Penunjang",VLOOKUP(O424,#REF!,16,FALSE),IF(F424="Visitase Berdasarkan Jumlah Pasien",VLOOKUP(O424,#REF!,22,FALSE),IF(F424="Visitase",VLOOKUP(O424,#REF!,28,FALSE),IF(F424="Rawat Jalan",VLOOKUP(O424,#REF!,34,FALSE),0))))))</f>
        <v>#REF!</v>
      </c>
      <c r="N424" s="12">
        <f t="shared" si="12"/>
        <v>0</v>
      </c>
      <c r="O424" t="s">
        <v>706</v>
      </c>
      <c r="P424">
        <v>414</v>
      </c>
    </row>
    <row r="425" spans="2:16" x14ac:dyDescent="0.35">
      <c r="B425" s="7">
        <f t="shared" si="13"/>
        <v>415</v>
      </c>
      <c r="C425" s="3" t="s">
        <v>208</v>
      </c>
      <c r="D425" s="4" t="s">
        <v>587</v>
      </c>
      <c r="E425" s="9" t="s">
        <v>159</v>
      </c>
      <c r="F425" s="9" t="s">
        <v>190</v>
      </c>
      <c r="G425" s="14">
        <v>31</v>
      </c>
      <c r="H425" s="14">
        <v>4120000</v>
      </c>
      <c r="I425" s="14">
        <v>7</v>
      </c>
      <c r="J425" s="14">
        <v>920000</v>
      </c>
      <c r="K425" s="14">
        <v>0</v>
      </c>
      <c r="L425" s="14">
        <v>0</v>
      </c>
      <c r="M425" s="4" t="e">
        <f>IF(F425="Tindakan",VLOOKUP(O425,#REF!,4,FALSE),IF(F425="Intensif",VLOOKUP(O425,#REF!,10,FALSE),IF(F425="Penunjang",VLOOKUP(O425,#REF!,16,FALSE),IF(F425="Visitase Berdasarkan Jumlah Pasien",VLOOKUP(O425,#REF!,22,FALSE),IF(F425="Visitase",VLOOKUP(O425,#REF!,28,FALSE),IF(F425="Rawat Jalan",VLOOKUP(O425,#REF!,34,FALSE),0))))))</f>
        <v>#REF!</v>
      </c>
      <c r="N425" s="12">
        <f t="shared" si="12"/>
        <v>0</v>
      </c>
      <c r="O425" t="s">
        <v>692</v>
      </c>
      <c r="P425">
        <v>415</v>
      </c>
    </row>
    <row r="426" spans="2:16" x14ac:dyDescent="0.35">
      <c r="B426" s="7">
        <f t="shared" si="13"/>
        <v>416</v>
      </c>
      <c r="C426" s="3" t="s">
        <v>208</v>
      </c>
      <c r="D426" s="4" t="s">
        <v>587</v>
      </c>
      <c r="E426" s="9" t="s">
        <v>159</v>
      </c>
      <c r="F426" s="9" t="s">
        <v>20</v>
      </c>
      <c r="G426" s="14">
        <v>19</v>
      </c>
      <c r="H426" s="14">
        <v>3175000</v>
      </c>
      <c r="I426" s="14">
        <v>4</v>
      </c>
      <c r="J426" s="14">
        <v>685000</v>
      </c>
      <c r="K426" s="14">
        <v>0</v>
      </c>
      <c r="L426" s="14">
        <v>0</v>
      </c>
      <c r="M426" s="4" t="e">
        <f>IF(F426="Tindakan",VLOOKUP(O426,#REF!,4,FALSE),IF(F426="Intensif",VLOOKUP(O426,#REF!,10,FALSE),IF(F426="Penunjang",VLOOKUP(O426,#REF!,16,FALSE),IF(F426="Visitase Berdasarkan Jumlah Pasien",VLOOKUP(O426,#REF!,22,FALSE),IF(F426="Visitase",VLOOKUP(O426,#REF!,28,FALSE),IF(F426="Rawat Jalan",VLOOKUP(O426,#REF!,34,FALSE),0))))))</f>
        <v>#REF!</v>
      </c>
      <c r="N426" s="12">
        <f t="shared" si="12"/>
        <v>0</v>
      </c>
      <c r="O426" t="s">
        <v>692</v>
      </c>
      <c r="P426">
        <v>416</v>
      </c>
    </row>
    <row r="427" spans="2:16" x14ac:dyDescent="0.35">
      <c r="B427" s="7">
        <f t="shared" si="13"/>
        <v>417</v>
      </c>
      <c r="C427" s="3" t="s">
        <v>208</v>
      </c>
      <c r="D427" s="4" t="s">
        <v>587</v>
      </c>
      <c r="E427" s="9" t="s">
        <v>159</v>
      </c>
      <c r="F427" s="9" t="s">
        <v>19</v>
      </c>
      <c r="G427" s="14">
        <v>7</v>
      </c>
      <c r="H427" s="14">
        <v>101500000</v>
      </c>
      <c r="I427" s="14">
        <v>1</v>
      </c>
      <c r="J427" s="14">
        <v>14500000</v>
      </c>
      <c r="K427" s="14">
        <v>0</v>
      </c>
      <c r="L427" s="14">
        <v>0</v>
      </c>
      <c r="M427" s="4" t="e">
        <f>IF(F427="Tindakan",VLOOKUP(O427,#REF!,4,FALSE),IF(F427="Intensif",VLOOKUP(O427,#REF!,10,FALSE),IF(F427="Penunjang",VLOOKUP(O427,#REF!,16,FALSE),IF(F427="Visitase Berdasarkan Jumlah Pasien",VLOOKUP(O427,#REF!,22,FALSE),IF(F427="Visitase",VLOOKUP(O427,#REF!,28,FALSE),IF(F427="Rawat Jalan",VLOOKUP(O427,#REF!,34,FALSE),0))))))</f>
        <v>#REF!</v>
      </c>
      <c r="N427" s="12">
        <f t="shared" si="12"/>
        <v>0</v>
      </c>
      <c r="O427" t="s">
        <v>692</v>
      </c>
      <c r="P427">
        <v>417</v>
      </c>
    </row>
    <row r="428" spans="2:16" x14ac:dyDescent="0.35">
      <c r="B428" s="7">
        <f t="shared" si="13"/>
        <v>418</v>
      </c>
      <c r="C428" s="3" t="s">
        <v>208</v>
      </c>
      <c r="D428" s="4" t="s">
        <v>587</v>
      </c>
      <c r="E428" s="9" t="s">
        <v>159</v>
      </c>
      <c r="F428" s="9" t="s">
        <v>22</v>
      </c>
      <c r="G428" s="14">
        <v>28</v>
      </c>
      <c r="H428" s="14">
        <v>47528000</v>
      </c>
      <c r="I428" s="14">
        <v>1</v>
      </c>
      <c r="J428" s="14">
        <v>140000</v>
      </c>
      <c r="K428" s="14">
        <v>0</v>
      </c>
      <c r="L428" s="14">
        <v>0</v>
      </c>
      <c r="M428" s="4" t="e">
        <f>IF(F428="Tindakan",VLOOKUP(O428,#REF!,4,FALSE),IF(F428="Intensif",VLOOKUP(O428,#REF!,10,FALSE),IF(F428="Penunjang",VLOOKUP(O428,#REF!,16,FALSE),IF(F428="Visitase Berdasarkan Jumlah Pasien",VLOOKUP(O428,#REF!,22,FALSE),IF(F428="Visitase",VLOOKUP(O428,#REF!,28,FALSE),IF(F428="Rawat Jalan",VLOOKUP(O428,#REF!,34,FALSE),0))))))</f>
        <v>#REF!</v>
      </c>
      <c r="N428" s="12">
        <f t="shared" si="12"/>
        <v>0</v>
      </c>
      <c r="O428" t="s">
        <v>692</v>
      </c>
      <c r="P428">
        <v>418</v>
      </c>
    </row>
    <row r="429" spans="2:16" x14ac:dyDescent="0.35">
      <c r="B429" s="7">
        <f t="shared" si="13"/>
        <v>419</v>
      </c>
      <c r="C429" s="3" t="s">
        <v>308</v>
      </c>
      <c r="D429" s="4" t="s">
        <v>588</v>
      </c>
      <c r="E429" s="9" t="s">
        <v>148</v>
      </c>
      <c r="F429" s="9" t="s">
        <v>20</v>
      </c>
      <c r="G429" s="14">
        <v>14</v>
      </c>
      <c r="H429" s="14">
        <v>4571000</v>
      </c>
      <c r="I429" s="14">
        <v>0</v>
      </c>
      <c r="J429" s="14">
        <v>0</v>
      </c>
      <c r="K429" s="14">
        <v>0</v>
      </c>
      <c r="L429" s="14">
        <v>0</v>
      </c>
      <c r="M429" s="4" t="e">
        <f>IF(F429="Tindakan",VLOOKUP(O429,#REF!,4,FALSE),IF(F429="Intensif",VLOOKUP(O429,#REF!,10,FALSE),IF(F429="Penunjang",VLOOKUP(O429,#REF!,16,FALSE),IF(F429="Visitase Berdasarkan Jumlah Pasien",VLOOKUP(O429,#REF!,22,FALSE),IF(F429="Visitase",VLOOKUP(O429,#REF!,28,FALSE),IF(F429="Rawat Jalan",VLOOKUP(O429,#REF!,34,FALSE),0))))))</f>
        <v>#REF!</v>
      </c>
      <c r="N429" s="12">
        <f t="shared" si="12"/>
        <v>0</v>
      </c>
      <c r="O429" t="s">
        <v>700</v>
      </c>
      <c r="P429">
        <v>419</v>
      </c>
    </row>
    <row r="430" spans="2:16" x14ac:dyDescent="0.35">
      <c r="B430" s="7">
        <f t="shared" si="13"/>
        <v>420</v>
      </c>
      <c r="C430" s="3" t="s">
        <v>308</v>
      </c>
      <c r="D430" s="4" t="s">
        <v>588</v>
      </c>
      <c r="E430" s="9" t="s">
        <v>148</v>
      </c>
      <c r="F430" s="9" t="s">
        <v>22</v>
      </c>
      <c r="G430" s="14">
        <v>122</v>
      </c>
      <c r="H430" s="14">
        <v>17842000</v>
      </c>
      <c r="I430" s="14">
        <v>9</v>
      </c>
      <c r="J430" s="14">
        <v>1088000</v>
      </c>
      <c r="K430" s="14">
        <v>0</v>
      </c>
      <c r="L430" s="14">
        <v>0</v>
      </c>
      <c r="M430" s="4" t="e">
        <f>IF(F430="Tindakan",VLOOKUP(O430,#REF!,4,FALSE),IF(F430="Intensif",VLOOKUP(O430,#REF!,10,FALSE),IF(F430="Penunjang",VLOOKUP(O430,#REF!,16,FALSE),IF(F430="Visitase Berdasarkan Jumlah Pasien",VLOOKUP(O430,#REF!,22,FALSE),IF(F430="Visitase",VLOOKUP(O430,#REF!,28,FALSE),IF(F430="Rawat Jalan",VLOOKUP(O430,#REF!,34,FALSE),0))))))</f>
        <v>#REF!</v>
      </c>
      <c r="N430" s="12">
        <f t="shared" si="12"/>
        <v>0</v>
      </c>
      <c r="O430" t="s">
        <v>700</v>
      </c>
      <c r="P430">
        <v>420</v>
      </c>
    </row>
    <row r="431" spans="2:16" x14ac:dyDescent="0.35">
      <c r="B431" s="7">
        <f t="shared" si="13"/>
        <v>421</v>
      </c>
      <c r="C431" s="3" t="s">
        <v>238</v>
      </c>
      <c r="D431" s="4" t="s">
        <v>589</v>
      </c>
      <c r="E431" s="9" t="s">
        <v>147</v>
      </c>
      <c r="F431" s="9" t="s">
        <v>190</v>
      </c>
      <c r="G431" s="14">
        <v>41</v>
      </c>
      <c r="H431" s="14">
        <v>5290000</v>
      </c>
      <c r="I431" s="14">
        <v>0</v>
      </c>
      <c r="J431" s="14">
        <v>0</v>
      </c>
      <c r="K431" s="14">
        <v>6</v>
      </c>
      <c r="L431" s="14">
        <v>750000</v>
      </c>
      <c r="M431" s="4" t="e">
        <f>IF(F431="Tindakan",VLOOKUP(O431,#REF!,4,FALSE),IF(F431="Intensif",VLOOKUP(O431,#REF!,10,FALSE),IF(F431="Penunjang",VLOOKUP(O431,#REF!,16,FALSE),IF(F431="Visitase Berdasarkan Jumlah Pasien",VLOOKUP(O431,#REF!,22,FALSE),IF(F431="Visitase",VLOOKUP(O431,#REF!,28,FALSE),IF(F431="Rawat Jalan",VLOOKUP(O431,#REF!,34,FALSE),0))))))</f>
        <v>#REF!</v>
      </c>
      <c r="N431" s="12">
        <f t="shared" si="12"/>
        <v>0</v>
      </c>
      <c r="O431" t="s">
        <v>691</v>
      </c>
      <c r="P431">
        <v>421</v>
      </c>
    </row>
    <row r="432" spans="2:16" x14ac:dyDescent="0.35">
      <c r="B432" s="7">
        <f t="shared" si="13"/>
        <v>422</v>
      </c>
      <c r="C432" s="3" t="s">
        <v>238</v>
      </c>
      <c r="D432" s="4" t="s">
        <v>589</v>
      </c>
      <c r="E432" s="9" t="s">
        <v>147</v>
      </c>
      <c r="F432" s="9" t="s">
        <v>20</v>
      </c>
      <c r="G432" s="14">
        <v>4</v>
      </c>
      <c r="H432" s="14">
        <v>640000</v>
      </c>
      <c r="I432" s="14">
        <v>0</v>
      </c>
      <c r="J432" s="14">
        <v>0</v>
      </c>
      <c r="K432" s="14">
        <v>0</v>
      </c>
      <c r="L432" s="14">
        <v>0</v>
      </c>
      <c r="M432" s="4" t="e">
        <f>IF(F432="Tindakan",VLOOKUP(O432,#REF!,4,FALSE),IF(F432="Intensif",VLOOKUP(O432,#REF!,10,FALSE),IF(F432="Penunjang",VLOOKUP(O432,#REF!,16,FALSE),IF(F432="Visitase Berdasarkan Jumlah Pasien",VLOOKUP(O432,#REF!,22,FALSE),IF(F432="Visitase",VLOOKUP(O432,#REF!,28,FALSE),IF(F432="Rawat Jalan",VLOOKUP(O432,#REF!,34,FALSE),0))))))</f>
        <v>#REF!</v>
      </c>
      <c r="N432" s="12">
        <f t="shared" si="12"/>
        <v>0</v>
      </c>
      <c r="O432" t="s">
        <v>691</v>
      </c>
      <c r="P432">
        <v>422</v>
      </c>
    </row>
    <row r="433" spans="2:16" x14ac:dyDescent="0.35">
      <c r="B433" s="7">
        <f t="shared" si="13"/>
        <v>423</v>
      </c>
      <c r="C433" s="3" t="s">
        <v>238</v>
      </c>
      <c r="D433" s="4" t="s">
        <v>589</v>
      </c>
      <c r="E433" s="9" t="s">
        <v>147</v>
      </c>
      <c r="F433" s="9" t="s">
        <v>19</v>
      </c>
      <c r="G433" s="14">
        <v>27</v>
      </c>
      <c r="H433" s="14">
        <v>148311000</v>
      </c>
      <c r="I433" s="14">
        <v>0</v>
      </c>
      <c r="J433" s="14">
        <v>0</v>
      </c>
      <c r="K433" s="14">
        <v>3</v>
      </c>
      <c r="L433" s="14">
        <v>87504000</v>
      </c>
      <c r="M433" s="4" t="e">
        <f>IF(F433="Tindakan",VLOOKUP(O433,#REF!,4,FALSE),IF(F433="Intensif",VLOOKUP(O433,#REF!,10,FALSE),IF(F433="Penunjang",VLOOKUP(O433,#REF!,16,FALSE),IF(F433="Visitase Berdasarkan Jumlah Pasien",VLOOKUP(O433,#REF!,22,FALSE),IF(F433="Visitase",VLOOKUP(O433,#REF!,28,FALSE),IF(F433="Rawat Jalan",VLOOKUP(O433,#REF!,34,FALSE),0))))))</f>
        <v>#REF!</v>
      </c>
      <c r="N433" s="12">
        <f t="shared" si="12"/>
        <v>0</v>
      </c>
      <c r="O433" t="s">
        <v>691</v>
      </c>
      <c r="P433">
        <v>423</v>
      </c>
    </row>
    <row r="434" spans="2:16" x14ac:dyDescent="0.35">
      <c r="B434" s="7">
        <f t="shared" si="13"/>
        <v>424</v>
      </c>
      <c r="C434" s="3" t="s">
        <v>238</v>
      </c>
      <c r="D434" s="4" t="s">
        <v>589</v>
      </c>
      <c r="E434" s="9" t="s">
        <v>147</v>
      </c>
      <c r="F434" s="9" t="s">
        <v>22</v>
      </c>
      <c r="G434" s="14">
        <v>60</v>
      </c>
      <c r="H434" s="14">
        <v>10611000</v>
      </c>
      <c r="I434" s="14">
        <v>9</v>
      </c>
      <c r="J434" s="14">
        <v>1075000</v>
      </c>
      <c r="K434" s="14">
        <v>0</v>
      </c>
      <c r="L434" s="14">
        <v>0</v>
      </c>
      <c r="M434" s="4" t="e">
        <f>IF(F434="Tindakan",VLOOKUP(O434,#REF!,4,FALSE),IF(F434="Intensif",VLOOKUP(O434,#REF!,10,FALSE),IF(F434="Penunjang",VLOOKUP(O434,#REF!,16,FALSE),IF(F434="Visitase Berdasarkan Jumlah Pasien",VLOOKUP(O434,#REF!,22,FALSE),IF(F434="Visitase",VLOOKUP(O434,#REF!,28,FALSE),IF(F434="Rawat Jalan",VLOOKUP(O434,#REF!,34,FALSE),0))))))</f>
        <v>#REF!</v>
      </c>
      <c r="N434" s="12">
        <f t="shared" si="12"/>
        <v>0</v>
      </c>
      <c r="O434" t="s">
        <v>691</v>
      </c>
      <c r="P434">
        <v>424</v>
      </c>
    </row>
    <row r="435" spans="2:16" x14ac:dyDescent="0.35">
      <c r="B435" s="7">
        <f t="shared" si="13"/>
        <v>425</v>
      </c>
      <c r="C435" s="3" t="s">
        <v>209</v>
      </c>
      <c r="D435" s="4" t="s">
        <v>590</v>
      </c>
      <c r="E435" s="9" t="s">
        <v>159</v>
      </c>
      <c r="F435" s="9" t="s">
        <v>190</v>
      </c>
      <c r="G435" s="14">
        <v>46</v>
      </c>
      <c r="H435" s="14">
        <v>6275000</v>
      </c>
      <c r="I435" s="14">
        <v>3</v>
      </c>
      <c r="J435" s="14">
        <v>420000</v>
      </c>
      <c r="K435" s="14">
        <v>0</v>
      </c>
      <c r="L435" s="14">
        <v>0</v>
      </c>
      <c r="M435" s="4" t="e">
        <f>IF(F435="Tindakan",VLOOKUP(O435,#REF!,4,FALSE),IF(F435="Intensif",VLOOKUP(O435,#REF!,10,FALSE),IF(F435="Penunjang",VLOOKUP(O435,#REF!,16,FALSE),IF(F435="Visitase Berdasarkan Jumlah Pasien",VLOOKUP(O435,#REF!,22,FALSE),IF(F435="Visitase",VLOOKUP(O435,#REF!,28,FALSE),IF(F435="Rawat Jalan",VLOOKUP(O435,#REF!,34,FALSE),0))))))</f>
        <v>#REF!</v>
      </c>
      <c r="N435" s="12">
        <f t="shared" si="12"/>
        <v>0</v>
      </c>
      <c r="O435" t="s">
        <v>692</v>
      </c>
      <c r="P435">
        <v>425</v>
      </c>
    </row>
    <row r="436" spans="2:16" x14ac:dyDescent="0.35">
      <c r="B436" s="7">
        <f t="shared" si="13"/>
        <v>426</v>
      </c>
      <c r="C436" s="3" t="s">
        <v>209</v>
      </c>
      <c r="D436" s="4" t="s">
        <v>590</v>
      </c>
      <c r="E436" s="9" t="s">
        <v>159</v>
      </c>
      <c r="F436" s="9" t="s">
        <v>20</v>
      </c>
      <c r="G436" s="14">
        <v>28</v>
      </c>
      <c r="H436" s="14">
        <v>4645000</v>
      </c>
      <c r="I436" s="14">
        <v>11</v>
      </c>
      <c r="J436" s="14">
        <v>1778000</v>
      </c>
      <c r="K436" s="14">
        <v>0</v>
      </c>
      <c r="L436" s="14">
        <v>0</v>
      </c>
      <c r="M436" s="4" t="e">
        <f>IF(F436="Tindakan",VLOOKUP(O436,#REF!,4,FALSE),IF(F436="Intensif",VLOOKUP(O436,#REF!,10,FALSE),IF(F436="Penunjang",VLOOKUP(O436,#REF!,16,FALSE),IF(F436="Visitase Berdasarkan Jumlah Pasien",VLOOKUP(O436,#REF!,22,FALSE),IF(F436="Visitase",VLOOKUP(O436,#REF!,28,FALSE),IF(F436="Rawat Jalan",VLOOKUP(O436,#REF!,34,FALSE),0))))))</f>
        <v>#REF!</v>
      </c>
      <c r="N436" s="12">
        <f t="shared" si="12"/>
        <v>0</v>
      </c>
      <c r="O436" t="s">
        <v>692</v>
      </c>
      <c r="P436">
        <v>426</v>
      </c>
    </row>
    <row r="437" spans="2:16" x14ac:dyDescent="0.35">
      <c r="B437" s="7">
        <f t="shared" si="13"/>
        <v>427</v>
      </c>
      <c r="C437" s="3" t="s">
        <v>209</v>
      </c>
      <c r="D437" s="4" t="s">
        <v>590</v>
      </c>
      <c r="E437" s="9" t="s">
        <v>159</v>
      </c>
      <c r="F437" s="9" t="s">
        <v>19</v>
      </c>
      <c r="G437" s="14">
        <v>10</v>
      </c>
      <c r="H437" s="14">
        <v>127750000</v>
      </c>
      <c r="I437" s="14">
        <v>3</v>
      </c>
      <c r="J437" s="14">
        <v>43500000</v>
      </c>
      <c r="K437" s="14">
        <v>0</v>
      </c>
      <c r="L437" s="14">
        <v>0</v>
      </c>
      <c r="M437" s="4" t="e">
        <f>IF(F437="Tindakan",VLOOKUP(O437,#REF!,4,FALSE),IF(F437="Intensif",VLOOKUP(O437,#REF!,10,FALSE),IF(F437="Penunjang",VLOOKUP(O437,#REF!,16,FALSE),IF(F437="Visitase Berdasarkan Jumlah Pasien",VLOOKUP(O437,#REF!,22,FALSE),IF(F437="Visitase",VLOOKUP(O437,#REF!,28,FALSE),IF(F437="Rawat Jalan",VLOOKUP(O437,#REF!,34,FALSE),0))))))</f>
        <v>#REF!</v>
      </c>
      <c r="N437" s="12">
        <f t="shared" si="12"/>
        <v>0</v>
      </c>
      <c r="O437" t="s">
        <v>692</v>
      </c>
      <c r="P437">
        <v>427</v>
      </c>
    </row>
    <row r="438" spans="2:16" x14ac:dyDescent="0.35">
      <c r="B438" s="7">
        <f t="shared" si="13"/>
        <v>428</v>
      </c>
      <c r="C438" s="3" t="s">
        <v>209</v>
      </c>
      <c r="D438" s="4" t="s">
        <v>590</v>
      </c>
      <c r="E438" s="9" t="s">
        <v>159</v>
      </c>
      <c r="F438" s="9" t="s">
        <v>22</v>
      </c>
      <c r="G438" s="14">
        <v>24</v>
      </c>
      <c r="H438" s="14">
        <v>1930000</v>
      </c>
      <c r="I438" s="14">
        <v>0</v>
      </c>
      <c r="J438" s="14">
        <v>0</v>
      </c>
      <c r="K438" s="14">
        <v>1</v>
      </c>
      <c r="L438" s="14">
        <v>250000</v>
      </c>
      <c r="M438" s="4" t="e">
        <f>IF(F438="Tindakan",VLOOKUP(O438,#REF!,4,FALSE),IF(F438="Intensif",VLOOKUP(O438,#REF!,10,FALSE),IF(F438="Penunjang",VLOOKUP(O438,#REF!,16,FALSE),IF(F438="Visitase Berdasarkan Jumlah Pasien",VLOOKUP(O438,#REF!,22,FALSE),IF(F438="Visitase",VLOOKUP(O438,#REF!,28,FALSE),IF(F438="Rawat Jalan",VLOOKUP(O438,#REF!,34,FALSE),0))))))</f>
        <v>#REF!</v>
      </c>
      <c r="N438" s="12">
        <f t="shared" si="12"/>
        <v>0</v>
      </c>
      <c r="O438" t="s">
        <v>692</v>
      </c>
      <c r="P438">
        <v>428</v>
      </c>
    </row>
    <row r="439" spans="2:16" x14ac:dyDescent="0.35">
      <c r="B439" s="7">
        <f t="shared" si="13"/>
        <v>429</v>
      </c>
      <c r="C439" s="3" t="s">
        <v>263</v>
      </c>
      <c r="D439" s="4" t="s">
        <v>591</v>
      </c>
      <c r="E439" s="9" t="s">
        <v>174</v>
      </c>
      <c r="F439" s="9" t="s">
        <v>190</v>
      </c>
      <c r="G439" s="14">
        <v>8</v>
      </c>
      <c r="H439" s="14">
        <v>1000000</v>
      </c>
      <c r="I439" s="14">
        <v>2</v>
      </c>
      <c r="J439" s="14">
        <v>285000</v>
      </c>
      <c r="K439" s="14">
        <v>0</v>
      </c>
      <c r="L439" s="14">
        <v>0</v>
      </c>
      <c r="M439" s="4" t="e">
        <f>IF(F439="Tindakan",VLOOKUP(O439,#REF!,4,FALSE),IF(F439="Intensif",VLOOKUP(O439,#REF!,10,FALSE),IF(F439="Penunjang",VLOOKUP(O439,#REF!,16,FALSE),IF(F439="Visitase Berdasarkan Jumlah Pasien",VLOOKUP(O439,#REF!,22,FALSE),IF(F439="Visitase",VLOOKUP(O439,#REF!,28,FALSE),IF(F439="Rawat Jalan",VLOOKUP(O439,#REF!,34,FALSE),0))))))</f>
        <v>#REF!</v>
      </c>
      <c r="N439" s="12">
        <f t="shared" si="12"/>
        <v>0</v>
      </c>
      <c r="O439" t="s">
        <v>705</v>
      </c>
      <c r="P439">
        <v>429</v>
      </c>
    </row>
    <row r="440" spans="2:16" x14ac:dyDescent="0.35">
      <c r="B440" s="7">
        <f t="shared" si="13"/>
        <v>430</v>
      </c>
      <c r="C440" s="3" t="s">
        <v>263</v>
      </c>
      <c r="D440" s="4" t="s">
        <v>591</v>
      </c>
      <c r="E440" s="9" t="s">
        <v>174</v>
      </c>
      <c r="F440" s="9" t="s">
        <v>22</v>
      </c>
      <c r="G440" s="14">
        <v>107</v>
      </c>
      <c r="H440" s="14">
        <v>11775000</v>
      </c>
      <c r="I440" s="14">
        <v>22</v>
      </c>
      <c r="J440" s="14">
        <v>2906000</v>
      </c>
      <c r="K440" s="14">
        <v>13</v>
      </c>
      <c r="L440" s="14">
        <v>2320000</v>
      </c>
      <c r="M440" s="4" t="e">
        <f>IF(F440="Tindakan",VLOOKUP(O440,#REF!,4,FALSE),IF(F440="Intensif",VLOOKUP(O440,#REF!,10,FALSE),IF(F440="Penunjang",VLOOKUP(O440,#REF!,16,FALSE),IF(F440="Visitase Berdasarkan Jumlah Pasien",VLOOKUP(O440,#REF!,22,FALSE),IF(F440="Visitase",VLOOKUP(O440,#REF!,28,FALSE),IF(F440="Rawat Jalan",VLOOKUP(O440,#REF!,34,FALSE),0))))))</f>
        <v>#REF!</v>
      </c>
      <c r="N440" s="12">
        <f t="shared" si="12"/>
        <v>0</v>
      </c>
      <c r="O440" t="s">
        <v>705</v>
      </c>
      <c r="P440">
        <v>430</v>
      </c>
    </row>
    <row r="441" spans="2:16" x14ac:dyDescent="0.35">
      <c r="B441" s="7">
        <f t="shared" si="13"/>
        <v>431</v>
      </c>
      <c r="C441" s="3" t="s">
        <v>263</v>
      </c>
      <c r="D441" s="4" t="s">
        <v>591</v>
      </c>
      <c r="E441" s="9" t="s">
        <v>174</v>
      </c>
      <c r="F441" s="9" t="s">
        <v>19</v>
      </c>
      <c r="G441" s="14">
        <v>6</v>
      </c>
      <c r="H441" s="14">
        <v>51000000</v>
      </c>
      <c r="I441" s="14">
        <v>0</v>
      </c>
      <c r="J441" s="14">
        <v>0</v>
      </c>
      <c r="K441" s="14">
        <v>0</v>
      </c>
      <c r="L441" s="14">
        <v>0</v>
      </c>
      <c r="M441" s="4" t="e">
        <f>IF(F441="Tindakan",VLOOKUP(O441,#REF!,4,FALSE),IF(F441="Intensif",VLOOKUP(O441,#REF!,10,FALSE),IF(F441="Penunjang",VLOOKUP(O441,#REF!,16,FALSE),IF(F441="Visitase Berdasarkan Jumlah Pasien",VLOOKUP(O441,#REF!,22,FALSE),IF(F441="Visitase",VLOOKUP(O441,#REF!,28,FALSE),IF(F441="Rawat Jalan",VLOOKUP(O441,#REF!,34,FALSE),0))))))</f>
        <v>#REF!</v>
      </c>
      <c r="N441" s="12">
        <f t="shared" si="12"/>
        <v>0</v>
      </c>
      <c r="O441" t="s">
        <v>705</v>
      </c>
      <c r="P441">
        <v>431</v>
      </c>
    </row>
    <row r="442" spans="2:16" x14ac:dyDescent="0.35">
      <c r="B442" s="7">
        <f t="shared" si="13"/>
        <v>432</v>
      </c>
      <c r="C442" s="3" t="s">
        <v>294</v>
      </c>
      <c r="D442" s="4" t="s">
        <v>592</v>
      </c>
      <c r="E442" s="9" t="s">
        <v>151</v>
      </c>
      <c r="F442" s="9" t="s">
        <v>20</v>
      </c>
      <c r="G442" s="14">
        <v>251</v>
      </c>
      <c r="H442" s="14">
        <v>371557000</v>
      </c>
      <c r="I442" s="14">
        <v>2</v>
      </c>
      <c r="J442" s="14">
        <v>350000</v>
      </c>
      <c r="K442" s="14">
        <v>0</v>
      </c>
      <c r="L442" s="14">
        <v>0</v>
      </c>
      <c r="M442" s="4" t="e">
        <f>IF(F442="Tindakan",VLOOKUP(O442,#REF!,4,FALSE),IF(F442="Intensif",VLOOKUP(O442,#REF!,10,FALSE),IF(F442="Penunjang",VLOOKUP(O442,#REF!,16,FALSE),IF(F442="Visitase Berdasarkan Jumlah Pasien",VLOOKUP(O442,#REF!,22,FALSE),IF(F442="Visitase",VLOOKUP(O442,#REF!,28,FALSE),IF(F442="Rawat Jalan",VLOOKUP(O442,#REF!,34,FALSE),0))))))</f>
        <v>#REF!</v>
      </c>
      <c r="N442" s="12">
        <f t="shared" si="12"/>
        <v>0</v>
      </c>
      <c r="O442" t="s">
        <v>690</v>
      </c>
      <c r="P442">
        <v>432</v>
      </c>
    </row>
    <row r="443" spans="2:16" x14ac:dyDescent="0.35">
      <c r="B443" s="7">
        <f t="shared" si="13"/>
        <v>433</v>
      </c>
      <c r="C443" s="3" t="s">
        <v>294</v>
      </c>
      <c r="D443" s="4" t="s">
        <v>592</v>
      </c>
      <c r="E443" s="9" t="s">
        <v>151</v>
      </c>
      <c r="F443" s="9" t="s">
        <v>19</v>
      </c>
      <c r="G443" s="14">
        <v>0</v>
      </c>
      <c r="H443" s="14">
        <v>0</v>
      </c>
      <c r="I443" s="14">
        <v>0</v>
      </c>
      <c r="J443" s="14">
        <v>0</v>
      </c>
      <c r="K443" s="14">
        <v>3</v>
      </c>
      <c r="L443" s="14">
        <v>99185000</v>
      </c>
      <c r="M443" s="4" t="e">
        <f>IF(F443="Tindakan",VLOOKUP(O443,#REF!,4,FALSE),IF(F443="Intensif",VLOOKUP(O443,#REF!,10,FALSE),IF(F443="Penunjang",VLOOKUP(O443,#REF!,16,FALSE),IF(F443="Visitase Berdasarkan Jumlah Pasien",VLOOKUP(O443,#REF!,22,FALSE),IF(F443="Visitase",VLOOKUP(O443,#REF!,28,FALSE),IF(F443="Rawat Jalan",VLOOKUP(O443,#REF!,34,FALSE),0))))))</f>
        <v>#REF!</v>
      </c>
      <c r="N443" s="12">
        <f t="shared" si="12"/>
        <v>0</v>
      </c>
      <c r="O443" t="s">
        <v>690</v>
      </c>
      <c r="P443">
        <v>433</v>
      </c>
    </row>
    <row r="444" spans="2:16" x14ac:dyDescent="0.35">
      <c r="B444" s="7">
        <f t="shared" si="13"/>
        <v>434</v>
      </c>
      <c r="C444" s="3" t="s">
        <v>294</v>
      </c>
      <c r="D444" s="4" t="s">
        <v>592</v>
      </c>
      <c r="E444" s="9" t="s">
        <v>151</v>
      </c>
      <c r="F444" s="9" t="s">
        <v>22</v>
      </c>
      <c r="G444" s="14">
        <v>1</v>
      </c>
      <c r="H444" s="14">
        <v>140000</v>
      </c>
      <c r="I444" s="14">
        <v>0</v>
      </c>
      <c r="J444" s="14">
        <v>0</v>
      </c>
      <c r="K444" s="14">
        <v>0</v>
      </c>
      <c r="L444" s="14">
        <v>0</v>
      </c>
      <c r="M444" s="4" t="e">
        <f>IF(F444="Tindakan",VLOOKUP(O444,#REF!,4,FALSE),IF(F444="Intensif",VLOOKUP(O444,#REF!,10,FALSE),IF(F444="Penunjang",VLOOKUP(O444,#REF!,16,FALSE),IF(F444="Visitase Berdasarkan Jumlah Pasien",VLOOKUP(O444,#REF!,22,FALSE),IF(F444="Visitase",VLOOKUP(O444,#REF!,28,FALSE),IF(F444="Rawat Jalan",VLOOKUP(O444,#REF!,34,FALSE),0))))))</f>
        <v>#REF!</v>
      </c>
      <c r="N444" s="12">
        <f t="shared" si="12"/>
        <v>0</v>
      </c>
      <c r="O444" t="s">
        <v>690</v>
      </c>
      <c r="P444">
        <v>434</v>
      </c>
    </row>
    <row r="445" spans="2:16" x14ac:dyDescent="0.35">
      <c r="B445" s="7">
        <f t="shared" si="13"/>
        <v>435</v>
      </c>
      <c r="C445" s="3" t="s">
        <v>319</v>
      </c>
      <c r="D445" s="4" t="s">
        <v>593</v>
      </c>
      <c r="E445" s="9" t="s">
        <v>146</v>
      </c>
      <c r="F445" s="9" t="s">
        <v>190</v>
      </c>
      <c r="G445" s="14">
        <v>101</v>
      </c>
      <c r="H445" s="14">
        <v>13765000</v>
      </c>
      <c r="I445" s="14">
        <v>0</v>
      </c>
      <c r="J445" s="14">
        <v>0</v>
      </c>
      <c r="K445" s="14">
        <v>0</v>
      </c>
      <c r="L445" s="14">
        <v>0</v>
      </c>
      <c r="M445" s="4" t="e">
        <f>IF(F445="Tindakan",VLOOKUP(O445,#REF!,4,FALSE),IF(F445="Intensif",VLOOKUP(O445,#REF!,10,FALSE),IF(F445="Penunjang",VLOOKUP(O445,#REF!,16,FALSE),IF(F445="Visitase Berdasarkan Jumlah Pasien",VLOOKUP(O445,#REF!,22,FALSE),IF(F445="Visitase",VLOOKUP(O445,#REF!,28,FALSE),IF(F445="Rawat Jalan",VLOOKUP(O445,#REF!,34,FALSE),0))))))</f>
        <v>#REF!</v>
      </c>
      <c r="N445" s="12">
        <f t="shared" si="12"/>
        <v>0</v>
      </c>
      <c r="O445" t="s">
        <v>696</v>
      </c>
      <c r="P445">
        <v>435</v>
      </c>
    </row>
    <row r="446" spans="2:16" x14ac:dyDescent="0.35">
      <c r="B446" s="7">
        <f t="shared" si="13"/>
        <v>436</v>
      </c>
      <c r="C446" s="3" t="s">
        <v>319</v>
      </c>
      <c r="D446" s="4" t="s">
        <v>593</v>
      </c>
      <c r="E446" s="9" t="s">
        <v>146</v>
      </c>
      <c r="F446" s="9" t="s">
        <v>20</v>
      </c>
      <c r="G446" s="14">
        <v>19</v>
      </c>
      <c r="H446" s="14">
        <v>3205000</v>
      </c>
      <c r="I446" s="14">
        <v>0</v>
      </c>
      <c r="J446" s="14">
        <v>0</v>
      </c>
      <c r="K446" s="14">
        <v>0</v>
      </c>
      <c r="L446" s="14">
        <v>0</v>
      </c>
      <c r="M446" s="4" t="e">
        <f>IF(F446="Tindakan",VLOOKUP(O446,#REF!,4,FALSE),IF(F446="Intensif",VLOOKUP(O446,#REF!,10,FALSE),IF(F446="Penunjang",VLOOKUP(O446,#REF!,16,FALSE),IF(F446="Visitase Berdasarkan Jumlah Pasien",VLOOKUP(O446,#REF!,22,FALSE),IF(F446="Visitase",VLOOKUP(O446,#REF!,28,FALSE),IF(F446="Rawat Jalan",VLOOKUP(O446,#REF!,34,FALSE),0))))))</f>
        <v>#REF!</v>
      </c>
      <c r="N446" s="12">
        <f t="shared" si="12"/>
        <v>0</v>
      </c>
      <c r="O446" t="s">
        <v>696</v>
      </c>
      <c r="P446">
        <v>436</v>
      </c>
    </row>
    <row r="447" spans="2:16" x14ac:dyDescent="0.35">
      <c r="B447" s="7">
        <f t="shared" si="13"/>
        <v>437</v>
      </c>
      <c r="C447" s="3" t="s">
        <v>319</v>
      </c>
      <c r="D447" s="4" t="s">
        <v>593</v>
      </c>
      <c r="E447" s="9" t="s">
        <v>146</v>
      </c>
      <c r="F447" s="9" t="s">
        <v>22</v>
      </c>
      <c r="G447" s="14">
        <v>130</v>
      </c>
      <c r="H447" s="14">
        <v>23368000</v>
      </c>
      <c r="I447" s="14">
        <v>5</v>
      </c>
      <c r="J447" s="14">
        <v>615000</v>
      </c>
      <c r="K447" s="14">
        <v>23</v>
      </c>
      <c r="L447" s="14">
        <v>6750000</v>
      </c>
      <c r="M447" s="4" t="e">
        <f>IF(F447="Tindakan",VLOOKUP(O447,#REF!,4,FALSE),IF(F447="Intensif",VLOOKUP(O447,#REF!,10,FALSE),IF(F447="Penunjang",VLOOKUP(O447,#REF!,16,FALSE),IF(F447="Visitase Berdasarkan Jumlah Pasien",VLOOKUP(O447,#REF!,22,FALSE),IF(F447="Visitase",VLOOKUP(O447,#REF!,28,FALSE),IF(F447="Rawat Jalan",VLOOKUP(O447,#REF!,34,FALSE),0))))))</f>
        <v>#REF!</v>
      </c>
      <c r="N447" s="12">
        <f t="shared" si="12"/>
        <v>0</v>
      </c>
      <c r="O447" t="s">
        <v>696</v>
      </c>
      <c r="P447">
        <v>437</v>
      </c>
    </row>
    <row r="448" spans="2:16" x14ac:dyDescent="0.35">
      <c r="B448" s="7">
        <f t="shared" si="13"/>
        <v>438</v>
      </c>
      <c r="C448" s="3" t="s">
        <v>286</v>
      </c>
      <c r="D448" s="4" t="s">
        <v>594</v>
      </c>
      <c r="E448" s="9" t="s">
        <v>164</v>
      </c>
      <c r="F448" s="9" t="s">
        <v>190</v>
      </c>
      <c r="G448" s="14">
        <v>72</v>
      </c>
      <c r="H448" s="14">
        <v>9280000</v>
      </c>
      <c r="I448" s="14">
        <v>17</v>
      </c>
      <c r="J448" s="14">
        <v>2380000</v>
      </c>
      <c r="K448" s="14">
        <v>0</v>
      </c>
      <c r="L448" s="14">
        <v>0</v>
      </c>
      <c r="M448" s="4" t="e">
        <f>IF(F448="Tindakan",VLOOKUP(O448,#REF!,4,FALSE),IF(F448="Intensif",VLOOKUP(O448,#REF!,10,FALSE),IF(F448="Penunjang",VLOOKUP(O448,#REF!,16,FALSE),IF(F448="Visitase Berdasarkan Jumlah Pasien",VLOOKUP(O448,#REF!,22,FALSE),IF(F448="Visitase",VLOOKUP(O448,#REF!,28,FALSE),IF(F448="Rawat Jalan",VLOOKUP(O448,#REF!,34,FALSE),0))))))</f>
        <v>#REF!</v>
      </c>
      <c r="N448" s="12">
        <f t="shared" si="12"/>
        <v>0</v>
      </c>
      <c r="O448" t="s">
        <v>693</v>
      </c>
      <c r="P448">
        <v>438</v>
      </c>
    </row>
    <row r="449" spans="2:16" x14ac:dyDescent="0.35">
      <c r="B449" s="7">
        <f t="shared" si="13"/>
        <v>439</v>
      </c>
      <c r="C449" s="3" t="s">
        <v>286</v>
      </c>
      <c r="D449" s="4" t="s">
        <v>594</v>
      </c>
      <c r="E449" s="9" t="s">
        <v>164</v>
      </c>
      <c r="F449" s="9" t="s">
        <v>20</v>
      </c>
      <c r="G449" s="14">
        <v>2</v>
      </c>
      <c r="H449" s="14">
        <v>350000</v>
      </c>
      <c r="I449" s="14">
        <v>0</v>
      </c>
      <c r="J449" s="14">
        <v>0</v>
      </c>
      <c r="K449" s="14">
        <v>0</v>
      </c>
      <c r="L449" s="14">
        <v>0</v>
      </c>
      <c r="M449" s="4" t="e">
        <f>IF(F449="Tindakan",VLOOKUP(O449,#REF!,4,FALSE),IF(F449="Intensif",VLOOKUP(O449,#REF!,10,FALSE),IF(F449="Penunjang",VLOOKUP(O449,#REF!,16,FALSE),IF(F449="Visitase Berdasarkan Jumlah Pasien",VLOOKUP(O449,#REF!,22,FALSE),IF(F449="Visitase",VLOOKUP(O449,#REF!,28,FALSE),IF(F449="Rawat Jalan",VLOOKUP(O449,#REF!,34,FALSE),0))))))</f>
        <v>#REF!</v>
      </c>
      <c r="N449" s="12">
        <f t="shared" si="12"/>
        <v>0</v>
      </c>
      <c r="O449" t="s">
        <v>693</v>
      </c>
      <c r="P449">
        <v>439</v>
      </c>
    </row>
    <row r="450" spans="2:16" x14ac:dyDescent="0.35">
      <c r="B450" s="7">
        <f t="shared" si="13"/>
        <v>440</v>
      </c>
      <c r="C450" s="3" t="s">
        <v>286</v>
      </c>
      <c r="D450" s="4" t="s">
        <v>594</v>
      </c>
      <c r="E450" s="9" t="s">
        <v>164</v>
      </c>
      <c r="F450" s="9" t="s">
        <v>22</v>
      </c>
      <c r="G450" s="14">
        <v>31</v>
      </c>
      <c r="H450" s="14">
        <v>3949000</v>
      </c>
      <c r="I450" s="14">
        <v>0</v>
      </c>
      <c r="J450" s="14">
        <v>0</v>
      </c>
      <c r="K450" s="14">
        <v>6</v>
      </c>
      <c r="L450" s="14">
        <v>1836000</v>
      </c>
      <c r="M450" s="4" t="e">
        <f>IF(F450="Tindakan",VLOOKUP(O450,#REF!,4,FALSE),IF(F450="Intensif",VLOOKUP(O450,#REF!,10,FALSE),IF(F450="Penunjang",VLOOKUP(O450,#REF!,16,FALSE),IF(F450="Visitase Berdasarkan Jumlah Pasien",VLOOKUP(O450,#REF!,22,FALSE),IF(F450="Visitase",VLOOKUP(O450,#REF!,28,FALSE),IF(F450="Rawat Jalan",VLOOKUP(O450,#REF!,34,FALSE),0))))))</f>
        <v>#REF!</v>
      </c>
      <c r="N450" s="12">
        <f t="shared" si="12"/>
        <v>0</v>
      </c>
      <c r="O450" t="s">
        <v>693</v>
      </c>
      <c r="P450">
        <v>440</v>
      </c>
    </row>
    <row r="451" spans="2:16" x14ac:dyDescent="0.35">
      <c r="B451" s="7">
        <f t="shared" si="13"/>
        <v>441</v>
      </c>
      <c r="C451" s="3" t="s">
        <v>286</v>
      </c>
      <c r="D451" s="4" t="s">
        <v>594</v>
      </c>
      <c r="E451" s="9" t="s">
        <v>164</v>
      </c>
      <c r="F451" s="9" t="s">
        <v>19</v>
      </c>
      <c r="G451" s="14">
        <v>12</v>
      </c>
      <c r="H451" s="14">
        <v>124100000</v>
      </c>
      <c r="I451" s="14">
        <v>0</v>
      </c>
      <c r="J451" s="14">
        <v>0</v>
      </c>
      <c r="K451" s="14">
        <v>0</v>
      </c>
      <c r="L451" s="14">
        <v>0</v>
      </c>
      <c r="M451" s="4" t="e">
        <f>IF(F451="Tindakan",VLOOKUP(O451,#REF!,4,FALSE),IF(F451="Intensif",VLOOKUP(O451,#REF!,10,FALSE),IF(F451="Penunjang",VLOOKUP(O451,#REF!,16,FALSE),IF(F451="Visitase Berdasarkan Jumlah Pasien",VLOOKUP(O451,#REF!,22,FALSE),IF(F451="Visitase",VLOOKUP(O451,#REF!,28,FALSE),IF(F451="Rawat Jalan",VLOOKUP(O451,#REF!,34,FALSE),0))))))</f>
        <v>#REF!</v>
      </c>
      <c r="N451" s="12">
        <f t="shared" si="12"/>
        <v>0</v>
      </c>
      <c r="O451" t="s">
        <v>693</v>
      </c>
      <c r="P451">
        <v>441</v>
      </c>
    </row>
    <row r="452" spans="2:16" x14ac:dyDescent="0.35">
      <c r="B452" s="7">
        <f t="shared" si="13"/>
        <v>442</v>
      </c>
      <c r="C452" s="3" t="s">
        <v>230</v>
      </c>
      <c r="D452" s="4" t="s">
        <v>595</v>
      </c>
      <c r="E452" s="9" t="s">
        <v>188</v>
      </c>
      <c r="F452" s="9" t="s">
        <v>190</v>
      </c>
      <c r="G452" s="14">
        <v>31</v>
      </c>
      <c r="H452" s="14">
        <v>4260000</v>
      </c>
      <c r="I452" s="14">
        <v>1</v>
      </c>
      <c r="J452" s="14">
        <v>160000</v>
      </c>
      <c r="K452" s="14">
        <v>0</v>
      </c>
      <c r="L452" s="14">
        <v>0</v>
      </c>
      <c r="M452" s="4" t="e">
        <f>IF(F452="Tindakan",VLOOKUP(O452,#REF!,4,FALSE),IF(F452="Intensif",VLOOKUP(O452,#REF!,10,FALSE),IF(F452="Penunjang",VLOOKUP(O452,#REF!,16,FALSE),IF(F452="Visitase Berdasarkan Jumlah Pasien",VLOOKUP(O452,#REF!,22,FALSE),IF(F452="Visitase",VLOOKUP(O452,#REF!,28,FALSE),IF(F452="Rawat Jalan",VLOOKUP(O452,#REF!,34,FALSE),0))))))</f>
        <v>#REF!</v>
      </c>
      <c r="N452" s="12">
        <f t="shared" si="12"/>
        <v>0</v>
      </c>
      <c r="O452" t="s">
        <v>688</v>
      </c>
      <c r="P452">
        <v>442</v>
      </c>
    </row>
    <row r="453" spans="2:16" x14ac:dyDescent="0.35">
      <c r="B453" s="7">
        <f t="shared" si="13"/>
        <v>443</v>
      </c>
      <c r="C453" s="3" t="s">
        <v>230</v>
      </c>
      <c r="D453" s="4" t="s">
        <v>595</v>
      </c>
      <c r="E453" s="9" t="s">
        <v>188</v>
      </c>
      <c r="F453" s="9" t="s">
        <v>20</v>
      </c>
      <c r="G453" s="14">
        <v>6</v>
      </c>
      <c r="H453" s="14">
        <v>975000</v>
      </c>
      <c r="I453" s="14">
        <v>1</v>
      </c>
      <c r="J453" s="14">
        <v>175000</v>
      </c>
      <c r="K453" s="14">
        <v>0</v>
      </c>
      <c r="L453" s="14">
        <v>0</v>
      </c>
      <c r="M453" s="4" t="e">
        <f>IF(F453="Tindakan",VLOOKUP(O453,#REF!,4,FALSE),IF(F453="Intensif",VLOOKUP(O453,#REF!,10,FALSE),IF(F453="Penunjang",VLOOKUP(O453,#REF!,16,FALSE),IF(F453="Visitase Berdasarkan Jumlah Pasien",VLOOKUP(O453,#REF!,22,FALSE),IF(F453="Visitase",VLOOKUP(O453,#REF!,28,FALSE),IF(F453="Rawat Jalan",VLOOKUP(O453,#REF!,34,FALSE),0))))))</f>
        <v>#REF!</v>
      </c>
      <c r="N453" s="12">
        <f t="shared" si="12"/>
        <v>0</v>
      </c>
      <c r="O453" t="s">
        <v>688</v>
      </c>
      <c r="P453">
        <v>443</v>
      </c>
    </row>
    <row r="454" spans="2:16" x14ac:dyDescent="0.35">
      <c r="B454" s="7">
        <f t="shared" si="13"/>
        <v>444</v>
      </c>
      <c r="C454" s="3" t="s">
        <v>230</v>
      </c>
      <c r="D454" s="4" t="s">
        <v>595</v>
      </c>
      <c r="E454" s="9" t="s">
        <v>188</v>
      </c>
      <c r="F454" s="9" t="s">
        <v>22</v>
      </c>
      <c r="G454" s="14">
        <v>162</v>
      </c>
      <c r="H454" s="14">
        <v>373255000</v>
      </c>
      <c r="I454" s="14">
        <v>8</v>
      </c>
      <c r="J454" s="14">
        <v>750000</v>
      </c>
      <c r="K454" s="14">
        <v>8</v>
      </c>
      <c r="L454" s="14">
        <v>2230000</v>
      </c>
      <c r="M454" s="4" t="e">
        <f>IF(F454="Tindakan",VLOOKUP(O454,#REF!,4,FALSE),IF(F454="Intensif",VLOOKUP(O454,#REF!,10,FALSE),IF(F454="Penunjang",VLOOKUP(O454,#REF!,16,FALSE),IF(F454="Visitase Berdasarkan Jumlah Pasien",VLOOKUP(O454,#REF!,22,FALSE),IF(F454="Visitase",VLOOKUP(O454,#REF!,28,FALSE),IF(F454="Rawat Jalan",VLOOKUP(O454,#REF!,34,FALSE),0))))))</f>
        <v>#REF!</v>
      </c>
      <c r="N454" s="12">
        <f t="shared" si="12"/>
        <v>0</v>
      </c>
      <c r="O454" t="s">
        <v>688</v>
      </c>
      <c r="P454">
        <v>444</v>
      </c>
    </row>
    <row r="455" spans="2:16" x14ac:dyDescent="0.35">
      <c r="B455" s="7">
        <f t="shared" si="13"/>
        <v>445</v>
      </c>
      <c r="C455" s="3" t="s">
        <v>230</v>
      </c>
      <c r="D455" s="4" t="s">
        <v>595</v>
      </c>
      <c r="E455" s="9" t="s">
        <v>188</v>
      </c>
      <c r="F455" s="9" t="s">
        <v>19</v>
      </c>
      <c r="G455" s="14">
        <v>14</v>
      </c>
      <c r="H455" s="14">
        <v>99750000</v>
      </c>
      <c r="I455" s="14">
        <v>0</v>
      </c>
      <c r="J455" s="14">
        <v>0</v>
      </c>
      <c r="K455" s="14">
        <v>0</v>
      </c>
      <c r="L455" s="14">
        <v>0</v>
      </c>
      <c r="M455" s="4" t="e">
        <f>IF(F455="Tindakan",VLOOKUP(O455,#REF!,4,FALSE),IF(F455="Intensif",VLOOKUP(O455,#REF!,10,FALSE),IF(F455="Penunjang",VLOOKUP(O455,#REF!,16,FALSE),IF(F455="Visitase Berdasarkan Jumlah Pasien",VLOOKUP(O455,#REF!,22,FALSE),IF(F455="Visitase",VLOOKUP(O455,#REF!,28,FALSE),IF(F455="Rawat Jalan",VLOOKUP(O455,#REF!,34,FALSE),0))))))</f>
        <v>#REF!</v>
      </c>
      <c r="N455" s="12">
        <f t="shared" si="12"/>
        <v>0</v>
      </c>
      <c r="O455" t="s">
        <v>688</v>
      </c>
      <c r="P455">
        <v>445</v>
      </c>
    </row>
    <row r="456" spans="2:16" x14ac:dyDescent="0.35">
      <c r="B456" s="7">
        <f t="shared" si="13"/>
        <v>446</v>
      </c>
      <c r="C456" s="3" t="s">
        <v>330</v>
      </c>
      <c r="D456" s="4" t="s">
        <v>596</v>
      </c>
      <c r="E456" s="9" t="s">
        <v>148</v>
      </c>
      <c r="F456" s="9" t="s">
        <v>20</v>
      </c>
      <c r="G456" s="14">
        <v>74</v>
      </c>
      <c r="H456" s="14">
        <v>14667500</v>
      </c>
      <c r="I456" s="14">
        <v>5</v>
      </c>
      <c r="J456" s="14">
        <v>875000</v>
      </c>
      <c r="K456" s="14">
        <v>0</v>
      </c>
      <c r="L456" s="14">
        <v>0</v>
      </c>
      <c r="M456" s="4" t="e">
        <f>IF(F456="Tindakan",VLOOKUP(O456,#REF!,4,FALSE),IF(F456="Intensif",VLOOKUP(O456,#REF!,10,FALSE),IF(F456="Penunjang",VLOOKUP(O456,#REF!,16,FALSE),IF(F456="Visitase Berdasarkan Jumlah Pasien",VLOOKUP(O456,#REF!,22,FALSE),IF(F456="Visitase",VLOOKUP(O456,#REF!,28,FALSE),IF(F456="Rawat Jalan",VLOOKUP(O456,#REF!,34,FALSE),0))))))</f>
        <v>#REF!</v>
      </c>
      <c r="N456" s="12">
        <f t="shared" si="12"/>
        <v>0</v>
      </c>
      <c r="O456" t="s">
        <v>700</v>
      </c>
      <c r="P456">
        <v>446</v>
      </c>
    </row>
    <row r="457" spans="2:16" x14ac:dyDescent="0.35">
      <c r="B457" s="7">
        <f t="shared" si="13"/>
        <v>447</v>
      </c>
      <c r="C457" s="3" t="s">
        <v>330</v>
      </c>
      <c r="D457" s="4" t="s">
        <v>596</v>
      </c>
      <c r="E457" s="9" t="s">
        <v>148</v>
      </c>
      <c r="F457" s="9" t="s">
        <v>190</v>
      </c>
      <c r="G457" s="14">
        <v>40</v>
      </c>
      <c r="H457" s="14">
        <v>5820000</v>
      </c>
      <c r="I457" s="14">
        <v>2</v>
      </c>
      <c r="J457" s="14">
        <v>280000</v>
      </c>
      <c r="K457" s="14">
        <v>0</v>
      </c>
      <c r="L457" s="14">
        <v>0</v>
      </c>
      <c r="M457" s="4" t="e">
        <f>IF(F457="Tindakan",VLOOKUP(O457,#REF!,4,FALSE),IF(F457="Intensif",VLOOKUP(O457,#REF!,10,FALSE),IF(F457="Penunjang",VLOOKUP(O457,#REF!,16,FALSE),IF(F457="Visitase Berdasarkan Jumlah Pasien",VLOOKUP(O457,#REF!,22,FALSE),IF(F457="Visitase",VLOOKUP(O457,#REF!,28,FALSE),IF(F457="Rawat Jalan",VLOOKUP(O457,#REF!,34,FALSE),0))))))</f>
        <v>#REF!</v>
      </c>
      <c r="N457" s="12">
        <f t="shared" si="12"/>
        <v>0</v>
      </c>
      <c r="O457" t="s">
        <v>700</v>
      </c>
      <c r="P457">
        <v>447</v>
      </c>
    </row>
    <row r="458" spans="2:16" x14ac:dyDescent="0.35">
      <c r="B458" s="7">
        <f t="shared" si="13"/>
        <v>448</v>
      </c>
      <c r="C458" s="3" t="s">
        <v>330</v>
      </c>
      <c r="D458" s="4" t="s">
        <v>596</v>
      </c>
      <c r="E458" s="9" t="s">
        <v>148</v>
      </c>
      <c r="F458" s="9" t="s">
        <v>19</v>
      </c>
      <c r="G458" s="14">
        <v>9</v>
      </c>
      <c r="H458" s="14">
        <v>44111000</v>
      </c>
      <c r="I458" s="14">
        <v>1</v>
      </c>
      <c r="J458" s="14">
        <v>5500000</v>
      </c>
      <c r="K458" s="14">
        <v>0</v>
      </c>
      <c r="L458" s="14">
        <v>0</v>
      </c>
      <c r="M458" s="4" t="e">
        <f>IF(F458="Tindakan",VLOOKUP(O458,#REF!,4,FALSE),IF(F458="Intensif",VLOOKUP(O458,#REF!,10,FALSE),IF(F458="Penunjang",VLOOKUP(O458,#REF!,16,FALSE),IF(F458="Visitase Berdasarkan Jumlah Pasien",VLOOKUP(O458,#REF!,22,FALSE),IF(F458="Visitase",VLOOKUP(O458,#REF!,28,FALSE),IF(F458="Rawat Jalan",VLOOKUP(O458,#REF!,34,FALSE),0))))))</f>
        <v>#REF!</v>
      </c>
      <c r="N458" s="12">
        <f t="shared" si="12"/>
        <v>0</v>
      </c>
      <c r="O458" t="s">
        <v>700</v>
      </c>
      <c r="P458">
        <v>448</v>
      </c>
    </row>
    <row r="459" spans="2:16" x14ac:dyDescent="0.35">
      <c r="B459" s="7">
        <f t="shared" si="13"/>
        <v>449</v>
      </c>
      <c r="C459" s="3" t="s">
        <v>330</v>
      </c>
      <c r="D459" s="4" t="s">
        <v>596</v>
      </c>
      <c r="E459" s="9" t="s">
        <v>148</v>
      </c>
      <c r="F459" s="9" t="s">
        <v>22</v>
      </c>
      <c r="G459" s="14">
        <v>1</v>
      </c>
      <c r="H459" s="14">
        <v>300000</v>
      </c>
      <c r="I459" s="14">
        <v>0</v>
      </c>
      <c r="J459" s="14">
        <v>0</v>
      </c>
      <c r="K459" s="14">
        <v>5</v>
      </c>
      <c r="L459" s="14">
        <v>1500000</v>
      </c>
      <c r="M459" s="4" t="e">
        <f>IF(F459="Tindakan",VLOOKUP(O459,#REF!,4,FALSE),IF(F459="Intensif",VLOOKUP(O459,#REF!,10,FALSE),IF(F459="Penunjang",VLOOKUP(O459,#REF!,16,FALSE),IF(F459="Visitase Berdasarkan Jumlah Pasien",VLOOKUP(O459,#REF!,22,FALSE),IF(F459="Visitase",VLOOKUP(O459,#REF!,28,FALSE),IF(F459="Rawat Jalan",VLOOKUP(O459,#REF!,34,FALSE),0))))))</f>
        <v>#REF!</v>
      </c>
      <c r="N459" s="12">
        <f t="shared" si="12"/>
        <v>0</v>
      </c>
      <c r="O459" t="s">
        <v>700</v>
      </c>
      <c r="P459">
        <v>449</v>
      </c>
    </row>
    <row r="460" spans="2:16" x14ac:dyDescent="0.35">
      <c r="B460" s="7">
        <f t="shared" si="13"/>
        <v>450</v>
      </c>
      <c r="C460" s="3" t="s">
        <v>206</v>
      </c>
      <c r="D460" s="4" t="s">
        <v>597</v>
      </c>
      <c r="E460" s="9" t="s">
        <v>177</v>
      </c>
      <c r="F460" s="9" t="s">
        <v>190</v>
      </c>
      <c r="G460" s="14">
        <v>14</v>
      </c>
      <c r="H460" s="14">
        <v>1750000</v>
      </c>
      <c r="I460" s="14">
        <v>0</v>
      </c>
      <c r="J460" s="14">
        <v>0</v>
      </c>
      <c r="K460" s="14">
        <v>0</v>
      </c>
      <c r="L460" s="14">
        <v>0</v>
      </c>
      <c r="M460" s="4" t="e">
        <f>IF(F460="Tindakan",VLOOKUP(O460,#REF!,4,FALSE),IF(F460="Intensif",VLOOKUP(O460,#REF!,10,FALSE),IF(F460="Penunjang",VLOOKUP(O460,#REF!,16,FALSE),IF(F460="Visitase Berdasarkan Jumlah Pasien",VLOOKUP(O460,#REF!,22,FALSE),IF(F460="Visitase",VLOOKUP(O460,#REF!,28,FALSE),IF(F460="Rawat Jalan",VLOOKUP(O460,#REF!,34,FALSE),0))))))</f>
        <v>#REF!</v>
      </c>
      <c r="N460" s="12">
        <f t="shared" ref="N460:N523" si="14">IFERROR((G460/M460)*100%, 0)</f>
        <v>0</v>
      </c>
      <c r="O460" t="s">
        <v>702</v>
      </c>
      <c r="P460">
        <v>450</v>
      </c>
    </row>
    <row r="461" spans="2:16" x14ac:dyDescent="0.35">
      <c r="B461" s="7">
        <f t="shared" ref="B461:B524" si="15">B460+1</f>
        <v>451</v>
      </c>
      <c r="C461" s="3" t="s">
        <v>206</v>
      </c>
      <c r="D461" s="4" t="s">
        <v>597</v>
      </c>
      <c r="E461" s="9" t="s">
        <v>177</v>
      </c>
      <c r="F461" s="9" t="s">
        <v>20</v>
      </c>
      <c r="G461" s="14">
        <v>0</v>
      </c>
      <c r="H461" s="14">
        <v>0</v>
      </c>
      <c r="I461" s="14">
        <v>0</v>
      </c>
      <c r="J461" s="14">
        <v>0</v>
      </c>
      <c r="K461" s="14">
        <v>1</v>
      </c>
      <c r="L461" s="14">
        <v>175000</v>
      </c>
      <c r="M461" s="4" t="e">
        <f>IF(F461="Tindakan",VLOOKUP(O461,#REF!,4,FALSE),IF(F461="Intensif",VLOOKUP(O461,#REF!,10,FALSE),IF(F461="Penunjang",VLOOKUP(O461,#REF!,16,FALSE),IF(F461="Visitase Berdasarkan Jumlah Pasien",VLOOKUP(O461,#REF!,22,FALSE),IF(F461="Visitase",VLOOKUP(O461,#REF!,28,FALSE),IF(F461="Rawat Jalan",VLOOKUP(O461,#REF!,34,FALSE),0))))))</f>
        <v>#REF!</v>
      </c>
      <c r="N461" s="12">
        <f t="shared" si="14"/>
        <v>0</v>
      </c>
      <c r="O461" t="s">
        <v>702</v>
      </c>
      <c r="P461">
        <v>451</v>
      </c>
    </row>
    <row r="462" spans="2:16" x14ac:dyDescent="0.35">
      <c r="B462" s="7">
        <f t="shared" si="15"/>
        <v>452</v>
      </c>
      <c r="C462" s="3" t="s">
        <v>206</v>
      </c>
      <c r="D462" s="4" t="s">
        <v>597</v>
      </c>
      <c r="E462" s="9" t="s">
        <v>177</v>
      </c>
      <c r="F462" s="9" t="s">
        <v>22</v>
      </c>
      <c r="G462" s="14">
        <v>391</v>
      </c>
      <c r="H462" s="14">
        <v>32989000</v>
      </c>
      <c r="I462" s="14">
        <v>22</v>
      </c>
      <c r="J462" s="14">
        <v>1825000</v>
      </c>
      <c r="K462" s="14">
        <v>0</v>
      </c>
      <c r="L462" s="14">
        <v>0</v>
      </c>
      <c r="M462" s="4" t="e">
        <f>IF(F462="Tindakan",VLOOKUP(O462,#REF!,4,FALSE),IF(F462="Intensif",VLOOKUP(O462,#REF!,10,FALSE),IF(F462="Penunjang",VLOOKUP(O462,#REF!,16,FALSE),IF(F462="Visitase Berdasarkan Jumlah Pasien",VLOOKUP(O462,#REF!,22,FALSE),IF(F462="Visitase",VLOOKUP(O462,#REF!,28,FALSE),IF(F462="Rawat Jalan",VLOOKUP(O462,#REF!,34,FALSE),0))))))</f>
        <v>#REF!</v>
      </c>
      <c r="N462" s="12">
        <f t="shared" si="14"/>
        <v>0</v>
      </c>
      <c r="O462" t="s">
        <v>702</v>
      </c>
      <c r="P462">
        <v>452</v>
      </c>
    </row>
    <row r="463" spans="2:16" x14ac:dyDescent="0.35">
      <c r="B463" s="7">
        <f t="shared" si="15"/>
        <v>453</v>
      </c>
      <c r="C463" s="3" t="s">
        <v>206</v>
      </c>
      <c r="D463" s="4" t="s">
        <v>597</v>
      </c>
      <c r="E463" s="9" t="s">
        <v>177</v>
      </c>
      <c r="F463" s="9" t="s">
        <v>19</v>
      </c>
      <c r="G463" s="14">
        <v>17</v>
      </c>
      <c r="H463" s="14">
        <v>79471000</v>
      </c>
      <c r="I463" s="14">
        <v>0</v>
      </c>
      <c r="J463" s="14">
        <v>0</v>
      </c>
      <c r="K463" s="14">
        <v>1</v>
      </c>
      <c r="L463" s="14">
        <v>19695000</v>
      </c>
      <c r="M463" s="4" t="e">
        <f>IF(F463="Tindakan",VLOOKUP(O463,#REF!,4,FALSE),IF(F463="Intensif",VLOOKUP(O463,#REF!,10,FALSE),IF(F463="Penunjang",VLOOKUP(O463,#REF!,16,FALSE),IF(F463="Visitase Berdasarkan Jumlah Pasien",VLOOKUP(O463,#REF!,22,FALSE),IF(F463="Visitase",VLOOKUP(O463,#REF!,28,FALSE),IF(F463="Rawat Jalan",VLOOKUP(O463,#REF!,34,FALSE),0))))))</f>
        <v>#REF!</v>
      </c>
      <c r="N463" s="12">
        <f t="shared" si="14"/>
        <v>0</v>
      </c>
      <c r="O463" t="s">
        <v>702</v>
      </c>
      <c r="P463">
        <v>453</v>
      </c>
    </row>
    <row r="464" spans="2:16" x14ac:dyDescent="0.35">
      <c r="B464" s="7">
        <f t="shared" si="15"/>
        <v>454</v>
      </c>
      <c r="C464" s="3" t="s">
        <v>200</v>
      </c>
      <c r="D464" s="4" t="s">
        <v>598</v>
      </c>
      <c r="E464" s="9" t="s">
        <v>168</v>
      </c>
      <c r="F464" s="9" t="s">
        <v>20</v>
      </c>
      <c r="G464" s="14">
        <v>13</v>
      </c>
      <c r="H464" s="14">
        <v>3992500</v>
      </c>
      <c r="I464" s="14">
        <v>0</v>
      </c>
      <c r="J464" s="14">
        <v>0</v>
      </c>
      <c r="K464" s="14">
        <v>0</v>
      </c>
      <c r="L464" s="14">
        <v>0</v>
      </c>
      <c r="M464" s="4" t="e">
        <f>IF(F464="Tindakan",VLOOKUP(O464,#REF!,4,FALSE),IF(F464="Intensif",VLOOKUP(O464,#REF!,10,FALSE),IF(F464="Penunjang",VLOOKUP(O464,#REF!,16,FALSE),IF(F464="Visitase Berdasarkan Jumlah Pasien",VLOOKUP(O464,#REF!,22,FALSE),IF(F464="Visitase",VLOOKUP(O464,#REF!,28,FALSE),IF(F464="Rawat Jalan",VLOOKUP(O464,#REF!,34,FALSE),0))))))</f>
        <v>#REF!</v>
      </c>
      <c r="N464" s="12">
        <f t="shared" si="14"/>
        <v>0</v>
      </c>
      <c r="O464" t="s">
        <v>688</v>
      </c>
      <c r="P464">
        <v>454</v>
      </c>
    </row>
    <row r="465" spans="2:16" x14ac:dyDescent="0.35">
      <c r="B465" s="7">
        <f t="shared" si="15"/>
        <v>455</v>
      </c>
      <c r="C465" s="3" t="s">
        <v>200</v>
      </c>
      <c r="D465" s="4" t="s">
        <v>598</v>
      </c>
      <c r="E465" s="9" t="s">
        <v>168</v>
      </c>
      <c r="F465" s="9" t="s">
        <v>190</v>
      </c>
      <c r="G465" s="14">
        <v>69</v>
      </c>
      <c r="H465" s="14">
        <v>9185000</v>
      </c>
      <c r="I465" s="14">
        <v>0</v>
      </c>
      <c r="J465" s="14">
        <v>0</v>
      </c>
      <c r="K465" s="14">
        <v>0</v>
      </c>
      <c r="L465" s="14">
        <v>0</v>
      </c>
      <c r="M465" s="4" t="e">
        <f>IF(F465="Tindakan",VLOOKUP(O465,#REF!,4,FALSE),IF(F465="Intensif",VLOOKUP(O465,#REF!,10,FALSE),IF(F465="Penunjang",VLOOKUP(O465,#REF!,16,FALSE),IF(F465="Visitase Berdasarkan Jumlah Pasien",VLOOKUP(O465,#REF!,22,FALSE),IF(F465="Visitase",VLOOKUP(O465,#REF!,28,FALSE),IF(F465="Rawat Jalan",VLOOKUP(O465,#REF!,34,FALSE),0))))))</f>
        <v>#REF!</v>
      </c>
      <c r="N465" s="12">
        <f t="shared" si="14"/>
        <v>0</v>
      </c>
      <c r="O465" t="s">
        <v>688</v>
      </c>
      <c r="P465">
        <v>455</v>
      </c>
    </row>
    <row r="466" spans="2:16" x14ac:dyDescent="0.35">
      <c r="B466" s="7">
        <f t="shared" si="15"/>
        <v>456</v>
      </c>
      <c r="C466" s="3" t="s">
        <v>200</v>
      </c>
      <c r="D466" s="4" t="s">
        <v>598</v>
      </c>
      <c r="E466" s="9" t="s">
        <v>168</v>
      </c>
      <c r="F466" s="9" t="s">
        <v>22</v>
      </c>
      <c r="G466" s="14">
        <v>57</v>
      </c>
      <c r="H466" s="14">
        <v>5443000</v>
      </c>
      <c r="I466" s="14">
        <v>0</v>
      </c>
      <c r="J466" s="14">
        <v>0</v>
      </c>
      <c r="K466" s="14">
        <v>1</v>
      </c>
      <c r="L466" s="14">
        <v>300000</v>
      </c>
      <c r="M466" s="4" t="e">
        <f>IF(F466="Tindakan",VLOOKUP(O466,#REF!,4,FALSE),IF(F466="Intensif",VLOOKUP(O466,#REF!,10,FALSE),IF(F466="Penunjang",VLOOKUP(O466,#REF!,16,FALSE),IF(F466="Visitase Berdasarkan Jumlah Pasien",VLOOKUP(O466,#REF!,22,FALSE),IF(F466="Visitase",VLOOKUP(O466,#REF!,28,FALSE),IF(F466="Rawat Jalan",VLOOKUP(O466,#REF!,34,FALSE),0))))))</f>
        <v>#REF!</v>
      </c>
      <c r="N466" s="12">
        <f t="shared" si="14"/>
        <v>0</v>
      </c>
      <c r="O466" t="s">
        <v>688</v>
      </c>
      <c r="P466">
        <v>456</v>
      </c>
    </row>
    <row r="467" spans="2:16" x14ac:dyDescent="0.35">
      <c r="B467" s="7">
        <f t="shared" si="15"/>
        <v>457</v>
      </c>
      <c r="C467" s="3" t="s">
        <v>200</v>
      </c>
      <c r="D467" s="4" t="s">
        <v>598</v>
      </c>
      <c r="E467" s="9" t="s">
        <v>168</v>
      </c>
      <c r="F467" s="9" t="s">
        <v>19</v>
      </c>
      <c r="G467" s="14">
        <v>13</v>
      </c>
      <c r="H467" s="14">
        <v>108000000</v>
      </c>
      <c r="I467" s="14">
        <v>0</v>
      </c>
      <c r="J467" s="14">
        <v>0</v>
      </c>
      <c r="K467" s="14">
        <v>0</v>
      </c>
      <c r="L467" s="14">
        <v>0</v>
      </c>
      <c r="M467" s="4" t="e">
        <f>IF(F467="Tindakan",VLOOKUP(O467,#REF!,4,FALSE),IF(F467="Intensif",VLOOKUP(O467,#REF!,10,FALSE),IF(F467="Penunjang",VLOOKUP(O467,#REF!,16,FALSE),IF(F467="Visitase Berdasarkan Jumlah Pasien",VLOOKUP(O467,#REF!,22,FALSE),IF(F467="Visitase",VLOOKUP(O467,#REF!,28,FALSE),IF(F467="Rawat Jalan",VLOOKUP(O467,#REF!,34,FALSE),0))))))</f>
        <v>#REF!</v>
      </c>
      <c r="N467" s="12">
        <f t="shared" si="14"/>
        <v>0</v>
      </c>
      <c r="O467" t="s">
        <v>688</v>
      </c>
      <c r="P467">
        <v>457</v>
      </c>
    </row>
    <row r="468" spans="2:16" x14ac:dyDescent="0.35">
      <c r="B468" s="7">
        <f t="shared" si="15"/>
        <v>458</v>
      </c>
      <c r="C468" s="3" t="s">
        <v>217</v>
      </c>
      <c r="D468" s="4" t="s">
        <v>599</v>
      </c>
      <c r="E468" s="9" t="s">
        <v>151</v>
      </c>
      <c r="F468" s="9" t="s">
        <v>22</v>
      </c>
      <c r="G468" s="14">
        <v>4</v>
      </c>
      <c r="H468" s="14">
        <v>495000</v>
      </c>
      <c r="I468" s="14">
        <v>0</v>
      </c>
      <c r="J468" s="14">
        <v>0</v>
      </c>
      <c r="K468" s="14">
        <v>0</v>
      </c>
      <c r="L468" s="14">
        <v>0</v>
      </c>
      <c r="M468" s="4" t="e">
        <f>IF(F468="Tindakan",VLOOKUP(O468,#REF!,4,FALSE),IF(F468="Intensif",VLOOKUP(O468,#REF!,10,FALSE),IF(F468="Penunjang",VLOOKUP(O468,#REF!,16,FALSE),IF(F468="Visitase Berdasarkan Jumlah Pasien",VLOOKUP(O468,#REF!,22,FALSE),IF(F468="Visitase",VLOOKUP(O468,#REF!,28,FALSE),IF(F468="Rawat Jalan",VLOOKUP(O468,#REF!,34,FALSE),0))))))</f>
        <v>#REF!</v>
      </c>
      <c r="N468" s="12">
        <f t="shared" si="14"/>
        <v>0</v>
      </c>
      <c r="O468" t="s">
        <v>690</v>
      </c>
      <c r="P468">
        <v>458</v>
      </c>
    </row>
    <row r="469" spans="2:16" x14ac:dyDescent="0.35">
      <c r="B469" s="7">
        <f t="shared" si="15"/>
        <v>459</v>
      </c>
      <c r="C469" s="3" t="s">
        <v>217</v>
      </c>
      <c r="D469" s="4" t="s">
        <v>599</v>
      </c>
      <c r="E469" s="9" t="s">
        <v>151</v>
      </c>
      <c r="F469" s="9" t="s">
        <v>19</v>
      </c>
      <c r="G469" s="14">
        <v>49</v>
      </c>
      <c r="H469" s="14">
        <v>454271500</v>
      </c>
      <c r="I469" s="14">
        <v>2</v>
      </c>
      <c r="J469" s="14">
        <v>47260000</v>
      </c>
      <c r="K469" s="14">
        <v>2</v>
      </c>
      <c r="L469" s="14">
        <v>31345000</v>
      </c>
      <c r="M469" s="4" t="e">
        <f>IF(F469="Tindakan",VLOOKUP(O469,#REF!,4,FALSE),IF(F469="Intensif",VLOOKUP(O469,#REF!,10,FALSE),IF(F469="Penunjang",VLOOKUP(O469,#REF!,16,FALSE),IF(F469="Visitase Berdasarkan Jumlah Pasien",VLOOKUP(O469,#REF!,22,FALSE),IF(F469="Visitase",VLOOKUP(O469,#REF!,28,FALSE),IF(F469="Rawat Jalan",VLOOKUP(O469,#REF!,34,FALSE),0))))))</f>
        <v>#REF!</v>
      </c>
      <c r="N469" s="12">
        <f t="shared" si="14"/>
        <v>0</v>
      </c>
      <c r="O469" t="s">
        <v>690</v>
      </c>
      <c r="P469">
        <v>459</v>
      </c>
    </row>
    <row r="470" spans="2:16" x14ac:dyDescent="0.35">
      <c r="B470" s="7">
        <f t="shared" si="15"/>
        <v>460</v>
      </c>
      <c r="C470" s="3" t="s">
        <v>261</v>
      </c>
      <c r="D470" s="4" t="s">
        <v>600</v>
      </c>
      <c r="E470" s="9" t="s">
        <v>147</v>
      </c>
      <c r="F470" s="9" t="s">
        <v>190</v>
      </c>
      <c r="G470" s="14">
        <v>43</v>
      </c>
      <c r="H470" s="14">
        <v>5375000</v>
      </c>
      <c r="I470" s="14">
        <v>0</v>
      </c>
      <c r="J470" s="14">
        <v>0</v>
      </c>
      <c r="K470" s="14">
        <v>0</v>
      </c>
      <c r="L470" s="14">
        <v>0</v>
      </c>
      <c r="M470" s="4" t="e">
        <f>IF(F470="Tindakan",VLOOKUP(O470,#REF!,4,FALSE),IF(F470="Intensif",VLOOKUP(O470,#REF!,10,FALSE),IF(F470="Penunjang",VLOOKUP(O470,#REF!,16,FALSE),IF(F470="Visitase Berdasarkan Jumlah Pasien",VLOOKUP(O470,#REF!,22,FALSE),IF(F470="Visitase",VLOOKUP(O470,#REF!,28,FALSE),IF(F470="Rawat Jalan",VLOOKUP(O470,#REF!,34,FALSE),0))))))</f>
        <v>#REF!</v>
      </c>
      <c r="N470" s="12">
        <f t="shared" si="14"/>
        <v>0</v>
      </c>
      <c r="O470" t="s">
        <v>691</v>
      </c>
      <c r="P470">
        <v>460</v>
      </c>
    </row>
    <row r="471" spans="2:16" x14ac:dyDescent="0.35">
      <c r="B471" s="7">
        <f t="shared" si="15"/>
        <v>461</v>
      </c>
      <c r="C471" s="3" t="s">
        <v>261</v>
      </c>
      <c r="D471" s="4" t="s">
        <v>600</v>
      </c>
      <c r="E471" s="9" t="s">
        <v>147</v>
      </c>
      <c r="F471" s="9" t="s">
        <v>20</v>
      </c>
      <c r="G471" s="14">
        <v>1</v>
      </c>
      <c r="H471" s="14">
        <v>160000</v>
      </c>
      <c r="I471" s="14">
        <v>0</v>
      </c>
      <c r="J471" s="14">
        <v>0</v>
      </c>
      <c r="K471" s="14">
        <v>0</v>
      </c>
      <c r="L471" s="14">
        <v>0</v>
      </c>
      <c r="M471" s="4" t="e">
        <f>IF(F471="Tindakan",VLOOKUP(O471,#REF!,4,FALSE),IF(F471="Intensif",VLOOKUP(O471,#REF!,10,FALSE),IF(F471="Penunjang",VLOOKUP(O471,#REF!,16,FALSE),IF(F471="Visitase Berdasarkan Jumlah Pasien",VLOOKUP(O471,#REF!,22,FALSE),IF(F471="Visitase",VLOOKUP(O471,#REF!,28,FALSE),IF(F471="Rawat Jalan",VLOOKUP(O471,#REF!,34,FALSE),0))))))</f>
        <v>#REF!</v>
      </c>
      <c r="N471" s="12">
        <f t="shared" si="14"/>
        <v>0</v>
      </c>
      <c r="O471" t="s">
        <v>691</v>
      </c>
      <c r="P471">
        <v>461</v>
      </c>
    </row>
    <row r="472" spans="2:16" x14ac:dyDescent="0.35">
      <c r="B472" s="7">
        <f t="shared" si="15"/>
        <v>462</v>
      </c>
      <c r="C472" s="3" t="s">
        <v>261</v>
      </c>
      <c r="D472" s="4" t="s">
        <v>600</v>
      </c>
      <c r="E472" s="9" t="s">
        <v>147</v>
      </c>
      <c r="F472" s="9" t="s">
        <v>19</v>
      </c>
      <c r="G472" s="14">
        <v>15</v>
      </c>
      <c r="H472" s="14">
        <v>76411000</v>
      </c>
      <c r="I472" s="14">
        <v>0</v>
      </c>
      <c r="J472" s="14">
        <v>0</v>
      </c>
      <c r="K472" s="14">
        <v>0</v>
      </c>
      <c r="L472" s="14">
        <v>0</v>
      </c>
      <c r="M472" s="4" t="e">
        <f>IF(F472="Tindakan",VLOOKUP(O472,#REF!,4,FALSE),IF(F472="Intensif",VLOOKUP(O472,#REF!,10,FALSE),IF(F472="Penunjang",VLOOKUP(O472,#REF!,16,FALSE),IF(F472="Visitase Berdasarkan Jumlah Pasien",VLOOKUP(O472,#REF!,22,FALSE),IF(F472="Visitase",VLOOKUP(O472,#REF!,28,FALSE),IF(F472="Rawat Jalan",VLOOKUP(O472,#REF!,34,FALSE),0))))))</f>
        <v>#REF!</v>
      </c>
      <c r="N472" s="12">
        <f t="shared" si="14"/>
        <v>0</v>
      </c>
      <c r="O472" t="s">
        <v>691</v>
      </c>
      <c r="P472">
        <v>462</v>
      </c>
    </row>
    <row r="473" spans="2:16" x14ac:dyDescent="0.35">
      <c r="B473" s="7">
        <f t="shared" si="15"/>
        <v>463</v>
      </c>
      <c r="C473" s="3" t="s">
        <v>261</v>
      </c>
      <c r="D473" s="4" t="s">
        <v>600</v>
      </c>
      <c r="E473" s="9" t="s">
        <v>147</v>
      </c>
      <c r="F473" s="9" t="s">
        <v>22</v>
      </c>
      <c r="G473" s="14">
        <v>20</v>
      </c>
      <c r="H473" s="14">
        <v>1536000</v>
      </c>
      <c r="I473" s="14">
        <v>2</v>
      </c>
      <c r="J473" s="14">
        <v>186000</v>
      </c>
      <c r="K473" s="14">
        <v>4</v>
      </c>
      <c r="L473" s="14">
        <v>740000</v>
      </c>
      <c r="M473" s="4" t="e">
        <f>IF(F473="Tindakan",VLOOKUP(O473,#REF!,4,FALSE),IF(F473="Intensif",VLOOKUP(O473,#REF!,10,FALSE),IF(F473="Penunjang",VLOOKUP(O473,#REF!,16,FALSE),IF(F473="Visitase Berdasarkan Jumlah Pasien",VLOOKUP(O473,#REF!,22,FALSE),IF(F473="Visitase",VLOOKUP(O473,#REF!,28,FALSE),IF(F473="Rawat Jalan",VLOOKUP(O473,#REF!,34,FALSE),0))))))</f>
        <v>#REF!</v>
      </c>
      <c r="N473" s="12">
        <f t="shared" si="14"/>
        <v>0</v>
      </c>
      <c r="O473" t="s">
        <v>691</v>
      </c>
      <c r="P473">
        <v>463</v>
      </c>
    </row>
    <row r="474" spans="2:16" x14ac:dyDescent="0.35">
      <c r="B474" s="7">
        <f t="shared" si="15"/>
        <v>464</v>
      </c>
      <c r="C474" s="3" t="s">
        <v>295</v>
      </c>
      <c r="D474" s="4" t="s">
        <v>601</v>
      </c>
      <c r="E474" s="9" t="s">
        <v>151</v>
      </c>
      <c r="F474" s="9" t="s">
        <v>20</v>
      </c>
      <c r="G474" s="14">
        <v>6</v>
      </c>
      <c r="H474" s="14">
        <v>950000</v>
      </c>
      <c r="I474" s="14">
        <v>0</v>
      </c>
      <c r="J474" s="14">
        <v>0</v>
      </c>
      <c r="K474" s="14">
        <v>0</v>
      </c>
      <c r="L474" s="14">
        <v>0</v>
      </c>
      <c r="M474" s="4" t="e">
        <f>IF(F474="Tindakan",VLOOKUP(O474,#REF!,4,FALSE),IF(F474="Intensif",VLOOKUP(O474,#REF!,10,FALSE),IF(F474="Penunjang",VLOOKUP(O474,#REF!,16,FALSE),IF(F474="Visitase Berdasarkan Jumlah Pasien",VLOOKUP(O474,#REF!,22,FALSE),IF(F474="Visitase",VLOOKUP(O474,#REF!,28,FALSE),IF(F474="Rawat Jalan",VLOOKUP(O474,#REF!,34,FALSE),0))))))</f>
        <v>#REF!</v>
      </c>
      <c r="N474" s="12">
        <f t="shared" si="14"/>
        <v>0</v>
      </c>
      <c r="O474" t="s">
        <v>690</v>
      </c>
      <c r="P474">
        <v>464</v>
      </c>
    </row>
    <row r="475" spans="2:16" x14ac:dyDescent="0.35">
      <c r="B475" s="7">
        <f t="shared" si="15"/>
        <v>465</v>
      </c>
      <c r="C475" s="3" t="s">
        <v>295</v>
      </c>
      <c r="D475" s="4" t="s">
        <v>601</v>
      </c>
      <c r="E475" s="9" t="s">
        <v>151</v>
      </c>
      <c r="F475" s="9" t="s">
        <v>19</v>
      </c>
      <c r="G475" s="14">
        <v>50</v>
      </c>
      <c r="H475" s="14">
        <v>601444500</v>
      </c>
      <c r="I475" s="14">
        <v>4</v>
      </c>
      <c r="J475" s="14">
        <v>33768500</v>
      </c>
      <c r="K475" s="14">
        <v>2</v>
      </c>
      <c r="L475" s="14">
        <v>38465000</v>
      </c>
      <c r="M475" s="4" t="e">
        <f>IF(F475="Tindakan",VLOOKUP(O475,#REF!,4,FALSE),IF(F475="Intensif",VLOOKUP(O475,#REF!,10,FALSE),IF(F475="Penunjang",VLOOKUP(O475,#REF!,16,FALSE),IF(F475="Visitase Berdasarkan Jumlah Pasien",VLOOKUP(O475,#REF!,22,FALSE),IF(F475="Visitase",VLOOKUP(O475,#REF!,28,FALSE),IF(F475="Rawat Jalan",VLOOKUP(O475,#REF!,34,FALSE),0))))))</f>
        <v>#REF!</v>
      </c>
      <c r="N475" s="12">
        <f t="shared" si="14"/>
        <v>0</v>
      </c>
      <c r="O475" t="s">
        <v>690</v>
      </c>
      <c r="P475">
        <v>465</v>
      </c>
    </row>
    <row r="476" spans="2:16" x14ac:dyDescent="0.35">
      <c r="B476" s="7">
        <f t="shared" si="15"/>
        <v>466</v>
      </c>
      <c r="C476" s="3" t="s">
        <v>295</v>
      </c>
      <c r="D476" s="4" t="s">
        <v>601</v>
      </c>
      <c r="E476" s="9" t="s">
        <v>151</v>
      </c>
      <c r="F476" s="9" t="s">
        <v>22</v>
      </c>
      <c r="G476" s="14">
        <v>9</v>
      </c>
      <c r="H476" s="14">
        <v>1240000</v>
      </c>
      <c r="I476" s="14">
        <v>3</v>
      </c>
      <c r="J476" s="14">
        <v>290000</v>
      </c>
      <c r="K476" s="14">
        <v>4</v>
      </c>
      <c r="L476" s="14">
        <v>1000000</v>
      </c>
      <c r="M476" s="4" t="e">
        <f>IF(F476="Tindakan",VLOOKUP(O476,#REF!,4,FALSE),IF(F476="Intensif",VLOOKUP(O476,#REF!,10,FALSE),IF(F476="Penunjang",VLOOKUP(O476,#REF!,16,FALSE),IF(F476="Visitase Berdasarkan Jumlah Pasien",VLOOKUP(O476,#REF!,22,FALSE),IF(F476="Visitase",VLOOKUP(O476,#REF!,28,FALSE),IF(F476="Rawat Jalan",VLOOKUP(O476,#REF!,34,FALSE),0))))))</f>
        <v>#REF!</v>
      </c>
      <c r="N476" s="12">
        <f t="shared" si="14"/>
        <v>0</v>
      </c>
      <c r="O476" t="s">
        <v>690</v>
      </c>
      <c r="P476">
        <v>466</v>
      </c>
    </row>
    <row r="477" spans="2:16" x14ac:dyDescent="0.35">
      <c r="B477" s="7">
        <f t="shared" si="15"/>
        <v>467</v>
      </c>
      <c r="C477" s="3" t="s">
        <v>369</v>
      </c>
      <c r="D477" s="4" t="s">
        <v>602</v>
      </c>
      <c r="E477" s="9" t="s">
        <v>146</v>
      </c>
      <c r="F477" s="9" t="s">
        <v>20</v>
      </c>
      <c r="G477" s="14">
        <v>10</v>
      </c>
      <c r="H477" s="14">
        <v>1715000</v>
      </c>
      <c r="I477" s="14">
        <v>2</v>
      </c>
      <c r="J477" s="14">
        <v>350000</v>
      </c>
      <c r="K477" s="14">
        <v>0</v>
      </c>
      <c r="L477" s="14">
        <v>0</v>
      </c>
      <c r="M477" s="4" t="e">
        <f>IF(F477="Tindakan",VLOOKUP(O477,#REF!,4,FALSE),IF(F477="Intensif",VLOOKUP(O477,#REF!,10,FALSE),IF(F477="Penunjang",VLOOKUP(O477,#REF!,16,FALSE),IF(F477="Visitase Berdasarkan Jumlah Pasien",VLOOKUP(O477,#REF!,22,FALSE),IF(F477="Visitase",VLOOKUP(O477,#REF!,28,FALSE),IF(F477="Rawat Jalan",VLOOKUP(O477,#REF!,34,FALSE),0))))))</f>
        <v>#REF!</v>
      </c>
      <c r="N477" s="12">
        <f t="shared" si="14"/>
        <v>0</v>
      </c>
      <c r="O477" t="s">
        <v>696</v>
      </c>
      <c r="P477">
        <v>467</v>
      </c>
    </row>
    <row r="478" spans="2:16" x14ac:dyDescent="0.35">
      <c r="B478" s="7">
        <f t="shared" si="15"/>
        <v>468</v>
      </c>
      <c r="C478" s="3" t="s">
        <v>369</v>
      </c>
      <c r="D478" s="4" t="s">
        <v>602</v>
      </c>
      <c r="E478" s="9" t="s">
        <v>146</v>
      </c>
      <c r="F478" s="9" t="s">
        <v>190</v>
      </c>
      <c r="G478" s="14">
        <v>60</v>
      </c>
      <c r="H478" s="14">
        <v>8080000</v>
      </c>
      <c r="I478" s="14">
        <v>0</v>
      </c>
      <c r="J478" s="14">
        <v>0</v>
      </c>
      <c r="K478" s="14">
        <v>0</v>
      </c>
      <c r="L478" s="14">
        <v>0</v>
      </c>
      <c r="M478" s="4" t="e">
        <f>IF(F478="Tindakan",VLOOKUP(O478,#REF!,4,FALSE),IF(F478="Intensif",VLOOKUP(O478,#REF!,10,FALSE),IF(F478="Penunjang",VLOOKUP(O478,#REF!,16,FALSE),IF(F478="Visitase Berdasarkan Jumlah Pasien",VLOOKUP(O478,#REF!,22,FALSE),IF(F478="Visitase",VLOOKUP(O478,#REF!,28,FALSE),IF(F478="Rawat Jalan",VLOOKUP(O478,#REF!,34,FALSE),0))))))</f>
        <v>#REF!</v>
      </c>
      <c r="N478" s="12">
        <f t="shared" si="14"/>
        <v>0</v>
      </c>
      <c r="O478" t="s">
        <v>696</v>
      </c>
      <c r="P478">
        <v>468</v>
      </c>
    </row>
    <row r="479" spans="2:16" x14ac:dyDescent="0.35">
      <c r="B479" s="7">
        <f t="shared" si="15"/>
        <v>469</v>
      </c>
      <c r="C479" s="3" t="s">
        <v>369</v>
      </c>
      <c r="D479" s="4" t="s">
        <v>602</v>
      </c>
      <c r="E479" s="9" t="s">
        <v>146</v>
      </c>
      <c r="F479" s="9" t="s">
        <v>22</v>
      </c>
      <c r="G479" s="14">
        <v>54</v>
      </c>
      <c r="H479" s="14">
        <v>11935000</v>
      </c>
      <c r="I479" s="14">
        <v>0</v>
      </c>
      <c r="J479" s="14">
        <v>0</v>
      </c>
      <c r="K479" s="14">
        <v>16</v>
      </c>
      <c r="L479" s="14">
        <v>4000000</v>
      </c>
      <c r="M479" s="4" t="e">
        <f>IF(F479="Tindakan",VLOOKUP(O479,#REF!,4,FALSE),IF(F479="Intensif",VLOOKUP(O479,#REF!,10,FALSE),IF(F479="Penunjang",VLOOKUP(O479,#REF!,16,FALSE),IF(F479="Visitase Berdasarkan Jumlah Pasien",VLOOKUP(O479,#REF!,22,FALSE),IF(F479="Visitase",VLOOKUP(O479,#REF!,28,FALSE),IF(F479="Rawat Jalan",VLOOKUP(O479,#REF!,34,FALSE),0))))))</f>
        <v>#REF!</v>
      </c>
      <c r="N479" s="12">
        <f t="shared" si="14"/>
        <v>0</v>
      </c>
      <c r="O479" t="s">
        <v>696</v>
      </c>
      <c r="P479">
        <v>469</v>
      </c>
    </row>
    <row r="480" spans="2:16" x14ac:dyDescent="0.35">
      <c r="B480" s="7">
        <f t="shared" si="15"/>
        <v>470</v>
      </c>
      <c r="C480" s="3" t="s">
        <v>278</v>
      </c>
      <c r="D480" s="4" t="s">
        <v>603</v>
      </c>
      <c r="E480" s="9" t="s">
        <v>148</v>
      </c>
      <c r="F480" s="9" t="s">
        <v>190</v>
      </c>
      <c r="G480" s="14">
        <v>83</v>
      </c>
      <c r="H480" s="14">
        <v>11250000</v>
      </c>
      <c r="I480" s="14">
        <v>0</v>
      </c>
      <c r="J480" s="14">
        <v>0</v>
      </c>
      <c r="K480" s="14">
        <v>0</v>
      </c>
      <c r="L480" s="14">
        <v>0</v>
      </c>
      <c r="M480" s="4" t="e">
        <f>IF(F480="Tindakan",VLOOKUP(O480,#REF!,4,FALSE),IF(F480="Intensif",VLOOKUP(O480,#REF!,10,FALSE),IF(F480="Penunjang",VLOOKUP(O480,#REF!,16,FALSE),IF(F480="Visitase Berdasarkan Jumlah Pasien",VLOOKUP(O480,#REF!,22,FALSE),IF(F480="Visitase",VLOOKUP(O480,#REF!,28,FALSE),IF(F480="Rawat Jalan",VLOOKUP(O480,#REF!,34,FALSE),0))))))</f>
        <v>#REF!</v>
      </c>
      <c r="N480" s="12">
        <f t="shared" si="14"/>
        <v>0</v>
      </c>
      <c r="O480" t="s">
        <v>700</v>
      </c>
      <c r="P480">
        <v>470</v>
      </c>
    </row>
    <row r="481" spans="2:16" x14ac:dyDescent="0.35">
      <c r="B481" s="7">
        <f t="shared" si="15"/>
        <v>471</v>
      </c>
      <c r="C481" s="3" t="s">
        <v>278</v>
      </c>
      <c r="D481" s="4" t="s">
        <v>603</v>
      </c>
      <c r="E481" s="9" t="s">
        <v>148</v>
      </c>
      <c r="F481" s="9" t="s">
        <v>22</v>
      </c>
      <c r="G481" s="14">
        <v>87</v>
      </c>
      <c r="H481" s="14">
        <v>24975000</v>
      </c>
      <c r="I481" s="14">
        <v>3</v>
      </c>
      <c r="J481" s="14">
        <v>225000</v>
      </c>
      <c r="K481" s="14">
        <v>9</v>
      </c>
      <c r="L481" s="14">
        <v>2700000</v>
      </c>
      <c r="M481" s="4" t="e">
        <f>IF(F481="Tindakan",VLOOKUP(O481,#REF!,4,FALSE),IF(F481="Intensif",VLOOKUP(O481,#REF!,10,FALSE),IF(F481="Penunjang",VLOOKUP(O481,#REF!,16,FALSE),IF(F481="Visitase Berdasarkan Jumlah Pasien",VLOOKUP(O481,#REF!,22,FALSE),IF(F481="Visitase",VLOOKUP(O481,#REF!,28,FALSE),IF(F481="Rawat Jalan",VLOOKUP(O481,#REF!,34,FALSE),0))))))</f>
        <v>#REF!</v>
      </c>
      <c r="N481" s="12">
        <f t="shared" si="14"/>
        <v>0</v>
      </c>
      <c r="O481" t="s">
        <v>700</v>
      </c>
      <c r="P481">
        <v>471</v>
      </c>
    </row>
    <row r="482" spans="2:16" x14ac:dyDescent="0.35">
      <c r="B482" s="7">
        <f t="shared" si="15"/>
        <v>472</v>
      </c>
      <c r="C482" s="3" t="s">
        <v>278</v>
      </c>
      <c r="D482" s="4" t="s">
        <v>603</v>
      </c>
      <c r="E482" s="9" t="s">
        <v>148</v>
      </c>
      <c r="F482" s="9" t="s">
        <v>20</v>
      </c>
      <c r="G482" s="14">
        <v>1</v>
      </c>
      <c r="H482" s="14">
        <v>140000</v>
      </c>
      <c r="I482" s="14">
        <v>1</v>
      </c>
      <c r="J482" s="14">
        <v>140000</v>
      </c>
      <c r="K482" s="14">
        <v>0</v>
      </c>
      <c r="L482" s="14">
        <v>0</v>
      </c>
      <c r="M482" s="4" t="e">
        <f>IF(F482="Tindakan",VLOOKUP(O482,#REF!,4,FALSE),IF(F482="Intensif",VLOOKUP(O482,#REF!,10,FALSE),IF(F482="Penunjang",VLOOKUP(O482,#REF!,16,FALSE),IF(F482="Visitase Berdasarkan Jumlah Pasien",VLOOKUP(O482,#REF!,22,FALSE),IF(F482="Visitase",VLOOKUP(O482,#REF!,28,FALSE),IF(F482="Rawat Jalan",VLOOKUP(O482,#REF!,34,FALSE),0))))))</f>
        <v>#REF!</v>
      </c>
      <c r="N482" s="12">
        <f t="shared" si="14"/>
        <v>0</v>
      </c>
      <c r="O482" t="s">
        <v>700</v>
      </c>
      <c r="P482">
        <v>472</v>
      </c>
    </row>
    <row r="483" spans="2:16" x14ac:dyDescent="0.35">
      <c r="B483" s="7">
        <f t="shared" si="15"/>
        <v>473</v>
      </c>
      <c r="C483" s="3" t="s">
        <v>242</v>
      </c>
      <c r="D483" s="4" t="s">
        <v>604</v>
      </c>
      <c r="E483" s="9" t="s">
        <v>177</v>
      </c>
      <c r="F483" s="9" t="s">
        <v>190</v>
      </c>
      <c r="G483" s="14">
        <v>1</v>
      </c>
      <c r="H483" s="14">
        <v>125000</v>
      </c>
      <c r="I483" s="14">
        <v>0</v>
      </c>
      <c r="J483" s="14">
        <v>0</v>
      </c>
      <c r="K483" s="14">
        <v>0</v>
      </c>
      <c r="L483" s="14">
        <v>0</v>
      </c>
      <c r="M483" s="4" t="e">
        <f>IF(F483="Tindakan",VLOOKUP(O483,#REF!,4,FALSE),IF(F483="Intensif",VLOOKUP(O483,#REF!,10,FALSE),IF(F483="Penunjang",VLOOKUP(O483,#REF!,16,FALSE),IF(F483="Visitase Berdasarkan Jumlah Pasien",VLOOKUP(O483,#REF!,22,FALSE),IF(F483="Visitase",VLOOKUP(O483,#REF!,28,FALSE),IF(F483="Rawat Jalan",VLOOKUP(O483,#REF!,34,FALSE),0))))))</f>
        <v>#REF!</v>
      </c>
      <c r="N483" s="12">
        <f t="shared" si="14"/>
        <v>0</v>
      </c>
      <c r="O483" t="s">
        <v>702</v>
      </c>
      <c r="P483">
        <v>473</v>
      </c>
    </row>
    <row r="484" spans="2:16" x14ac:dyDescent="0.35">
      <c r="B484" s="7">
        <f t="shared" si="15"/>
        <v>474</v>
      </c>
      <c r="C484" s="3" t="s">
        <v>242</v>
      </c>
      <c r="D484" s="4" t="s">
        <v>604</v>
      </c>
      <c r="E484" s="9" t="s">
        <v>177</v>
      </c>
      <c r="F484" s="9" t="s">
        <v>22</v>
      </c>
      <c r="G484" s="14">
        <v>566</v>
      </c>
      <c r="H484" s="14">
        <v>49432000</v>
      </c>
      <c r="I484" s="14">
        <v>63</v>
      </c>
      <c r="J484" s="14">
        <v>5636000</v>
      </c>
      <c r="K484" s="14">
        <v>3</v>
      </c>
      <c r="L484" s="14">
        <v>559000</v>
      </c>
      <c r="M484" s="4" t="e">
        <f>IF(F484="Tindakan",VLOOKUP(O484,#REF!,4,FALSE),IF(F484="Intensif",VLOOKUP(O484,#REF!,10,FALSE),IF(F484="Penunjang",VLOOKUP(O484,#REF!,16,FALSE),IF(F484="Visitase Berdasarkan Jumlah Pasien",VLOOKUP(O484,#REF!,22,FALSE),IF(F484="Visitase",VLOOKUP(O484,#REF!,28,FALSE),IF(F484="Rawat Jalan",VLOOKUP(O484,#REF!,34,FALSE),0))))))</f>
        <v>#REF!</v>
      </c>
      <c r="N484" s="12">
        <f t="shared" si="14"/>
        <v>0</v>
      </c>
      <c r="O484" t="s">
        <v>702</v>
      </c>
      <c r="P484">
        <v>474</v>
      </c>
    </row>
    <row r="485" spans="2:16" x14ac:dyDescent="0.35">
      <c r="B485" s="7">
        <f t="shared" si="15"/>
        <v>475</v>
      </c>
      <c r="C485" s="3" t="s">
        <v>242</v>
      </c>
      <c r="D485" s="4" t="s">
        <v>604</v>
      </c>
      <c r="E485" s="9" t="s">
        <v>177</v>
      </c>
      <c r="F485" s="9" t="s">
        <v>19</v>
      </c>
      <c r="G485" s="14">
        <v>8</v>
      </c>
      <c r="H485" s="14">
        <v>50270000</v>
      </c>
      <c r="I485" s="14">
        <v>0</v>
      </c>
      <c r="J485" s="14">
        <v>0</v>
      </c>
      <c r="K485" s="14">
        <v>1</v>
      </c>
      <c r="L485" s="14">
        <v>10466000</v>
      </c>
      <c r="M485" s="4" t="e">
        <f>IF(F485="Tindakan",VLOOKUP(O485,#REF!,4,FALSE),IF(F485="Intensif",VLOOKUP(O485,#REF!,10,FALSE),IF(F485="Penunjang",VLOOKUP(O485,#REF!,16,FALSE),IF(F485="Visitase Berdasarkan Jumlah Pasien",VLOOKUP(O485,#REF!,22,FALSE),IF(F485="Visitase",VLOOKUP(O485,#REF!,28,FALSE),IF(F485="Rawat Jalan",VLOOKUP(O485,#REF!,34,FALSE),0))))))</f>
        <v>#REF!</v>
      </c>
      <c r="N485" s="12">
        <f t="shared" si="14"/>
        <v>0</v>
      </c>
      <c r="O485" t="s">
        <v>702</v>
      </c>
      <c r="P485">
        <v>475</v>
      </c>
    </row>
    <row r="486" spans="2:16" x14ac:dyDescent="0.35">
      <c r="B486" s="7">
        <f t="shared" si="15"/>
        <v>476</v>
      </c>
      <c r="C486" s="3" t="s">
        <v>376</v>
      </c>
      <c r="D486" s="4" t="s">
        <v>605</v>
      </c>
      <c r="E486" s="9" t="s">
        <v>185</v>
      </c>
      <c r="F486" s="9" t="s">
        <v>22</v>
      </c>
      <c r="G486" s="14">
        <v>50</v>
      </c>
      <c r="H486" s="14">
        <v>18745000</v>
      </c>
      <c r="I486" s="14">
        <v>1</v>
      </c>
      <c r="J486" s="14">
        <v>75000</v>
      </c>
      <c r="K486" s="14">
        <v>8</v>
      </c>
      <c r="L486" s="14">
        <v>2410000</v>
      </c>
      <c r="M486" s="4" t="e">
        <f>IF(F486="Tindakan",VLOOKUP(O486,#REF!,4,FALSE),IF(F486="Intensif",VLOOKUP(O486,#REF!,10,FALSE),IF(F486="Penunjang",VLOOKUP(O486,#REF!,16,FALSE),IF(F486="Visitase Berdasarkan Jumlah Pasien",VLOOKUP(O486,#REF!,22,FALSE),IF(F486="Visitase",VLOOKUP(O486,#REF!,28,FALSE),IF(F486="Rawat Jalan",VLOOKUP(O486,#REF!,34,FALSE),0))))))</f>
        <v>#REF!</v>
      </c>
      <c r="N486" s="12">
        <f t="shared" si="14"/>
        <v>0</v>
      </c>
      <c r="O486" t="s">
        <v>706</v>
      </c>
      <c r="P486">
        <v>476</v>
      </c>
    </row>
    <row r="487" spans="2:16" x14ac:dyDescent="0.35">
      <c r="B487" s="7">
        <f t="shared" si="15"/>
        <v>477</v>
      </c>
      <c r="C487" s="3" t="s">
        <v>245</v>
      </c>
      <c r="D487" s="4" t="s">
        <v>606</v>
      </c>
      <c r="E487" s="9" t="s">
        <v>148</v>
      </c>
      <c r="F487" s="9" t="s">
        <v>190</v>
      </c>
      <c r="G487" s="14">
        <v>93</v>
      </c>
      <c r="H487" s="14">
        <v>11740000</v>
      </c>
      <c r="I487" s="14">
        <v>3</v>
      </c>
      <c r="J487" s="14">
        <v>375000</v>
      </c>
      <c r="K487" s="14">
        <v>0</v>
      </c>
      <c r="L487" s="14">
        <v>0</v>
      </c>
      <c r="M487" s="4" t="e">
        <f>IF(F487="Tindakan",VLOOKUP(O487,#REF!,4,FALSE),IF(F487="Intensif",VLOOKUP(O487,#REF!,10,FALSE),IF(F487="Penunjang",VLOOKUP(O487,#REF!,16,FALSE),IF(F487="Visitase Berdasarkan Jumlah Pasien",VLOOKUP(O487,#REF!,22,FALSE),IF(F487="Visitase",VLOOKUP(O487,#REF!,28,FALSE),IF(F487="Rawat Jalan",VLOOKUP(O487,#REF!,34,FALSE),0))))))</f>
        <v>#REF!</v>
      </c>
      <c r="N487" s="12">
        <f t="shared" si="14"/>
        <v>0</v>
      </c>
      <c r="O487" t="s">
        <v>700</v>
      </c>
      <c r="P487">
        <v>477</v>
      </c>
    </row>
    <row r="488" spans="2:16" x14ac:dyDescent="0.35">
      <c r="B488" s="7">
        <f t="shared" si="15"/>
        <v>478</v>
      </c>
      <c r="C488" s="3" t="s">
        <v>245</v>
      </c>
      <c r="D488" s="4" t="s">
        <v>606</v>
      </c>
      <c r="E488" s="9" t="s">
        <v>148</v>
      </c>
      <c r="F488" s="9" t="s">
        <v>22</v>
      </c>
      <c r="G488" s="14">
        <v>83</v>
      </c>
      <c r="H488" s="14">
        <v>12293000</v>
      </c>
      <c r="I488" s="14">
        <v>3</v>
      </c>
      <c r="J488" s="14">
        <v>225000</v>
      </c>
      <c r="K488" s="14">
        <v>5</v>
      </c>
      <c r="L488" s="14">
        <v>1210000</v>
      </c>
      <c r="M488" s="4" t="e">
        <f>IF(F488="Tindakan",VLOOKUP(O488,#REF!,4,FALSE),IF(F488="Intensif",VLOOKUP(O488,#REF!,10,FALSE),IF(F488="Penunjang",VLOOKUP(O488,#REF!,16,FALSE),IF(F488="Visitase Berdasarkan Jumlah Pasien",VLOOKUP(O488,#REF!,22,FALSE),IF(F488="Visitase",VLOOKUP(O488,#REF!,28,FALSE),IF(F488="Rawat Jalan",VLOOKUP(O488,#REF!,34,FALSE),0))))))</f>
        <v>#REF!</v>
      </c>
      <c r="N488" s="12">
        <f t="shared" si="14"/>
        <v>0</v>
      </c>
      <c r="O488" t="s">
        <v>700</v>
      </c>
      <c r="P488">
        <v>478</v>
      </c>
    </row>
    <row r="489" spans="2:16" x14ac:dyDescent="0.35">
      <c r="B489" s="7">
        <f t="shared" si="15"/>
        <v>479</v>
      </c>
      <c r="C489" s="3" t="s">
        <v>268</v>
      </c>
      <c r="D489" s="4" t="s">
        <v>607</v>
      </c>
      <c r="E489" s="9" t="s">
        <v>150</v>
      </c>
      <c r="F489" s="9" t="s">
        <v>21</v>
      </c>
      <c r="G489" s="14">
        <v>214</v>
      </c>
      <c r="H489" s="14">
        <v>218834000</v>
      </c>
      <c r="I489" s="14">
        <v>24</v>
      </c>
      <c r="J489" s="14">
        <v>13464000</v>
      </c>
      <c r="K489" s="14">
        <v>0</v>
      </c>
      <c r="L489" s="14">
        <v>0</v>
      </c>
      <c r="M489" s="4" t="e">
        <f>IF(F489="Tindakan",VLOOKUP(O489,#REF!,4,FALSE),IF(F489="Intensif",VLOOKUP(O489,#REF!,10,FALSE),IF(F489="Penunjang",VLOOKUP(O489,#REF!,16,FALSE),IF(F489="Visitase Berdasarkan Jumlah Pasien",VLOOKUP(O489,#REF!,22,FALSE),IF(F489="Visitase",VLOOKUP(O489,#REF!,28,FALSE),IF(F489="Rawat Jalan",VLOOKUP(O489,#REF!,34,FALSE),0))))))</f>
        <v>#REF!</v>
      </c>
      <c r="N489" s="12">
        <f t="shared" si="14"/>
        <v>0</v>
      </c>
      <c r="O489" t="s">
        <v>707</v>
      </c>
      <c r="P489">
        <v>479</v>
      </c>
    </row>
    <row r="490" spans="2:16" x14ac:dyDescent="0.35">
      <c r="B490" s="7">
        <f t="shared" si="15"/>
        <v>480</v>
      </c>
      <c r="C490" s="3" t="s">
        <v>422</v>
      </c>
      <c r="D490" s="4" t="s">
        <v>608</v>
      </c>
      <c r="E490" s="9" t="s">
        <v>686</v>
      </c>
      <c r="F490" s="9" t="s">
        <v>190</v>
      </c>
      <c r="G490" s="14">
        <v>2</v>
      </c>
      <c r="H490" s="14">
        <v>320000</v>
      </c>
      <c r="I490" s="14">
        <v>0</v>
      </c>
      <c r="J490" s="14">
        <v>0</v>
      </c>
      <c r="K490" s="14">
        <v>0</v>
      </c>
      <c r="L490" s="14">
        <v>0</v>
      </c>
      <c r="M490" s="4" t="e">
        <f>IF(F490="Tindakan",VLOOKUP(O490,#REF!,4,FALSE),IF(F490="Intensif",VLOOKUP(O490,#REF!,10,FALSE),IF(F490="Penunjang",VLOOKUP(O490,#REF!,16,FALSE),IF(F490="Visitase Berdasarkan Jumlah Pasien",VLOOKUP(O490,#REF!,22,FALSE),IF(F490="Visitase",VLOOKUP(O490,#REF!,28,FALSE),IF(F490="Rawat Jalan",VLOOKUP(O490,#REF!,34,FALSE),0))))))</f>
        <v>#REF!</v>
      </c>
      <c r="N490" s="12">
        <f t="shared" si="14"/>
        <v>0</v>
      </c>
      <c r="O490" t="s">
        <v>695</v>
      </c>
      <c r="P490">
        <v>480</v>
      </c>
    </row>
    <row r="491" spans="2:16" x14ac:dyDescent="0.35">
      <c r="B491" s="7">
        <f t="shared" si="15"/>
        <v>481</v>
      </c>
      <c r="C491" s="3" t="s">
        <v>422</v>
      </c>
      <c r="D491" s="4" t="s">
        <v>608</v>
      </c>
      <c r="E491" s="9" t="s">
        <v>686</v>
      </c>
      <c r="F491" s="9" t="s">
        <v>22</v>
      </c>
      <c r="G491" s="14">
        <v>0</v>
      </c>
      <c r="H491" s="14">
        <v>0</v>
      </c>
      <c r="I491" s="14">
        <v>1</v>
      </c>
      <c r="J491" s="14">
        <v>44000</v>
      </c>
      <c r="K491" s="14">
        <v>0</v>
      </c>
      <c r="L491" s="14">
        <v>0</v>
      </c>
      <c r="M491" s="4" t="e">
        <f>IF(F491="Tindakan",VLOOKUP(O491,#REF!,4,FALSE),IF(F491="Intensif",VLOOKUP(O491,#REF!,10,FALSE),IF(F491="Penunjang",VLOOKUP(O491,#REF!,16,FALSE),IF(F491="Visitase Berdasarkan Jumlah Pasien",VLOOKUP(O491,#REF!,22,FALSE),IF(F491="Visitase",VLOOKUP(O491,#REF!,28,FALSE),IF(F491="Rawat Jalan",VLOOKUP(O491,#REF!,34,FALSE),0))))))</f>
        <v>#REF!</v>
      </c>
      <c r="N491" s="12">
        <f t="shared" si="14"/>
        <v>0</v>
      </c>
      <c r="O491" t="s">
        <v>695</v>
      </c>
      <c r="P491">
        <v>481</v>
      </c>
    </row>
    <row r="492" spans="2:16" x14ac:dyDescent="0.35">
      <c r="B492" s="7">
        <f t="shared" si="15"/>
        <v>482</v>
      </c>
      <c r="C492" s="3" t="s">
        <v>287</v>
      </c>
      <c r="D492" s="4" t="s">
        <v>609</v>
      </c>
      <c r="E492" s="9" t="s">
        <v>164</v>
      </c>
      <c r="F492" s="9" t="s">
        <v>190</v>
      </c>
      <c r="G492" s="14">
        <v>41</v>
      </c>
      <c r="H492" s="14">
        <v>5230000</v>
      </c>
      <c r="I492" s="14">
        <v>10</v>
      </c>
      <c r="J492" s="14">
        <v>1285000</v>
      </c>
      <c r="K492" s="14">
        <v>1</v>
      </c>
      <c r="L492" s="14">
        <v>180000</v>
      </c>
      <c r="M492" s="4" t="e">
        <f>IF(F492="Tindakan",VLOOKUP(O492,#REF!,4,FALSE),IF(F492="Intensif",VLOOKUP(O492,#REF!,10,FALSE),IF(F492="Penunjang",VLOOKUP(O492,#REF!,16,FALSE),IF(F492="Visitase Berdasarkan Jumlah Pasien",VLOOKUP(O492,#REF!,22,FALSE),IF(F492="Visitase",VLOOKUP(O492,#REF!,28,FALSE),IF(F492="Rawat Jalan",VLOOKUP(O492,#REF!,34,FALSE),0))))))</f>
        <v>#REF!</v>
      </c>
      <c r="N492" s="12">
        <f t="shared" si="14"/>
        <v>0</v>
      </c>
      <c r="O492" t="s">
        <v>693</v>
      </c>
      <c r="P492">
        <v>482</v>
      </c>
    </row>
    <row r="493" spans="2:16" x14ac:dyDescent="0.35">
      <c r="B493" s="7">
        <f t="shared" si="15"/>
        <v>483</v>
      </c>
      <c r="C493" s="3" t="s">
        <v>287</v>
      </c>
      <c r="D493" s="4" t="s">
        <v>609</v>
      </c>
      <c r="E493" s="9" t="s">
        <v>164</v>
      </c>
      <c r="F493" s="9" t="s">
        <v>20</v>
      </c>
      <c r="G493" s="14">
        <v>0</v>
      </c>
      <c r="H493" s="14">
        <v>0</v>
      </c>
      <c r="I493" s="14">
        <v>0</v>
      </c>
      <c r="J493" s="14">
        <v>0</v>
      </c>
      <c r="K493" s="14">
        <v>1</v>
      </c>
      <c r="L493" s="14">
        <v>160000</v>
      </c>
      <c r="M493" s="4" t="e">
        <f>IF(F493="Tindakan",VLOOKUP(O493,#REF!,4,FALSE),IF(F493="Intensif",VLOOKUP(O493,#REF!,10,FALSE),IF(F493="Penunjang",VLOOKUP(O493,#REF!,16,FALSE),IF(F493="Visitase Berdasarkan Jumlah Pasien",VLOOKUP(O493,#REF!,22,FALSE),IF(F493="Visitase",VLOOKUP(O493,#REF!,28,FALSE),IF(F493="Rawat Jalan",VLOOKUP(O493,#REF!,34,FALSE),0))))))</f>
        <v>#REF!</v>
      </c>
      <c r="N493" s="12">
        <f t="shared" si="14"/>
        <v>0</v>
      </c>
      <c r="O493" t="s">
        <v>693</v>
      </c>
      <c r="P493">
        <v>483</v>
      </c>
    </row>
    <row r="494" spans="2:16" x14ac:dyDescent="0.35">
      <c r="B494" s="7">
        <f t="shared" si="15"/>
        <v>484</v>
      </c>
      <c r="C494" s="3" t="s">
        <v>287</v>
      </c>
      <c r="D494" s="4" t="s">
        <v>609</v>
      </c>
      <c r="E494" s="9" t="s">
        <v>164</v>
      </c>
      <c r="F494" s="9" t="s">
        <v>22</v>
      </c>
      <c r="G494" s="14">
        <v>95</v>
      </c>
      <c r="H494" s="14">
        <v>10408000</v>
      </c>
      <c r="I494" s="14">
        <v>13</v>
      </c>
      <c r="J494" s="14">
        <v>1809000</v>
      </c>
      <c r="K494" s="14">
        <v>2</v>
      </c>
      <c r="L494" s="14">
        <v>600000</v>
      </c>
      <c r="M494" s="4" t="e">
        <f>IF(F494="Tindakan",VLOOKUP(O494,#REF!,4,FALSE),IF(F494="Intensif",VLOOKUP(O494,#REF!,10,FALSE),IF(F494="Penunjang",VLOOKUP(O494,#REF!,16,FALSE),IF(F494="Visitase Berdasarkan Jumlah Pasien",VLOOKUP(O494,#REF!,22,FALSE),IF(F494="Visitase",VLOOKUP(O494,#REF!,28,FALSE),IF(F494="Rawat Jalan",VLOOKUP(O494,#REF!,34,FALSE),0))))))</f>
        <v>#REF!</v>
      </c>
      <c r="N494" s="12">
        <f t="shared" si="14"/>
        <v>0</v>
      </c>
      <c r="O494" t="s">
        <v>693</v>
      </c>
      <c r="P494">
        <v>484</v>
      </c>
    </row>
    <row r="495" spans="2:16" x14ac:dyDescent="0.35">
      <c r="B495" s="7">
        <f t="shared" si="15"/>
        <v>485</v>
      </c>
      <c r="C495" s="3" t="s">
        <v>287</v>
      </c>
      <c r="D495" s="4" t="s">
        <v>609</v>
      </c>
      <c r="E495" s="9" t="s">
        <v>164</v>
      </c>
      <c r="F495" s="9" t="s">
        <v>19</v>
      </c>
      <c r="G495" s="14">
        <v>27</v>
      </c>
      <c r="H495" s="14">
        <v>201450000</v>
      </c>
      <c r="I495" s="14">
        <v>9</v>
      </c>
      <c r="J495" s="14">
        <v>56100000</v>
      </c>
      <c r="K495" s="14">
        <v>1</v>
      </c>
      <c r="L495" s="14">
        <v>25390000</v>
      </c>
      <c r="M495" s="4" t="e">
        <f>IF(F495="Tindakan",VLOOKUP(O495,#REF!,4,FALSE),IF(F495="Intensif",VLOOKUP(O495,#REF!,10,FALSE),IF(F495="Penunjang",VLOOKUP(O495,#REF!,16,FALSE),IF(F495="Visitase Berdasarkan Jumlah Pasien",VLOOKUP(O495,#REF!,22,FALSE),IF(F495="Visitase",VLOOKUP(O495,#REF!,28,FALSE),IF(F495="Rawat Jalan",VLOOKUP(O495,#REF!,34,FALSE),0))))))</f>
        <v>#REF!</v>
      </c>
      <c r="N495" s="12">
        <f t="shared" si="14"/>
        <v>0</v>
      </c>
      <c r="O495" t="s">
        <v>693</v>
      </c>
      <c r="P495">
        <v>485</v>
      </c>
    </row>
    <row r="496" spans="2:16" x14ac:dyDescent="0.35">
      <c r="B496" s="7">
        <f t="shared" si="15"/>
        <v>486</v>
      </c>
      <c r="C496" s="3" t="s">
        <v>324</v>
      </c>
      <c r="D496" s="4" t="s">
        <v>610</v>
      </c>
      <c r="E496" s="9" t="s">
        <v>156</v>
      </c>
      <c r="F496" s="9" t="s">
        <v>190</v>
      </c>
      <c r="G496" s="14">
        <v>106</v>
      </c>
      <c r="H496" s="14">
        <v>16465000</v>
      </c>
      <c r="I496" s="14">
        <v>12</v>
      </c>
      <c r="J496" s="14">
        <v>1650000</v>
      </c>
      <c r="K496" s="14">
        <v>0</v>
      </c>
      <c r="L496" s="14">
        <v>0</v>
      </c>
      <c r="M496" s="4" t="e">
        <f>IF(F496="Tindakan",VLOOKUP(O496,#REF!,4,FALSE),IF(F496="Intensif",VLOOKUP(O496,#REF!,10,FALSE),IF(F496="Penunjang",VLOOKUP(O496,#REF!,16,FALSE),IF(F496="Visitase Berdasarkan Jumlah Pasien",VLOOKUP(O496,#REF!,22,FALSE),IF(F496="Visitase",VLOOKUP(O496,#REF!,28,FALSE),IF(F496="Rawat Jalan",VLOOKUP(O496,#REF!,34,FALSE),0))))))</f>
        <v>#REF!</v>
      </c>
      <c r="N496" s="12">
        <f t="shared" si="14"/>
        <v>0</v>
      </c>
      <c r="O496" t="s">
        <v>708</v>
      </c>
      <c r="P496">
        <v>486</v>
      </c>
    </row>
    <row r="497" spans="2:16" x14ac:dyDescent="0.35">
      <c r="B497" s="7">
        <f t="shared" si="15"/>
        <v>487</v>
      </c>
      <c r="C497" s="3" t="s">
        <v>324</v>
      </c>
      <c r="D497" s="4" t="s">
        <v>610</v>
      </c>
      <c r="E497" s="9" t="s">
        <v>156</v>
      </c>
      <c r="F497" s="9" t="s">
        <v>20</v>
      </c>
      <c r="G497" s="14">
        <v>53</v>
      </c>
      <c r="H497" s="14">
        <v>8915000</v>
      </c>
      <c r="I497" s="14">
        <v>0</v>
      </c>
      <c r="J497" s="14">
        <v>0</v>
      </c>
      <c r="K497" s="14">
        <v>1</v>
      </c>
      <c r="L497" s="14">
        <v>160000</v>
      </c>
      <c r="M497" s="4" t="e">
        <f>IF(F497="Tindakan",VLOOKUP(O497,#REF!,4,FALSE),IF(F497="Intensif",VLOOKUP(O497,#REF!,10,FALSE),IF(F497="Penunjang",VLOOKUP(O497,#REF!,16,FALSE),IF(F497="Visitase Berdasarkan Jumlah Pasien",VLOOKUP(O497,#REF!,22,FALSE),IF(F497="Visitase",VLOOKUP(O497,#REF!,28,FALSE),IF(F497="Rawat Jalan",VLOOKUP(O497,#REF!,34,FALSE),0))))))</f>
        <v>#REF!</v>
      </c>
      <c r="N497" s="12">
        <f t="shared" si="14"/>
        <v>0</v>
      </c>
      <c r="O497" t="s">
        <v>708</v>
      </c>
      <c r="P497">
        <v>487</v>
      </c>
    </row>
    <row r="498" spans="2:16" x14ac:dyDescent="0.35">
      <c r="B498" s="7">
        <f t="shared" si="15"/>
        <v>488</v>
      </c>
      <c r="C498" s="3" t="s">
        <v>324</v>
      </c>
      <c r="D498" s="4" t="s">
        <v>610</v>
      </c>
      <c r="E498" s="9" t="s">
        <v>156</v>
      </c>
      <c r="F498" s="9" t="s">
        <v>22</v>
      </c>
      <c r="G498" s="14">
        <v>17</v>
      </c>
      <c r="H498" s="14">
        <v>2115000</v>
      </c>
      <c r="I498" s="14">
        <v>3</v>
      </c>
      <c r="J498" s="14">
        <v>225000</v>
      </c>
      <c r="K498" s="14">
        <v>2</v>
      </c>
      <c r="L498" s="14">
        <v>325000</v>
      </c>
      <c r="M498" s="4" t="e">
        <f>IF(F498="Tindakan",VLOOKUP(O498,#REF!,4,FALSE),IF(F498="Intensif",VLOOKUP(O498,#REF!,10,FALSE),IF(F498="Penunjang",VLOOKUP(O498,#REF!,16,FALSE),IF(F498="Visitase Berdasarkan Jumlah Pasien",VLOOKUP(O498,#REF!,22,FALSE),IF(F498="Visitase",VLOOKUP(O498,#REF!,28,FALSE),IF(F498="Rawat Jalan",VLOOKUP(O498,#REF!,34,FALSE),0))))))</f>
        <v>#REF!</v>
      </c>
      <c r="N498" s="12">
        <f t="shared" si="14"/>
        <v>0</v>
      </c>
      <c r="O498" t="s">
        <v>708</v>
      </c>
      <c r="P498">
        <v>488</v>
      </c>
    </row>
    <row r="499" spans="2:16" x14ac:dyDescent="0.35">
      <c r="B499" s="7">
        <f t="shared" si="15"/>
        <v>489</v>
      </c>
      <c r="C499" s="3" t="s">
        <v>215</v>
      </c>
      <c r="D499" s="4" t="s">
        <v>611</v>
      </c>
      <c r="E499" s="9" t="s">
        <v>164</v>
      </c>
      <c r="F499" s="9" t="s">
        <v>190</v>
      </c>
      <c r="G499" s="14">
        <v>80</v>
      </c>
      <c r="H499" s="14">
        <v>10280000</v>
      </c>
      <c r="I499" s="14">
        <v>0</v>
      </c>
      <c r="J499" s="14">
        <v>0</v>
      </c>
      <c r="K499" s="14">
        <v>0</v>
      </c>
      <c r="L499" s="14">
        <v>0</v>
      </c>
      <c r="M499" s="4" t="e">
        <f>IF(F499="Tindakan",VLOOKUP(O499,#REF!,4,FALSE),IF(F499="Intensif",VLOOKUP(O499,#REF!,10,FALSE),IF(F499="Penunjang",VLOOKUP(O499,#REF!,16,FALSE),IF(F499="Visitase Berdasarkan Jumlah Pasien",VLOOKUP(O499,#REF!,22,FALSE),IF(F499="Visitase",VLOOKUP(O499,#REF!,28,FALSE),IF(F499="Rawat Jalan",VLOOKUP(O499,#REF!,34,FALSE),0))))))</f>
        <v>#REF!</v>
      </c>
      <c r="N499" s="12">
        <f t="shared" si="14"/>
        <v>0</v>
      </c>
      <c r="O499" t="s">
        <v>693</v>
      </c>
      <c r="P499">
        <v>489</v>
      </c>
    </row>
    <row r="500" spans="2:16" x14ac:dyDescent="0.35">
      <c r="B500" s="7">
        <f t="shared" si="15"/>
        <v>490</v>
      </c>
      <c r="C500" s="3" t="s">
        <v>215</v>
      </c>
      <c r="D500" s="4" t="s">
        <v>611</v>
      </c>
      <c r="E500" s="9" t="s">
        <v>164</v>
      </c>
      <c r="F500" s="9" t="s">
        <v>20</v>
      </c>
      <c r="G500" s="14">
        <v>15</v>
      </c>
      <c r="H500" s="14">
        <v>2550000</v>
      </c>
      <c r="I500" s="14">
        <v>0</v>
      </c>
      <c r="J500" s="14">
        <v>0</v>
      </c>
      <c r="K500" s="14">
        <v>0</v>
      </c>
      <c r="L500" s="14">
        <v>0</v>
      </c>
      <c r="M500" s="4" t="e">
        <f>IF(F500="Tindakan",VLOOKUP(O500,#REF!,4,FALSE),IF(F500="Intensif",VLOOKUP(O500,#REF!,10,FALSE),IF(F500="Penunjang",VLOOKUP(O500,#REF!,16,FALSE),IF(F500="Visitase Berdasarkan Jumlah Pasien",VLOOKUP(O500,#REF!,22,FALSE),IF(F500="Visitase",VLOOKUP(O500,#REF!,28,FALSE),IF(F500="Rawat Jalan",VLOOKUP(O500,#REF!,34,FALSE),0))))))</f>
        <v>#REF!</v>
      </c>
      <c r="N500" s="12">
        <f t="shared" si="14"/>
        <v>0</v>
      </c>
      <c r="O500" t="s">
        <v>693</v>
      </c>
      <c r="P500">
        <v>490</v>
      </c>
    </row>
    <row r="501" spans="2:16" x14ac:dyDescent="0.35">
      <c r="B501" s="7">
        <f t="shared" si="15"/>
        <v>491</v>
      </c>
      <c r="C501" s="3" t="s">
        <v>215</v>
      </c>
      <c r="D501" s="4" t="s">
        <v>611</v>
      </c>
      <c r="E501" s="9" t="s">
        <v>164</v>
      </c>
      <c r="F501" s="9" t="s">
        <v>19</v>
      </c>
      <c r="G501" s="14">
        <v>9</v>
      </c>
      <c r="H501" s="14">
        <v>112600000</v>
      </c>
      <c r="I501" s="14">
        <v>0</v>
      </c>
      <c r="J501" s="14">
        <v>0</v>
      </c>
      <c r="K501" s="14">
        <v>0</v>
      </c>
      <c r="L501" s="14">
        <v>0</v>
      </c>
      <c r="M501" s="4" t="e">
        <f>IF(F501="Tindakan",VLOOKUP(O501,#REF!,4,FALSE),IF(F501="Intensif",VLOOKUP(O501,#REF!,10,FALSE),IF(F501="Penunjang",VLOOKUP(O501,#REF!,16,FALSE),IF(F501="Visitase Berdasarkan Jumlah Pasien",VLOOKUP(O501,#REF!,22,FALSE),IF(F501="Visitase",VLOOKUP(O501,#REF!,28,FALSE),IF(F501="Rawat Jalan",VLOOKUP(O501,#REF!,34,FALSE),0))))))</f>
        <v>#REF!</v>
      </c>
      <c r="N501" s="12">
        <f t="shared" si="14"/>
        <v>0</v>
      </c>
      <c r="O501" t="s">
        <v>693</v>
      </c>
      <c r="P501">
        <v>491</v>
      </c>
    </row>
    <row r="502" spans="2:16" x14ac:dyDescent="0.35">
      <c r="B502" s="7">
        <f t="shared" si="15"/>
        <v>492</v>
      </c>
      <c r="C502" s="3" t="s">
        <v>215</v>
      </c>
      <c r="D502" s="4" t="s">
        <v>611</v>
      </c>
      <c r="E502" s="9" t="s">
        <v>164</v>
      </c>
      <c r="F502" s="9" t="s">
        <v>22</v>
      </c>
      <c r="G502" s="14">
        <v>28</v>
      </c>
      <c r="H502" s="14">
        <v>2325000</v>
      </c>
      <c r="I502" s="14">
        <v>2</v>
      </c>
      <c r="J502" s="14">
        <v>150000</v>
      </c>
      <c r="K502" s="14">
        <v>2</v>
      </c>
      <c r="L502" s="14">
        <v>600000</v>
      </c>
      <c r="M502" s="4" t="e">
        <f>IF(F502="Tindakan",VLOOKUP(O502,#REF!,4,FALSE),IF(F502="Intensif",VLOOKUP(O502,#REF!,10,FALSE),IF(F502="Penunjang",VLOOKUP(O502,#REF!,16,FALSE),IF(F502="Visitase Berdasarkan Jumlah Pasien",VLOOKUP(O502,#REF!,22,FALSE),IF(F502="Visitase",VLOOKUP(O502,#REF!,28,FALSE),IF(F502="Rawat Jalan",VLOOKUP(O502,#REF!,34,FALSE),0))))))</f>
        <v>#REF!</v>
      </c>
      <c r="N502" s="12">
        <f t="shared" si="14"/>
        <v>0</v>
      </c>
      <c r="O502" t="s">
        <v>693</v>
      </c>
      <c r="P502">
        <v>492</v>
      </c>
    </row>
    <row r="503" spans="2:16" x14ac:dyDescent="0.35">
      <c r="B503" s="7">
        <f t="shared" si="15"/>
        <v>493</v>
      </c>
      <c r="C503" s="3" t="s">
        <v>248</v>
      </c>
      <c r="D503" s="4" t="s">
        <v>612</v>
      </c>
      <c r="E503" s="9" t="s">
        <v>148</v>
      </c>
      <c r="F503" s="9" t="s">
        <v>190</v>
      </c>
      <c r="G503" s="14">
        <v>15</v>
      </c>
      <c r="H503" s="14">
        <v>1875000</v>
      </c>
      <c r="I503" s="14">
        <v>3</v>
      </c>
      <c r="J503" s="14">
        <v>390000</v>
      </c>
      <c r="K503" s="14">
        <v>0</v>
      </c>
      <c r="L503" s="14">
        <v>0</v>
      </c>
      <c r="M503" s="4" t="e">
        <f>IF(F503="Tindakan",VLOOKUP(O503,#REF!,4,FALSE),IF(F503="Intensif",VLOOKUP(O503,#REF!,10,FALSE),IF(F503="Penunjang",VLOOKUP(O503,#REF!,16,FALSE),IF(F503="Visitase Berdasarkan Jumlah Pasien",VLOOKUP(O503,#REF!,22,FALSE),IF(F503="Visitase",VLOOKUP(O503,#REF!,28,FALSE),IF(F503="Rawat Jalan",VLOOKUP(O503,#REF!,34,FALSE),0))))))</f>
        <v>#REF!</v>
      </c>
      <c r="N503" s="12">
        <f t="shared" si="14"/>
        <v>0</v>
      </c>
      <c r="O503" t="s">
        <v>700</v>
      </c>
      <c r="P503">
        <v>493</v>
      </c>
    </row>
    <row r="504" spans="2:16" x14ac:dyDescent="0.35">
      <c r="B504" s="7">
        <f t="shared" si="15"/>
        <v>494</v>
      </c>
      <c r="C504" s="3" t="s">
        <v>248</v>
      </c>
      <c r="D504" s="4" t="s">
        <v>612</v>
      </c>
      <c r="E504" s="9" t="s">
        <v>148</v>
      </c>
      <c r="F504" s="9" t="s">
        <v>20</v>
      </c>
      <c r="G504" s="14">
        <v>0</v>
      </c>
      <c r="H504" s="14">
        <v>0</v>
      </c>
      <c r="I504" s="14">
        <v>1</v>
      </c>
      <c r="J504" s="14">
        <v>175000</v>
      </c>
      <c r="K504" s="14">
        <v>0</v>
      </c>
      <c r="L504" s="14">
        <v>0</v>
      </c>
      <c r="M504" s="4" t="e">
        <f>IF(F504="Tindakan",VLOOKUP(O504,#REF!,4,FALSE),IF(F504="Intensif",VLOOKUP(O504,#REF!,10,FALSE),IF(F504="Penunjang",VLOOKUP(O504,#REF!,16,FALSE),IF(F504="Visitase Berdasarkan Jumlah Pasien",VLOOKUP(O504,#REF!,22,FALSE),IF(F504="Visitase",VLOOKUP(O504,#REF!,28,FALSE),IF(F504="Rawat Jalan",VLOOKUP(O504,#REF!,34,FALSE),0))))))</f>
        <v>#REF!</v>
      </c>
      <c r="N504" s="12">
        <f t="shared" si="14"/>
        <v>0</v>
      </c>
      <c r="O504" t="s">
        <v>700</v>
      </c>
      <c r="P504">
        <v>494</v>
      </c>
    </row>
    <row r="505" spans="2:16" x14ac:dyDescent="0.35">
      <c r="B505" s="7">
        <f t="shared" si="15"/>
        <v>495</v>
      </c>
      <c r="C505" s="3" t="s">
        <v>248</v>
      </c>
      <c r="D505" s="4" t="s">
        <v>612</v>
      </c>
      <c r="E505" s="9" t="s">
        <v>148</v>
      </c>
      <c r="F505" s="9" t="s">
        <v>22</v>
      </c>
      <c r="G505" s="14">
        <v>32</v>
      </c>
      <c r="H505" s="14">
        <v>5015000</v>
      </c>
      <c r="I505" s="14">
        <v>4</v>
      </c>
      <c r="J505" s="14">
        <v>560000</v>
      </c>
      <c r="K505" s="14">
        <v>0</v>
      </c>
      <c r="L505" s="14">
        <v>0</v>
      </c>
      <c r="M505" s="4" t="e">
        <f>IF(F505="Tindakan",VLOOKUP(O505,#REF!,4,FALSE),IF(F505="Intensif",VLOOKUP(O505,#REF!,10,FALSE),IF(F505="Penunjang",VLOOKUP(O505,#REF!,16,FALSE),IF(F505="Visitase Berdasarkan Jumlah Pasien",VLOOKUP(O505,#REF!,22,FALSE),IF(F505="Visitase",VLOOKUP(O505,#REF!,28,FALSE),IF(F505="Rawat Jalan",VLOOKUP(O505,#REF!,34,FALSE),0))))))</f>
        <v>#REF!</v>
      </c>
      <c r="N505" s="12">
        <f t="shared" si="14"/>
        <v>0</v>
      </c>
      <c r="O505" t="s">
        <v>700</v>
      </c>
      <c r="P505">
        <v>495</v>
      </c>
    </row>
    <row r="506" spans="2:16" x14ac:dyDescent="0.35">
      <c r="B506" s="7">
        <f t="shared" si="15"/>
        <v>496</v>
      </c>
      <c r="C506" s="3" t="s">
        <v>207</v>
      </c>
      <c r="D506" s="4" t="s">
        <v>613</v>
      </c>
      <c r="E506" s="9" t="s">
        <v>177</v>
      </c>
      <c r="F506" s="9" t="s">
        <v>190</v>
      </c>
      <c r="G506" s="14">
        <v>14</v>
      </c>
      <c r="H506" s="14">
        <v>1750000</v>
      </c>
      <c r="I506" s="14">
        <v>0</v>
      </c>
      <c r="J506" s="14">
        <v>0</v>
      </c>
      <c r="K506" s="14">
        <v>0</v>
      </c>
      <c r="L506" s="14">
        <v>0</v>
      </c>
      <c r="M506" s="4" t="e">
        <f>IF(F506="Tindakan",VLOOKUP(O506,#REF!,4,FALSE),IF(F506="Intensif",VLOOKUP(O506,#REF!,10,FALSE),IF(F506="Penunjang",VLOOKUP(O506,#REF!,16,FALSE),IF(F506="Visitase Berdasarkan Jumlah Pasien",VLOOKUP(O506,#REF!,22,FALSE),IF(F506="Visitase",VLOOKUP(O506,#REF!,28,FALSE),IF(F506="Rawat Jalan",VLOOKUP(O506,#REF!,34,FALSE),0))))))</f>
        <v>#REF!</v>
      </c>
      <c r="N506" s="12">
        <f t="shared" si="14"/>
        <v>0</v>
      </c>
      <c r="O506" t="s">
        <v>702</v>
      </c>
      <c r="P506">
        <v>496</v>
      </c>
    </row>
    <row r="507" spans="2:16" x14ac:dyDescent="0.35">
      <c r="B507" s="7">
        <f t="shared" si="15"/>
        <v>497</v>
      </c>
      <c r="C507" s="3" t="s">
        <v>207</v>
      </c>
      <c r="D507" s="4" t="s">
        <v>613</v>
      </c>
      <c r="E507" s="9" t="s">
        <v>177</v>
      </c>
      <c r="F507" s="9" t="s">
        <v>19</v>
      </c>
      <c r="G507" s="14">
        <v>10</v>
      </c>
      <c r="H507" s="14">
        <v>252220000</v>
      </c>
      <c r="I507" s="14">
        <v>0</v>
      </c>
      <c r="J507" s="14">
        <v>0</v>
      </c>
      <c r="K507" s="14">
        <v>0</v>
      </c>
      <c r="L507" s="14">
        <v>0</v>
      </c>
      <c r="M507" s="4" t="e">
        <f>IF(F507="Tindakan",VLOOKUP(O507,#REF!,4,FALSE),IF(F507="Intensif",VLOOKUP(O507,#REF!,10,FALSE),IF(F507="Penunjang",VLOOKUP(O507,#REF!,16,FALSE),IF(F507="Visitase Berdasarkan Jumlah Pasien",VLOOKUP(O507,#REF!,22,FALSE),IF(F507="Visitase",VLOOKUP(O507,#REF!,28,FALSE),IF(F507="Rawat Jalan",VLOOKUP(O507,#REF!,34,FALSE),0))))))</f>
        <v>#REF!</v>
      </c>
      <c r="N507" s="12">
        <f t="shared" si="14"/>
        <v>0</v>
      </c>
      <c r="O507" t="s">
        <v>702</v>
      </c>
      <c r="P507">
        <v>497</v>
      </c>
    </row>
    <row r="508" spans="2:16" x14ac:dyDescent="0.35">
      <c r="B508" s="7">
        <f t="shared" si="15"/>
        <v>498</v>
      </c>
      <c r="C508" s="3" t="s">
        <v>207</v>
      </c>
      <c r="D508" s="4" t="s">
        <v>613</v>
      </c>
      <c r="E508" s="9" t="s">
        <v>177</v>
      </c>
      <c r="F508" s="9" t="s">
        <v>22</v>
      </c>
      <c r="G508" s="14">
        <v>383</v>
      </c>
      <c r="H508" s="14">
        <v>39793000</v>
      </c>
      <c r="I508" s="14">
        <v>3</v>
      </c>
      <c r="J508" s="14">
        <v>213000</v>
      </c>
      <c r="K508" s="14">
        <v>31</v>
      </c>
      <c r="L508" s="14">
        <v>7581000</v>
      </c>
      <c r="M508" s="4" t="e">
        <f>IF(F508="Tindakan",VLOOKUP(O508,#REF!,4,FALSE),IF(F508="Intensif",VLOOKUP(O508,#REF!,10,FALSE),IF(F508="Penunjang",VLOOKUP(O508,#REF!,16,FALSE),IF(F508="Visitase Berdasarkan Jumlah Pasien",VLOOKUP(O508,#REF!,22,FALSE),IF(F508="Visitase",VLOOKUP(O508,#REF!,28,FALSE),IF(F508="Rawat Jalan",VLOOKUP(O508,#REF!,34,FALSE),0))))))</f>
        <v>#REF!</v>
      </c>
      <c r="N508" s="12">
        <f t="shared" si="14"/>
        <v>0</v>
      </c>
      <c r="O508" t="s">
        <v>702</v>
      </c>
      <c r="P508">
        <v>498</v>
      </c>
    </row>
    <row r="509" spans="2:16" x14ac:dyDescent="0.35">
      <c r="B509" s="7">
        <f t="shared" si="15"/>
        <v>499</v>
      </c>
      <c r="C509" s="3" t="s">
        <v>331</v>
      </c>
      <c r="D509" s="4" t="s">
        <v>614</v>
      </c>
      <c r="E509" s="9" t="s">
        <v>148</v>
      </c>
      <c r="F509" s="9" t="s">
        <v>190</v>
      </c>
      <c r="G509" s="14">
        <v>3</v>
      </c>
      <c r="H509" s="14">
        <v>375000</v>
      </c>
      <c r="I509" s="14">
        <v>0</v>
      </c>
      <c r="J509" s="14">
        <v>0</v>
      </c>
      <c r="K509" s="14">
        <v>0</v>
      </c>
      <c r="L509" s="14">
        <v>0</v>
      </c>
      <c r="M509" s="4" t="e">
        <f>IF(F509="Tindakan",VLOOKUP(O509,#REF!,4,FALSE),IF(F509="Intensif",VLOOKUP(O509,#REF!,10,FALSE),IF(F509="Penunjang",VLOOKUP(O509,#REF!,16,FALSE),IF(F509="Visitase Berdasarkan Jumlah Pasien",VLOOKUP(O509,#REF!,22,FALSE),IF(F509="Visitase",VLOOKUP(O509,#REF!,28,FALSE),IF(F509="Rawat Jalan",VLOOKUP(O509,#REF!,34,FALSE),0))))))</f>
        <v>#REF!</v>
      </c>
      <c r="N509" s="12">
        <f t="shared" si="14"/>
        <v>0</v>
      </c>
      <c r="O509" t="s">
        <v>700</v>
      </c>
      <c r="P509">
        <v>499</v>
      </c>
    </row>
    <row r="510" spans="2:16" x14ac:dyDescent="0.35">
      <c r="B510" s="7">
        <f t="shared" si="15"/>
        <v>500</v>
      </c>
      <c r="C510" s="3" t="s">
        <v>331</v>
      </c>
      <c r="D510" s="4" t="s">
        <v>614</v>
      </c>
      <c r="E510" s="9" t="s">
        <v>148</v>
      </c>
      <c r="F510" s="9" t="s">
        <v>22</v>
      </c>
      <c r="G510" s="14">
        <v>205</v>
      </c>
      <c r="H510" s="14">
        <v>46281000</v>
      </c>
      <c r="I510" s="14">
        <v>6</v>
      </c>
      <c r="J510" s="14">
        <v>809000</v>
      </c>
      <c r="K510" s="14">
        <v>1</v>
      </c>
      <c r="L510" s="14">
        <v>300000</v>
      </c>
      <c r="M510" s="4" t="e">
        <f>IF(F510="Tindakan",VLOOKUP(O510,#REF!,4,FALSE),IF(F510="Intensif",VLOOKUP(O510,#REF!,10,FALSE),IF(F510="Penunjang",VLOOKUP(O510,#REF!,16,FALSE),IF(F510="Visitase Berdasarkan Jumlah Pasien",VLOOKUP(O510,#REF!,22,FALSE),IF(F510="Visitase",VLOOKUP(O510,#REF!,28,FALSE),IF(F510="Rawat Jalan",VLOOKUP(O510,#REF!,34,FALSE),0))))))</f>
        <v>#REF!</v>
      </c>
      <c r="N510" s="12">
        <f t="shared" si="14"/>
        <v>0</v>
      </c>
      <c r="O510" t="s">
        <v>700</v>
      </c>
      <c r="P510">
        <v>500</v>
      </c>
    </row>
    <row r="511" spans="2:16" x14ac:dyDescent="0.35">
      <c r="B511" s="7">
        <f t="shared" si="15"/>
        <v>501</v>
      </c>
      <c r="C511" s="3" t="s">
        <v>423</v>
      </c>
      <c r="D511" s="4" t="s">
        <v>615</v>
      </c>
      <c r="E511" s="9" t="s">
        <v>686</v>
      </c>
      <c r="F511" s="9" t="s">
        <v>190</v>
      </c>
      <c r="G511" s="14">
        <v>3</v>
      </c>
      <c r="H511" s="14">
        <v>410000</v>
      </c>
      <c r="I511" s="14">
        <v>0</v>
      </c>
      <c r="J511" s="14">
        <v>0</v>
      </c>
      <c r="K511" s="14">
        <v>0</v>
      </c>
      <c r="L511" s="14">
        <v>0</v>
      </c>
      <c r="M511" s="4" t="e">
        <f>IF(F511="Tindakan",VLOOKUP(O511,#REF!,4,FALSE),IF(F511="Intensif",VLOOKUP(O511,#REF!,10,FALSE),IF(F511="Penunjang",VLOOKUP(O511,#REF!,16,FALSE),IF(F511="Visitase Berdasarkan Jumlah Pasien",VLOOKUP(O511,#REF!,22,FALSE),IF(F511="Visitase",VLOOKUP(O511,#REF!,28,FALSE),IF(F511="Rawat Jalan",VLOOKUP(O511,#REF!,34,FALSE),0))))))</f>
        <v>#REF!</v>
      </c>
      <c r="N511" s="12">
        <f t="shared" si="14"/>
        <v>0</v>
      </c>
      <c r="O511" t="s">
        <v>695</v>
      </c>
      <c r="P511">
        <v>501</v>
      </c>
    </row>
    <row r="512" spans="2:16" x14ac:dyDescent="0.35">
      <c r="B512" s="7">
        <f t="shared" si="15"/>
        <v>502</v>
      </c>
      <c r="C512" s="3" t="s">
        <v>423</v>
      </c>
      <c r="D512" s="4" t="s">
        <v>615</v>
      </c>
      <c r="E512" s="9" t="s">
        <v>686</v>
      </c>
      <c r="F512" s="9" t="s">
        <v>22</v>
      </c>
      <c r="G512" s="14">
        <v>0</v>
      </c>
      <c r="H512" s="14">
        <v>0</v>
      </c>
      <c r="I512" s="14">
        <v>1</v>
      </c>
      <c r="J512" s="14">
        <v>50000</v>
      </c>
      <c r="K512" s="14">
        <v>0</v>
      </c>
      <c r="L512" s="14">
        <v>0</v>
      </c>
      <c r="M512" s="4" t="e">
        <f>IF(F512="Tindakan",VLOOKUP(O512,#REF!,4,FALSE),IF(F512="Intensif",VLOOKUP(O512,#REF!,10,FALSE),IF(F512="Penunjang",VLOOKUP(O512,#REF!,16,FALSE),IF(F512="Visitase Berdasarkan Jumlah Pasien",VLOOKUP(O512,#REF!,22,FALSE),IF(F512="Visitase",VLOOKUP(O512,#REF!,28,FALSE),IF(F512="Rawat Jalan",VLOOKUP(O512,#REF!,34,FALSE),0))))))</f>
        <v>#REF!</v>
      </c>
      <c r="N512" s="12">
        <f t="shared" si="14"/>
        <v>0</v>
      </c>
      <c r="O512" t="s">
        <v>695</v>
      </c>
      <c r="P512">
        <v>502</v>
      </c>
    </row>
    <row r="513" spans="2:16" x14ac:dyDescent="0.35">
      <c r="B513" s="7">
        <f t="shared" si="15"/>
        <v>503</v>
      </c>
      <c r="C513" s="3" t="s">
        <v>218</v>
      </c>
      <c r="D513" s="4" t="s">
        <v>616</v>
      </c>
      <c r="E513" s="9" t="s">
        <v>151</v>
      </c>
      <c r="F513" s="9" t="s">
        <v>19</v>
      </c>
      <c r="G513" s="14">
        <v>35</v>
      </c>
      <c r="H513" s="14">
        <v>293943000</v>
      </c>
      <c r="I513" s="14">
        <v>1</v>
      </c>
      <c r="J513" s="14">
        <v>8800000</v>
      </c>
      <c r="K513" s="14">
        <v>3</v>
      </c>
      <c r="L513" s="14">
        <v>51000000</v>
      </c>
      <c r="M513" s="4" t="e">
        <f>IF(F513="Tindakan",VLOOKUP(O513,#REF!,4,FALSE),IF(F513="Intensif",VLOOKUP(O513,#REF!,10,FALSE),IF(F513="Penunjang",VLOOKUP(O513,#REF!,16,FALSE),IF(F513="Visitase Berdasarkan Jumlah Pasien",VLOOKUP(O513,#REF!,22,FALSE),IF(F513="Visitase",VLOOKUP(O513,#REF!,28,FALSE),IF(F513="Rawat Jalan",VLOOKUP(O513,#REF!,34,FALSE),0))))))</f>
        <v>#REF!</v>
      </c>
      <c r="N513" s="12">
        <f t="shared" si="14"/>
        <v>0</v>
      </c>
      <c r="O513" t="s">
        <v>690</v>
      </c>
      <c r="P513">
        <v>503</v>
      </c>
    </row>
    <row r="514" spans="2:16" x14ac:dyDescent="0.35">
      <c r="B514" s="7">
        <f t="shared" si="15"/>
        <v>504</v>
      </c>
      <c r="C514" s="3" t="s">
        <v>218</v>
      </c>
      <c r="D514" s="4" t="s">
        <v>616</v>
      </c>
      <c r="E514" s="9" t="s">
        <v>151</v>
      </c>
      <c r="F514" s="9" t="s">
        <v>22</v>
      </c>
      <c r="G514" s="14">
        <v>17</v>
      </c>
      <c r="H514" s="14">
        <v>1600000</v>
      </c>
      <c r="I514" s="14">
        <v>0</v>
      </c>
      <c r="J514" s="14">
        <v>0</v>
      </c>
      <c r="K514" s="14">
        <v>14</v>
      </c>
      <c r="L514" s="14">
        <v>3390000</v>
      </c>
      <c r="M514" s="4" t="e">
        <f>IF(F514="Tindakan",VLOOKUP(O514,#REF!,4,FALSE),IF(F514="Intensif",VLOOKUP(O514,#REF!,10,FALSE),IF(F514="Penunjang",VLOOKUP(O514,#REF!,16,FALSE),IF(F514="Visitase Berdasarkan Jumlah Pasien",VLOOKUP(O514,#REF!,22,FALSE),IF(F514="Visitase",VLOOKUP(O514,#REF!,28,FALSE),IF(F514="Rawat Jalan",VLOOKUP(O514,#REF!,34,FALSE),0))))))</f>
        <v>#REF!</v>
      </c>
      <c r="N514" s="12">
        <f t="shared" si="14"/>
        <v>0</v>
      </c>
      <c r="O514" t="s">
        <v>690</v>
      </c>
      <c r="P514">
        <v>504</v>
      </c>
    </row>
    <row r="515" spans="2:16" x14ac:dyDescent="0.35">
      <c r="B515" s="7">
        <f t="shared" si="15"/>
        <v>505</v>
      </c>
      <c r="C515" s="3" t="s">
        <v>219</v>
      </c>
      <c r="D515" s="4" t="s">
        <v>617</v>
      </c>
      <c r="E515" s="9" t="s">
        <v>151</v>
      </c>
      <c r="F515" s="9" t="s">
        <v>20</v>
      </c>
      <c r="G515" s="14">
        <v>413</v>
      </c>
      <c r="H515" s="14">
        <v>88589600</v>
      </c>
      <c r="I515" s="14">
        <v>0</v>
      </c>
      <c r="J515" s="14">
        <v>0</v>
      </c>
      <c r="K515" s="14">
        <v>0</v>
      </c>
      <c r="L515" s="14">
        <v>0</v>
      </c>
      <c r="M515" s="4" t="e">
        <f>IF(F515="Tindakan",VLOOKUP(O515,#REF!,4,FALSE),IF(F515="Intensif",VLOOKUP(O515,#REF!,10,FALSE),IF(F515="Penunjang",VLOOKUP(O515,#REF!,16,FALSE),IF(F515="Visitase Berdasarkan Jumlah Pasien",VLOOKUP(O515,#REF!,22,FALSE),IF(F515="Visitase",VLOOKUP(O515,#REF!,28,FALSE),IF(F515="Rawat Jalan",VLOOKUP(O515,#REF!,34,FALSE),0))))))</f>
        <v>#REF!</v>
      </c>
      <c r="N515" s="12">
        <f t="shared" si="14"/>
        <v>0</v>
      </c>
      <c r="O515" t="s">
        <v>690</v>
      </c>
      <c r="P515">
        <v>505</v>
      </c>
    </row>
    <row r="516" spans="2:16" x14ac:dyDescent="0.35">
      <c r="B516" s="7">
        <f t="shared" si="15"/>
        <v>506</v>
      </c>
      <c r="C516" s="3" t="s">
        <v>219</v>
      </c>
      <c r="D516" s="4" t="s">
        <v>617</v>
      </c>
      <c r="E516" s="9" t="s">
        <v>151</v>
      </c>
      <c r="F516" s="9" t="s">
        <v>19</v>
      </c>
      <c r="G516" s="14">
        <v>18</v>
      </c>
      <c r="H516" s="14">
        <v>151303000</v>
      </c>
      <c r="I516" s="14">
        <v>2</v>
      </c>
      <c r="J516" s="14">
        <v>14300000</v>
      </c>
      <c r="K516" s="14">
        <v>2</v>
      </c>
      <c r="L516" s="14">
        <v>19350000</v>
      </c>
      <c r="M516" s="4" t="e">
        <f>IF(F516="Tindakan",VLOOKUP(O516,#REF!,4,FALSE),IF(F516="Intensif",VLOOKUP(O516,#REF!,10,FALSE),IF(F516="Penunjang",VLOOKUP(O516,#REF!,16,FALSE),IF(F516="Visitase Berdasarkan Jumlah Pasien",VLOOKUP(O516,#REF!,22,FALSE),IF(F516="Visitase",VLOOKUP(O516,#REF!,28,FALSE),IF(F516="Rawat Jalan",VLOOKUP(O516,#REF!,34,FALSE),0))))))</f>
        <v>#REF!</v>
      </c>
      <c r="N516" s="12">
        <f t="shared" si="14"/>
        <v>0</v>
      </c>
      <c r="O516" t="s">
        <v>690</v>
      </c>
      <c r="P516">
        <v>506</v>
      </c>
    </row>
    <row r="517" spans="2:16" x14ac:dyDescent="0.35">
      <c r="B517" s="7">
        <f t="shared" si="15"/>
        <v>507</v>
      </c>
      <c r="C517" s="3" t="s">
        <v>219</v>
      </c>
      <c r="D517" s="4" t="s">
        <v>617</v>
      </c>
      <c r="E517" s="9" t="s">
        <v>151</v>
      </c>
      <c r="F517" s="9" t="s">
        <v>22</v>
      </c>
      <c r="G517" s="14">
        <v>7</v>
      </c>
      <c r="H517" s="14">
        <v>850000</v>
      </c>
      <c r="I517" s="14">
        <v>1</v>
      </c>
      <c r="J517" s="14">
        <v>140000</v>
      </c>
      <c r="K517" s="14">
        <v>0</v>
      </c>
      <c r="L517" s="14">
        <v>0</v>
      </c>
      <c r="M517" s="4" t="e">
        <f>IF(F517="Tindakan",VLOOKUP(O517,#REF!,4,FALSE),IF(F517="Intensif",VLOOKUP(O517,#REF!,10,FALSE),IF(F517="Penunjang",VLOOKUP(O517,#REF!,16,FALSE),IF(F517="Visitase Berdasarkan Jumlah Pasien",VLOOKUP(O517,#REF!,22,FALSE),IF(F517="Visitase",VLOOKUP(O517,#REF!,28,FALSE),IF(F517="Rawat Jalan",VLOOKUP(O517,#REF!,34,FALSE),0))))))</f>
        <v>#REF!</v>
      </c>
      <c r="N517" s="12">
        <f t="shared" si="14"/>
        <v>0</v>
      </c>
      <c r="O517" t="s">
        <v>690</v>
      </c>
      <c r="P517">
        <v>507</v>
      </c>
    </row>
    <row r="518" spans="2:16" x14ac:dyDescent="0.35">
      <c r="B518" s="7">
        <f t="shared" si="15"/>
        <v>508</v>
      </c>
      <c r="C518" s="3" t="s">
        <v>377</v>
      </c>
      <c r="D518" s="4" t="s">
        <v>618</v>
      </c>
      <c r="E518" s="9" t="s">
        <v>185</v>
      </c>
      <c r="F518" s="9" t="s">
        <v>22</v>
      </c>
      <c r="G518" s="14">
        <v>80</v>
      </c>
      <c r="H518" s="14">
        <v>16165200</v>
      </c>
      <c r="I518" s="14">
        <v>10</v>
      </c>
      <c r="J518" s="14">
        <v>1377200</v>
      </c>
      <c r="K518" s="14">
        <v>3</v>
      </c>
      <c r="L518" s="14">
        <v>595000</v>
      </c>
      <c r="M518" s="4" t="e">
        <f>IF(F518="Tindakan",VLOOKUP(O518,#REF!,4,FALSE),IF(F518="Intensif",VLOOKUP(O518,#REF!,10,FALSE),IF(F518="Penunjang",VLOOKUP(O518,#REF!,16,FALSE),IF(F518="Visitase Berdasarkan Jumlah Pasien",VLOOKUP(O518,#REF!,22,FALSE),IF(F518="Visitase",VLOOKUP(O518,#REF!,28,FALSE),IF(F518="Rawat Jalan",VLOOKUP(O518,#REF!,34,FALSE),0))))))</f>
        <v>#REF!</v>
      </c>
      <c r="N518" s="12">
        <f t="shared" si="14"/>
        <v>0</v>
      </c>
      <c r="O518" t="s">
        <v>706</v>
      </c>
      <c r="P518">
        <v>508</v>
      </c>
    </row>
    <row r="519" spans="2:16" x14ac:dyDescent="0.35">
      <c r="B519" s="7">
        <f t="shared" si="15"/>
        <v>509</v>
      </c>
      <c r="C519" s="3" t="s">
        <v>370</v>
      </c>
      <c r="D519" s="4" t="s">
        <v>619</v>
      </c>
      <c r="E519" s="9" t="s">
        <v>146</v>
      </c>
      <c r="F519" s="9" t="s">
        <v>190</v>
      </c>
      <c r="G519" s="14">
        <v>296</v>
      </c>
      <c r="H519" s="14">
        <v>37000000</v>
      </c>
      <c r="I519" s="14">
        <v>11</v>
      </c>
      <c r="J519" s="14">
        <v>1375000</v>
      </c>
      <c r="K519" s="14">
        <v>0</v>
      </c>
      <c r="L519" s="14">
        <v>0</v>
      </c>
      <c r="M519" s="4" t="e">
        <f>IF(F519="Tindakan",VLOOKUP(O519,#REF!,4,FALSE),IF(F519="Intensif",VLOOKUP(O519,#REF!,10,FALSE),IF(F519="Penunjang",VLOOKUP(O519,#REF!,16,FALSE),IF(F519="Visitase Berdasarkan Jumlah Pasien",VLOOKUP(O519,#REF!,22,FALSE),IF(F519="Visitase",VLOOKUP(O519,#REF!,28,FALSE),IF(F519="Rawat Jalan",VLOOKUP(O519,#REF!,34,FALSE),0))))))</f>
        <v>#REF!</v>
      </c>
      <c r="N519" s="12">
        <f t="shared" si="14"/>
        <v>0</v>
      </c>
      <c r="O519" t="s">
        <v>696</v>
      </c>
      <c r="P519">
        <v>509</v>
      </c>
    </row>
    <row r="520" spans="2:16" x14ac:dyDescent="0.35">
      <c r="B520" s="7">
        <f t="shared" si="15"/>
        <v>510</v>
      </c>
      <c r="C520" s="3" t="s">
        <v>370</v>
      </c>
      <c r="D520" s="4" t="s">
        <v>619</v>
      </c>
      <c r="E520" s="9" t="s">
        <v>146</v>
      </c>
      <c r="F520" s="9" t="s">
        <v>22</v>
      </c>
      <c r="G520" s="14">
        <v>224</v>
      </c>
      <c r="H520" s="14">
        <v>17323000</v>
      </c>
      <c r="I520" s="14">
        <v>5</v>
      </c>
      <c r="J520" s="14">
        <v>375000</v>
      </c>
      <c r="K520" s="14">
        <v>0</v>
      </c>
      <c r="L520" s="14">
        <v>0</v>
      </c>
      <c r="M520" s="4" t="e">
        <f>IF(F520="Tindakan",VLOOKUP(O520,#REF!,4,FALSE),IF(F520="Intensif",VLOOKUP(O520,#REF!,10,FALSE),IF(F520="Penunjang",VLOOKUP(O520,#REF!,16,FALSE),IF(F520="Visitase Berdasarkan Jumlah Pasien",VLOOKUP(O520,#REF!,22,FALSE),IF(F520="Visitase",VLOOKUP(O520,#REF!,28,FALSE),IF(F520="Rawat Jalan",VLOOKUP(O520,#REF!,34,FALSE),0))))))</f>
        <v>#REF!</v>
      </c>
      <c r="N520" s="12">
        <f t="shared" si="14"/>
        <v>0</v>
      </c>
      <c r="O520" t="s">
        <v>696</v>
      </c>
      <c r="P520">
        <v>510</v>
      </c>
    </row>
    <row r="521" spans="2:16" x14ac:dyDescent="0.35">
      <c r="B521" s="7">
        <f t="shared" si="15"/>
        <v>511</v>
      </c>
      <c r="C521" s="3" t="s">
        <v>424</v>
      </c>
      <c r="D521" s="4" t="s">
        <v>620</v>
      </c>
      <c r="E521" s="9" t="s">
        <v>686</v>
      </c>
      <c r="F521" s="9" t="s">
        <v>190</v>
      </c>
      <c r="G521" s="14">
        <v>1</v>
      </c>
      <c r="H521" s="14">
        <v>160000</v>
      </c>
      <c r="I521" s="14">
        <v>0</v>
      </c>
      <c r="J521" s="14">
        <v>0</v>
      </c>
      <c r="K521" s="14">
        <v>0</v>
      </c>
      <c r="L521" s="14">
        <v>0</v>
      </c>
      <c r="M521" s="4" t="e">
        <f>IF(F521="Tindakan",VLOOKUP(O521,#REF!,4,FALSE),IF(F521="Intensif",VLOOKUP(O521,#REF!,10,FALSE),IF(F521="Penunjang",VLOOKUP(O521,#REF!,16,FALSE),IF(F521="Visitase Berdasarkan Jumlah Pasien",VLOOKUP(O521,#REF!,22,FALSE),IF(F521="Visitase",VLOOKUP(O521,#REF!,28,FALSE),IF(F521="Rawat Jalan",VLOOKUP(O521,#REF!,34,FALSE),0))))))</f>
        <v>#REF!</v>
      </c>
      <c r="N521" s="12">
        <f t="shared" si="14"/>
        <v>0</v>
      </c>
      <c r="O521" t="s">
        <v>695</v>
      </c>
      <c r="P521">
        <v>511</v>
      </c>
    </row>
    <row r="522" spans="2:16" x14ac:dyDescent="0.35">
      <c r="B522" s="7">
        <f t="shared" si="15"/>
        <v>512</v>
      </c>
      <c r="C522" s="3" t="s">
        <v>378</v>
      </c>
      <c r="D522" s="4" t="s">
        <v>621</v>
      </c>
      <c r="E522" s="9" t="s">
        <v>185</v>
      </c>
      <c r="F522" s="9" t="s">
        <v>22</v>
      </c>
      <c r="G522" s="14">
        <v>25</v>
      </c>
      <c r="H522" s="14">
        <v>2805000</v>
      </c>
      <c r="I522" s="14">
        <v>2</v>
      </c>
      <c r="J522" s="14">
        <v>275000</v>
      </c>
      <c r="K522" s="14">
        <v>0</v>
      </c>
      <c r="L522" s="14">
        <v>0</v>
      </c>
      <c r="M522" s="4" t="e">
        <f>IF(F522="Tindakan",VLOOKUP(O522,#REF!,4,FALSE),IF(F522="Intensif",VLOOKUP(O522,#REF!,10,FALSE),IF(F522="Penunjang",VLOOKUP(O522,#REF!,16,FALSE),IF(F522="Visitase Berdasarkan Jumlah Pasien",VLOOKUP(O522,#REF!,22,FALSE),IF(F522="Visitase",VLOOKUP(O522,#REF!,28,FALSE),IF(F522="Rawat Jalan",VLOOKUP(O522,#REF!,34,FALSE),0))))))</f>
        <v>#REF!</v>
      </c>
      <c r="N522" s="12">
        <f t="shared" si="14"/>
        <v>0</v>
      </c>
      <c r="O522" t="s">
        <v>706</v>
      </c>
      <c r="P522">
        <v>512</v>
      </c>
    </row>
    <row r="523" spans="2:16" x14ac:dyDescent="0.35">
      <c r="B523" s="7">
        <f t="shared" si="15"/>
        <v>513</v>
      </c>
      <c r="C523" s="3" t="s">
        <v>371</v>
      </c>
      <c r="D523" s="4" t="s">
        <v>622</v>
      </c>
      <c r="E523" s="9" t="s">
        <v>146</v>
      </c>
      <c r="F523" s="9" t="s">
        <v>190</v>
      </c>
      <c r="G523" s="14">
        <v>97</v>
      </c>
      <c r="H523" s="14">
        <v>12180000</v>
      </c>
      <c r="I523" s="14">
        <v>0</v>
      </c>
      <c r="J523" s="14">
        <v>0</v>
      </c>
      <c r="K523" s="14">
        <v>0</v>
      </c>
      <c r="L523" s="14">
        <v>0</v>
      </c>
      <c r="M523" s="4" t="e">
        <f>IF(F523="Tindakan",VLOOKUP(O523,#REF!,4,FALSE),IF(F523="Intensif",VLOOKUP(O523,#REF!,10,FALSE),IF(F523="Penunjang",VLOOKUP(O523,#REF!,16,FALSE),IF(F523="Visitase Berdasarkan Jumlah Pasien",VLOOKUP(O523,#REF!,22,FALSE),IF(F523="Visitase",VLOOKUP(O523,#REF!,28,FALSE),IF(F523="Rawat Jalan",VLOOKUP(O523,#REF!,34,FALSE),0))))))</f>
        <v>#REF!</v>
      </c>
      <c r="N523" s="12">
        <f t="shared" si="14"/>
        <v>0</v>
      </c>
      <c r="O523" t="s">
        <v>696</v>
      </c>
      <c r="P523">
        <v>513</v>
      </c>
    </row>
    <row r="524" spans="2:16" x14ac:dyDescent="0.35">
      <c r="B524" s="7">
        <f t="shared" si="15"/>
        <v>514</v>
      </c>
      <c r="C524" s="3" t="s">
        <v>371</v>
      </c>
      <c r="D524" s="4" t="s">
        <v>622</v>
      </c>
      <c r="E524" s="9" t="s">
        <v>146</v>
      </c>
      <c r="F524" s="9" t="s">
        <v>20</v>
      </c>
      <c r="G524" s="14">
        <v>4</v>
      </c>
      <c r="H524" s="14">
        <v>775000</v>
      </c>
      <c r="I524" s="14">
        <v>0</v>
      </c>
      <c r="J524" s="14">
        <v>0</v>
      </c>
      <c r="K524" s="14">
        <v>0</v>
      </c>
      <c r="L524" s="14">
        <v>0</v>
      </c>
      <c r="M524" s="4" t="e">
        <f>IF(F524="Tindakan",VLOOKUP(O524,#REF!,4,FALSE),IF(F524="Intensif",VLOOKUP(O524,#REF!,10,FALSE),IF(F524="Penunjang",VLOOKUP(O524,#REF!,16,FALSE),IF(F524="Visitase Berdasarkan Jumlah Pasien",VLOOKUP(O524,#REF!,22,FALSE),IF(F524="Visitase",VLOOKUP(O524,#REF!,28,FALSE),IF(F524="Rawat Jalan",VLOOKUP(O524,#REF!,34,FALSE),0))))))</f>
        <v>#REF!</v>
      </c>
      <c r="N524" s="12">
        <f t="shared" ref="N524:N587" si="16">IFERROR((G524/M524)*100%, 0)</f>
        <v>0</v>
      </c>
      <c r="O524" t="s">
        <v>696</v>
      </c>
      <c r="P524">
        <v>514</v>
      </c>
    </row>
    <row r="525" spans="2:16" x14ac:dyDescent="0.35">
      <c r="B525" s="7">
        <f t="shared" ref="B525:B588" si="17">B524+1</f>
        <v>515</v>
      </c>
      <c r="C525" s="3" t="s">
        <v>371</v>
      </c>
      <c r="D525" s="4" t="s">
        <v>622</v>
      </c>
      <c r="E525" s="9" t="s">
        <v>146</v>
      </c>
      <c r="F525" s="9" t="s">
        <v>22</v>
      </c>
      <c r="G525" s="14">
        <v>130</v>
      </c>
      <c r="H525" s="14">
        <v>6450000</v>
      </c>
      <c r="I525" s="14">
        <v>2</v>
      </c>
      <c r="J525" s="14">
        <v>150000</v>
      </c>
      <c r="K525" s="14">
        <v>0</v>
      </c>
      <c r="L525" s="14">
        <v>0</v>
      </c>
      <c r="M525" s="4" t="e">
        <f>IF(F525="Tindakan",VLOOKUP(O525,#REF!,4,FALSE),IF(F525="Intensif",VLOOKUP(O525,#REF!,10,FALSE),IF(F525="Penunjang",VLOOKUP(O525,#REF!,16,FALSE),IF(F525="Visitase Berdasarkan Jumlah Pasien",VLOOKUP(O525,#REF!,22,FALSE),IF(F525="Visitase",VLOOKUP(O525,#REF!,28,FALSE),IF(F525="Rawat Jalan",VLOOKUP(O525,#REF!,34,FALSE),0))))))</f>
        <v>#REF!</v>
      </c>
      <c r="N525" s="12">
        <f t="shared" si="16"/>
        <v>0</v>
      </c>
      <c r="O525" t="s">
        <v>696</v>
      </c>
      <c r="P525">
        <v>515</v>
      </c>
    </row>
    <row r="526" spans="2:16" x14ac:dyDescent="0.35">
      <c r="B526" s="7">
        <f t="shared" si="17"/>
        <v>516</v>
      </c>
      <c r="C526" s="3" t="s">
        <v>425</v>
      </c>
      <c r="D526" s="4" t="s">
        <v>623</v>
      </c>
      <c r="E526" s="9" t="s">
        <v>153</v>
      </c>
      <c r="F526" s="9" t="s">
        <v>21</v>
      </c>
      <c r="G526" s="14">
        <v>3</v>
      </c>
      <c r="H526" s="14">
        <v>7800000</v>
      </c>
      <c r="I526" s="14">
        <v>0</v>
      </c>
      <c r="J526" s="14">
        <v>0</v>
      </c>
      <c r="K526" s="14">
        <v>0</v>
      </c>
      <c r="L526" s="14">
        <v>0</v>
      </c>
      <c r="M526" s="4" t="e">
        <f>IF(F526="Tindakan",VLOOKUP(O526,#REF!,4,FALSE),IF(F526="Intensif",VLOOKUP(O526,#REF!,10,FALSE),IF(F526="Penunjang",VLOOKUP(O526,#REF!,16,FALSE),IF(F526="Visitase Berdasarkan Jumlah Pasien",VLOOKUP(O526,#REF!,22,FALSE),IF(F526="Visitase",VLOOKUP(O526,#REF!,28,FALSE),IF(F526="Rawat Jalan",VLOOKUP(O526,#REF!,34,FALSE),0))))))</f>
        <v>#REF!</v>
      </c>
      <c r="N526" s="12">
        <f t="shared" si="16"/>
        <v>0</v>
      </c>
      <c r="O526" t="s">
        <v>698</v>
      </c>
      <c r="P526">
        <v>516</v>
      </c>
    </row>
    <row r="527" spans="2:16" x14ac:dyDescent="0.35">
      <c r="B527" s="7">
        <f t="shared" si="17"/>
        <v>517</v>
      </c>
      <c r="C527" s="3" t="s">
        <v>231</v>
      </c>
      <c r="D527" s="4" t="s">
        <v>624</v>
      </c>
      <c r="E527" s="9" t="s">
        <v>149</v>
      </c>
      <c r="F527" s="9" t="s">
        <v>190</v>
      </c>
      <c r="G527" s="14">
        <v>78</v>
      </c>
      <c r="H527" s="14">
        <v>9750000</v>
      </c>
      <c r="I527" s="14">
        <v>8</v>
      </c>
      <c r="J527" s="14">
        <v>1000000</v>
      </c>
      <c r="K527" s="14">
        <v>0</v>
      </c>
      <c r="L527" s="14">
        <v>0</v>
      </c>
      <c r="M527" s="4" t="e">
        <f>IF(F527="Tindakan",VLOOKUP(O527,#REF!,4,FALSE),IF(F527="Intensif",VLOOKUP(O527,#REF!,10,FALSE),IF(F527="Penunjang",VLOOKUP(O527,#REF!,16,FALSE),IF(F527="Visitase Berdasarkan Jumlah Pasien",VLOOKUP(O527,#REF!,22,FALSE),IF(F527="Visitase",VLOOKUP(O527,#REF!,28,FALSE),IF(F527="Rawat Jalan",VLOOKUP(O527,#REF!,34,FALSE),0))))))</f>
        <v>#REF!</v>
      </c>
      <c r="N527" s="12">
        <f t="shared" si="16"/>
        <v>0</v>
      </c>
      <c r="O527" t="s">
        <v>688</v>
      </c>
      <c r="P527">
        <v>517</v>
      </c>
    </row>
    <row r="528" spans="2:16" x14ac:dyDescent="0.35">
      <c r="B528" s="7">
        <f t="shared" si="17"/>
        <v>518</v>
      </c>
      <c r="C528" s="3" t="s">
        <v>231</v>
      </c>
      <c r="D528" s="4" t="s">
        <v>624</v>
      </c>
      <c r="E528" s="9" t="s">
        <v>149</v>
      </c>
      <c r="F528" s="9" t="s">
        <v>20</v>
      </c>
      <c r="G528" s="14">
        <v>9</v>
      </c>
      <c r="H528" s="14">
        <v>1545000</v>
      </c>
      <c r="I528" s="14">
        <v>0</v>
      </c>
      <c r="J528" s="14">
        <v>0</v>
      </c>
      <c r="K528" s="14">
        <v>0</v>
      </c>
      <c r="L528" s="14">
        <v>0</v>
      </c>
      <c r="M528" s="4" t="e">
        <f>IF(F528="Tindakan",VLOOKUP(O528,#REF!,4,FALSE),IF(F528="Intensif",VLOOKUP(O528,#REF!,10,FALSE),IF(F528="Penunjang",VLOOKUP(O528,#REF!,16,FALSE),IF(F528="Visitase Berdasarkan Jumlah Pasien",VLOOKUP(O528,#REF!,22,FALSE),IF(F528="Visitase",VLOOKUP(O528,#REF!,28,FALSE),IF(F528="Rawat Jalan",VLOOKUP(O528,#REF!,34,FALSE),0))))))</f>
        <v>#REF!</v>
      </c>
      <c r="N528" s="12">
        <f t="shared" si="16"/>
        <v>0</v>
      </c>
      <c r="O528" t="s">
        <v>688</v>
      </c>
      <c r="P528">
        <v>518</v>
      </c>
    </row>
    <row r="529" spans="2:16" x14ac:dyDescent="0.35">
      <c r="B529" s="7">
        <f t="shared" si="17"/>
        <v>519</v>
      </c>
      <c r="C529" s="3" t="s">
        <v>231</v>
      </c>
      <c r="D529" s="4" t="s">
        <v>624</v>
      </c>
      <c r="E529" s="9" t="s">
        <v>149</v>
      </c>
      <c r="F529" s="9" t="s">
        <v>19</v>
      </c>
      <c r="G529" s="14">
        <v>18</v>
      </c>
      <c r="H529" s="14">
        <v>143500000</v>
      </c>
      <c r="I529" s="14">
        <v>1</v>
      </c>
      <c r="J529" s="14">
        <v>4250000</v>
      </c>
      <c r="K529" s="14">
        <v>0</v>
      </c>
      <c r="L529" s="14">
        <v>0</v>
      </c>
      <c r="M529" s="4" t="e">
        <f>IF(F529="Tindakan",VLOOKUP(O529,#REF!,4,FALSE),IF(F529="Intensif",VLOOKUP(O529,#REF!,10,FALSE),IF(F529="Penunjang",VLOOKUP(O529,#REF!,16,FALSE),IF(F529="Visitase Berdasarkan Jumlah Pasien",VLOOKUP(O529,#REF!,22,FALSE),IF(F529="Visitase",VLOOKUP(O529,#REF!,28,FALSE),IF(F529="Rawat Jalan",VLOOKUP(O529,#REF!,34,FALSE),0))))))</f>
        <v>#REF!</v>
      </c>
      <c r="N529" s="12">
        <f t="shared" si="16"/>
        <v>0</v>
      </c>
      <c r="O529" t="s">
        <v>688</v>
      </c>
      <c r="P529">
        <v>519</v>
      </c>
    </row>
    <row r="530" spans="2:16" x14ac:dyDescent="0.35">
      <c r="B530" s="7">
        <f t="shared" si="17"/>
        <v>520</v>
      </c>
      <c r="C530" s="3" t="s">
        <v>231</v>
      </c>
      <c r="D530" s="4" t="s">
        <v>624</v>
      </c>
      <c r="E530" s="9" t="s">
        <v>149</v>
      </c>
      <c r="F530" s="9" t="s">
        <v>22</v>
      </c>
      <c r="G530" s="14">
        <v>27</v>
      </c>
      <c r="H530" s="14">
        <v>2355000</v>
      </c>
      <c r="I530" s="14">
        <v>4</v>
      </c>
      <c r="J530" s="14">
        <v>301000</v>
      </c>
      <c r="K530" s="14">
        <v>22</v>
      </c>
      <c r="L530" s="14">
        <v>5480000</v>
      </c>
      <c r="M530" s="4" t="e">
        <f>IF(F530="Tindakan",VLOOKUP(O530,#REF!,4,FALSE),IF(F530="Intensif",VLOOKUP(O530,#REF!,10,FALSE),IF(F530="Penunjang",VLOOKUP(O530,#REF!,16,FALSE),IF(F530="Visitase Berdasarkan Jumlah Pasien",VLOOKUP(O530,#REF!,22,FALSE),IF(F530="Visitase",VLOOKUP(O530,#REF!,28,FALSE),IF(F530="Rawat Jalan",VLOOKUP(O530,#REF!,34,FALSE),0))))))</f>
        <v>#REF!</v>
      </c>
      <c r="N530" s="12">
        <f t="shared" si="16"/>
        <v>0</v>
      </c>
      <c r="O530" t="s">
        <v>688</v>
      </c>
      <c r="P530">
        <v>520</v>
      </c>
    </row>
    <row r="531" spans="2:16" x14ac:dyDescent="0.35">
      <c r="B531" s="7">
        <f t="shared" si="17"/>
        <v>521</v>
      </c>
      <c r="C531" s="3" t="s">
        <v>354</v>
      </c>
      <c r="D531" s="4" t="s">
        <v>625</v>
      </c>
      <c r="E531" s="9" t="s">
        <v>148</v>
      </c>
      <c r="F531" s="9" t="s">
        <v>20</v>
      </c>
      <c r="G531" s="14">
        <v>88</v>
      </c>
      <c r="H531" s="14">
        <v>19418000</v>
      </c>
      <c r="I531" s="14">
        <v>6</v>
      </c>
      <c r="J531" s="14">
        <v>1269000</v>
      </c>
      <c r="K531" s="14">
        <v>0</v>
      </c>
      <c r="L531" s="14">
        <v>0</v>
      </c>
      <c r="M531" s="4" t="e">
        <f>IF(F531="Tindakan",VLOOKUP(O531,#REF!,4,FALSE),IF(F531="Intensif",VLOOKUP(O531,#REF!,10,FALSE),IF(F531="Penunjang",VLOOKUP(O531,#REF!,16,FALSE),IF(F531="Visitase Berdasarkan Jumlah Pasien",VLOOKUP(O531,#REF!,22,FALSE),IF(F531="Visitase",VLOOKUP(O531,#REF!,28,FALSE),IF(F531="Rawat Jalan",VLOOKUP(O531,#REF!,34,FALSE),0))))))</f>
        <v>#REF!</v>
      </c>
      <c r="N531" s="12">
        <f t="shared" si="16"/>
        <v>0</v>
      </c>
      <c r="O531" t="s">
        <v>700</v>
      </c>
      <c r="P531">
        <v>521</v>
      </c>
    </row>
    <row r="532" spans="2:16" x14ac:dyDescent="0.35">
      <c r="B532" s="7">
        <f t="shared" si="17"/>
        <v>522</v>
      </c>
      <c r="C532" s="3" t="s">
        <v>354</v>
      </c>
      <c r="D532" s="4" t="s">
        <v>625</v>
      </c>
      <c r="E532" s="9" t="s">
        <v>148</v>
      </c>
      <c r="F532" s="9" t="s">
        <v>190</v>
      </c>
      <c r="G532" s="14">
        <v>66</v>
      </c>
      <c r="H532" s="14">
        <v>10200000</v>
      </c>
      <c r="I532" s="14">
        <v>4</v>
      </c>
      <c r="J532" s="14">
        <v>700000</v>
      </c>
      <c r="K532" s="14">
        <v>0</v>
      </c>
      <c r="L532" s="14">
        <v>0</v>
      </c>
      <c r="M532" s="4" t="e">
        <f>IF(F532="Tindakan",VLOOKUP(O532,#REF!,4,FALSE),IF(F532="Intensif",VLOOKUP(O532,#REF!,10,FALSE),IF(F532="Penunjang",VLOOKUP(O532,#REF!,16,FALSE),IF(F532="Visitase Berdasarkan Jumlah Pasien",VLOOKUP(O532,#REF!,22,FALSE),IF(F532="Visitase",VLOOKUP(O532,#REF!,28,FALSE),IF(F532="Rawat Jalan",VLOOKUP(O532,#REF!,34,FALSE),0))))))</f>
        <v>#REF!</v>
      </c>
      <c r="N532" s="12">
        <f t="shared" si="16"/>
        <v>0</v>
      </c>
      <c r="O532" t="s">
        <v>700</v>
      </c>
      <c r="P532">
        <v>522</v>
      </c>
    </row>
    <row r="533" spans="2:16" x14ac:dyDescent="0.35">
      <c r="B533" s="7">
        <f t="shared" si="17"/>
        <v>523</v>
      </c>
      <c r="C533" s="3" t="s">
        <v>354</v>
      </c>
      <c r="D533" s="4" t="s">
        <v>625</v>
      </c>
      <c r="E533" s="9" t="s">
        <v>148</v>
      </c>
      <c r="F533" s="9" t="s">
        <v>19</v>
      </c>
      <c r="G533" s="14">
        <v>5</v>
      </c>
      <c r="H533" s="14">
        <v>22111000</v>
      </c>
      <c r="I533" s="14">
        <v>0</v>
      </c>
      <c r="J533" s="14">
        <v>0</v>
      </c>
      <c r="K533" s="14">
        <v>1</v>
      </c>
      <c r="L533" s="14">
        <v>30000000</v>
      </c>
      <c r="M533" s="4" t="e">
        <f>IF(F533="Tindakan",VLOOKUP(O533,#REF!,4,FALSE),IF(F533="Intensif",VLOOKUP(O533,#REF!,10,FALSE),IF(F533="Penunjang",VLOOKUP(O533,#REF!,16,FALSE),IF(F533="Visitase Berdasarkan Jumlah Pasien",VLOOKUP(O533,#REF!,22,FALSE),IF(F533="Visitase",VLOOKUP(O533,#REF!,28,FALSE),IF(F533="Rawat Jalan",VLOOKUP(O533,#REF!,34,FALSE),0))))))</f>
        <v>#REF!</v>
      </c>
      <c r="N533" s="12">
        <f t="shared" si="16"/>
        <v>0</v>
      </c>
      <c r="O533" t="s">
        <v>700</v>
      </c>
      <c r="P533">
        <v>523</v>
      </c>
    </row>
    <row r="534" spans="2:16" x14ac:dyDescent="0.35">
      <c r="B534" s="7">
        <f t="shared" si="17"/>
        <v>524</v>
      </c>
      <c r="C534" s="3" t="s">
        <v>426</v>
      </c>
      <c r="D534" s="4" t="s">
        <v>626</v>
      </c>
      <c r="E534" s="9" t="s">
        <v>147</v>
      </c>
      <c r="F534" s="9" t="s">
        <v>190</v>
      </c>
      <c r="G534" s="14">
        <v>29</v>
      </c>
      <c r="H534" s="14">
        <v>3625000</v>
      </c>
      <c r="I534" s="14">
        <v>0</v>
      </c>
      <c r="J534" s="14">
        <v>0</v>
      </c>
      <c r="K534" s="14">
        <v>0</v>
      </c>
      <c r="L534" s="14">
        <v>0</v>
      </c>
      <c r="M534" s="4" t="e">
        <f>IF(F534="Tindakan",VLOOKUP(O534,#REF!,4,FALSE),IF(F534="Intensif",VLOOKUP(O534,#REF!,10,FALSE),IF(F534="Penunjang",VLOOKUP(O534,#REF!,16,FALSE),IF(F534="Visitase Berdasarkan Jumlah Pasien",VLOOKUP(O534,#REF!,22,FALSE),IF(F534="Visitase",VLOOKUP(O534,#REF!,28,FALSE),IF(F534="Rawat Jalan",VLOOKUP(O534,#REF!,34,FALSE),0))))))</f>
        <v>#REF!</v>
      </c>
      <c r="N534" s="12">
        <f t="shared" si="16"/>
        <v>0</v>
      </c>
      <c r="O534" t="s">
        <v>691</v>
      </c>
      <c r="P534">
        <v>524</v>
      </c>
    </row>
    <row r="535" spans="2:16" x14ac:dyDescent="0.35">
      <c r="B535" s="7">
        <f t="shared" si="17"/>
        <v>525</v>
      </c>
      <c r="C535" s="3" t="s">
        <v>426</v>
      </c>
      <c r="D535" s="4" t="s">
        <v>626</v>
      </c>
      <c r="E535" s="9" t="s">
        <v>147</v>
      </c>
      <c r="F535" s="9" t="s">
        <v>20</v>
      </c>
      <c r="G535" s="14">
        <v>1</v>
      </c>
      <c r="H535" s="14">
        <v>160000</v>
      </c>
      <c r="I535" s="14">
        <v>0</v>
      </c>
      <c r="J535" s="14">
        <v>0</v>
      </c>
      <c r="K535" s="14">
        <v>0</v>
      </c>
      <c r="L535" s="14">
        <v>0</v>
      </c>
      <c r="M535" s="4" t="e">
        <f>IF(F535="Tindakan",VLOOKUP(O535,#REF!,4,FALSE),IF(F535="Intensif",VLOOKUP(O535,#REF!,10,FALSE),IF(F535="Penunjang",VLOOKUP(O535,#REF!,16,FALSE),IF(F535="Visitase Berdasarkan Jumlah Pasien",VLOOKUP(O535,#REF!,22,FALSE),IF(F535="Visitase",VLOOKUP(O535,#REF!,28,FALSE),IF(F535="Rawat Jalan",VLOOKUP(O535,#REF!,34,FALSE),0))))))</f>
        <v>#REF!</v>
      </c>
      <c r="N535" s="12">
        <f t="shared" si="16"/>
        <v>0</v>
      </c>
      <c r="O535" t="s">
        <v>691</v>
      </c>
      <c r="P535">
        <v>525</v>
      </c>
    </row>
    <row r="536" spans="2:16" x14ac:dyDescent="0.35">
      <c r="B536" s="7">
        <f t="shared" si="17"/>
        <v>526</v>
      </c>
      <c r="C536" s="3" t="s">
        <v>426</v>
      </c>
      <c r="D536" s="4" t="s">
        <v>626</v>
      </c>
      <c r="E536" s="9" t="s">
        <v>147</v>
      </c>
      <c r="F536" s="9" t="s">
        <v>22</v>
      </c>
      <c r="G536" s="14">
        <v>62</v>
      </c>
      <c r="H536" s="14">
        <v>5358000</v>
      </c>
      <c r="I536" s="14">
        <v>10</v>
      </c>
      <c r="J536" s="14">
        <v>1411000</v>
      </c>
      <c r="K536" s="14">
        <v>6</v>
      </c>
      <c r="L536" s="14">
        <v>1794000</v>
      </c>
      <c r="M536" s="4" t="e">
        <f>IF(F536="Tindakan",VLOOKUP(O536,#REF!,4,FALSE),IF(F536="Intensif",VLOOKUP(O536,#REF!,10,FALSE),IF(F536="Penunjang",VLOOKUP(O536,#REF!,16,FALSE),IF(F536="Visitase Berdasarkan Jumlah Pasien",VLOOKUP(O536,#REF!,22,FALSE),IF(F536="Visitase",VLOOKUP(O536,#REF!,28,FALSE),IF(F536="Rawat Jalan",VLOOKUP(O536,#REF!,34,FALSE),0))))))</f>
        <v>#REF!</v>
      </c>
      <c r="N536" s="12">
        <f t="shared" si="16"/>
        <v>0</v>
      </c>
      <c r="O536" t="s">
        <v>691</v>
      </c>
      <c r="P536">
        <v>526</v>
      </c>
    </row>
    <row r="537" spans="2:16" x14ac:dyDescent="0.35">
      <c r="B537" s="7">
        <f t="shared" si="17"/>
        <v>527</v>
      </c>
      <c r="C537" s="3" t="s">
        <v>426</v>
      </c>
      <c r="D537" s="4" t="s">
        <v>626</v>
      </c>
      <c r="E537" s="9" t="s">
        <v>147</v>
      </c>
      <c r="F537" s="9" t="s">
        <v>19</v>
      </c>
      <c r="G537" s="14">
        <v>10</v>
      </c>
      <c r="H537" s="14">
        <v>54000000</v>
      </c>
      <c r="I537" s="14">
        <v>0</v>
      </c>
      <c r="J537" s="14">
        <v>0</v>
      </c>
      <c r="K537" s="14">
        <v>0</v>
      </c>
      <c r="L537" s="14">
        <v>0</v>
      </c>
      <c r="M537" s="4" t="e">
        <f>IF(F537="Tindakan",VLOOKUP(O537,#REF!,4,FALSE),IF(F537="Intensif",VLOOKUP(O537,#REF!,10,FALSE),IF(F537="Penunjang",VLOOKUP(O537,#REF!,16,FALSE),IF(F537="Visitase Berdasarkan Jumlah Pasien",VLOOKUP(O537,#REF!,22,FALSE),IF(F537="Visitase",VLOOKUP(O537,#REF!,28,FALSE),IF(F537="Rawat Jalan",VLOOKUP(O537,#REF!,34,FALSE),0))))))</f>
        <v>#REF!</v>
      </c>
      <c r="N537" s="12">
        <f t="shared" si="16"/>
        <v>0</v>
      </c>
      <c r="O537" t="s">
        <v>691</v>
      </c>
      <c r="P537">
        <v>527</v>
      </c>
    </row>
    <row r="538" spans="2:16" x14ac:dyDescent="0.35">
      <c r="B538" s="7">
        <f t="shared" si="17"/>
        <v>528</v>
      </c>
      <c r="C538" s="3" t="s">
        <v>427</v>
      </c>
      <c r="D538" s="4" t="s">
        <v>627</v>
      </c>
      <c r="E538" s="9" t="s">
        <v>686</v>
      </c>
      <c r="F538" s="9" t="s">
        <v>190</v>
      </c>
      <c r="G538" s="14">
        <v>13</v>
      </c>
      <c r="H538" s="14">
        <v>1695000</v>
      </c>
      <c r="I538" s="14">
        <v>0</v>
      </c>
      <c r="J538" s="14">
        <v>0</v>
      </c>
      <c r="K538" s="14">
        <v>0</v>
      </c>
      <c r="L538" s="14">
        <v>0</v>
      </c>
      <c r="M538" s="4" t="e">
        <f>IF(F538="Tindakan",VLOOKUP(O538,#REF!,4,FALSE),IF(F538="Intensif",VLOOKUP(O538,#REF!,10,FALSE),IF(F538="Penunjang",VLOOKUP(O538,#REF!,16,FALSE),IF(F538="Visitase Berdasarkan Jumlah Pasien",VLOOKUP(O538,#REF!,22,FALSE),IF(F538="Visitase",VLOOKUP(O538,#REF!,28,FALSE),IF(F538="Rawat Jalan",VLOOKUP(O538,#REF!,34,FALSE),0))))))</f>
        <v>#REF!</v>
      </c>
      <c r="N538" s="12">
        <f t="shared" si="16"/>
        <v>0</v>
      </c>
      <c r="O538" t="s">
        <v>695</v>
      </c>
      <c r="P538">
        <v>528</v>
      </c>
    </row>
    <row r="539" spans="2:16" x14ac:dyDescent="0.35">
      <c r="B539" s="7">
        <f t="shared" si="17"/>
        <v>529</v>
      </c>
      <c r="C539" s="3" t="s">
        <v>427</v>
      </c>
      <c r="D539" s="4" t="s">
        <v>627</v>
      </c>
      <c r="E539" s="9" t="s">
        <v>686</v>
      </c>
      <c r="F539" s="9" t="s">
        <v>22</v>
      </c>
      <c r="G539" s="14">
        <v>0</v>
      </c>
      <c r="H539" s="14">
        <v>0</v>
      </c>
      <c r="I539" s="14">
        <v>0</v>
      </c>
      <c r="J539" s="14">
        <v>0</v>
      </c>
      <c r="K539" s="14">
        <v>26</v>
      </c>
      <c r="L539" s="14">
        <v>4430000</v>
      </c>
      <c r="M539" s="4" t="e">
        <f>IF(F539="Tindakan",VLOOKUP(O539,#REF!,4,FALSE),IF(F539="Intensif",VLOOKUP(O539,#REF!,10,FALSE),IF(F539="Penunjang",VLOOKUP(O539,#REF!,16,FALSE),IF(F539="Visitase Berdasarkan Jumlah Pasien",VLOOKUP(O539,#REF!,22,FALSE),IF(F539="Visitase",VLOOKUP(O539,#REF!,28,FALSE),IF(F539="Rawat Jalan",VLOOKUP(O539,#REF!,34,FALSE),0))))))</f>
        <v>#REF!</v>
      </c>
      <c r="N539" s="12">
        <f t="shared" si="16"/>
        <v>0</v>
      </c>
      <c r="O539" t="s">
        <v>695</v>
      </c>
      <c r="P539">
        <v>529</v>
      </c>
    </row>
    <row r="540" spans="2:16" x14ac:dyDescent="0.35">
      <c r="B540" s="7">
        <f t="shared" si="17"/>
        <v>530</v>
      </c>
      <c r="C540" s="3" t="s">
        <v>345</v>
      </c>
      <c r="D540" s="4" t="s">
        <v>628</v>
      </c>
      <c r="E540" s="9" t="s">
        <v>165</v>
      </c>
      <c r="F540" s="9" t="s">
        <v>190</v>
      </c>
      <c r="G540" s="14">
        <v>203</v>
      </c>
      <c r="H540" s="14">
        <v>27680000</v>
      </c>
      <c r="I540" s="14">
        <v>2</v>
      </c>
      <c r="J540" s="14">
        <v>360000</v>
      </c>
      <c r="K540" s="14">
        <v>0</v>
      </c>
      <c r="L540" s="14">
        <v>0</v>
      </c>
      <c r="M540" s="4" t="e">
        <f>IF(F540="Tindakan",VLOOKUP(O540,#REF!,4,FALSE),IF(F540="Intensif",VLOOKUP(O540,#REF!,10,FALSE),IF(F540="Penunjang",VLOOKUP(O540,#REF!,16,FALSE),IF(F540="Visitase Berdasarkan Jumlah Pasien",VLOOKUP(O540,#REF!,22,FALSE),IF(F540="Visitase",VLOOKUP(O540,#REF!,28,FALSE),IF(F540="Rawat Jalan",VLOOKUP(O540,#REF!,34,FALSE),0))))))</f>
        <v>#REF!</v>
      </c>
      <c r="N540" s="12">
        <f t="shared" si="16"/>
        <v>0</v>
      </c>
      <c r="O540" t="s">
        <v>697</v>
      </c>
      <c r="P540">
        <v>530</v>
      </c>
    </row>
    <row r="541" spans="2:16" x14ac:dyDescent="0.35">
      <c r="B541" s="7">
        <f t="shared" si="17"/>
        <v>531</v>
      </c>
      <c r="C541" s="3" t="s">
        <v>345</v>
      </c>
      <c r="D541" s="4" t="s">
        <v>628</v>
      </c>
      <c r="E541" s="9" t="s">
        <v>165</v>
      </c>
      <c r="F541" s="9" t="s">
        <v>20</v>
      </c>
      <c r="G541" s="14">
        <v>66</v>
      </c>
      <c r="H541" s="14">
        <v>12012000</v>
      </c>
      <c r="I541" s="14">
        <v>0</v>
      </c>
      <c r="J541" s="14">
        <v>0</v>
      </c>
      <c r="K541" s="14">
        <v>0</v>
      </c>
      <c r="L541" s="14">
        <v>0</v>
      </c>
      <c r="M541" s="4" t="e">
        <f>IF(F541="Tindakan",VLOOKUP(O541,#REF!,4,FALSE),IF(F541="Intensif",VLOOKUP(O541,#REF!,10,FALSE),IF(F541="Penunjang",VLOOKUP(O541,#REF!,16,FALSE),IF(F541="Visitase Berdasarkan Jumlah Pasien",VLOOKUP(O541,#REF!,22,FALSE),IF(F541="Visitase",VLOOKUP(O541,#REF!,28,FALSE),IF(F541="Rawat Jalan",VLOOKUP(O541,#REF!,34,FALSE),0))))))</f>
        <v>#REF!</v>
      </c>
      <c r="N541" s="12">
        <f t="shared" si="16"/>
        <v>0</v>
      </c>
      <c r="O541" t="s">
        <v>697</v>
      </c>
      <c r="P541">
        <v>531</v>
      </c>
    </row>
    <row r="542" spans="2:16" x14ac:dyDescent="0.35">
      <c r="B542" s="7">
        <f t="shared" si="17"/>
        <v>532</v>
      </c>
      <c r="C542" s="3" t="s">
        <v>345</v>
      </c>
      <c r="D542" s="4" t="s">
        <v>628</v>
      </c>
      <c r="E542" s="9" t="s">
        <v>165</v>
      </c>
      <c r="F542" s="9" t="s">
        <v>22</v>
      </c>
      <c r="G542" s="14">
        <v>147</v>
      </c>
      <c r="H542" s="14">
        <v>15671000</v>
      </c>
      <c r="I542" s="14">
        <v>39</v>
      </c>
      <c r="J542" s="14">
        <v>2990000</v>
      </c>
      <c r="K542" s="14">
        <v>6</v>
      </c>
      <c r="L542" s="14">
        <v>1500000</v>
      </c>
      <c r="M542" s="4" t="e">
        <f>IF(F542="Tindakan",VLOOKUP(O542,#REF!,4,FALSE),IF(F542="Intensif",VLOOKUP(O542,#REF!,10,FALSE),IF(F542="Penunjang",VLOOKUP(O542,#REF!,16,FALSE),IF(F542="Visitase Berdasarkan Jumlah Pasien",VLOOKUP(O542,#REF!,22,FALSE),IF(F542="Visitase",VLOOKUP(O542,#REF!,28,FALSE),IF(F542="Rawat Jalan",VLOOKUP(O542,#REF!,34,FALSE),0))))))</f>
        <v>#REF!</v>
      </c>
      <c r="N542" s="12">
        <f t="shared" si="16"/>
        <v>0</v>
      </c>
      <c r="O542" t="s">
        <v>697</v>
      </c>
      <c r="P542">
        <v>532</v>
      </c>
    </row>
    <row r="543" spans="2:16" x14ac:dyDescent="0.35">
      <c r="B543" s="7">
        <f t="shared" si="17"/>
        <v>533</v>
      </c>
      <c r="C543" s="3" t="s">
        <v>428</v>
      </c>
      <c r="D543" s="4" t="s">
        <v>629</v>
      </c>
      <c r="E543" s="9" t="s">
        <v>687</v>
      </c>
      <c r="F543" s="9" t="s">
        <v>22</v>
      </c>
      <c r="G543" s="14">
        <v>132</v>
      </c>
      <c r="H543" s="14">
        <v>18460000</v>
      </c>
      <c r="I543" s="14">
        <v>38</v>
      </c>
      <c r="J543" s="14">
        <v>6060000</v>
      </c>
      <c r="K543" s="14">
        <v>7</v>
      </c>
      <c r="L543" s="14">
        <v>1596000</v>
      </c>
      <c r="M543" s="4" t="e">
        <f>IF(F543="Tindakan",VLOOKUP(O543,#REF!,4,FALSE),IF(F543="Intensif",VLOOKUP(O543,#REF!,10,FALSE),IF(F543="Penunjang",VLOOKUP(O543,#REF!,16,FALSE),IF(F543="Visitase Berdasarkan Jumlah Pasien",VLOOKUP(O543,#REF!,22,FALSE),IF(F543="Visitase",VLOOKUP(O543,#REF!,28,FALSE),IF(F543="Rawat Jalan",VLOOKUP(O543,#REF!,34,FALSE),0))))))</f>
        <v>#REF!</v>
      </c>
      <c r="N543" s="12">
        <f t="shared" si="16"/>
        <v>0</v>
      </c>
      <c r="O543" t="s">
        <v>695</v>
      </c>
      <c r="P543">
        <v>533</v>
      </c>
    </row>
    <row r="544" spans="2:16" x14ac:dyDescent="0.35">
      <c r="B544" s="7">
        <f t="shared" si="17"/>
        <v>534</v>
      </c>
      <c r="C544" s="3" t="s">
        <v>379</v>
      </c>
      <c r="D544" s="4" t="s">
        <v>630</v>
      </c>
      <c r="E544" s="9" t="s">
        <v>156</v>
      </c>
      <c r="F544" s="9" t="s">
        <v>190</v>
      </c>
      <c r="G544" s="14">
        <v>134</v>
      </c>
      <c r="H544" s="14">
        <v>18255000</v>
      </c>
      <c r="I544" s="14">
        <v>16</v>
      </c>
      <c r="J544" s="14">
        <v>2250000</v>
      </c>
      <c r="K544" s="14">
        <v>0</v>
      </c>
      <c r="L544" s="14">
        <v>0</v>
      </c>
      <c r="M544" s="4" t="e">
        <f>IF(F544="Tindakan",VLOOKUP(O544,#REF!,4,FALSE),IF(F544="Intensif",VLOOKUP(O544,#REF!,10,FALSE),IF(F544="Penunjang",VLOOKUP(O544,#REF!,16,FALSE),IF(F544="Visitase Berdasarkan Jumlah Pasien",VLOOKUP(O544,#REF!,22,FALSE),IF(F544="Visitase",VLOOKUP(O544,#REF!,28,FALSE),IF(F544="Rawat Jalan",VLOOKUP(O544,#REF!,34,FALSE),0))))))</f>
        <v>#REF!</v>
      </c>
      <c r="N544" s="12">
        <f t="shared" si="16"/>
        <v>0</v>
      </c>
      <c r="O544" t="s">
        <v>708</v>
      </c>
      <c r="P544">
        <v>534</v>
      </c>
    </row>
    <row r="545" spans="2:16" x14ac:dyDescent="0.35">
      <c r="B545" s="7">
        <f t="shared" si="17"/>
        <v>535</v>
      </c>
      <c r="C545" s="3" t="s">
        <v>379</v>
      </c>
      <c r="D545" s="4" t="s">
        <v>630</v>
      </c>
      <c r="E545" s="9" t="s">
        <v>156</v>
      </c>
      <c r="F545" s="9" t="s">
        <v>20</v>
      </c>
      <c r="G545" s="14">
        <v>19</v>
      </c>
      <c r="H545" s="14">
        <v>3220000</v>
      </c>
      <c r="I545" s="14">
        <v>4</v>
      </c>
      <c r="J545" s="14">
        <v>700000</v>
      </c>
      <c r="K545" s="14">
        <v>0</v>
      </c>
      <c r="L545" s="14">
        <v>0</v>
      </c>
      <c r="M545" s="4" t="e">
        <f>IF(F545="Tindakan",VLOOKUP(O545,#REF!,4,FALSE),IF(F545="Intensif",VLOOKUP(O545,#REF!,10,FALSE),IF(F545="Penunjang",VLOOKUP(O545,#REF!,16,FALSE),IF(F545="Visitase Berdasarkan Jumlah Pasien",VLOOKUP(O545,#REF!,22,FALSE),IF(F545="Visitase",VLOOKUP(O545,#REF!,28,FALSE),IF(F545="Rawat Jalan",VLOOKUP(O545,#REF!,34,FALSE),0))))))</f>
        <v>#REF!</v>
      </c>
      <c r="N545" s="12">
        <f t="shared" si="16"/>
        <v>0</v>
      </c>
      <c r="O545" t="s">
        <v>708</v>
      </c>
      <c r="P545">
        <v>535</v>
      </c>
    </row>
    <row r="546" spans="2:16" x14ac:dyDescent="0.35">
      <c r="B546" s="7">
        <f t="shared" si="17"/>
        <v>536</v>
      </c>
      <c r="C546" s="3" t="s">
        <v>379</v>
      </c>
      <c r="D546" s="4" t="s">
        <v>630</v>
      </c>
      <c r="E546" s="9" t="s">
        <v>156</v>
      </c>
      <c r="F546" s="9" t="s">
        <v>22</v>
      </c>
      <c r="G546" s="14">
        <v>10</v>
      </c>
      <c r="H546" s="14">
        <v>1270000</v>
      </c>
      <c r="I546" s="14">
        <v>1</v>
      </c>
      <c r="J546" s="14">
        <v>75000</v>
      </c>
      <c r="K546" s="14">
        <v>0</v>
      </c>
      <c r="L546" s="14">
        <v>0</v>
      </c>
      <c r="M546" s="4" t="e">
        <f>IF(F546="Tindakan",VLOOKUP(O546,#REF!,4,FALSE),IF(F546="Intensif",VLOOKUP(O546,#REF!,10,FALSE),IF(F546="Penunjang",VLOOKUP(O546,#REF!,16,FALSE),IF(F546="Visitase Berdasarkan Jumlah Pasien",VLOOKUP(O546,#REF!,22,FALSE),IF(F546="Visitase",VLOOKUP(O546,#REF!,28,FALSE),IF(F546="Rawat Jalan",VLOOKUP(O546,#REF!,34,FALSE),0))))))</f>
        <v>#REF!</v>
      </c>
      <c r="N546" s="12">
        <f t="shared" si="16"/>
        <v>0</v>
      </c>
      <c r="O546" t="s">
        <v>708</v>
      </c>
      <c r="P546">
        <v>536</v>
      </c>
    </row>
    <row r="547" spans="2:16" x14ac:dyDescent="0.35">
      <c r="B547" s="7">
        <f t="shared" si="17"/>
        <v>537</v>
      </c>
      <c r="C547" s="3" t="s">
        <v>269</v>
      </c>
      <c r="D547" s="4" t="s">
        <v>631</v>
      </c>
      <c r="E547" s="9" t="s">
        <v>150</v>
      </c>
      <c r="F547" s="9" t="s">
        <v>21</v>
      </c>
      <c r="G547" s="14">
        <v>7</v>
      </c>
      <c r="H547" s="14">
        <v>16743000</v>
      </c>
      <c r="I547" s="14">
        <v>0</v>
      </c>
      <c r="J547" s="14">
        <v>0</v>
      </c>
      <c r="K547" s="14">
        <v>0</v>
      </c>
      <c r="L547" s="14">
        <v>0</v>
      </c>
      <c r="M547" s="4" t="e">
        <f>IF(F547="Tindakan",VLOOKUP(O547,#REF!,4,FALSE),IF(F547="Intensif",VLOOKUP(O547,#REF!,10,FALSE),IF(F547="Penunjang",VLOOKUP(O547,#REF!,16,FALSE),IF(F547="Visitase Berdasarkan Jumlah Pasien",VLOOKUP(O547,#REF!,22,FALSE),IF(F547="Visitase",VLOOKUP(O547,#REF!,28,FALSE),IF(F547="Rawat Jalan",VLOOKUP(O547,#REF!,34,FALSE),0))))))</f>
        <v>#REF!</v>
      </c>
      <c r="N547" s="12">
        <f t="shared" si="16"/>
        <v>0</v>
      </c>
      <c r="O547" t="s">
        <v>707</v>
      </c>
      <c r="P547">
        <v>537</v>
      </c>
    </row>
    <row r="548" spans="2:16" x14ac:dyDescent="0.35">
      <c r="B548" s="7">
        <f t="shared" si="17"/>
        <v>538</v>
      </c>
      <c r="C548" s="3" t="s">
        <v>282</v>
      </c>
      <c r="D548" s="4" t="s">
        <v>632</v>
      </c>
      <c r="E548" s="9" t="s">
        <v>171</v>
      </c>
      <c r="F548" s="9" t="s">
        <v>22</v>
      </c>
      <c r="G548" s="14">
        <v>19</v>
      </c>
      <c r="H548" s="14">
        <v>1780000</v>
      </c>
      <c r="I548" s="14">
        <v>12</v>
      </c>
      <c r="J548" s="14">
        <v>1050000</v>
      </c>
      <c r="K548" s="14">
        <v>6</v>
      </c>
      <c r="L548" s="14">
        <v>1400000</v>
      </c>
      <c r="M548" s="4" t="e">
        <f>IF(F548="Tindakan",VLOOKUP(O548,#REF!,4,FALSE),IF(F548="Intensif",VLOOKUP(O548,#REF!,10,FALSE),IF(F548="Penunjang",VLOOKUP(O548,#REF!,16,FALSE),IF(F548="Visitase Berdasarkan Jumlah Pasien",VLOOKUP(O548,#REF!,22,FALSE),IF(F548="Visitase",VLOOKUP(O548,#REF!,28,FALSE),IF(F548="Rawat Jalan",VLOOKUP(O548,#REF!,34,FALSE),0))))))</f>
        <v>#REF!</v>
      </c>
      <c r="N548" s="12">
        <f t="shared" si="16"/>
        <v>0</v>
      </c>
      <c r="O548" t="s">
        <v>704</v>
      </c>
      <c r="P548">
        <v>538</v>
      </c>
    </row>
    <row r="549" spans="2:16" x14ac:dyDescent="0.35">
      <c r="B549" s="7">
        <f t="shared" si="17"/>
        <v>539</v>
      </c>
      <c r="C549" s="3" t="s">
        <v>372</v>
      </c>
      <c r="D549" s="4" t="s">
        <v>633</v>
      </c>
      <c r="E549" s="9" t="s">
        <v>166</v>
      </c>
      <c r="F549" s="9" t="s">
        <v>22</v>
      </c>
      <c r="G549" s="14">
        <v>0</v>
      </c>
      <c r="H549" s="14">
        <v>0</v>
      </c>
      <c r="I549" s="14">
        <v>349</v>
      </c>
      <c r="J549" s="14">
        <v>250260600</v>
      </c>
      <c r="K549" s="14">
        <v>0</v>
      </c>
      <c r="L549" s="14">
        <v>0</v>
      </c>
      <c r="M549" s="4" t="e">
        <f>IF(F549="Tindakan",VLOOKUP(O549,#REF!,4,FALSE),IF(F549="Intensif",VLOOKUP(O549,#REF!,10,FALSE),IF(F549="Penunjang",VLOOKUP(O549,#REF!,16,FALSE),IF(F549="Visitase Berdasarkan Jumlah Pasien",VLOOKUP(O549,#REF!,22,FALSE),IF(F549="Visitase",VLOOKUP(O549,#REF!,28,FALSE),IF(F549="Rawat Jalan",VLOOKUP(O549,#REF!,34,FALSE),0))))))</f>
        <v>#REF!</v>
      </c>
      <c r="N549" s="12">
        <f t="shared" si="16"/>
        <v>0</v>
      </c>
      <c r="O549" t="s">
        <v>698</v>
      </c>
      <c r="P549">
        <v>539</v>
      </c>
    </row>
    <row r="550" spans="2:16" x14ac:dyDescent="0.35">
      <c r="B550" s="7">
        <f t="shared" si="17"/>
        <v>540</v>
      </c>
      <c r="C550" s="3" t="s">
        <v>258</v>
      </c>
      <c r="D550" s="4" t="s">
        <v>634</v>
      </c>
      <c r="E550" s="9" t="s">
        <v>151</v>
      </c>
      <c r="F550" s="9" t="s">
        <v>22</v>
      </c>
      <c r="G550" s="14">
        <v>80</v>
      </c>
      <c r="H550" s="14">
        <v>6065000</v>
      </c>
      <c r="I550" s="14">
        <v>0</v>
      </c>
      <c r="J550" s="14">
        <v>0</v>
      </c>
      <c r="K550" s="14">
        <v>0</v>
      </c>
      <c r="L550" s="14">
        <v>0</v>
      </c>
      <c r="M550" s="4" t="e">
        <f>IF(F550="Tindakan",VLOOKUP(O550,#REF!,4,FALSE),IF(F550="Intensif",VLOOKUP(O550,#REF!,10,FALSE),IF(F550="Penunjang",VLOOKUP(O550,#REF!,16,FALSE),IF(F550="Visitase Berdasarkan Jumlah Pasien",VLOOKUP(O550,#REF!,22,FALSE),IF(F550="Visitase",VLOOKUP(O550,#REF!,28,FALSE),IF(F550="Rawat Jalan",VLOOKUP(O550,#REF!,34,FALSE),0))))))</f>
        <v>#REF!</v>
      </c>
      <c r="N550" s="12">
        <f t="shared" si="16"/>
        <v>0</v>
      </c>
      <c r="O550" t="s">
        <v>690</v>
      </c>
      <c r="P550">
        <v>540</v>
      </c>
    </row>
    <row r="551" spans="2:16" x14ac:dyDescent="0.35">
      <c r="B551" s="7">
        <f t="shared" si="17"/>
        <v>541</v>
      </c>
      <c r="C551" s="3" t="s">
        <v>258</v>
      </c>
      <c r="D551" s="4" t="s">
        <v>634</v>
      </c>
      <c r="E551" s="9" t="s">
        <v>151</v>
      </c>
      <c r="F551" s="9" t="s">
        <v>19</v>
      </c>
      <c r="G551" s="14">
        <v>27</v>
      </c>
      <c r="H551" s="14">
        <v>333250000</v>
      </c>
      <c r="I551" s="14">
        <v>0</v>
      </c>
      <c r="J551" s="14">
        <v>0</v>
      </c>
      <c r="K551" s="14">
        <v>0</v>
      </c>
      <c r="L551" s="14">
        <v>0</v>
      </c>
      <c r="M551" s="4" t="e">
        <f>IF(F551="Tindakan",VLOOKUP(O551,#REF!,4,FALSE),IF(F551="Intensif",VLOOKUP(O551,#REF!,10,FALSE),IF(F551="Penunjang",VLOOKUP(O551,#REF!,16,FALSE),IF(F551="Visitase Berdasarkan Jumlah Pasien",VLOOKUP(O551,#REF!,22,FALSE),IF(F551="Visitase",VLOOKUP(O551,#REF!,28,FALSE),IF(F551="Rawat Jalan",VLOOKUP(O551,#REF!,34,FALSE),0))))))</f>
        <v>#REF!</v>
      </c>
      <c r="N551" s="12">
        <f t="shared" si="16"/>
        <v>0</v>
      </c>
      <c r="O551" t="s">
        <v>690</v>
      </c>
      <c r="P551">
        <v>541</v>
      </c>
    </row>
    <row r="552" spans="2:16" x14ac:dyDescent="0.35">
      <c r="B552" s="7">
        <f t="shared" si="17"/>
        <v>542</v>
      </c>
      <c r="C552" s="3" t="s">
        <v>239</v>
      </c>
      <c r="D552" s="4" t="s">
        <v>635</v>
      </c>
      <c r="E552" s="9" t="s">
        <v>147</v>
      </c>
      <c r="F552" s="9" t="s">
        <v>190</v>
      </c>
      <c r="G552" s="14">
        <v>30</v>
      </c>
      <c r="H552" s="14">
        <v>3915000</v>
      </c>
      <c r="I552" s="14">
        <v>0</v>
      </c>
      <c r="J552" s="14">
        <v>0</v>
      </c>
      <c r="K552" s="14">
        <v>0</v>
      </c>
      <c r="L552" s="14">
        <v>0</v>
      </c>
      <c r="M552" s="4" t="e">
        <f>IF(F552="Tindakan",VLOOKUP(O552,#REF!,4,FALSE),IF(F552="Intensif",VLOOKUP(O552,#REF!,10,FALSE),IF(F552="Penunjang",VLOOKUP(O552,#REF!,16,FALSE),IF(F552="Visitase Berdasarkan Jumlah Pasien",VLOOKUP(O552,#REF!,22,FALSE),IF(F552="Visitase",VLOOKUP(O552,#REF!,28,FALSE),IF(F552="Rawat Jalan",VLOOKUP(O552,#REF!,34,FALSE),0))))))</f>
        <v>#REF!</v>
      </c>
      <c r="N552" s="12">
        <f t="shared" si="16"/>
        <v>0</v>
      </c>
      <c r="O552" t="s">
        <v>691</v>
      </c>
      <c r="P552">
        <v>542</v>
      </c>
    </row>
    <row r="553" spans="2:16" x14ac:dyDescent="0.35">
      <c r="B553" s="7">
        <f t="shared" si="17"/>
        <v>543</v>
      </c>
      <c r="C553" s="3" t="s">
        <v>239</v>
      </c>
      <c r="D553" s="4" t="s">
        <v>635</v>
      </c>
      <c r="E553" s="9" t="s">
        <v>147</v>
      </c>
      <c r="F553" s="9" t="s">
        <v>20</v>
      </c>
      <c r="G553" s="14">
        <v>4</v>
      </c>
      <c r="H553" s="14">
        <v>6670000</v>
      </c>
      <c r="I553" s="14">
        <v>0</v>
      </c>
      <c r="J553" s="14">
        <v>0</v>
      </c>
      <c r="K553" s="14">
        <v>0</v>
      </c>
      <c r="L553" s="14">
        <v>0</v>
      </c>
      <c r="M553" s="4" t="e">
        <f>IF(F553="Tindakan",VLOOKUP(O553,#REF!,4,FALSE),IF(F553="Intensif",VLOOKUP(O553,#REF!,10,FALSE),IF(F553="Penunjang",VLOOKUP(O553,#REF!,16,FALSE),IF(F553="Visitase Berdasarkan Jumlah Pasien",VLOOKUP(O553,#REF!,22,FALSE),IF(F553="Visitase",VLOOKUP(O553,#REF!,28,FALSE),IF(F553="Rawat Jalan",VLOOKUP(O553,#REF!,34,FALSE),0))))))</f>
        <v>#REF!</v>
      </c>
      <c r="N553" s="12">
        <f t="shared" si="16"/>
        <v>0</v>
      </c>
      <c r="O553" t="s">
        <v>691</v>
      </c>
      <c r="P553">
        <v>543</v>
      </c>
    </row>
    <row r="554" spans="2:16" x14ac:dyDescent="0.35">
      <c r="B554" s="7">
        <f t="shared" si="17"/>
        <v>544</v>
      </c>
      <c r="C554" s="3" t="s">
        <v>239</v>
      </c>
      <c r="D554" s="4" t="s">
        <v>635</v>
      </c>
      <c r="E554" s="9" t="s">
        <v>147</v>
      </c>
      <c r="F554" s="9" t="s">
        <v>19</v>
      </c>
      <c r="G554" s="14">
        <v>8</v>
      </c>
      <c r="H554" s="14">
        <v>29422000</v>
      </c>
      <c r="I554" s="14">
        <v>0</v>
      </c>
      <c r="J554" s="14">
        <v>0</v>
      </c>
      <c r="K554" s="14">
        <v>1</v>
      </c>
      <c r="L554" s="14">
        <v>24000000</v>
      </c>
      <c r="M554" s="4" t="e">
        <f>IF(F554="Tindakan",VLOOKUP(O554,#REF!,4,FALSE),IF(F554="Intensif",VLOOKUP(O554,#REF!,10,FALSE),IF(F554="Penunjang",VLOOKUP(O554,#REF!,16,FALSE),IF(F554="Visitase Berdasarkan Jumlah Pasien",VLOOKUP(O554,#REF!,22,FALSE),IF(F554="Visitase",VLOOKUP(O554,#REF!,28,FALSE),IF(F554="Rawat Jalan",VLOOKUP(O554,#REF!,34,FALSE),0))))))</f>
        <v>#REF!</v>
      </c>
      <c r="N554" s="12">
        <f t="shared" si="16"/>
        <v>0</v>
      </c>
      <c r="O554" t="s">
        <v>691</v>
      </c>
      <c r="P554">
        <v>544</v>
      </c>
    </row>
    <row r="555" spans="2:16" x14ac:dyDescent="0.35">
      <c r="B555" s="7">
        <f t="shared" si="17"/>
        <v>545</v>
      </c>
      <c r="C555" s="3" t="s">
        <v>239</v>
      </c>
      <c r="D555" s="4" t="s">
        <v>635</v>
      </c>
      <c r="E555" s="9" t="s">
        <v>147</v>
      </c>
      <c r="F555" s="9" t="s">
        <v>22</v>
      </c>
      <c r="G555" s="14">
        <v>171</v>
      </c>
      <c r="H555" s="14">
        <v>31811000</v>
      </c>
      <c r="I555" s="14">
        <v>16</v>
      </c>
      <c r="J555" s="14">
        <v>1890000</v>
      </c>
      <c r="K555" s="14">
        <v>42</v>
      </c>
      <c r="L555" s="14">
        <v>18134000</v>
      </c>
      <c r="M555" s="4" t="e">
        <f>IF(F555="Tindakan",VLOOKUP(O555,#REF!,4,FALSE),IF(F555="Intensif",VLOOKUP(O555,#REF!,10,FALSE),IF(F555="Penunjang",VLOOKUP(O555,#REF!,16,FALSE),IF(F555="Visitase Berdasarkan Jumlah Pasien",VLOOKUP(O555,#REF!,22,FALSE),IF(F555="Visitase",VLOOKUP(O555,#REF!,28,FALSE),IF(F555="Rawat Jalan",VLOOKUP(O555,#REF!,34,FALSE),0))))))</f>
        <v>#REF!</v>
      </c>
      <c r="N555" s="12">
        <f t="shared" si="16"/>
        <v>0</v>
      </c>
      <c r="O555" t="s">
        <v>691</v>
      </c>
      <c r="P555">
        <v>545</v>
      </c>
    </row>
    <row r="556" spans="2:16" x14ac:dyDescent="0.35">
      <c r="B556" s="7">
        <f t="shared" si="17"/>
        <v>546</v>
      </c>
      <c r="C556" s="3" t="s">
        <v>346</v>
      </c>
      <c r="D556" s="4" t="s">
        <v>636</v>
      </c>
      <c r="E556" s="9" t="s">
        <v>165</v>
      </c>
      <c r="F556" s="9" t="s">
        <v>20</v>
      </c>
      <c r="G556" s="14">
        <v>62</v>
      </c>
      <c r="H556" s="14">
        <v>11390000</v>
      </c>
      <c r="I556" s="14">
        <v>22</v>
      </c>
      <c r="J556" s="14">
        <v>3850000</v>
      </c>
      <c r="K556" s="14">
        <v>0</v>
      </c>
      <c r="L556" s="14">
        <v>0</v>
      </c>
      <c r="M556" s="4" t="e">
        <f>IF(F556="Tindakan",VLOOKUP(O556,#REF!,4,FALSE),IF(F556="Intensif",VLOOKUP(O556,#REF!,10,FALSE),IF(F556="Penunjang",VLOOKUP(O556,#REF!,16,FALSE),IF(F556="Visitase Berdasarkan Jumlah Pasien",VLOOKUP(O556,#REF!,22,FALSE),IF(F556="Visitase",VLOOKUP(O556,#REF!,28,FALSE),IF(F556="Rawat Jalan",VLOOKUP(O556,#REF!,34,FALSE),0))))))</f>
        <v>#REF!</v>
      </c>
      <c r="N556" s="12">
        <f t="shared" si="16"/>
        <v>0</v>
      </c>
      <c r="O556" t="s">
        <v>697</v>
      </c>
      <c r="P556">
        <v>546</v>
      </c>
    </row>
    <row r="557" spans="2:16" x14ac:dyDescent="0.35">
      <c r="B557" s="7">
        <f t="shared" si="17"/>
        <v>547</v>
      </c>
      <c r="C557" s="3" t="s">
        <v>346</v>
      </c>
      <c r="D557" s="4" t="s">
        <v>636</v>
      </c>
      <c r="E557" s="9" t="s">
        <v>165</v>
      </c>
      <c r="F557" s="9" t="s">
        <v>190</v>
      </c>
      <c r="G557" s="14">
        <v>145</v>
      </c>
      <c r="H557" s="14">
        <v>20285000</v>
      </c>
      <c r="I557" s="14">
        <v>34</v>
      </c>
      <c r="J557" s="14">
        <v>4760000</v>
      </c>
      <c r="K557" s="14">
        <v>0</v>
      </c>
      <c r="L557" s="14">
        <v>0</v>
      </c>
      <c r="M557" s="4" t="e">
        <f>IF(F557="Tindakan",VLOOKUP(O557,#REF!,4,FALSE),IF(F557="Intensif",VLOOKUP(O557,#REF!,10,FALSE),IF(F557="Penunjang",VLOOKUP(O557,#REF!,16,FALSE),IF(F557="Visitase Berdasarkan Jumlah Pasien",VLOOKUP(O557,#REF!,22,FALSE),IF(F557="Visitase",VLOOKUP(O557,#REF!,28,FALSE),IF(F557="Rawat Jalan",VLOOKUP(O557,#REF!,34,FALSE),0))))))</f>
        <v>#REF!</v>
      </c>
      <c r="N557" s="12">
        <f t="shared" si="16"/>
        <v>0</v>
      </c>
      <c r="O557" t="s">
        <v>697</v>
      </c>
      <c r="P557">
        <v>547</v>
      </c>
    </row>
    <row r="558" spans="2:16" x14ac:dyDescent="0.35">
      <c r="B558" s="7">
        <f t="shared" si="17"/>
        <v>548</v>
      </c>
      <c r="C558" s="3" t="s">
        <v>346</v>
      </c>
      <c r="D558" s="4" t="s">
        <v>636</v>
      </c>
      <c r="E558" s="9" t="s">
        <v>165</v>
      </c>
      <c r="F558" s="9" t="s">
        <v>22</v>
      </c>
      <c r="G558" s="14">
        <v>123</v>
      </c>
      <c r="H558" s="14">
        <v>9854000</v>
      </c>
      <c r="I558" s="14">
        <v>70</v>
      </c>
      <c r="J558" s="14">
        <v>5250000</v>
      </c>
      <c r="K558" s="14">
        <v>11</v>
      </c>
      <c r="L558" s="14">
        <v>2750000</v>
      </c>
      <c r="M558" s="4" t="e">
        <f>IF(F558="Tindakan",VLOOKUP(O558,#REF!,4,FALSE),IF(F558="Intensif",VLOOKUP(O558,#REF!,10,FALSE),IF(F558="Penunjang",VLOOKUP(O558,#REF!,16,FALSE),IF(F558="Visitase Berdasarkan Jumlah Pasien",VLOOKUP(O558,#REF!,22,FALSE),IF(F558="Visitase",VLOOKUP(O558,#REF!,28,FALSE),IF(F558="Rawat Jalan",VLOOKUP(O558,#REF!,34,FALSE),0))))))</f>
        <v>#REF!</v>
      </c>
      <c r="N558" s="12">
        <f t="shared" si="16"/>
        <v>0</v>
      </c>
      <c r="O558" t="s">
        <v>697</v>
      </c>
      <c r="P558">
        <v>548</v>
      </c>
    </row>
    <row r="559" spans="2:16" x14ac:dyDescent="0.35">
      <c r="B559" s="7">
        <f t="shared" si="17"/>
        <v>549</v>
      </c>
      <c r="C559" s="3" t="s">
        <v>346</v>
      </c>
      <c r="D559" s="4" t="s">
        <v>636</v>
      </c>
      <c r="E559" s="9" t="s">
        <v>165</v>
      </c>
      <c r="F559" s="9" t="s">
        <v>21</v>
      </c>
      <c r="G559" s="14">
        <v>2</v>
      </c>
      <c r="H559" s="14">
        <v>1146000</v>
      </c>
      <c r="I559" s="14">
        <v>0</v>
      </c>
      <c r="J559" s="14">
        <v>0</v>
      </c>
      <c r="K559" s="14">
        <v>0</v>
      </c>
      <c r="L559" s="14">
        <v>0</v>
      </c>
      <c r="M559" s="4" t="e">
        <f>IF(F559="Tindakan",VLOOKUP(O559,#REF!,4,FALSE),IF(F559="Intensif",VLOOKUP(O559,#REF!,10,FALSE),IF(F559="Penunjang",VLOOKUP(O559,#REF!,16,FALSE),IF(F559="Visitase Berdasarkan Jumlah Pasien",VLOOKUP(O559,#REF!,22,FALSE),IF(F559="Visitase",VLOOKUP(O559,#REF!,28,FALSE),IF(F559="Rawat Jalan",VLOOKUP(O559,#REF!,34,FALSE),0))))))</f>
        <v>#REF!</v>
      </c>
      <c r="N559" s="12">
        <f t="shared" si="16"/>
        <v>0</v>
      </c>
      <c r="O559" t="s">
        <v>697</v>
      </c>
      <c r="P559">
        <v>549</v>
      </c>
    </row>
    <row r="560" spans="2:16" x14ac:dyDescent="0.35">
      <c r="B560" s="7">
        <f t="shared" si="17"/>
        <v>550</v>
      </c>
      <c r="C560" s="3" t="s">
        <v>380</v>
      </c>
      <c r="D560" s="4" t="s">
        <v>637</v>
      </c>
      <c r="E560" s="9" t="s">
        <v>156</v>
      </c>
      <c r="F560" s="9" t="s">
        <v>190</v>
      </c>
      <c r="G560" s="14">
        <v>171</v>
      </c>
      <c r="H560" s="14">
        <v>26475000</v>
      </c>
      <c r="I560" s="14">
        <v>11</v>
      </c>
      <c r="J560" s="14">
        <v>1580000</v>
      </c>
      <c r="K560" s="14">
        <v>0</v>
      </c>
      <c r="L560" s="14">
        <v>0</v>
      </c>
      <c r="M560" s="4" t="e">
        <f>IF(F560="Tindakan",VLOOKUP(O560,#REF!,4,FALSE),IF(F560="Intensif",VLOOKUP(O560,#REF!,10,FALSE),IF(F560="Penunjang",VLOOKUP(O560,#REF!,16,FALSE),IF(F560="Visitase Berdasarkan Jumlah Pasien",VLOOKUP(O560,#REF!,22,FALSE),IF(F560="Visitase",VLOOKUP(O560,#REF!,28,FALSE),IF(F560="Rawat Jalan",VLOOKUP(O560,#REF!,34,FALSE),0))))))</f>
        <v>#REF!</v>
      </c>
      <c r="N560" s="12">
        <f t="shared" si="16"/>
        <v>0</v>
      </c>
      <c r="O560" t="s">
        <v>708</v>
      </c>
      <c r="P560">
        <v>550</v>
      </c>
    </row>
    <row r="561" spans="2:16" x14ac:dyDescent="0.35">
      <c r="B561" s="7">
        <f t="shared" si="17"/>
        <v>551</v>
      </c>
      <c r="C561" s="3" t="s">
        <v>380</v>
      </c>
      <c r="D561" s="4" t="s">
        <v>637</v>
      </c>
      <c r="E561" s="9" t="s">
        <v>156</v>
      </c>
      <c r="F561" s="9" t="s">
        <v>20</v>
      </c>
      <c r="G561" s="14">
        <v>32</v>
      </c>
      <c r="H561" s="14">
        <v>5525000</v>
      </c>
      <c r="I561" s="14">
        <v>1</v>
      </c>
      <c r="J561" s="14">
        <v>160000</v>
      </c>
      <c r="K561" s="14">
        <v>0</v>
      </c>
      <c r="L561" s="14">
        <v>0</v>
      </c>
      <c r="M561" s="4" t="e">
        <f>IF(F561="Tindakan",VLOOKUP(O561,#REF!,4,FALSE),IF(F561="Intensif",VLOOKUP(O561,#REF!,10,FALSE),IF(F561="Penunjang",VLOOKUP(O561,#REF!,16,FALSE),IF(F561="Visitase Berdasarkan Jumlah Pasien",VLOOKUP(O561,#REF!,22,FALSE),IF(F561="Visitase",VLOOKUP(O561,#REF!,28,FALSE),IF(F561="Rawat Jalan",VLOOKUP(O561,#REF!,34,FALSE),0))))))</f>
        <v>#REF!</v>
      </c>
      <c r="N561" s="12">
        <f t="shared" si="16"/>
        <v>0</v>
      </c>
      <c r="O561" t="s">
        <v>708</v>
      </c>
      <c r="P561">
        <v>551</v>
      </c>
    </row>
    <row r="562" spans="2:16" x14ac:dyDescent="0.35">
      <c r="B562" s="7">
        <f t="shared" si="17"/>
        <v>552</v>
      </c>
      <c r="C562" s="3" t="s">
        <v>380</v>
      </c>
      <c r="D562" s="4" t="s">
        <v>637</v>
      </c>
      <c r="E562" s="9" t="s">
        <v>156</v>
      </c>
      <c r="F562" s="9" t="s">
        <v>22</v>
      </c>
      <c r="G562" s="14">
        <v>11</v>
      </c>
      <c r="H562" s="14">
        <v>1375000</v>
      </c>
      <c r="I562" s="14">
        <v>5</v>
      </c>
      <c r="J562" s="14">
        <v>440000</v>
      </c>
      <c r="K562" s="14">
        <v>4</v>
      </c>
      <c r="L562" s="14">
        <v>825000</v>
      </c>
      <c r="M562" s="4" t="e">
        <f>IF(F562="Tindakan",VLOOKUP(O562,#REF!,4,FALSE),IF(F562="Intensif",VLOOKUP(O562,#REF!,10,FALSE),IF(F562="Penunjang",VLOOKUP(O562,#REF!,16,FALSE),IF(F562="Visitase Berdasarkan Jumlah Pasien",VLOOKUP(O562,#REF!,22,FALSE),IF(F562="Visitase",VLOOKUP(O562,#REF!,28,FALSE),IF(F562="Rawat Jalan",VLOOKUP(O562,#REF!,34,FALSE),0))))))</f>
        <v>#REF!</v>
      </c>
      <c r="N562" s="12">
        <f t="shared" si="16"/>
        <v>0</v>
      </c>
      <c r="O562" t="s">
        <v>708</v>
      </c>
      <c r="P562">
        <v>552</v>
      </c>
    </row>
    <row r="563" spans="2:16" x14ac:dyDescent="0.35">
      <c r="B563" s="7">
        <f t="shared" si="17"/>
        <v>553</v>
      </c>
      <c r="C563" s="3" t="s">
        <v>322</v>
      </c>
      <c r="D563" s="4" t="s">
        <v>638</v>
      </c>
      <c r="E563" s="9" t="s">
        <v>185</v>
      </c>
      <c r="F563" s="9" t="s">
        <v>22</v>
      </c>
      <c r="G563" s="14">
        <v>58</v>
      </c>
      <c r="H563" s="14">
        <v>15365000</v>
      </c>
      <c r="I563" s="14">
        <v>6</v>
      </c>
      <c r="J563" s="14">
        <v>3480000</v>
      </c>
      <c r="K563" s="14">
        <v>0</v>
      </c>
      <c r="L563" s="14">
        <v>0</v>
      </c>
      <c r="M563" s="4" t="e">
        <f>IF(F563="Tindakan",VLOOKUP(O563,#REF!,4,FALSE),IF(F563="Intensif",VLOOKUP(O563,#REF!,10,FALSE),IF(F563="Penunjang",VLOOKUP(O563,#REF!,16,FALSE),IF(F563="Visitase Berdasarkan Jumlah Pasien",VLOOKUP(O563,#REF!,22,FALSE),IF(F563="Visitase",VLOOKUP(O563,#REF!,28,FALSE),IF(F563="Rawat Jalan",VLOOKUP(O563,#REF!,34,FALSE),0))))))</f>
        <v>#REF!</v>
      </c>
      <c r="N563" s="12">
        <f t="shared" si="16"/>
        <v>0</v>
      </c>
      <c r="O563" t="s">
        <v>706</v>
      </c>
      <c r="P563">
        <v>553</v>
      </c>
    </row>
    <row r="564" spans="2:16" x14ac:dyDescent="0.35">
      <c r="B564" s="7">
        <f t="shared" si="17"/>
        <v>554</v>
      </c>
      <c r="C564" s="3" t="s">
        <v>251</v>
      </c>
      <c r="D564" s="4" t="s">
        <v>639</v>
      </c>
      <c r="E564" s="9" t="s">
        <v>178</v>
      </c>
      <c r="F564" s="9" t="s">
        <v>20</v>
      </c>
      <c r="G564" s="14">
        <v>114</v>
      </c>
      <c r="H564" s="14">
        <v>15782000</v>
      </c>
      <c r="I564" s="14">
        <v>0</v>
      </c>
      <c r="J564" s="14">
        <v>0</v>
      </c>
      <c r="K564" s="14">
        <v>0</v>
      </c>
      <c r="L564" s="14">
        <v>0</v>
      </c>
      <c r="M564" s="4" t="e">
        <f>IF(F564="Tindakan",VLOOKUP(O564,#REF!,4,FALSE),IF(F564="Intensif",VLOOKUP(O564,#REF!,10,FALSE),IF(F564="Penunjang",VLOOKUP(O564,#REF!,16,FALSE),IF(F564="Visitase Berdasarkan Jumlah Pasien",VLOOKUP(O564,#REF!,22,FALSE),IF(F564="Visitase",VLOOKUP(O564,#REF!,28,FALSE),IF(F564="Rawat Jalan",VLOOKUP(O564,#REF!,34,FALSE),0))))))</f>
        <v>#REF!</v>
      </c>
      <c r="N564" s="12">
        <f t="shared" si="16"/>
        <v>0</v>
      </c>
      <c r="O564" t="s">
        <v>689</v>
      </c>
      <c r="P564">
        <v>554</v>
      </c>
    </row>
    <row r="565" spans="2:16" x14ac:dyDescent="0.35">
      <c r="B565" s="7">
        <f t="shared" si="17"/>
        <v>555</v>
      </c>
      <c r="C565" s="3" t="s">
        <v>251</v>
      </c>
      <c r="D565" s="4" t="s">
        <v>639</v>
      </c>
      <c r="E565" s="9" t="s">
        <v>178</v>
      </c>
      <c r="F565" s="9" t="s">
        <v>190</v>
      </c>
      <c r="G565" s="14">
        <v>29</v>
      </c>
      <c r="H565" s="14">
        <v>4045000</v>
      </c>
      <c r="I565" s="14">
        <v>0</v>
      </c>
      <c r="J565" s="14">
        <v>0</v>
      </c>
      <c r="K565" s="14">
        <v>0</v>
      </c>
      <c r="L565" s="14">
        <v>0</v>
      </c>
      <c r="M565" s="4" t="e">
        <f>IF(F565="Tindakan",VLOOKUP(O565,#REF!,4,FALSE),IF(F565="Intensif",VLOOKUP(O565,#REF!,10,FALSE),IF(F565="Penunjang",VLOOKUP(O565,#REF!,16,FALSE),IF(F565="Visitase Berdasarkan Jumlah Pasien",VLOOKUP(O565,#REF!,22,FALSE),IF(F565="Visitase",VLOOKUP(O565,#REF!,28,FALSE),IF(F565="Rawat Jalan",VLOOKUP(O565,#REF!,34,FALSE),0))))))</f>
        <v>#REF!</v>
      </c>
      <c r="N565" s="12">
        <f t="shared" si="16"/>
        <v>0</v>
      </c>
      <c r="O565" t="s">
        <v>689</v>
      </c>
      <c r="P565">
        <v>555</v>
      </c>
    </row>
    <row r="566" spans="2:16" x14ac:dyDescent="0.35">
      <c r="B566" s="7">
        <f t="shared" si="17"/>
        <v>556</v>
      </c>
      <c r="C566" s="3" t="s">
        <v>251</v>
      </c>
      <c r="D566" s="4" t="s">
        <v>639</v>
      </c>
      <c r="E566" s="9" t="s">
        <v>178</v>
      </c>
      <c r="F566" s="9" t="s">
        <v>22</v>
      </c>
      <c r="G566" s="14">
        <v>265</v>
      </c>
      <c r="H566" s="14">
        <v>153150000</v>
      </c>
      <c r="I566" s="14">
        <v>2</v>
      </c>
      <c r="J566" s="14">
        <v>135000</v>
      </c>
      <c r="K566" s="14">
        <v>6</v>
      </c>
      <c r="L566" s="14">
        <v>1155000</v>
      </c>
      <c r="M566" s="4" t="e">
        <f>IF(F566="Tindakan",VLOOKUP(O566,#REF!,4,FALSE),IF(F566="Intensif",VLOOKUP(O566,#REF!,10,FALSE),IF(F566="Penunjang",VLOOKUP(O566,#REF!,16,FALSE),IF(F566="Visitase Berdasarkan Jumlah Pasien",VLOOKUP(O566,#REF!,22,FALSE),IF(F566="Visitase",VLOOKUP(O566,#REF!,28,FALSE),IF(F566="Rawat Jalan",VLOOKUP(O566,#REF!,34,FALSE),0))))))</f>
        <v>#REF!</v>
      </c>
      <c r="N566" s="12">
        <f t="shared" si="16"/>
        <v>0</v>
      </c>
      <c r="O566" t="s">
        <v>689</v>
      </c>
      <c r="P566">
        <v>556</v>
      </c>
    </row>
    <row r="567" spans="2:16" x14ac:dyDescent="0.35">
      <c r="B567" s="7">
        <f t="shared" si="17"/>
        <v>557</v>
      </c>
      <c r="C567" s="3" t="s">
        <v>201</v>
      </c>
      <c r="D567" s="4" t="s">
        <v>640</v>
      </c>
      <c r="E567" s="9" t="s">
        <v>185</v>
      </c>
      <c r="F567" s="9" t="s">
        <v>190</v>
      </c>
      <c r="G567" s="14">
        <v>96</v>
      </c>
      <c r="H567" s="14">
        <v>12000000</v>
      </c>
      <c r="I567" s="14">
        <v>5</v>
      </c>
      <c r="J567" s="14">
        <v>900000</v>
      </c>
      <c r="K567" s="14">
        <v>4</v>
      </c>
      <c r="L567" s="14">
        <v>500000</v>
      </c>
      <c r="M567" s="4" t="e">
        <f>IF(F567="Tindakan",VLOOKUP(O567,#REF!,4,FALSE),IF(F567="Intensif",VLOOKUP(O567,#REF!,10,FALSE),IF(F567="Penunjang",VLOOKUP(O567,#REF!,16,FALSE),IF(F567="Visitase Berdasarkan Jumlah Pasien",VLOOKUP(O567,#REF!,22,FALSE),IF(F567="Visitase",VLOOKUP(O567,#REF!,28,FALSE),IF(F567="Rawat Jalan",VLOOKUP(O567,#REF!,34,FALSE),0))))))</f>
        <v>#REF!</v>
      </c>
      <c r="N567" s="12">
        <f t="shared" si="16"/>
        <v>0</v>
      </c>
      <c r="O567" t="s">
        <v>688</v>
      </c>
      <c r="P567">
        <v>557</v>
      </c>
    </row>
    <row r="568" spans="2:16" x14ac:dyDescent="0.35">
      <c r="B568" s="7">
        <f t="shared" si="17"/>
        <v>558</v>
      </c>
      <c r="C568" s="3" t="s">
        <v>201</v>
      </c>
      <c r="D568" s="4" t="s">
        <v>640</v>
      </c>
      <c r="E568" s="9" t="s">
        <v>185</v>
      </c>
      <c r="F568" s="9" t="s">
        <v>20</v>
      </c>
      <c r="G568" s="14">
        <v>58</v>
      </c>
      <c r="H568" s="14">
        <v>9430000</v>
      </c>
      <c r="I568" s="14">
        <v>0</v>
      </c>
      <c r="J568" s="14">
        <v>0</v>
      </c>
      <c r="K568" s="14">
        <v>0</v>
      </c>
      <c r="L568" s="14">
        <v>0</v>
      </c>
      <c r="M568" s="4" t="e">
        <f>IF(F568="Tindakan",VLOOKUP(O568,#REF!,4,FALSE),IF(F568="Intensif",VLOOKUP(O568,#REF!,10,FALSE),IF(F568="Penunjang",VLOOKUP(O568,#REF!,16,FALSE),IF(F568="Visitase Berdasarkan Jumlah Pasien",VLOOKUP(O568,#REF!,22,FALSE),IF(F568="Visitase",VLOOKUP(O568,#REF!,28,FALSE),IF(F568="Rawat Jalan",VLOOKUP(O568,#REF!,34,FALSE),0))))))</f>
        <v>#REF!</v>
      </c>
      <c r="N568" s="12">
        <f t="shared" si="16"/>
        <v>0</v>
      </c>
      <c r="O568" t="s">
        <v>688</v>
      </c>
      <c r="P568">
        <v>558</v>
      </c>
    </row>
    <row r="569" spans="2:16" x14ac:dyDescent="0.35">
      <c r="B569" s="7">
        <f t="shared" si="17"/>
        <v>559</v>
      </c>
      <c r="C569" s="3" t="s">
        <v>201</v>
      </c>
      <c r="D569" s="4" t="s">
        <v>640</v>
      </c>
      <c r="E569" s="9" t="s">
        <v>185</v>
      </c>
      <c r="F569" s="9" t="s">
        <v>22</v>
      </c>
      <c r="G569" s="14">
        <v>51</v>
      </c>
      <c r="H569" s="14">
        <v>5850000</v>
      </c>
      <c r="I569" s="14">
        <v>0</v>
      </c>
      <c r="J569" s="14">
        <v>0</v>
      </c>
      <c r="K569" s="14">
        <v>15</v>
      </c>
      <c r="L569" s="14">
        <v>4443000</v>
      </c>
      <c r="M569" s="4" t="e">
        <f>IF(F569="Tindakan",VLOOKUP(O569,#REF!,4,FALSE),IF(F569="Intensif",VLOOKUP(O569,#REF!,10,FALSE),IF(F569="Penunjang",VLOOKUP(O569,#REF!,16,FALSE),IF(F569="Visitase Berdasarkan Jumlah Pasien",VLOOKUP(O569,#REF!,22,FALSE),IF(F569="Visitase",VLOOKUP(O569,#REF!,28,FALSE),IF(F569="Rawat Jalan",VLOOKUP(O569,#REF!,34,FALSE),0))))))</f>
        <v>#REF!</v>
      </c>
      <c r="N569" s="12">
        <f t="shared" si="16"/>
        <v>0</v>
      </c>
      <c r="O569" t="s">
        <v>688</v>
      </c>
      <c r="P569">
        <v>559</v>
      </c>
    </row>
    <row r="570" spans="2:16" x14ac:dyDescent="0.35">
      <c r="B570" s="7">
        <f t="shared" si="17"/>
        <v>560</v>
      </c>
      <c r="C570" s="3" t="s">
        <v>201</v>
      </c>
      <c r="D570" s="4" t="s">
        <v>640</v>
      </c>
      <c r="E570" s="9" t="s">
        <v>185</v>
      </c>
      <c r="F570" s="9" t="s">
        <v>19</v>
      </c>
      <c r="G570" s="14">
        <v>23</v>
      </c>
      <c r="H570" s="14">
        <v>204750000</v>
      </c>
      <c r="I570" s="14">
        <v>0</v>
      </c>
      <c r="J570" s="14">
        <v>0</v>
      </c>
      <c r="K570" s="14">
        <v>4</v>
      </c>
      <c r="L570" s="14">
        <v>78145000</v>
      </c>
      <c r="M570" s="4" t="e">
        <f>IF(F570="Tindakan",VLOOKUP(O570,#REF!,4,FALSE),IF(F570="Intensif",VLOOKUP(O570,#REF!,10,FALSE),IF(F570="Penunjang",VLOOKUP(O570,#REF!,16,FALSE),IF(F570="Visitase Berdasarkan Jumlah Pasien",VLOOKUP(O570,#REF!,22,FALSE),IF(F570="Visitase",VLOOKUP(O570,#REF!,28,FALSE),IF(F570="Rawat Jalan",VLOOKUP(O570,#REF!,34,FALSE),0))))))</f>
        <v>#REF!</v>
      </c>
      <c r="N570" s="12">
        <f t="shared" si="16"/>
        <v>0</v>
      </c>
      <c r="O570" t="s">
        <v>688</v>
      </c>
      <c r="P570">
        <v>560</v>
      </c>
    </row>
    <row r="571" spans="2:16" x14ac:dyDescent="0.35">
      <c r="B571" s="7">
        <f t="shared" si="17"/>
        <v>561</v>
      </c>
      <c r="C571" s="3" t="s">
        <v>259</v>
      </c>
      <c r="D571" s="4" t="s">
        <v>641</v>
      </c>
      <c r="E571" s="9" t="s">
        <v>157</v>
      </c>
      <c r="F571" s="9" t="s">
        <v>20</v>
      </c>
      <c r="G571" s="14">
        <v>2</v>
      </c>
      <c r="H571" s="14">
        <v>350000</v>
      </c>
      <c r="I571" s="14">
        <v>0</v>
      </c>
      <c r="J571" s="14">
        <v>0</v>
      </c>
      <c r="K571" s="14">
        <v>0</v>
      </c>
      <c r="L571" s="14">
        <v>0</v>
      </c>
      <c r="M571" s="4" t="e">
        <f>IF(F571="Tindakan",VLOOKUP(O571,#REF!,4,FALSE),IF(F571="Intensif",VLOOKUP(O571,#REF!,10,FALSE),IF(F571="Penunjang",VLOOKUP(O571,#REF!,16,FALSE),IF(F571="Visitase Berdasarkan Jumlah Pasien",VLOOKUP(O571,#REF!,22,FALSE),IF(F571="Visitase",VLOOKUP(O571,#REF!,28,FALSE),IF(F571="Rawat Jalan",VLOOKUP(O571,#REF!,34,FALSE),0))))))</f>
        <v>#REF!</v>
      </c>
      <c r="N571" s="12">
        <f t="shared" si="16"/>
        <v>0</v>
      </c>
      <c r="O571" t="s">
        <v>688</v>
      </c>
      <c r="P571">
        <v>561</v>
      </c>
    </row>
    <row r="572" spans="2:16" x14ac:dyDescent="0.35">
      <c r="B572" s="7">
        <f t="shared" si="17"/>
        <v>562</v>
      </c>
      <c r="C572" s="3" t="s">
        <v>259</v>
      </c>
      <c r="D572" s="4" t="s">
        <v>641</v>
      </c>
      <c r="E572" s="9" t="s">
        <v>157</v>
      </c>
      <c r="F572" s="9" t="s">
        <v>190</v>
      </c>
      <c r="G572" s="14">
        <v>5</v>
      </c>
      <c r="H572" s="14">
        <v>625000</v>
      </c>
      <c r="I572" s="14">
        <v>1</v>
      </c>
      <c r="J572" s="14">
        <v>160000</v>
      </c>
      <c r="K572" s="14">
        <v>0</v>
      </c>
      <c r="L572" s="14">
        <v>0</v>
      </c>
      <c r="M572" s="4" t="e">
        <f>IF(F572="Tindakan",VLOOKUP(O572,#REF!,4,FALSE),IF(F572="Intensif",VLOOKUP(O572,#REF!,10,FALSE),IF(F572="Penunjang",VLOOKUP(O572,#REF!,16,FALSE),IF(F572="Visitase Berdasarkan Jumlah Pasien",VLOOKUP(O572,#REF!,22,FALSE),IF(F572="Visitase",VLOOKUP(O572,#REF!,28,FALSE),IF(F572="Rawat Jalan",VLOOKUP(O572,#REF!,34,FALSE),0))))))</f>
        <v>#REF!</v>
      </c>
      <c r="N572" s="12">
        <f t="shared" si="16"/>
        <v>0</v>
      </c>
      <c r="O572" t="s">
        <v>688</v>
      </c>
      <c r="P572">
        <v>562</v>
      </c>
    </row>
    <row r="573" spans="2:16" x14ac:dyDescent="0.35">
      <c r="B573" s="7">
        <f t="shared" si="17"/>
        <v>563</v>
      </c>
      <c r="C573" s="3" t="s">
        <v>259</v>
      </c>
      <c r="D573" s="4" t="s">
        <v>641</v>
      </c>
      <c r="E573" s="9" t="s">
        <v>157</v>
      </c>
      <c r="F573" s="9" t="s">
        <v>19</v>
      </c>
      <c r="G573" s="14">
        <v>6</v>
      </c>
      <c r="H573" s="14">
        <v>239250000</v>
      </c>
      <c r="I573" s="14">
        <v>1</v>
      </c>
      <c r="J573" s="14">
        <v>4250000</v>
      </c>
      <c r="K573" s="14">
        <v>0</v>
      </c>
      <c r="L573" s="14">
        <v>0</v>
      </c>
      <c r="M573" s="4" t="e">
        <f>IF(F573="Tindakan",VLOOKUP(O573,#REF!,4,FALSE),IF(F573="Intensif",VLOOKUP(O573,#REF!,10,FALSE),IF(F573="Penunjang",VLOOKUP(O573,#REF!,16,FALSE),IF(F573="Visitase Berdasarkan Jumlah Pasien",VLOOKUP(O573,#REF!,22,FALSE),IF(F573="Visitase",VLOOKUP(O573,#REF!,28,FALSE),IF(F573="Rawat Jalan",VLOOKUP(O573,#REF!,34,FALSE),0))))))</f>
        <v>#REF!</v>
      </c>
      <c r="N573" s="12">
        <f t="shared" si="16"/>
        <v>0</v>
      </c>
      <c r="O573" t="s">
        <v>688</v>
      </c>
      <c r="P573">
        <v>563</v>
      </c>
    </row>
    <row r="574" spans="2:16" x14ac:dyDescent="0.35">
      <c r="B574" s="7">
        <f t="shared" si="17"/>
        <v>564</v>
      </c>
      <c r="C574" s="3" t="s">
        <v>259</v>
      </c>
      <c r="D574" s="4" t="s">
        <v>641</v>
      </c>
      <c r="E574" s="9" t="s">
        <v>157</v>
      </c>
      <c r="F574" s="9" t="s">
        <v>22</v>
      </c>
      <c r="G574" s="14">
        <v>1</v>
      </c>
      <c r="H574" s="14">
        <v>75000</v>
      </c>
      <c r="I574" s="14">
        <v>0</v>
      </c>
      <c r="J574" s="14">
        <v>0</v>
      </c>
      <c r="K574" s="14">
        <v>0</v>
      </c>
      <c r="L574" s="14">
        <v>0</v>
      </c>
      <c r="M574" s="4" t="e">
        <f>IF(F574="Tindakan",VLOOKUP(O574,#REF!,4,FALSE),IF(F574="Intensif",VLOOKUP(O574,#REF!,10,FALSE),IF(F574="Penunjang",VLOOKUP(O574,#REF!,16,FALSE),IF(F574="Visitase Berdasarkan Jumlah Pasien",VLOOKUP(O574,#REF!,22,FALSE),IF(F574="Visitase",VLOOKUP(O574,#REF!,28,FALSE),IF(F574="Rawat Jalan",VLOOKUP(O574,#REF!,34,FALSE),0))))))</f>
        <v>#REF!</v>
      </c>
      <c r="N574" s="12">
        <f t="shared" si="16"/>
        <v>0</v>
      </c>
      <c r="O574" t="s">
        <v>688</v>
      </c>
      <c r="P574">
        <v>564</v>
      </c>
    </row>
    <row r="575" spans="2:16" x14ac:dyDescent="0.35">
      <c r="B575" s="7">
        <f t="shared" si="17"/>
        <v>565</v>
      </c>
      <c r="C575" s="3" t="s">
        <v>264</v>
      </c>
      <c r="D575" s="4" t="s">
        <v>642</v>
      </c>
      <c r="E575" s="9" t="s">
        <v>174</v>
      </c>
      <c r="F575" s="9" t="s">
        <v>22</v>
      </c>
      <c r="G575" s="14">
        <v>81</v>
      </c>
      <c r="H575" s="14">
        <v>8370000</v>
      </c>
      <c r="I575" s="14">
        <v>16</v>
      </c>
      <c r="J575" s="14">
        <v>1525000</v>
      </c>
      <c r="K575" s="14">
        <v>0</v>
      </c>
      <c r="L575" s="14">
        <v>0</v>
      </c>
      <c r="M575" s="4" t="e">
        <f>IF(F575="Tindakan",VLOOKUP(O575,#REF!,4,FALSE),IF(F575="Intensif",VLOOKUP(O575,#REF!,10,FALSE),IF(F575="Penunjang",VLOOKUP(O575,#REF!,16,FALSE),IF(F575="Visitase Berdasarkan Jumlah Pasien",VLOOKUP(O575,#REF!,22,FALSE),IF(F575="Visitase",VLOOKUP(O575,#REF!,28,FALSE),IF(F575="Rawat Jalan",VLOOKUP(O575,#REF!,34,FALSE),0))))))</f>
        <v>#REF!</v>
      </c>
      <c r="N575" s="12">
        <f t="shared" si="16"/>
        <v>0</v>
      </c>
      <c r="O575" t="s">
        <v>705</v>
      </c>
      <c r="P575">
        <v>565</v>
      </c>
    </row>
    <row r="576" spans="2:16" x14ac:dyDescent="0.35">
      <c r="B576" s="7">
        <f t="shared" si="17"/>
        <v>566</v>
      </c>
      <c r="C576" s="3" t="s">
        <v>343</v>
      </c>
      <c r="D576" s="4" t="s">
        <v>643</v>
      </c>
      <c r="E576" s="9" t="s">
        <v>146</v>
      </c>
      <c r="F576" s="9" t="s">
        <v>190</v>
      </c>
      <c r="G576" s="14">
        <v>185</v>
      </c>
      <c r="H576" s="14">
        <v>23125000</v>
      </c>
      <c r="I576" s="14">
        <v>4</v>
      </c>
      <c r="J576" s="14">
        <v>500000</v>
      </c>
      <c r="K576" s="14">
        <v>0</v>
      </c>
      <c r="L576" s="14">
        <v>0</v>
      </c>
      <c r="M576" s="4" t="e">
        <f>IF(F576="Tindakan",VLOOKUP(O576,#REF!,4,FALSE),IF(F576="Intensif",VLOOKUP(O576,#REF!,10,FALSE),IF(F576="Penunjang",VLOOKUP(O576,#REF!,16,FALSE),IF(F576="Visitase Berdasarkan Jumlah Pasien",VLOOKUP(O576,#REF!,22,FALSE),IF(F576="Visitase",VLOOKUP(O576,#REF!,28,FALSE),IF(F576="Rawat Jalan",VLOOKUP(O576,#REF!,34,FALSE),0))))))</f>
        <v>#REF!</v>
      </c>
      <c r="N576" s="12">
        <f t="shared" si="16"/>
        <v>0</v>
      </c>
      <c r="O576" t="s">
        <v>696</v>
      </c>
      <c r="P576">
        <v>566</v>
      </c>
    </row>
    <row r="577" spans="2:16" x14ac:dyDescent="0.35">
      <c r="B577" s="7">
        <f t="shared" si="17"/>
        <v>567</v>
      </c>
      <c r="C577" s="3" t="s">
        <v>343</v>
      </c>
      <c r="D577" s="4" t="s">
        <v>643</v>
      </c>
      <c r="E577" s="9" t="s">
        <v>146</v>
      </c>
      <c r="F577" s="9" t="s">
        <v>22</v>
      </c>
      <c r="G577" s="14">
        <v>174</v>
      </c>
      <c r="H577" s="14">
        <v>40433000</v>
      </c>
      <c r="I577" s="14">
        <v>6</v>
      </c>
      <c r="J577" s="14">
        <v>740000</v>
      </c>
      <c r="K577" s="14">
        <v>10</v>
      </c>
      <c r="L577" s="14">
        <v>3000000</v>
      </c>
      <c r="M577" s="4" t="e">
        <f>IF(F577="Tindakan",VLOOKUP(O577,#REF!,4,FALSE),IF(F577="Intensif",VLOOKUP(O577,#REF!,10,FALSE),IF(F577="Penunjang",VLOOKUP(O577,#REF!,16,FALSE),IF(F577="Visitase Berdasarkan Jumlah Pasien",VLOOKUP(O577,#REF!,22,FALSE),IF(F577="Visitase",VLOOKUP(O577,#REF!,28,FALSE),IF(F577="Rawat Jalan",VLOOKUP(O577,#REF!,34,FALSE),0))))))</f>
        <v>#REF!</v>
      </c>
      <c r="N577" s="12">
        <f t="shared" si="16"/>
        <v>0</v>
      </c>
      <c r="O577" t="s">
        <v>696</v>
      </c>
      <c r="P577">
        <v>567</v>
      </c>
    </row>
    <row r="578" spans="2:16" x14ac:dyDescent="0.35">
      <c r="B578" s="7">
        <f t="shared" si="17"/>
        <v>568</v>
      </c>
      <c r="C578" s="3" t="s">
        <v>429</v>
      </c>
      <c r="D578" s="4" t="s">
        <v>644</v>
      </c>
      <c r="E578" s="9" t="s">
        <v>175</v>
      </c>
      <c r="F578" s="9" t="s">
        <v>20</v>
      </c>
      <c r="G578" s="14">
        <v>16</v>
      </c>
      <c r="H578" s="14">
        <v>2651000</v>
      </c>
      <c r="I578" s="14">
        <v>4</v>
      </c>
      <c r="J578" s="14">
        <v>665000</v>
      </c>
      <c r="K578" s="14">
        <v>0</v>
      </c>
      <c r="L578" s="14">
        <v>0</v>
      </c>
      <c r="M578" s="4" t="e">
        <f>IF(F578="Tindakan",VLOOKUP(O578,#REF!,4,FALSE),IF(F578="Intensif",VLOOKUP(O578,#REF!,10,FALSE),IF(F578="Penunjang",VLOOKUP(O578,#REF!,16,FALSE),IF(F578="Visitase Berdasarkan Jumlah Pasien",VLOOKUP(O578,#REF!,22,FALSE),IF(F578="Visitase",VLOOKUP(O578,#REF!,28,FALSE),IF(F578="Rawat Jalan",VLOOKUP(O578,#REF!,34,FALSE),0))))))</f>
        <v>#REF!</v>
      </c>
      <c r="N578" s="12">
        <f t="shared" si="16"/>
        <v>0</v>
      </c>
      <c r="O578" t="s">
        <v>688</v>
      </c>
      <c r="P578">
        <v>568</v>
      </c>
    </row>
    <row r="579" spans="2:16" x14ac:dyDescent="0.35">
      <c r="B579" s="7">
        <f t="shared" si="17"/>
        <v>569</v>
      </c>
      <c r="C579" s="3" t="s">
        <v>429</v>
      </c>
      <c r="D579" s="4" t="s">
        <v>644</v>
      </c>
      <c r="E579" s="9" t="s">
        <v>175</v>
      </c>
      <c r="F579" s="9" t="s">
        <v>190</v>
      </c>
      <c r="G579" s="14">
        <v>26</v>
      </c>
      <c r="H579" s="14">
        <v>3530000</v>
      </c>
      <c r="I579" s="14">
        <v>6</v>
      </c>
      <c r="J579" s="14">
        <v>765000</v>
      </c>
      <c r="K579" s="14">
        <v>0</v>
      </c>
      <c r="L579" s="14">
        <v>0</v>
      </c>
      <c r="M579" s="4" t="e">
        <f>IF(F579="Tindakan",VLOOKUP(O579,#REF!,4,FALSE),IF(F579="Intensif",VLOOKUP(O579,#REF!,10,FALSE),IF(F579="Penunjang",VLOOKUP(O579,#REF!,16,FALSE),IF(F579="Visitase Berdasarkan Jumlah Pasien",VLOOKUP(O579,#REF!,22,FALSE),IF(F579="Visitase",VLOOKUP(O579,#REF!,28,FALSE),IF(F579="Rawat Jalan",VLOOKUP(O579,#REF!,34,FALSE),0))))))</f>
        <v>#REF!</v>
      </c>
      <c r="N579" s="12">
        <f t="shared" si="16"/>
        <v>0</v>
      </c>
      <c r="O579" t="s">
        <v>688</v>
      </c>
      <c r="P579">
        <v>569</v>
      </c>
    </row>
    <row r="580" spans="2:16" x14ac:dyDescent="0.35">
      <c r="B580" s="7">
        <f t="shared" si="17"/>
        <v>570</v>
      </c>
      <c r="C580" s="3" t="s">
        <v>429</v>
      </c>
      <c r="D580" s="4" t="s">
        <v>644</v>
      </c>
      <c r="E580" s="9" t="s">
        <v>175</v>
      </c>
      <c r="F580" s="9" t="s">
        <v>22</v>
      </c>
      <c r="G580" s="14">
        <v>15</v>
      </c>
      <c r="H580" s="14">
        <v>1758000</v>
      </c>
      <c r="I580" s="14">
        <v>5</v>
      </c>
      <c r="J580" s="14">
        <v>600000</v>
      </c>
      <c r="K580" s="14">
        <v>7</v>
      </c>
      <c r="L580" s="14">
        <v>1860000</v>
      </c>
      <c r="M580" s="4" t="e">
        <f>IF(F580="Tindakan",VLOOKUP(O580,#REF!,4,FALSE),IF(F580="Intensif",VLOOKUP(O580,#REF!,10,FALSE),IF(F580="Penunjang",VLOOKUP(O580,#REF!,16,FALSE),IF(F580="Visitase Berdasarkan Jumlah Pasien",VLOOKUP(O580,#REF!,22,FALSE),IF(F580="Visitase",VLOOKUP(O580,#REF!,28,FALSE),IF(F580="Rawat Jalan",VLOOKUP(O580,#REF!,34,FALSE),0))))))</f>
        <v>#REF!</v>
      </c>
      <c r="N580" s="12">
        <f t="shared" si="16"/>
        <v>0</v>
      </c>
      <c r="O580" t="s">
        <v>688</v>
      </c>
      <c r="P580">
        <v>570</v>
      </c>
    </row>
    <row r="581" spans="2:16" x14ac:dyDescent="0.35">
      <c r="B581" s="7">
        <f t="shared" si="17"/>
        <v>571</v>
      </c>
      <c r="C581" s="3" t="s">
        <v>429</v>
      </c>
      <c r="D581" s="4" t="s">
        <v>644</v>
      </c>
      <c r="E581" s="9" t="s">
        <v>175</v>
      </c>
      <c r="F581" s="9" t="s">
        <v>19</v>
      </c>
      <c r="G581" s="14">
        <v>17</v>
      </c>
      <c r="H581" s="14">
        <v>141500000</v>
      </c>
      <c r="I581" s="14">
        <v>3</v>
      </c>
      <c r="J581" s="14">
        <v>18550000</v>
      </c>
      <c r="K581" s="14">
        <v>0</v>
      </c>
      <c r="L581" s="14">
        <v>0</v>
      </c>
      <c r="M581" s="4" t="e">
        <f>IF(F581="Tindakan",VLOOKUP(O581,#REF!,4,FALSE),IF(F581="Intensif",VLOOKUP(O581,#REF!,10,FALSE),IF(F581="Penunjang",VLOOKUP(O581,#REF!,16,FALSE),IF(F581="Visitase Berdasarkan Jumlah Pasien",VLOOKUP(O581,#REF!,22,FALSE),IF(F581="Visitase",VLOOKUP(O581,#REF!,28,FALSE),IF(F581="Rawat Jalan",VLOOKUP(O581,#REF!,34,FALSE),0))))))</f>
        <v>#REF!</v>
      </c>
      <c r="N581" s="12">
        <f t="shared" si="16"/>
        <v>0</v>
      </c>
      <c r="O581" t="s">
        <v>688</v>
      </c>
      <c r="P581">
        <v>571</v>
      </c>
    </row>
    <row r="582" spans="2:16" x14ac:dyDescent="0.35">
      <c r="B582" s="7">
        <f t="shared" si="17"/>
        <v>572</v>
      </c>
      <c r="C582" s="3" t="s">
        <v>382</v>
      </c>
      <c r="D582" s="4" t="s">
        <v>645</v>
      </c>
      <c r="E582" s="9" t="s">
        <v>153</v>
      </c>
      <c r="F582" s="9" t="s">
        <v>21</v>
      </c>
      <c r="G582" s="14">
        <v>4</v>
      </c>
      <c r="H582" s="14">
        <v>8504000</v>
      </c>
      <c r="I582" s="14">
        <v>0</v>
      </c>
      <c r="J582" s="14">
        <v>0</v>
      </c>
      <c r="K582" s="14">
        <v>0</v>
      </c>
      <c r="L582" s="14">
        <v>0</v>
      </c>
      <c r="M582" s="4" t="e">
        <f>IF(F582="Tindakan",VLOOKUP(O582,#REF!,4,FALSE),IF(F582="Intensif",VLOOKUP(O582,#REF!,10,FALSE),IF(F582="Penunjang",VLOOKUP(O582,#REF!,16,FALSE),IF(F582="Visitase Berdasarkan Jumlah Pasien",VLOOKUP(O582,#REF!,22,FALSE),IF(F582="Visitase",VLOOKUP(O582,#REF!,28,FALSE),IF(F582="Rawat Jalan",VLOOKUP(O582,#REF!,34,FALSE),0))))))</f>
        <v>#REF!</v>
      </c>
      <c r="N582" s="12">
        <f t="shared" si="16"/>
        <v>0</v>
      </c>
      <c r="O582" t="s">
        <v>698</v>
      </c>
      <c r="P582">
        <v>572</v>
      </c>
    </row>
    <row r="583" spans="2:16" x14ac:dyDescent="0.35">
      <c r="B583" s="7">
        <f t="shared" si="17"/>
        <v>573</v>
      </c>
      <c r="C583" s="3" t="s">
        <v>430</v>
      </c>
      <c r="D583" s="4" t="s">
        <v>646</v>
      </c>
      <c r="E583" s="9" t="s">
        <v>174</v>
      </c>
      <c r="F583" s="9" t="s">
        <v>20</v>
      </c>
      <c r="G583" s="14">
        <v>9</v>
      </c>
      <c r="H583" s="14">
        <v>1575000</v>
      </c>
      <c r="I583" s="14">
        <v>0</v>
      </c>
      <c r="J583" s="14">
        <v>0</v>
      </c>
      <c r="K583" s="14">
        <v>0</v>
      </c>
      <c r="L583" s="14">
        <v>0</v>
      </c>
      <c r="M583" s="4" t="e">
        <f>IF(F583="Tindakan",VLOOKUP(O583,#REF!,4,FALSE),IF(F583="Intensif",VLOOKUP(O583,#REF!,10,FALSE),IF(F583="Penunjang",VLOOKUP(O583,#REF!,16,FALSE),IF(F583="Visitase Berdasarkan Jumlah Pasien",VLOOKUP(O583,#REF!,22,FALSE),IF(F583="Visitase",VLOOKUP(O583,#REF!,28,FALSE),IF(F583="Rawat Jalan",VLOOKUP(O583,#REF!,34,FALSE),0))))))</f>
        <v>#REF!</v>
      </c>
      <c r="N583" s="12">
        <f t="shared" si="16"/>
        <v>0</v>
      </c>
      <c r="O583" t="s">
        <v>705</v>
      </c>
      <c r="P583">
        <v>573</v>
      </c>
    </row>
    <row r="584" spans="2:16" x14ac:dyDescent="0.35">
      <c r="B584" s="7">
        <f t="shared" si="17"/>
        <v>574</v>
      </c>
      <c r="C584" s="3" t="s">
        <v>430</v>
      </c>
      <c r="D584" s="4" t="s">
        <v>646</v>
      </c>
      <c r="E584" s="9" t="s">
        <v>174</v>
      </c>
      <c r="F584" s="9" t="s">
        <v>190</v>
      </c>
      <c r="G584" s="14">
        <v>15</v>
      </c>
      <c r="H584" s="14">
        <v>1910000</v>
      </c>
      <c r="I584" s="14">
        <v>2</v>
      </c>
      <c r="J584" s="14">
        <v>360000</v>
      </c>
      <c r="K584" s="14">
        <v>3</v>
      </c>
      <c r="L584" s="14">
        <v>540000</v>
      </c>
      <c r="M584" s="4" t="e">
        <f>IF(F584="Tindakan",VLOOKUP(O584,#REF!,4,FALSE),IF(F584="Intensif",VLOOKUP(O584,#REF!,10,FALSE),IF(F584="Penunjang",VLOOKUP(O584,#REF!,16,FALSE),IF(F584="Visitase Berdasarkan Jumlah Pasien",VLOOKUP(O584,#REF!,22,FALSE),IF(F584="Visitase",VLOOKUP(O584,#REF!,28,FALSE),IF(F584="Rawat Jalan",VLOOKUP(O584,#REF!,34,FALSE),0))))))</f>
        <v>#REF!</v>
      </c>
      <c r="N584" s="12">
        <f t="shared" si="16"/>
        <v>0</v>
      </c>
      <c r="O584" t="s">
        <v>705</v>
      </c>
      <c r="P584">
        <v>574</v>
      </c>
    </row>
    <row r="585" spans="2:16" x14ac:dyDescent="0.35">
      <c r="B585" s="7">
        <f t="shared" si="17"/>
        <v>575</v>
      </c>
      <c r="C585" s="3" t="s">
        <v>430</v>
      </c>
      <c r="D585" s="4" t="s">
        <v>646</v>
      </c>
      <c r="E585" s="9" t="s">
        <v>174</v>
      </c>
      <c r="F585" s="9" t="s">
        <v>22</v>
      </c>
      <c r="G585" s="14">
        <v>234</v>
      </c>
      <c r="H585" s="14">
        <v>30105000</v>
      </c>
      <c r="I585" s="14">
        <v>20</v>
      </c>
      <c r="J585" s="14">
        <v>2165000</v>
      </c>
      <c r="K585" s="14">
        <v>49</v>
      </c>
      <c r="L585" s="14">
        <v>12670000</v>
      </c>
      <c r="M585" s="4" t="e">
        <f>IF(F585="Tindakan",VLOOKUP(O585,#REF!,4,FALSE),IF(F585="Intensif",VLOOKUP(O585,#REF!,10,FALSE),IF(F585="Penunjang",VLOOKUP(O585,#REF!,16,FALSE),IF(F585="Visitase Berdasarkan Jumlah Pasien",VLOOKUP(O585,#REF!,22,FALSE),IF(F585="Visitase",VLOOKUP(O585,#REF!,28,FALSE),IF(F585="Rawat Jalan",VLOOKUP(O585,#REF!,34,FALSE),0))))))</f>
        <v>#REF!</v>
      </c>
      <c r="N585" s="12">
        <f t="shared" si="16"/>
        <v>0</v>
      </c>
      <c r="O585" t="s">
        <v>705</v>
      </c>
      <c r="P585">
        <v>575</v>
      </c>
    </row>
    <row r="586" spans="2:16" x14ac:dyDescent="0.35">
      <c r="B586" s="7">
        <f t="shared" si="17"/>
        <v>576</v>
      </c>
      <c r="C586" s="3" t="s">
        <v>430</v>
      </c>
      <c r="D586" s="4" t="s">
        <v>646</v>
      </c>
      <c r="E586" s="9" t="s">
        <v>174</v>
      </c>
      <c r="F586" s="9" t="s">
        <v>19</v>
      </c>
      <c r="G586" s="14">
        <v>22</v>
      </c>
      <c r="H586" s="14">
        <v>134250000</v>
      </c>
      <c r="I586" s="14">
        <v>0</v>
      </c>
      <c r="J586" s="14">
        <v>0</v>
      </c>
      <c r="K586" s="14">
        <v>1</v>
      </c>
      <c r="L586" s="14">
        <v>24385000</v>
      </c>
      <c r="M586" s="4" t="e">
        <f>IF(F586="Tindakan",VLOOKUP(O586,#REF!,4,FALSE),IF(F586="Intensif",VLOOKUP(O586,#REF!,10,FALSE),IF(F586="Penunjang",VLOOKUP(O586,#REF!,16,FALSE),IF(F586="Visitase Berdasarkan Jumlah Pasien",VLOOKUP(O586,#REF!,22,FALSE),IF(F586="Visitase",VLOOKUP(O586,#REF!,28,FALSE),IF(F586="Rawat Jalan",VLOOKUP(O586,#REF!,34,FALSE),0))))))</f>
        <v>#REF!</v>
      </c>
      <c r="N586" s="12">
        <f t="shared" si="16"/>
        <v>0</v>
      </c>
      <c r="O586" t="s">
        <v>705</v>
      </c>
      <c r="P586">
        <v>576</v>
      </c>
    </row>
    <row r="587" spans="2:16" x14ac:dyDescent="0.35">
      <c r="B587" s="7">
        <f t="shared" si="17"/>
        <v>577</v>
      </c>
      <c r="C587" s="3" t="s">
        <v>334</v>
      </c>
      <c r="D587" s="4" t="s">
        <v>647</v>
      </c>
      <c r="E587" s="9" t="s">
        <v>172</v>
      </c>
      <c r="F587" s="9" t="s">
        <v>190</v>
      </c>
      <c r="G587" s="14">
        <v>32</v>
      </c>
      <c r="H587" s="14">
        <v>4070000</v>
      </c>
      <c r="I587" s="14">
        <v>0</v>
      </c>
      <c r="J587" s="14">
        <v>0</v>
      </c>
      <c r="K587" s="14">
        <v>0</v>
      </c>
      <c r="L587" s="14">
        <v>0</v>
      </c>
      <c r="M587" s="4" t="e">
        <f>IF(F587="Tindakan",VLOOKUP(O587,#REF!,4,FALSE),IF(F587="Intensif",VLOOKUP(O587,#REF!,10,FALSE),IF(F587="Penunjang",VLOOKUP(O587,#REF!,16,FALSE),IF(F587="Visitase Berdasarkan Jumlah Pasien",VLOOKUP(O587,#REF!,22,FALSE),IF(F587="Visitase",VLOOKUP(O587,#REF!,28,FALSE),IF(F587="Rawat Jalan",VLOOKUP(O587,#REF!,34,FALSE),0))))))</f>
        <v>#REF!</v>
      </c>
      <c r="N587" s="12">
        <f t="shared" si="16"/>
        <v>0</v>
      </c>
      <c r="O587" t="s">
        <v>701</v>
      </c>
      <c r="P587">
        <v>577</v>
      </c>
    </row>
    <row r="588" spans="2:16" x14ac:dyDescent="0.35">
      <c r="B588" s="7">
        <f t="shared" si="17"/>
        <v>578</v>
      </c>
      <c r="C588" s="3" t="s">
        <v>334</v>
      </c>
      <c r="D588" s="4" t="s">
        <v>647</v>
      </c>
      <c r="E588" s="9" t="s">
        <v>172</v>
      </c>
      <c r="F588" s="9" t="s">
        <v>22</v>
      </c>
      <c r="G588" s="14">
        <v>2</v>
      </c>
      <c r="H588" s="14">
        <v>600000</v>
      </c>
      <c r="I588" s="14">
        <v>0</v>
      </c>
      <c r="J588" s="14">
        <v>0</v>
      </c>
      <c r="K588" s="14">
        <v>2</v>
      </c>
      <c r="L588" s="14">
        <v>600000</v>
      </c>
      <c r="M588" s="4" t="e">
        <f>IF(F588="Tindakan",VLOOKUP(O588,#REF!,4,FALSE),IF(F588="Intensif",VLOOKUP(O588,#REF!,10,FALSE),IF(F588="Penunjang",VLOOKUP(O588,#REF!,16,FALSE),IF(F588="Visitase Berdasarkan Jumlah Pasien",VLOOKUP(O588,#REF!,22,FALSE),IF(F588="Visitase",VLOOKUP(O588,#REF!,28,FALSE),IF(F588="Rawat Jalan",VLOOKUP(O588,#REF!,34,FALSE),0))))))</f>
        <v>#REF!</v>
      </c>
      <c r="N588" s="12">
        <f t="shared" ref="N588:N651" si="18">IFERROR((G588/M588)*100%, 0)</f>
        <v>0</v>
      </c>
      <c r="O588" t="s">
        <v>701</v>
      </c>
      <c r="P588">
        <v>578</v>
      </c>
    </row>
    <row r="589" spans="2:16" x14ac:dyDescent="0.35">
      <c r="B589" s="7">
        <f t="shared" ref="B589:B652" si="19">B588+1</f>
        <v>579</v>
      </c>
      <c r="C589" s="3" t="s">
        <v>240</v>
      </c>
      <c r="D589" s="4" t="s">
        <v>648</v>
      </c>
      <c r="E589" s="9" t="s">
        <v>147</v>
      </c>
      <c r="F589" s="9" t="s">
        <v>22</v>
      </c>
      <c r="G589" s="14">
        <v>1</v>
      </c>
      <c r="H589" s="14">
        <v>965000</v>
      </c>
      <c r="I589" s="14">
        <v>0</v>
      </c>
      <c r="J589" s="14">
        <v>0</v>
      </c>
      <c r="K589" s="14">
        <v>0</v>
      </c>
      <c r="L589" s="14">
        <v>0</v>
      </c>
      <c r="M589" s="4" t="e">
        <f>IF(F589="Tindakan",VLOOKUP(O589,#REF!,4,FALSE),IF(F589="Intensif",VLOOKUP(O589,#REF!,10,FALSE),IF(F589="Penunjang",VLOOKUP(O589,#REF!,16,FALSE),IF(F589="Visitase Berdasarkan Jumlah Pasien",VLOOKUP(O589,#REF!,22,FALSE),IF(F589="Visitase",VLOOKUP(O589,#REF!,28,FALSE),IF(F589="Rawat Jalan",VLOOKUP(O589,#REF!,34,FALSE),0))))))</f>
        <v>#REF!</v>
      </c>
      <c r="N589" s="12">
        <f t="shared" si="18"/>
        <v>0</v>
      </c>
      <c r="O589" t="s">
        <v>691</v>
      </c>
      <c r="P589">
        <v>579</v>
      </c>
    </row>
    <row r="590" spans="2:16" x14ac:dyDescent="0.35">
      <c r="B590" s="7">
        <f t="shared" si="19"/>
        <v>580</v>
      </c>
      <c r="C590" s="3" t="s">
        <v>240</v>
      </c>
      <c r="D590" s="4" t="s">
        <v>648</v>
      </c>
      <c r="E590" s="9" t="s">
        <v>147</v>
      </c>
      <c r="F590" s="9" t="s">
        <v>19</v>
      </c>
      <c r="G590" s="14">
        <v>5</v>
      </c>
      <c r="H590" s="14">
        <v>30600000</v>
      </c>
      <c r="I590" s="14">
        <v>0</v>
      </c>
      <c r="J590" s="14">
        <v>0</v>
      </c>
      <c r="K590" s="14">
        <v>0</v>
      </c>
      <c r="L590" s="14">
        <v>0</v>
      </c>
      <c r="M590" s="4" t="e">
        <f>IF(F590="Tindakan",VLOOKUP(O590,#REF!,4,FALSE),IF(F590="Intensif",VLOOKUP(O590,#REF!,10,FALSE),IF(F590="Penunjang",VLOOKUP(O590,#REF!,16,FALSE),IF(F590="Visitase Berdasarkan Jumlah Pasien",VLOOKUP(O590,#REF!,22,FALSE),IF(F590="Visitase",VLOOKUP(O590,#REF!,28,FALSE),IF(F590="Rawat Jalan",VLOOKUP(O590,#REF!,34,FALSE),0))))))</f>
        <v>#REF!</v>
      </c>
      <c r="N590" s="12">
        <f t="shared" si="18"/>
        <v>0</v>
      </c>
      <c r="O590" t="s">
        <v>691</v>
      </c>
      <c r="P590">
        <v>580</v>
      </c>
    </row>
    <row r="591" spans="2:16" x14ac:dyDescent="0.35">
      <c r="B591" s="7">
        <f t="shared" si="19"/>
        <v>581</v>
      </c>
      <c r="C591" s="3" t="s">
        <v>357</v>
      </c>
      <c r="D591" s="4" t="s">
        <v>649</v>
      </c>
      <c r="E591" s="9" t="s">
        <v>172</v>
      </c>
      <c r="F591" s="9" t="s">
        <v>190</v>
      </c>
      <c r="G591" s="14">
        <v>6</v>
      </c>
      <c r="H591" s="14">
        <v>1005000</v>
      </c>
      <c r="I591" s="14">
        <v>0</v>
      </c>
      <c r="J591" s="14">
        <v>0</v>
      </c>
      <c r="K591" s="14">
        <v>0</v>
      </c>
      <c r="L591" s="14">
        <v>0</v>
      </c>
      <c r="M591" s="4" t="e">
        <f>IF(F591="Tindakan",VLOOKUP(O591,#REF!,4,FALSE),IF(F591="Intensif",VLOOKUP(O591,#REF!,10,FALSE),IF(F591="Penunjang",VLOOKUP(O591,#REF!,16,FALSE),IF(F591="Visitase Berdasarkan Jumlah Pasien",VLOOKUP(O591,#REF!,22,FALSE),IF(F591="Visitase",VLOOKUP(O591,#REF!,28,FALSE),IF(F591="Rawat Jalan",VLOOKUP(O591,#REF!,34,FALSE),0))))))</f>
        <v>#REF!</v>
      </c>
      <c r="N591" s="12">
        <f t="shared" si="18"/>
        <v>0</v>
      </c>
      <c r="O591" t="s">
        <v>701</v>
      </c>
      <c r="P591">
        <v>581</v>
      </c>
    </row>
    <row r="592" spans="2:16" x14ac:dyDescent="0.35">
      <c r="B592" s="7">
        <f t="shared" si="19"/>
        <v>582</v>
      </c>
      <c r="C592" s="3" t="s">
        <v>357</v>
      </c>
      <c r="D592" s="4" t="s">
        <v>649</v>
      </c>
      <c r="E592" s="9" t="s">
        <v>172</v>
      </c>
      <c r="F592" s="9" t="s">
        <v>20</v>
      </c>
      <c r="G592" s="14">
        <v>23</v>
      </c>
      <c r="H592" s="14">
        <v>2840000</v>
      </c>
      <c r="I592" s="14">
        <v>2</v>
      </c>
      <c r="J592" s="14">
        <v>280000</v>
      </c>
      <c r="K592" s="14">
        <v>0</v>
      </c>
      <c r="L592" s="14">
        <v>0</v>
      </c>
      <c r="M592" s="4" t="e">
        <f>IF(F592="Tindakan",VLOOKUP(O592,#REF!,4,FALSE),IF(F592="Intensif",VLOOKUP(O592,#REF!,10,FALSE),IF(F592="Penunjang",VLOOKUP(O592,#REF!,16,FALSE),IF(F592="Visitase Berdasarkan Jumlah Pasien",VLOOKUP(O592,#REF!,22,FALSE),IF(F592="Visitase",VLOOKUP(O592,#REF!,28,FALSE),IF(F592="Rawat Jalan",VLOOKUP(O592,#REF!,34,FALSE),0))))))</f>
        <v>#REF!</v>
      </c>
      <c r="N592" s="12">
        <f t="shared" si="18"/>
        <v>0</v>
      </c>
      <c r="O592" t="s">
        <v>701</v>
      </c>
      <c r="P592">
        <v>582</v>
      </c>
    </row>
    <row r="593" spans="2:16" x14ac:dyDescent="0.35">
      <c r="B593" s="7">
        <f t="shared" si="19"/>
        <v>583</v>
      </c>
      <c r="C593" s="3" t="s">
        <v>357</v>
      </c>
      <c r="D593" s="4" t="s">
        <v>649</v>
      </c>
      <c r="E593" s="9" t="s">
        <v>172</v>
      </c>
      <c r="F593" s="9" t="s">
        <v>22</v>
      </c>
      <c r="G593" s="14">
        <v>1</v>
      </c>
      <c r="H593" s="14">
        <v>300000</v>
      </c>
      <c r="I593" s="14">
        <v>0</v>
      </c>
      <c r="J593" s="14">
        <v>0</v>
      </c>
      <c r="K593" s="14">
        <v>2</v>
      </c>
      <c r="L593" s="14">
        <v>500000</v>
      </c>
      <c r="M593" s="4" t="e">
        <f>IF(F593="Tindakan",VLOOKUP(O593,#REF!,4,FALSE),IF(F593="Intensif",VLOOKUP(O593,#REF!,10,FALSE),IF(F593="Penunjang",VLOOKUP(O593,#REF!,16,FALSE),IF(F593="Visitase Berdasarkan Jumlah Pasien",VLOOKUP(O593,#REF!,22,FALSE),IF(F593="Visitase",VLOOKUP(O593,#REF!,28,FALSE),IF(F593="Rawat Jalan",VLOOKUP(O593,#REF!,34,FALSE),0))))))</f>
        <v>#REF!</v>
      </c>
      <c r="N593" s="12">
        <f t="shared" si="18"/>
        <v>0</v>
      </c>
      <c r="O593" t="s">
        <v>701</v>
      </c>
      <c r="P593">
        <v>583</v>
      </c>
    </row>
    <row r="594" spans="2:16" x14ac:dyDescent="0.35">
      <c r="B594" s="7">
        <f t="shared" si="19"/>
        <v>584</v>
      </c>
      <c r="C594" s="3" t="s">
        <v>347</v>
      </c>
      <c r="D594" s="4" t="s">
        <v>650</v>
      </c>
      <c r="E594" s="9" t="s">
        <v>165</v>
      </c>
      <c r="F594" s="9" t="s">
        <v>190</v>
      </c>
      <c r="G594" s="14">
        <v>214</v>
      </c>
      <c r="H594" s="14">
        <v>29950000</v>
      </c>
      <c r="I594" s="14">
        <v>0</v>
      </c>
      <c r="J594" s="14">
        <v>0</v>
      </c>
      <c r="K594" s="14">
        <v>0</v>
      </c>
      <c r="L594" s="14">
        <v>0</v>
      </c>
      <c r="M594" s="4" t="e">
        <f>IF(F594="Tindakan",VLOOKUP(O594,#REF!,4,FALSE),IF(F594="Intensif",VLOOKUP(O594,#REF!,10,FALSE),IF(F594="Penunjang",VLOOKUP(O594,#REF!,16,FALSE),IF(F594="Visitase Berdasarkan Jumlah Pasien",VLOOKUP(O594,#REF!,22,FALSE),IF(F594="Visitase",VLOOKUP(O594,#REF!,28,FALSE),IF(F594="Rawat Jalan",VLOOKUP(O594,#REF!,34,FALSE),0))))))</f>
        <v>#REF!</v>
      </c>
      <c r="N594" s="12">
        <f t="shared" si="18"/>
        <v>0</v>
      </c>
      <c r="O594" t="s">
        <v>697</v>
      </c>
      <c r="P594">
        <v>584</v>
      </c>
    </row>
    <row r="595" spans="2:16" x14ac:dyDescent="0.35">
      <c r="B595" s="7">
        <f t="shared" si="19"/>
        <v>585</v>
      </c>
      <c r="C595" s="3" t="s">
        <v>347</v>
      </c>
      <c r="D595" s="4" t="s">
        <v>650</v>
      </c>
      <c r="E595" s="9" t="s">
        <v>165</v>
      </c>
      <c r="F595" s="9" t="s">
        <v>20</v>
      </c>
      <c r="G595" s="14">
        <v>79</v>
      </c>
      <c r="H595" s="14">
        <v>14015000</v>
      </c>
      <c r="I595" s="14">
        <v>0</v>
      </c>
      <c r="J595" s="14">
        <v>0</v>
      </c>
      <c r="K595" s="14">
        <v>0</v>
      </c>
      <c r="L595" s="14">
        <v>0</v>
      </c>
      <c r="M595" s="4" t="e">
        <f>IF(F595="Tindakan",VLOOKUP(O595,#REF!,4,FALSE),IF(F595="Intensif",VLOOKUP(O595,#REF!,10,FALSE),IF(F595="Penunjang",VLOOKUP(O595,#REF!,16,FALSE),IF(F595="Visitase Berdasarkan Jumlah Pasien",VLOOKUP(O595,#REF!,22,FALSE),IF(F595="Visitase",VLOOKUP(O595,#REF!,28,FALSE),IF(F595="Rawat Jalan",VLOOKUP(O595,#REF!,34,FALSE),0))))))</f>
        <v>#REF!</v>
      </c>
      <c r="N595" s="12">
        <f t="shared" si="18"/>
        <v>0</v>
      </c>
      <c r="O595" t="s">
        <v>697</v>
      </c>
      <c r="P595">
        <v>585</v>
      </c>
    </row>
    <row r="596" spans="2:16" x14ac:dyDescent="0.35">
      <c r="B596" s="7">
        <f t="shared" si="19"/>
        <v>586</v>
      </c>
      <c r="C596" s="3" t="s">
        <v>347</v>
      </c>
      <c r="D596" s="4" t="s">
        <v>650</v>
      </c>
      <c r="E596" s="9" t="s">
        <v>165</v>
      </c>
      <c r="F596" s="9" t="s">
        <v>22</v>
      </c>
      <c r="G596" s="14">
        <v>99</v>
      </c>
      <c r="H596" s="14">
        <v>7883000</v>
      </c>
      <c r="I596" s="14">
        <v>54</v>
      </c>
      <c r="J596" s="14">
        <v>4050000</v>
      </c>
      <c r="K596" s="14">
        <v>0</v>
      </c>
      <c r="L596" s="14">
        <v>0</v>
      </c>
      <c r="M596" s="4" t="e">
        <f>IF(F596="Tindakan",VLOOKUP(O596,#REF!,4,FALSE),IF(F596="Intensif",VLOOKUP(O596,#REF!,10,FALSE),IF(F596="Penunjang",VLOOKUP(O596,#REF!,16,FALSE),IF(F596="Visitase Berdasarkan Jumlah Pasien",VLOOKUP(O596,#REF!,22,FALSE),IF(F596="Visitase",VLOOKUP(O596,#REF!,28,FALSE),IF(F596="Rawat Jalan",VLOOKUP(O596,#REF!,34,FALSE),0))))))</f>
        <v>#REF!</v>
      </c>
      <c r="N596" s="12">
        <f t="shared" si="18"/>
        <v>0</v>
      </c>
      <c r="O596" t="s">
        <v>697</v>
      </c>
      <c r="P596">
        <v>586</v>
      </c>
    </row>
    <row r="597" spans="2:16" x14ac:dyDescent="0.35">
      <c r="B597" s="7">
        <f t="shared" si="19"/>
        <v>587</v>
      </c>
      <c r="C597" s="3" t="s">
        <v>347</v>
      </c>
      <c r="D597" s="4" t="s">
        <v>650</v>
      </c>
      <c r="E597" s="9" t="s">
        <v>165</v>
      </c>
      <c r="F597" s="9" t="s">
        <v>21</v>
      </c>
      <c r="G597" s="14">
        <v>7</v>
      </c>
      <c r="H597" s="14">
        <v>7571000</v>
      </c>
      <c r="I597" s="14">
        <v>0</v>
      </c>
      <c r="J597" s="14">
        <v>0</v>
      </c>
      <c r="K597" s="14">
        <v>0</v>
      </c>
      <c r="L597" s="14">
        <v>0</v>
      </c>
      <c r="M597" s="4" t="e">
        <f>IF(F597="Tindakan",VLOOKUP(O597,#REF!,4,FALSE),IF(F597="Intensif",VLOOKUP(O597,#REF!,10,FALSE),IF(F597="Penunjang",VLOOKUP(O597,#REF!,16,FALSE),IF(F597="Visitase Berdasarkan Jumlah Pasien",VLOOKUP(O597,#REF!,22,FALSE),IF(F597="Visitase",VLOOKUP(O597,#REF!,28,FALSE),IF(F597="Rawat Jalan",VLOOKUP(O597,#REF!,34,FALSE),0))))))</f>
        <v>#REF!</v>
      </c>
      <c r="N597" s="12">
        <f t="shared" si="18"/>
        <v>0</v>
      </c>
      <c r="O597" t="s">
        <v>697</v>
      </c>
      <c r="P597">
        <v>587</v>
      </c>
    </row>
    <row r="598" spans="2:16" x14ac:dyDescent="0.35">
      <c r="B598" s="7">
        <f t="shared" si="19"/>
        <v>588</v>
      </c>
      <c r="C598" s="3" t="s">
        <v>347</v>
      </c>
      <c r="D598" s="4" t="s">
        <v>650</v>
      </c>
      <c r="E598" s="9" t="s">
        <v>165</v>
      </c>
      <c r="F598" s="9" t="s">
        <v>19</v>
      </c>
      <c r="G598" s="14">
        <v>1</v>
      </c>
      <c r="H598" s="14">
        <v>8500000</v>
      </c>
      <c r="I598" s="14">
        <v>0</v>
      </c>
      <c r="J598" s="14">
        <v>0</v>
      </c>
      <c r="K598" s="14">
        <v>0</v>
      </c>
      <c r="L598" s="14">
        <v>0</v>
      </c>
      <c r="M598" s="4" t="e">
        <f>IF(F598="Tindakan",VLOOKUP(O598,#REF!,4,FALSE),IF(F598="Intensif",VLOOKUP(O598,#REF!,10,FALSE),IF(F598="Penunjang",VLOOKUP(O598,#REF!,16,FALSE),IF(F598="Visitase Berdasarkan Jumlah Pasien",VLOOKUP(O598,#REF!,22,FALSE),IF(F598="Visitase",VLOOKUP(O598,#REF!,28,FALSE),IF(F598="Rawat Jalan",VLOOKUP(O598,#REF!,34,FALSE),0))))))</f>
        <v>#REF!</v>
      </c>
      <c r="N598" s="12">
        <f t="shared" si="18"/>
        <v>0</v>
      </c>
      <c r="O598" t="s">
        <v>697</v>
      </c>
      <c r="P598">
        <v>588</v>
      </c>
    </row>
    <row r="599" spans="2:16" x14ac:dyDescent="0.35">
      <c r="B599" s="7">
        <f t="shared" si="19"/>
        <v>589</v>
      </c>
      <c r="C599" s="3" t="s">
        <v>323</v>
      </c>
      <c r="D599" s="4" t="s">
        <v>651</v>
      </c>
      <c r="E599" s="9" t="s">
        <v>185</v>
      </c>
      <c r="F599" s="9" t="s">
        <v>22</v>
      </c>
      <c r="G599" s="14">
        <v>0</v>
      </c>
      <c r="H599" s="14">
        <v>0</v>
      </c>
      <c r="I599" s="14">
        <v>28</v>
      </c>
      <c r="J599" s="14">
        <v>4560800</v>
      </c>
      <c r="K599" s="14">
        <v>2</v>
      </c>
      <c r="L599" s="14">
        <v>470000</v>
      </c>
      <c r="M599" s="4" t="e">
        <f>IF(F599="Tindakan",VLOOKUP(O599,#REF!,4,FALSE),IF(F599="Intensif",VLOOKUP(O599,#REF!,10,FALSE),IF(F599="Penunjang",VLOOKUP(O599,#REF!,16,FALSE),IF(F599="Visitase Berdasarkan Jumlah Pasien",VLOOKUP(O599,#REF!,22,FALSE),IF(F599="Visitase",VLOOKUP(O599,#REF!,28,FALSE),IF(F599="Rawat Jalan",VLOOKUP(O599,#REF!,34,FALSE),0))))))</f>
        <v>#REF!</v>
      </c>
      <c r="N599" s="12">
        <f t="shared" si="18"/>
        <v>0</v>
      </c>
      <c r="O599" t="s">
        <v>706</v>
      </c>
      <c r="P599">
        <v>589</v>
      </c>
    </row>
    <row r="600" spans="2:16" x14ac:dyDescent="0.35">
      <c r="B600" s="7">
        <f t="shared" si="19"/>
        <v>590</v>
      </c>
      <c r="C600" s="3" t="s">
        <v>313</v>
      </c>
      <c r="D600" s="4" t="s">
        <v>652</v>
      </c>
      <c r="E600" s="9" t="s">
        <v>178</v>
      </c>
      <c r="F600" s="9" t="s">
        <v>190</v>
      </c>
      <c r="G600" s="14">
        <v>50</v>
      </c>
      <c r="H600" s="14">
        <v>7455000</v>
      </c>
      <c r="I600" s="14">
        <v>1</v>
      </c>
      <c r="J600" s="14">
        <v>140000</v>
      </c>
      <c r="K600" s="14">
        <v>0</v>
      </c>
      <c r="L600" s="14">
        <v>0</v>
      </c>
      <c r="M600" s="4" t="e">
        <f>IF(F600="Tindakan",VLOOKUP(O600,#REF!,4,FALSE),IF(F600="Intensif",VLOOKUP(O600,#REF!,10,FALSE),IF(F600="Penunjang",VLOOKUP(O600,#REF!,16,FALSE),IF(F600="Visitase Berdasarkan Jumlah Pasien",VLOOKUP(O600,#REF!,22,FALSE),IF(F600="Visitase",VLOOKUP(O600,#REF!,28,FALSE),IF(F600="Rawat Jalan",VLOOKUP(O600,#REF!,34,FALSE),0))))))</f>
        <v>#REF!</v>
      </c>
      <c r="N600" s="12">
        <f t="shared" si="18"/>
        <v>0</v>
      </c>
      <c r="O600" t="s">
        <v>689</v>
      </c>
      <c r="P600">
        <v>590</v>
      </c>
    </row>
    <row r="601" spans="2:16" x14ac:dyDescent="0.35">
      <c r="B601" s="7">
        <f t="shared" si="19"/>
        <v>591</v>
      </c>
      <c r="C601" s="3" t="s">
        <v>313</v>
      </c>
      <c r="D601" s="4" t="s">
        <v>652</v>
      </c>
      <c r="E601" s="9" t="s">
        <v>178</v>
      </c>
      <c r="F601" s="9" t="s">
        <v>20</v>
      </c>
      <c r="G601" s="14">
        <v>82</v>
      </c>
      <c r="H601" s="14">
        <v>9675000</v>
      </c>
      <c r="I601" s="14">
        <v>0</v>
      </c>
      <c r="J601" s="14">
        <v>0</v>
      </c>
      <c r="K601" s="14">
        <v>0</v>
      </c>
      <c r="L601" s="14">
        <v>0</v>
      </c>
      <c r="M601" s="4" t="e">
        <f>IF(F601="Tindakan",VLOOKUP(O601,#REF!,4,FALSE),IF(F601="Intensif",VLOOKUP(O601,#REF!,10,FALSE),IF(F601="Penunjang",VLOOKUP(O601,#REF!,16,FALSE),IF(F601="Visitase Berdasarkan Jumlah Pasien",VLOOKUP(O601,#REF!,22,FALSE),IF(F601="Visitase",VLOOKUP(O601,#REF!,28,FALSE),IF(F601="Rawat Jalan",VLOOKUP(O601,#REF!,34,FALSE),0))))))</f>
        <v>#REF!</v>
      </c>
      <c r="N601" s="12">
        <f t="shared" si="18"/>
        <v>0</v>
      </c>
      <c r="O601" t="s">
        <v>689</v>
      </c>
      <c r="P601">
        <v>591</v>
      </c>
    </row>
    <row r="602" spans="2:16" x14ac:dyDescent="0.35">
      <c r="B602" s="7">
        <f t="shared" si="19"/>
        <v>592</v>
      </c>
      <c r="C602" s="3" t="s">
        <v>313</v>
      </c>
      <c r="D602" s="4" t="s">
        <v>652</v>
      </c>
      <c r="E602" s="9" t="s">
        <v>178</v>
      </c>
      <c r="F602" s="9" t="s">
        <v>22</v>
      </c>
      <c r="G602" s="14">
        <v>353</v>
      </c>
      <c r="H602" s="14">
        <v>27879000</v>
      </c>
      <c r="I602" s="14">
        <v>14</v>
      </c>
      <c r="J602" s="14">
        <v>1205000</v>
      </c>
      <c r="K602" s="14">
        <v>13</v>
      </c>
      <c r="L602" s="14">
        <v>2260000</v>
      </c>
      <c r="M602" s="4" t="e">
        <f>IF(F602="Tindakan",VLOOKUP(O602,#REF!,4,FALSE),IF(F602="Intensif",VLOOKUP(O602,#REF!,10,FALSE),IF(F602="Penunjang",VLOOKUP(O602,#REF!,16,FALSE),IF(F602="Visitase Berdasarkan Jumlah Pasien",VLOOKUP(O602,#REF!,22,FALSE),IF(F602="Visitase",VLOOKUP(O602,#REF!,28,FALSE),IF(F602="Rawat Jalan",VLOOKUP(O602,#REF!,34,FALSE),0))))))</f>
        <v>#REF!</v>
      </c>
      <c r="N602" s="12">
        <f t="shared" si="18"/>
        <v>0</v>
      </c>
      <c r="O602" t="s">
        <v>689</v>
      </c>
      <c r="P602">
        <v>592</v>
      </c>
    </row>
    <row r="603" spans="2:16" x14ac:dyDescent="0.35">
      <c r="B603" s="7">
        <f t="shared" si="19"/>
        <v>593</v>
      </c>
      <c r="C603" s="3" t="s">
        <v>431</v>
      </c>
      <c r="D603" s="4" t="s">
        <v>653</v>
      </c>
      <c r="E603" s="9" t="s">
        <v>686</v>
      </c>
      <c r="F603" s="9" t="s">
        <v>190</v>
      </c>
      <c r="G603" s="14">
        <v>18</v>
      </c>
      <c r="H603" s="14">
        <v>2425000</v>
      </c>
      <c r="I603" s="14">
        <v>0</v>
      </c>
      <c r="J603" s="14">
        <v>0</v>
      </c>
      <c r="K603" s="14">
        <v>0</v>
      </c>
      <c r="L603" s="14">
        <v>0</v>
      </c>
      <c r="M603" s="4" t="e">
        <f>IF(F603="Tindakan",VLOOKUP(O603,#REF!,4,FALSE),IF(F603="Intensif",VLOOKUP(O603,#REF!,10,FALSE),IF(F603="Penunjang",VLOOKUP(O603,#REF!,16,FALSE),IF(F603="Visitase Berdasarkan Jumlah Pasien",VLOOKUP(O603,#REF!,22,FALSE),IF(F603="Visitase",VLOOKUP(O603,#REF!,28,FALSE),IF(F603="Rawat Jalan",VLOOKUP(O603,#REF!,34,FALSE),0))))))</f>
        <v>#REF!</v>
      </c>
      <c r="N603" s="12">
        <f t="shared" si="18"/>
        <v>0</v>
      </c>
      <c r="O603" t="s">
        <v>695</v>
      </c>
      <c r="P603">
        <v>593</v>
      </c>
    </row>
    <row r="604" spans="2:16" x14ac:dyDescent="0.35">
      <c r="B604" s="7">
        <f t="shared" si="19"/>
        <v>594</v>
      </c>
      <c r="C604" s="3" t="s">
        <v>431</v>
      </c>
      <c r="D604" s="4" t="s">
        <v>653</v>
      </c>
      <c r="E604" s="9" t="s">
        <v>686</v>
      </c>
      <c r="F604" s="9" t="s">
        <v>22</v>
      </c>
      <c r="G604" s="14">
        <v>0</v>
      </c>
      <c r="H604" s="14">
        <v>0</v>
      </c>
      <c r="I604" s="14">
        <v>3</v>
      </c>
      <c r="J604" s="14">
        <v>225000</v>
      </c>
      <c r="K604" s="14">
        <v>61</v>
      </c>
      <c r="L604" s="14">
        <v>12105000</v>
      </c>
      <c r="M604" s="4" t="e">
        <f>IF(F604="Tindakan",VLOOKUP(O604,#REF!,4,FALSE),IF(F604="Intensif",VLOOKUP(O604,#REF!,10,FALSE),IF(F604="Penunjang",VLOOKUP(O604,#REF!,16,FALSE),IF(F604="Visitase Berdasarkan Jumlah Pasien",VLOOKUP(O604,#REF!,22,FALSE),IF(F604="Visitase",VLOOKUP(O604,#REF!,28,FALSE),IF(F604="Rawat Jalan",VLOOKUP(O604,#REF!,34,FALSE),0))))))</f>
        <v>#REF!</v>
      </c>
      <c r="N604" s="12">
        <f t="shared" si="18"/>
        <v>0</v>
      </c>
      <c r="O604" t="s">
        <v>695</v>
      </c>
      <c r="P604">
        <v>594</v>
      </c>
    </row>
    <row r="605" spans="2:16" x14ac:dyDescent="0.35">
      <c r="B605" s="7">
        <f t="shared" si="19"/>
        <v>595</v>
      </c>
      <c r="C605" s="3" t="s">
        <v>361</v>
      </c>
      <c r="D605" s="4" t="s">
        <v>654</v>
      </c>
      <c r="E605" s="9" t="s">
        <v>163</v>
      </c>
      <c r="F605" s="9" t="s">
        <v>190</v>
      </c>
      <c r="G605" s="14">
        <v>138</v>
      </c>
      <c r="H605" s="14">
        <v>19185000</v>
      </c>
      <c r="I605" s="14">
        <v>8</v>
      </c>
      <c r="J605" s="14">
        <v>1280000</v>
      </c>
      <c r="K605" s="14">
        <v>0</v>
      </c>
      <c r="L605" s="14">
        <v>0</v>
      </c>
      <c r="M605" s="4" t="e">
        <f>IF(F605="Tindakan",VLOOKUP(O605,#REF!,4,FALSE),IF(F605="Intensif",VLOOKUP(O605,#REF!,10,FALSE),IF(F605="Penunjang",VLOOKUP(O605,#REF!,16,FALSE),IF(F605="Visitase Berdasarkan Jumlah Pasien",VLOOKUP(O605,#REF!,22,FALSE),IF(F605="Visitase",VLOOKUP(O605,#REF!,28,FALSE),IF(F605="Rawat Jalan",VLOOKUP(O605,#REF!,34,FALSE),0))))))</f>
        <v>#REF!</v>
      </c>
      <c r="N605" s="12">
        <f t="shared" si="18"/>
        <v>0</v>
      </c>
      <c r="O605" t="s">
        <v>694</v>
      </c>
      <c r="P605">
        <v>595</v>
      </c>
    </row>
    <row r="606" spans="2:16" x14ac:dyDescent="0.35">
      <c r="B606" s="7">
        <f t="shared" si="19"/>
        <v>596</v>
      </c>
      <c r="C606" s="3" t="s">
        <v>361</v>
      </c>
      <c r="D606" s="4" t="s">
        <v>654</v>
      </c>
      <c r="E606" s="9" t="s">
        <v>163</v>
      </c>
      <c r="F606" s="9" t="s">
        <v>20</v>
      </c>
      <c r="G606" s="14">
        <v>13</v>
      </c>
      <c r="H606" s="14">
        <v>2260000</v>
      </c>
      <c r="I606" s="14">
        <v>0</v>
      </c>
      <c r="J606" s="14">
        <v>0</v>
      </c>
      <c r="K606" s="14">
        <v>0</v>
      </c>
      <c r="L606" s="14">
        <v>0</v>
      </c>
      <c r="M606" s="4" t="e">
        <f>IF(F606="Tindakan",VLOOKUP(O606,#REF!,4,FALSE),IF(F606="Intensif",VLOOKUP(O606,#REF!,10,FALSE),IF(F606="Penunjang",VLOOKUP(O606,#REF!,16,FALSE),IF(F606="Visitase Berdasarkan Jumlah Pasien",VLOOKUP(O606,#REF!,22,FALSE),IF(F606="Visitase",VLOOKUP(O606,#REF!,28,FALSE),IF(F606="Rawat Jalan",VLOOKUP(O606,#REF!,34,FALSE),0))))))</f>
        <v>#REF!</v>
      </c>
      <c r="N606" s="12">
        <f t="shared" si="18"/>
        <v>0</v>
      </c>
      <c r="O606" t="s">
        <v>694</v>
      </c>
      <c r="P606">
        <v>596</v>
      </c>
    </row>
    <row r="607" spans="2:16" x14ac:dyDescent="0.35">
      <c r="B607" s="7">
        <f t="shared" si="19"/>
        <v>597</v>
      </c>
      <c r="C607" s="3" t="s">
        <v>361</v>
      </c>
      <c r="D607" s="4" t="s">
        <v>654</v>
      </c>
      <c r="E607" s="9" t="s">
        <v>163</v>
      </c>
      <c r="F607" s="9" t="s">
        <v>22</v>
      </c>
      <c r="G607" s="14">
        <v>162</v>
      </c>
      <c r="H607" s="14">
        <v>13705000</v>
      </c>
      <c r="I607" s="14">
        <v>11</v>
      </c>
      <c r="J607" s="14">
        <v>890000</v>
      </c>
      <c r="K607" s="14">
        <v>4</v>
      </c>
      <c r="L607" s="14">
        <v>1000000</v>
      </c>
      <c r="M607" s="4" t="e">
        <f>IF(F607="Tindakan",VLOOKUP(O607,#REF!,4,FALSE),IF(F607="Intensif",VLOOKUP(O607,#REF!,10,FALSE),IF(F607="Penunjang",VLOOKUP(O607,#REF!,16,FALSE),IF(F607="Visitase Berdasarkan Jumlah Pasien",VLOOKUP(O607,#REF!,22,FALSE),IF(F607="Visitase",VLOOKUP(O607,#REF!,28,FALSE),IF(F607="Rawat Jalan",VLOOKUP(O607,#REF!,34,FALSE),0))))))</f>
        <v>#REF!</v>
      </c>
      <c r="N607" s="12">
        <f t="shared" si="18"/>
        <v>0</v>
      </c>
      <c r="O607" t="s">
        <v>694</v>
      </c>
      <c r="P607">
        <v>597</v>
      </c>
    </row>
    <row r="608" spans="2:16" x14ac:dyDescent="0.35">
      <c r="B608" s="7">
        <f t="shared" si="19"/>
        <v>598</v>
      </c>
      <c r="C608" s="3" t="s">
        <v>220</v>
      </c>
      <c r="D608" s="4" t="s">
        <v>655</v>
      </c>
      <c r="E608" s="9" t="s">
        <v>151</v>
      </c>
      <c r="F608" s="9" t="s">
        <v>19</v>
      </c>
      <c r="G608" s="14">
        <v>42</v>
      </c>
      <c r="H608" s="14">
        <v>370650000</v>
      </c>
      <c r="I608" s="14">
        <v>2</v>
      </c>
      <c r="J608" s="14">
        <v>18750000</v>
      </c>
      <c r="K608" s="14">
        <v>3</v>
      </c>
      <c r="L608" s="14">
        <v>42960000</v>
      </c>
      <c r="M608" s="4" t="e">
        <f>IF(F608="Tindakan",VLOOKUP(O608,#REF!,4,FALSE),IF(F608="Intensif",VLOOKUP(O608,#REF!,10,FALSE),IF(F608="Penunjang",VLOOKUP(O608,#REF!,16,FALSE),IF(F608="Visitase Berdasarkan Jumlah Pasien",VLOOKUP(O608,#REF!,22,FALSE),IF(F608="Visitase",VLOOKUP(O608,#REF!,28,FALSE),IF(F608="Rawat Jalan",VLOOKUP(O608,#REF!,34,FALSE),0))))))</f>
        <v>#REF!</v>
      </c>
      <c r="N608" s="12">
        <f t="shared" si="18"/>
        <v>0</v>
      </c>
      <c r="O608" t="s">
        <v>690</v>
      </c>
      <c r="P608">
        <v>598</v>
      </c>
    </row>
    <row r="609" spans="2:16" x14ac:dyDescent="0.35">
      <c r="B609" s="7">
        <f t="shared" si="19"/>
        <v>599</v>
      </c>
      <c r="C609" s="3" t="s">
        <v>220</v>
      </c>
      <c r="D609" s="4" t="s">
        <v>655</v>
      </c>
      <c r="E609" s="9" t="s">
        <v>151</v>
      </c>
      <c r="F609" s="9" t="s">
        <v>22</v>
      </c>
      <c r="G609" s="14">
        <v>2</v>
      </c>
      <c r="H609" s="14">
        <v>280000</v>
      </c>
      <c r="I609" s="14">
        <v>1</v>
      </c>
      <c r="J609" s="14">
        <v>44000</v>
      </c>
      <c r="K609" s="14">
        <v>12</v>
      </c>
      <c r="L609" s="14">
        <v>3000000</v>
      </c>
      <c r="M609" s="4" t="e">
        <f>IF(F609="Tindakan",VLOOKUP(O609,#REF!,4,FALSE),IF(F609="Intensif",VLOOKUP(O609,#REF!,10,FALSE),IF(F609="Penunjang",VLOOKUP(O609,#REF!,16,FALSE),IF(F609="Visitase Berdasarkan Jumlah Pasien",VLOOKUP(O609,#REF!,22,FALSE),IF(F609="Visitase",VLOOKUP(O609,#REF!,28,FALSE),IF(F609="Rawat Jalan",VLOOKUP(O609,#REF!,34,FALSE),0))))))</f>
        <v>#REF!</v>
      </c>
      <c r="N609" s="12">
        <f t="shared" si="18"/>
        <v>0</v>
      </c>
      <c r="O609" t="s">
        <v>690</v>
      </c>
      <c r="P609">
        <v>599</v>
      </c>
    </row>
    <row r="610" spans="2:16" x14ac:dyDescent="0.35">
      <c r="B610" s="7">
        <f t="shared" si="19"/>
        <v>600</v>
      </c>
      <c r="C610" s="3" t="s">
        <v>432</v>
      </c>
      <c r="D610" s="4" t="s">
        <v>656</v>
      </c>
      <c r="E610" s="9" t="s">
        <v>686</v>
      </c>
      <c r="F610" s="9" t="s">
        <v>190</v>
      </c>
      <c r="G610" s="14">
        <v>1</v>
      </c>
      <c r="H610" s="14">
        <v>160000</v>
      </c>
      <c r="I610" s="14">
        <v>0</v>
      </c>
      <c r="J610" s="14">
        <v>0</v>
      </c>
      <c r="K610" s="14">
        <v>0</v>
      </c>
      <c r="L610" s="14">
        <v>0</v>
      </c>
      <c r="M610" s="4" t="e">
        <f>IF(F610="Tindakan",VLOOKUP(O610,#REF!,4,FALSE),IF(F610="Intensif",VLOOKUP(O610,#REF!,10,FALSE),IF(F610="Penunjang",VLOOKUP(O610,#REF!,16,FALSE),IF(F610="Visitase Berdasarkan Jumlah Pasien",VLOOKUP(O610,#REF!,22,FALSE),IF(F610="Visitase",VLOOKUP(O610,#REF!,28,FALSE),IF(F610="Rawat Jalan",VLOOKUP(O610,#REF!,34,FALSE),0))))))</f>
        <v>#REF!</v>
      </c>
      <c r="N610" s="12">
        <f t="shared" si="18"/>
        <v>0</v>
      </c>
      <c r="O610" t="s">
        <v>695</v>
      </c>
      <c r="P610">
        <v>600</v>
      </c>
    </row>
    <row r="611" spans="2:16" x14ac:dyDescent="0.35">
      <c r="B611" s="7">
        <f t="shared" si="19"/>
        <v>601</v>
      </c>
      <c r="C611" s="3" t="s">
        <v>260</v>
      </c>
      <c r="D611" s="4" t="s">
        <v>657</v>
      </c>
      <c r="E611" s="9" t="s">
        <v>161</v>
      </c>
      <c r="F611" s="9" t="s">
        <v>190</v>
      </c>
      <c r="G611" s="14">
        <v>16</v>
      </c>
      <c r="H611" s="14">
        <v>2090000</v>
      </c>
      <c r="I611" s="14">
        <v>3</v>
      </c>
      <c r="J611" s="14">
        <v>375000</v>
      </c>
      <c r="K611" s="14">
        <v>6</v>
      </c>
      <c r="L611" s="14">
        <v>860000</v>
      </c>
      <c r="M611" s="4" t="e">
        <f>IF(F611="Tindakan",VLOOKUP(O611,#REF!,4,FALSE),IF(F611="Intensif",VLOOKUP(O611,#REF!,10,FALSE),IF(F611="Penunjang",VLOOKUP(O611,#REF!,16,FALSE),IF(F611="Visitase Berdasarkan Jumlah Pasien",VLOOKUP(O611,#REF!,22,FALSE),IF(F611="Visitase",VLOOKUP(O611,#REF!,28,FALSE),IF(F611="Rawat Jalan",VLOOKUP(O611,#REF!,34,FALSE),0))))))</f>
        <v>#REF!</v>
      </c>
      <c r="N611" s="12">
        <f t="shared" si="18"/>
        <v>0</v>
      </c>
      <c r="O611" t="s">
        <v>688</v>
      </c>
      <c r="P611">
        <v>601</v>
      </c>
    </row>
    <row r="612" spans="2:16" x14ac:dyDescent="0.35">
      <c r="B612" s="7">
        <f t="shared" si="19"/>
        <v>602</v>
      </c>
      <c r="C612" s="3" t="s">
        <v>260</v>
      </c>
      <c r="D612" s="4" t="s">
        <v>657</v>
      </c>
      <c r="E612" s="9" t="s">
        <v>161</v>
      </c>
      <c r="F612" s="9" t="s">
        <v>20</v>
      </c>
      <c r="G612" s="14">
        <v>0</v>
      </c>
      <c r="H612" s="14">
        <v>0</v>
      </c>
      <c r="I612" s="14">
        <v>0</v>
      </c>
      <c r="J612" s="14">
        <v>0</v>
      </c>
      <c r="K612" s="14">
        <v>1</v>
      </c>
      <c r="L612" s="14">
        <v>160000</v>
      </c>
      <c r="M612" s="4" t="e">
        <f>IF(F612="Tindakan",VLOOKUP(O612,#REF!,4,FALSE),IF(F612="Intensif",VLOOKUP(O612,#REF!,10,FALSE),IF(F612="Penunjang",VLOOKUP(O612,#REF!,16,FALSE),IF(F612="Visitase Berdasarkan Jumlah Pasien",VLOOKUP(O612,#REF!,22,FALSE),IF(F612="Visitase",VLOOKUP(O612,#REF!,28,FALSE),IF(F612="Rawat Jalan",VLOOKUP(O612,#REF!,34,FALSE),0))))))</f>
        <v>#REF!</v>
      </c>
      <c r="N612" s="12">
        <f t="shared" si="18"/>
        <v>0</v>
      </c>
      <c r="O612" t="s">
        <v>688</v>
      </c>
      <c r="P612">
        <v>602</v>
      </c>
    </row>
    <row r="613" spans="2:16" x14ac:dyDescent="0.35">
      <c r="B613" s="7">
        <f t="shared" si="19"/>
        <v>603</v>
      </c>
      <c r="C613" s="3" t="s">
        <v>260</v>
      </c>
      <c r="D613" s="4" t="s">
        <v>657</v>
      </c>
      <c r="E613" s="9" t="s">
        <v>161</v>
      </c>
      <c r="F613" s="9" t="s">
        <v>22</v>
      </c>
      <c r="G613" s="14">
        <v>145</v>
      </c>
      <c r="H613" s="14">
        <v>19812000</v>
      </c>
      <c r="I613" s="14">
        <v>1</v>
      </c>
      <c r="J613" s="14">
        <v>75000</v>
      </c>
      <c r="K613" s="14">
        <v>20</v>
      </c>
      <c r="L613" s="14">
        <v>5650000</v>
      </c>
      <c r="M613" s="4" t="e">
        <f>IF(F613="Tindakan",VLOOKUP(O613,#REF!,4,FALSE),IF(F613="Intensif",VLOOKUP(O613,#REF!,10,FALSE),IF(F613="Penunjang",VLOOKUP(O613,#REF!,16,FALSE),IF(F613="Visitase Berdasarkan Jumlah Pasien",VLOOKUP(O613,#REF!,22,FALSE),IF(F613="Visitase",VLOOKUP(O613,#REF!,28,FALSE),IF(F613="Rawat Jalan",VLOOKUP(O613,#REF!,34,FALSE),0))))))</f>
        <v>#REF!</v>
      </c>
      <c r="N613" s="12">
        <f t="shared" si="18"/>
        <v>0</v>
      </c>
      <c r="O613" t="s">
        <v>688</v>
      </c>
      <c r="P613">
        <v>603</v>
      </c>
    </row>
    <row r="614" spans="2:16" x14ac:dyDescent="0.35">
      <c r="B614" s="7">
        <f t="shared" si="19"/>
        <v>604</v>
      </c>
      <c r="C614" s="3" t="s">
        <v>260</v>
      </c>
      <c r="D614" s="4" t="s">
        <v>657</v>
      </c>
      <c r="E614" s="9" t="s">
        <v>161</v>
      </c>
      <c r="F614" s="9" t="s">
        <v>19</v>
      </c>
      <c r="G614" s="14">
        <v>20</v>
      </c>
      <c r="H614" s="14">
        <v>155000000</v>
      </c>
      <c r="I614" s="14">
        <v>3</v>
      </c>
      <c r="J614" s="14">
        <v>52376500</v>
      </c>
      <c r="K614" s="14">
        <v>4</v>
      </c>
      <c r="L614" s="14">
        <v>50050000</v>
      </c>
      <c r="M614" s="4" t="e">
        <f>IF(F614="Tindakan",VLOOKUP(O614,#REF!,4,FALSE),IF(F614="Intensif",VLOOKUP(O614,#REF!,10,FALSE),IF(F614="Penunjang",VLOOKUP(O614,#REF!,16,FALSE),IF(F614="Visitase Berdasarkan Jumlah Pasien",VLOOKUP(O614,#REF!,22,FALSE),IF(F614="Visitase",VLOOKUP(O614,#REF!,28,FALSE),IF(F614="Rawat Jalan",VLOOKUP(O614,#REF!,34,FALSE),0))))))</f>
        <v>#REF!</v>
      </c>
      <c r="N614" s="12">
        <f t="shared" si="18"/>
        <v>0</v>
      </c>
      <c r="O614" t="s">
        <v>688</v>
      </c>
      <c r="P614">
        <v>604</v>
      </c>
    </row>
    <row r="615" spans="2:16" x14ac:dyDescent="0.35">
      <c r="B615" s="7">
        <f t="shared" si="19"/>
        <v>605</v>
      </c>
      <c r="C615" s="3" t="s">
        <v>204</v>
      </c>
      <c r="D615" s="4" t="s">
        <v>658</v>
      </c>
      <c r="E615" s="9" t="s">
        <v>147</v>
      </c>
      <c r="F615" s="9" t="s">
        <v>190</v>
      </c>
      <c r="G615" s="14">
        <v>64</v>
      </c>
      <c r="H615" s="14">
        <v>8000000</v>
      </c>
      <c r="I615" s="14">
        <v>0</v>
      </c>
      <c r="J615" s="14">
        <v>0</v>
      </c>
      <c r="K615" s="14">
        <v>0</v>
      </c>
      <c r="L615" s="14">
        <v>0</v>
      </c>
      <c r="M615" s="4" t="e">
        <f>IF(F615="Tindakan",VLOOKUP(O615,#REF!,4,FALSE),IF(F615="Intensif",VLOOKUP(O615,#REF!,10,FALSE),IF(F615="Penunjang",VLOOKUP(O615,#REF!,16,FALSE),IF(F615="Visitase Berdasarkan Jumlah Pasien",VLOOKUP(O615,#REF!,22,FALSE),IF(F615="Visitase",VLOOKUP(O615,#REF!,28,FALSE),IF(F615="Rawat Jalan",VLOOKUP(O615,#REF!,34,FALSE),0))))))</f>
        <v>#REF!</v>
      </c>
      <c r="N615" s="12">
        <f t="shared" si="18"/>
        <v>0</v>
      </c>
      <c r="O615" t="s">
        <v>691</v>
      </c>
      <c r="P615">
        <v>605</v>
      </c>
    </row>
    <row r="616" spans="2:16" x14ac:dyDescent="0.35">
      <c r="B616" s="7">
        <f t="shared" si="19"/>
        <v>606</v>
      </c>
      <c r="C616" s="3" t="s">
        <v>204</v>
      </c>
      <c r="D616" s="4" t="s">
        <v>658</v>
      </c>
      <c r="E616" s="9" t="s">
        <v>147</v>
      </c>
      <c r="F616" s="9" t="s">
        <v>22</v>
      </c>
      <c r="G616" s="14">
        <v>145</v>
      </c>
      <c r="H616" s="14">
        <v>24759000</v>
      </c>
      <c r="I616" s="14">
        <v>2</v>
      </c>
      <c r="J616" s="14">
        <v>150000</v>
      </c>
      <c r="K616" s="14">
        <v>2</v>
      </c>
      <c r="L616" s="14">
        <v>600000</v>
      </c>
      <c r="M616" s="4" t="e">
        <f>IF(F616="Tindakan",VLOOKUP(O616,#REF!,4,FALSE),IF(F616="Intensif",VLOOKUP(O616,#REF!,10,FALSE),IF(F616="Penunjang",VLOOKUP(O616,#REF!,16,FALSE),IF(F616="Visitase Berdasarkan Jumlah Pasien",VLOOKUP(O616,#REF!,22,FALSE),IF(F616="Visitase",VLOOKUP(O616,#REF!,28,FALSE),IF(F616="Rawat Jalan",VLOOKUP(O616,#REF!,34,FALSE),0))))))</f>
        <v>#REF!</v>
      </c>
      <c r="N616" s="12">
        <f t="shared" si="18"/>
        <v>0</v>
      </c>
      <c r="O616" t="s">
        <v>691</v>
      </c>
      <c r="P616">
        <v>606</v>
      </c>
    </row>
    <row r="617" spans="2:16" x14ac:dyDescent="0.35">
      <c r="B617" s="7">
        <f t="shared" si="19"/>
        <v>607</v>
      </c>
      <c r="C617" s="3" t="s">
        <v>204</v>
      </c>
      <c r="D617" s="4" t="s">
        <v>658</v>
      </c>
      <c r="E617" s="9" t="s">
        <v>147</v>
      </c>
      <c r="F617" s="9" t="s">
        <v>19</v>
      </c>
      <c r="G617" s="14">
        <v>31</v>
      </c>
      <c r="H617" s="14">
        <v>243700000</v>
      </c>
      <c r="I617" s="14">
        <v>0</v>
      </c>
      <c r="J617" s="14">
        <v>0</v>
      </c>
      <c r="K617" s="14">
        <v>0</v>
      </c>
      <c r="L617" s="14">
        <v>0</v>
      </c>
      <c r="M617" s="4" t="e">
        <f>IF(F617="Tindakan",VLOOKUP(O617,#REF!,4,FALSE),IF(F617="Intensif",VLOOKUP(O617,#REF!,10,FALSE),IF(F617="Penunjang",VLOOKUP(O617,#REF!,16,FALSE),IF(F617="Visitase Berdasarkan Jumlah Pasien",VLOOKUP(O617,#REF!,22,FALSE),IF(F617="Visitase",VLOOKUP(O617,#REF!,28,FALSE),IF(F617="Rawat Jalan",VLOOKUP(O617,#REF!,34,FALSE),0))))))</f>
        <v>#REF!</v>
      </c>
      <c r="N617" s="12">
        <f t="shared" si="18"/>
        <v>0</v>
      </c>
      <c r="O617" t="s">
        <v>691</v>
      </c>
      <c r="P617">
        <v>607</v>
      </c>
    </row>
    <row r="618" spans="2:16" x14ac:dyDescent="0.35">
      <c r="B618" s="7">
        <f t="shared" si="19"/>
        <v>608</v>
      </c>
      <c r="C618" s="3" t="s">
        <v>349</v>
      </c>
      <c r="D618" s="4" t="s">
        <v>659</v>
      </c>
      <c r="E618" s="9" t="s">
        <v>185</v>
      </c>
      <c r="F618" s="9" t="s">
        <v>22</v>
      </c>
      <c r="G618" s="14">
        <v>175</v>
      </c>
      <c r="H618" s="14">
        <v>93100000</v>
      </c>
      <c r="I618" s="14">
        <v>10</v>
      </c>
      <c r="J618" s="14">
        <v>3525000</v>
      </c>
      <c r="K618" s="14">
        <v>2</v>
      </c>
      <c r="L618" s="14">
        <v>474000</v>
      </c>
      <c r="M618" s="4" t="e">
        <f>IF(F618="Tindakan",VLOOKUP(O618,#REF!,4,FALSE),IF(F618="Intensif",VLOOKUP(O618,#REF!,10,FALSE),IF(F618="Penunjang",VLOOKUP(O618,#REF!,16,FALSE),IF(F618="Visitase Berdasarkan Jumlah Pasien",VLOOKUP(O618,#REF!,22,FALSE),IF(F618="Visitase",VLOOKUP(O618,#REF!,28,FALSE),IF(F618="Rawat Jalan",VLOOKUP(O618,#REF!,34,FALSE),0))))))</f>
        <v>#REF!</v>
      </c>
      <c r="N618" s="12">
        <f t="shared" si="18"/>
        <v>0</v>
      </c>
      <c r="O618" t="s">
        <v>706</v>
      </c>
      <c r="P618">
        <v>608</v>
      </c>
    </row>
    <row r="619" spans="2:16" x14ac:dyDescent="0.35">
      <c r="B619" s="7">
        <f t="shared" si="19"/>
        <v>609</v>
      </c>
      <c r="C619" s="3" t="s">
        <v>433</v>
      </c>
      <c r="D619" s="4" t="s">
        <v>660</v>
      </c>
      <c r="E619" s="9" t="s">
        <v>686</v>
      </c>
      <c r="F619" s="9" t="s">
        <v>190</v>
      </c>
      <c r="G619" s="14">
        <v>1</v>
      </c>
      <c r="H619" s="14">
        <v>125000</v>
      </c>
      <c r="I619" s="14">
        <v>0</v>
      </c>
      <c r="J619" s="14">
        <v>0</v>
      </c>
      <c r="K619" s="14">
        <v>0</v>
      </c>
      <c r="L619" s="14">
        <v>0</v>
      </c>
      <c r="M619" s="4" t="e">
        <f>IF(F619="Tindakan",VLOOKUP(O619,#REF!,4,FALSE),IF(F619="Intensif",VLOOKUP(O619,#REF!,10,FALSE),IF(F619="Penunjang",VLOOKUP(O619,#REF!,16,FALSE),IF(F619="Visitase Berdasarkan Jumlah Pasien",VLOOKUP(O619,#REF!,22,FALSE),IF(F619="Visitase",VLOOKUP(O619,#REF!,28,FALSE),IF(F619="Rawat Jalan",VLOOKUP(O619,#REF!,34,FALSE),0))))))</f>
        <v>#REF!</v>
      </c>
      <c r="N619" s="12">
        <f t="shared" si="18"/>
        <v>0</v>
      </c>
      <c r="O619" t="s">
        <v>695</v>
      </c>
      <c r="P619">
        <v>609</v>
      </c>
    </row>
    <row r="620" spans="2:16" x14ac:dyDescent="0.35">
      <c r="B620" s="7">
        <f t="shared" si="19"/>
        <v>610</v>
      </c>
      <c r="C620" s="3" t="s">
        <v>279</v>
      </c>
      <c r="D620" s="4" t="s">
        <v>661</v>
      </c>
      <c r="E620" s="9" t="s">
        <v>148</v>
      </c>
      <c r="F620" s="9" t="s">
        <v>190</v>
      </c>
      <c r="G620" s="14">
        <v>27</v>
      </c>
      <c r="H620" s="14">
        <v>3390000</v>
      </c>
      <c r="I620" s="14">
        <v>0</v>
      </c>
      <c r="J620" s="14">
        <v>0</v>
      </c>
      <c r="K620" s="14">
        <v>0</v>
      </c>
      <c r="L620" s="14">
        <v>0</v>
      </c>
      <c r="M620" s="4" t="e">
        <f>IF(F620="Tindakan",VLOOKUP(O620,#REF!,4,FALSE),IF(F620="Intensif",VLOOKUP(O620,#REF!,10,FALSE),IF(F620="Penunjang",VLOOKUP(O620,#REF!,16,FALSE),IF(F620="Visitase Berdasarkan Jumlah Pasien",VLOOKUP(O620,#REF!,22,FALSE),IF(F620="Visitase",VLOOKUP(O620,#REF!,28,FALSE),IF(F620="Rawat Jalan",VLOOKUP(O620,#REF!,34,FALSE),0))))))</f>
        <v>#REF!</v>
      </c>
      <c r="N620" s="12">
        <f t="shared" si="18"/>
        <v>0</v>
      </c>
      <c r="O620" t="s">
        <v>700</v>
      </c>
      <c r="P620">
        <v>610</v>
      </c>
    </row>
    <row r="621" spans="2:16" x14ac:dyDescent="0.35">
      <c r="B621" s="7">
        <f t="shared" si="19"/>
        <v>611</v>
      </c>
      <c r="C621" s="3" t="s">
        <v>279</v>
      </c>
      <c r="D621" s="4" t="s">
        <v>661</v>
      </c>
      <c r="E621" s="9" t="s">
        <v>148</v>
      </c>
      <c r="F621" s="9" t="s">
        <v>22</v>
      </c>
      <c r="G621" s="14">
        <v>159</v>
      </c>
      <c r="H621" s="14">
        <v>25510000</v>
      </c>
      <c r="I621" s="14">
        <v>0</v>
      </c>
      <c r="J621" s="14">
        <v>0</v>
      </c>
      <c r="K621" s="14">
        <v>1</v>
      </c>
      <c r="L621" s="14">
        <v>300000</v>
      </c>
      <c r="M621" s="4" t="e">
        <f>IF(F621="Tindakan",VLOOKUP(O621,#REF!,4,FALSE),IF(F621="Intensif",VLOOKUP(O621,#REF!,10,FALSE),IF(F621="Penunjang",VLOOKUP(O621,#REF!,16,FALSE),IF(F621="Visitase Berdasarkan Jumlah Pasien",VLOOKUP(O621,#REF!,22,FALSE),IF(F621="Visitase",VLOOKUP(O621,#REF!,28,FALSE),IF(F621="Rawat Jalan",VLOOKUP(O621,#REF!,34,FALSE),0))))))</f>
        <v>#REF!</v>
      </c>
      <c r="N621" s="12">
        <f t="shared" si="18"/>
        <v>0</v>
      </c>
      <c r="O621" t="s">
        <v>700</v>
      </c>
      <c r="P621">
        <v>611</v>
      </c>
    </row>
    <row r="622" spans="2:16" x14ac:dyDescent="0.35">
      <c r="B622" s="7">
        <f t="shared" si="19"/>
        <v>612</v>
      </c>
      <c r="C622" s="3" t="s">
        <v>341</v>
      </c>
      <c r="D622" s="4" t="s">
        <v>662</v>
      </c>
      <c r="E622" s="9" t="s">
        <v>384</v>
      </c>
      <c r="F622" s="9" t="s">
        <v>22</v>
      </c>
      <c r="G622" s="14">
        <v>0</v>
      </c>
      <c r="H622" s="14">
        <v>0</v>
      </c>
      <c r="I622" s="14">
        <v>1</v>
      </c>
      <c r="J622" s="14">
        <v>612000</v>
      </c>
      <c r="K622" s="14">
        <v>0</v>
      </c>
      <c r="L622" s="14">
        <v>0</v>
      </c>
      <c r="M622" s="4" t="e">
        <f>IF(F622="Tindakan",VLOOKUP(O622,#REF!,4,FALSE),IF(F622="Intensif",VLOOKUP(O622,#REF!,10,FALSE),IF(F622="Penunjang",VLOOKUP(O622,#REF!,16,FALSE),IF(F622="Visitase Berdasarkan Jumlah Pasien",VLOOKUP(O622,#REF!,22,FALSE),IF(F622="Visitase",VLOOKUP(O622,#REF!,28,FALSE),IF(F622="Rawat Jalan",VLOOKUP(O622,#REF!,34,FALSE),0))))))</f>
        <v>#REF!</v>
      </c>
      <c r="N622" s="12">
        <f t="shared" si="18"/>
        <v>0</v>
      </c>
      <c r="O622" t="s">
        <v>695</v>
      </c>
      <c r="P622">
        <v>612</v>
      </c>
    </row>
    <row r="623" spans="2:16" x14ac:dyDescent="0.35">
      <c r="B623" s="7">
        <f t="shared" si="19"/>
        <v>613</v>
      </c>
      <c r="C623" s="3" t="s">
        <v>356</v>
      </c>
      <c r="D623" s="4" t="s">
        <v>663</v>
      </c>
      <c r="E623" s="9" t="s">
        <v>171</v>
      </c>
      <c r="F623" s="9" t="s">
        <v>22</v>
      </c>
      <c r="G623" s="14">
        <v>26</v>
      </c>
      <c r="H623" s="14">
        <v>2825000</v>
      </c>
      <c r="I623" s="14">
        <v>24</v>
      </c>
      <c r="J623" s="14">
        <v>2250000</v>
      </c>
      <c r="K623" s="14">
        <v>2</v>
      </c>
      <c r="L623" s="14">
        <v>500000</v>
      </c>
      <c r="M623" s="4" t="e">
        <f>IF(F623="Tindakan",VLOOKUP(O623,#REF!,4,FALSE),IF(F623="Intensif",VLOOKUP(O623,#REF!,10,FALSE),IF(F623="Penunjang",VLOOKUP(O623,#REF!,16,FALSE),IF(F623="Visitase Berdasarkan Jumlah Pasien",VLOOKUP(O623,#REF!,22,FALSE),IF(F623="Visitase",VLOOKUP(O623,#REF!,28,FALSE),IF(F623="Rawat Jalan",VLOOKUP(O623,#REF!,34,FALSE),0))))))</f>
        <v>#REF!</v>
      </c>
      <c r="N623" s="12">
        <f t="shared" si="18"/>
        <v>0</v>
      </c>
      <c r="O623" t="s">
        <v>704</v>
      </c>
      <c r="P623">
        <v>613</v>
      </c>
    </row>
    <row r="624" spans="2:16" x14ac:dyDescent="0.35">
      <c r="B624" s="7">
        <f t="shared" si="19"/>
        <v>614</v>
      </c>
      <c r="C624" s="3" t="s">
        <v>434</v>
      </c>
      <c r="D624" s="4" t="s">
        <v>664</v>
      </c>
      <c r="E624" s="9" t="s">
        <v>686</v>
      </c>
      <c r="F624" s="9" t="s">
        <v>190</v>
      </c>
      <c r="G624" s="14">
        <v>1</v>
      </c>
      <c r="H624" s="14">
        <v>160000</v>
      </c>
      <c r="I624" s="14">
        <v>0</v>
      </c>
      <c r="J624" s="14">
        <v>0</v>
      </c>
      <c r="K624" s="14">
        <v>0</v>
      </c>
      <c r="L624" s="14">
        <v>0</v>
      </c>
      <c r="M624" s="4" t="e">
        <f>IF(F624="Tindakan",VLOOKUP(O624,#REF!,4,FALSE),IF(F624="Intensif",VLOOKUP(O624,#REF!,10,FALSE),IF(F624="Penunjang",VLOOKUP(O624,#REF!,16,FALSE),IF(F624="Visitase Berdasarkan Jumlah Pasien",VLOOKUP(O624,#REF!,22,FALSE),IF(F624="Visitase",VLOOKUP(O624,#REF!,28,FALSE),IF(F624="Rawat Jalan",VLOOKUP(O624,#REF!,34,FALSE),0))))))</f>
        <v>#REF!</v>
      </c>
      <c r="N624" s="12">
        <f t="shared" si="18"/>
        <v>0</v>
      </c>
      <c r="O624" t="s">
        <v>695</v>
      </c>
      <c r="P624">
        <v>614</v>
      </c>
    </row>
    <row r="625" spans="2:16" x14ac:dyDescent="0.35">
      <c r="B625" s="7">
        <f t="shared" si="19"/>
        <v>615</v>
      </c>
      <c r="C625" s="3" t="s">
        <v>435</v>
      </c>
      <c r="D625" s="4" t="s">
        <v>665</v>
      </c>
      <c r="E625" s="9" t="s">
        <v>686</v>
      </c>
      <c r="F625" s="9" t="s">
        <v>20</v>
      </c>
      <c r="G625" s="14">
        <v>10</v>
      </c>
      <c r="H625" s="14">
        <v>2905000</v>
      </c>
      <c r="I625" s="14">
        <v>0</v>
      </c>
      <c r="J625" s="14">
        <v>0</v>
      </c>
      <c r="K625" s="14">
        <v>0</v>
      </c>
      <c r="L625" s="14">
        <v>0</v>
      </c>
      <c r="M625" s="4" t="e">
        <f>IF(F625="Tindakan",VLOOKUP(O625,#REF!,4,FALSE),IF(F625="Intensif",VLOOKUP(O625,#REF!,10,FALSE),IF(F625="Penunjang",VLOOKUP(O625,#REF!,16,FALSE),IF(F625="Visitase Berdasarkan Jumlah Pasien",VLOOKUP(O625,#REF!,22,FALSE),IF(F625="Visitase",VLOOKUP(O625,#REF!,28,FALSE),IF(F625="Rawat Jalan",VLOOKUP(O625,#REF!,34,FALSE),0))))))</f>
        <v>#REF!</v>
      </c>
      <c r="N625" s="12">
        <f t="shared" si="18"/>
        <v>0</v>
      </c>
      <c r="O625" t="s">
        <v>695</v>
      </c>
      <c r="P625">
        <v>615</v>
      </c>
    </row>
    <row r="626" spans="2:16" x14ac:dyDescent="0.35">
      <c r="B626" s="7">
        <f t="shared" si="19"/>
        <v>616</v>
      </c>
      <c r="C626" s="3" t="s">
        <v>270</v>
      </c>
      <c r="D626" s="4" t="s">
        <v>666</v>
      </c>
      <c r="E626" s="9" t="s">
        <v>150</v>
      </c>
      <c r="F626" s="9" t="s">
        <v>21</v>
      </c>
      <c r="G626" s="14">
        <v>125</v>
      </c>
      <c r="H626" s="14">
        <v>192397200</v>
      </c>
      <c r="I626" s="14">
        <v>14</v>
      </c>
      <c r="J626" s="14">
        <v>14958000</v>
      </c>
      <c r="K626" s="14">
        <v>2</v>
      </c>
      <c r="L626" s="14">
        <v>600000</v>
      </c>
      <c r="M626" s="4" t="e">
        <f>IF(F626="Tindakan",VLOOKUP(O626,#REF!,4,FALSE),IF(F626="Intensif",VLOOKUP(O626,#REF!,10,FALSE),IF(F626="Penunjang",VLOOKUP(O626,#REF!,16,FALSE),IF(F626="Visitase Berdasarkan Jumlah Pasien",VLOOKUP(O626,#REF!,22,FALSE),IF(F626="Visitase",VLOOKUP(O626,#REF!,28,FALSE),IF(F626="Rawat Jalan",VLOOKUP(O626,#REF!,34,FALSE),0))))))</f>
        <v>#REF!</v>
      </c>
      <c r="N626" s="12">
        <f t="shared" si="18"/>
        <v>0</v>
      </c>
      <c r="O626" t="s">
        <v>707</v>
      </c>
      <c r="P626">
        <v>616</v>
      </c>
    </row>
    <row r="627" spans="2:16" x14ac:dyDescent="0.35">
      <c r="B627" s="7">
        <f t="shared" si="19"/>
        <v>617</v>
      </c>
      <c r="C627" s="3" t="s">
        <v>197</v>
      </c>
      <c r="D627" s="4" t="s">
        <v>667</v>
      </c>
      <c r="E627" s="9" t="s">
        <v>151</v>
      </c>
      <c r="F627" s="9" t="s">
        <v>20</v>
      </c>
      <c r="G627" s="14">
        <v>174</v>
      </c>
      <c r="H627" s="14">
        <v>339957700</v>
      </c>
      <c r="I627" s="14">
        <v>2</v>
      </c>
      <c r="J627" s="14">
        <v>832100</v>
      </c>
      <c r="K627" s="14">
        <v>5</v>
      </c>
      <c r="L627" s="14">
        <v>1293100</v>
      </c>
      <c r="M627" s="4" t="e">
        <f>IF(F627="Tindakan",VLOOKUP(O627,#REF!,4,FALSE),IF(F627="Intensif",VLOOKUP(O627,#REF!,10,FALSE),IF(F627="Penunjang",VLOOKUP(O627,#REF!,16,FALSE),IF(F627="Visitase Berdasarkan Jumlah Pasien",VLOOKUP(O627,#REF!,22,FALSE),IF(F627="Visitase",VLOOKUP(O627,#REF!,28,FALSE),IF(F627="Rawat Jalan",VLOOKUP(O627,#REF!,34,FALSE),0))))))</f>
        <v>#REF!</v>
      </c>
      <c r="N627" s="12">
        <f t="shared" si="18"/>
        <v>0</v>
      </c>
      <c r="O627" t="s">
        <v>690</v>
      </c>
      <c r="P627">
        <v>617</v>
      </c>
    </row>
    <row r="628" spans="2:16" x14ac:dyDescent="0.35">
      <c r="B628" s="7">
        <f t="shared" si="19"/>
        <v>618</v>
      </c>
      <c r="C628" s="3" t="s">
        <v>197</v>
      </c>
      <c r="D628" s="4" t="s">
        <v>667</v>
      </c>
      <c r="E628" s="9" t="s">
        <v>151</v>
      </c>
      <c r="F628" s="9" t="s">
        <v>22</v>
      </c>
      <c r="G628" s="14">
        <v>9</v>
      </c>
      <c r="H628" s="14">
        <v>1225000</v>
      </c>
      <c r="I628" s="14">
        <v>0</v>
      </c>
      <c r="J628" s="14">
        <v>0</v>
      </c>
      <c r="K628" s="14">
        <v>0</v>
      </c>
      <c r="L628" s="14">
        <v>0</v>
      </c>
      <c r="M628" s="4" t="e">
        <f>IF(F628="Tindakan",VLOOKUP(O628,#REF!,4,FALSE),IF(F628="Intensif",VLOOKUP(O628,#REF!,10,FALSE),IF(F628="Penunjang",VLOOKUP(O628,#REF!,16,FALSE),IF(F628="Visitase Berdasarkan Jumlah Pasien",VLOOKUP(O628,#REF!,22,FALSE),IF(F628="Visitase",VLOOKUP(O628,#REF!,28,FALSE),IF(F628="Rawat Jalan",VLOOKUP(O628,#REF!,34,FALSE),0))))))</f>
        <v>#REF!</v>
      </c>
      <c r="N628" s="12">
        <f t="shared" si="18"/>
        <v>0</v>
      </c>
      <c r="O628" t="s">
        <v>690</v>
      </c>
      <c r="P628">
        <v>618</v>
      </c>
    </row>
    <row r="629" spans="2:16" x14ac:dyDescent="0.35">
      <c r="B629" s="7">
        <f t="shared" si="19"/>
        <v>619</v>
      </c>
      <c r="C629" s="3" t="s">
        <v>197</v>
      </c>
      <c r="D629" s="4" t="s">
        <v>667</v>
      </c>
      <c r="E629" s="9" t="s">
        <v>151</v>
      </c>
      <c r="F629" s="9" t="s">
        <v>19</v>
      </c>
      <c r="G629" s="14">
        <v>8</v>
      </c>
      <c r="H629" s="14">
        <v>30490000</v>
      </c>
      <c r="I629" s="14">
        <v>1</v>
      </c>
      <c r="J629" s="14">
        <v>8800000</v>
      </c>
      <c r="K629" s="14">
        <v>2</v>
      </c>
      <c r="L629" s="14">
        <v>34175000</v>
      </c>
      <c r="M629" s="4" t="e">
        <f>IF(F629="Tindakan",VLOOKUP(O629,#REF!,4,FALSE),IF(F629="Intensif",VLOOKUP(O629,#REF!,10,FALSE),IF(F629="Penunjang",VLOOKUP(O629,#REF!,16,FALSE),IF(F629="Visitase Berdasarkan Jumlah Pasien",VLOOKUP(O629,#REF!,22,FALSE),IF(F629="Visitase",VLOOKUP(O629,#REF!,28,FALSE),IF(F629="Rawat Jalan",VLOOKUP(O629,#REF!,34,FALSE),0))))))</f>
        <v>#REF!</v>
      </c>
      <c r="N629" s="12">
        <f t="shared" si="18"/>
        <v>0</v>
      </c>
      <c r="O629" t="s">
        <v>690</v>
      </c>
      <c r="P629">
        <v>619</v>
      </c>
    </row>
    <row r="630" spans="2:16" x14ac:dyDescent="0.35">
      <c r="B630" s="7">
        <f t="shared" si="19"/>
        <v>620</v>
      </c>
      <c r="C630" s="3" t="s">
        <v>265</v>
      </c>
      <c r="D630" s="4" t="s">
        <v>668</v>
      </c>
      <c r="E630" s="9" t="s">
        <v>174</v>
      </c>
      <c r="F630" s="9" t="s">
        <v>20</v>
      </c>
      <c r="G630" s="14">
        <v>1</v>
      </c>
      <c r="H630" s="14">
        <v>160000</v>
      </c>
      <c r="I630" s="14">
        <v>0</v>
      </c>
      <c r="J630" s="14">
        <v>0</v>
      </c>
      <c r="K630" s="14">
        <v>0</v>
      </c>
      <c r="L630" s="14">
        <v>0</v>
      </c>
      <c r="M630" s="4" t="e">
        <f>IF(F630="Tindakan",VLOOKUP(O630,#REF!,4,FALSE),IF(F630="Intensif",VLOOKUP(O630,#REF!,10,FALSE),IF(F630="Penunjang",VLOOKUP(O630,#REF!,16,FALSE),IF(F630="Visitase Berdasarkan Jumlah Pasien",VLOOKUP(O630,#REF!,22,FALSE),IF(F630="Visitase",VLOOKUP(O630,#REF!,28,FALSE),IF(F630="Rawat Jalan",VLOOKUP(O630,#REF!,34,FALSE),0))))))</f>
        <v>#REF!</v>
      </c>
      <c r="N630" s="12">
        <f t="shared" si="18"/>
        <v>0</v>
      </c>
      <c r="O630" t="s">
        <v>705</v>
      </c>
      <c r="P630">
        <v>620</v>
      </c>
    </row>
    <row r="631" spans="2:16" x14ac:dyDescent="0.35">
      <c r="B631" s="7">
        <f t="shared" si="19"/>
        <v>621</v>
      </c>
      <c r="C631" s="3" t="s">
        <v>265</v>
      </c>
      <c r="D631" s="4" t="s">
        <v>668</v>
      </c>
      <c r="E631" s="9" t="s">
        <v>174</v>
      </c>
      <c r="F631" s="9" t="s">
        <v>190</v>
      </c>
      <c r="G631" s="14">
        <v>12</v>
      </c>
      <c r="H631" s="14">
        <v>1500000</v>
      </c>
      <c r="I631" s="14">
        <v>3</v>
      </c>
      <c r="J631" s="14">
        <v>540000</v>
      </c>
      <c r="K631" s="14">
        <v>3</v>
      </c>
      <c r="L631" s="14">
        <v>540000</v>
      </c>
      <c r="M631" s="4" t="e">
        <f>IF(F631="Tindakan",VLOOKUP(O631,#REF!,4,FALSE),IF(F631="Intensif",VLOOKUP(O631,#REF!,10,FALSE),IF(F631="Penunjang",VLOOKUP(O631,#REF!,16,FALSE),IF(F631="Visitase Berdasarkan Jumlah Pasien",VLOOKUP(O631,#REF!,22,FALSE),IF(F631="Visitase",VLOOKUP(O631,#REF!,28,FALSE),IF(F631="Rawat Jalan",VLOOKUP(O631,#REF!,34,FALSE),0))))))</f>
        <v>#REF!</v>
      </c>
      <c r="N631" s="12">
        <f t="shared" si="18"/>
        <v>0</v>
      </c>
      <c r="O631" t="s">
        <v>705</v>
      </c>
      <c r="P631">
        <v>621</v>
      </c>
    </row>
    <row r="632" spans="2:16" x14ac:dyDescent="0.35">
      <c r="B632" s="7">
        <f t="shared" si="19"/>
        <v>622</v>
      </c>
      <c r="C632" s="3" t="s">
        <v>265</v>
      </c>
      <c r="D632" s="4" t="s">
        <v>668</v>
      </c>
      <c r="E632" s="9" t="s">
        <v>174</v>
      </c>
      <c r="F632" s="9" t="s">
        <v>22</v>
      </c>
      <c r="G632" s="14">
        <v>186</v>
      </c>
      <c r="H632" s="14">
        <v>21105000</v>
      </c>
      <c r="I632" s="14">
        <v>0</v>
      </c>
      <c r="J632" s="14">
        <v>0</v>
      </c>
      <c r="K632" s="14">
        <v>9</v>
      </c>
      <c r="L632" s="14">
        <v>2230000</v>
      </c>
      <c r="M632" s="4" t="e">
        <f>IF(F632="Tindakan",VLOOKUP(O632,#REF!,4,FALSE),IF(F632="Intensif",VLOOKUP(O632,#REF!,10,FALSE),IF(F632="Penunjang",VLOOKUP(O632,#REF!,16,FALSE),IF(F632="Visitase Berdasarkan Jumlah Pasien",VLOOKUP(O632,#REF!,22,FALSE),IF(F632="Visitase",VLOOKUP(O632,#REF!,28,FALSE),IF(F632="Rawat Jalan",VLOOKUP(O632,#REF!,34,FALSE),0))))))</f>
        <v>#REF!</v>
      </c>
      <c r="N632" s="12">
        <f t="shared" si="18"/>
        <v>0</v>
      </c>
      <c r="O632" t="s">
        <v>705</v>
      </c>
      <c r="P632">
        <v>622</v>
      </c>
    </row>
    <row r="633" spans="2:16" x14ac:dyDescent="0.35">
      <c r="B633" s="7">
        <f t="shared" si="19"/>
        <v>623</v>
      </c>
      <c r="C633" s="3" t="s">
        <v>265</v>
      </c>
      <c r="D633" s="4" t="s">
        <v>668</v>
      </c>
      <c r="E633" s="9" t="s">
        <v>174</v>
      </c>
      <c r="F633" s="9" t="s">
        <v>19</v>
      </c>
      <c r="G633" s="14">
        <v>13</v>
      </c>
      <c r="H633" s="14">
        <v>95750000</v>
      </c>
      <c r="I633" s="14">
        <v>2</v>
      </c>
      <c r="J633" s="14">
        <v>47260000</v>
      </c>
      <c r="K633" s="14">
        <v>3</v>
      </c>
      <c r="L633" s="14">
        <v>59565000</v>
      </c>
      <c r="M633" s="4" t="e">
        <f>IF(F633="Tindakan",VLOOKUP(O633,#REF!,4,FALSE),IF(F633="Intensif",VLOOKUP(O633,#REF!,10,FALSE),IF(F633="Penunjang",VLOOKUP(O633,#REF!,16,FALSE),IF(F633="Visitase Berdasarkan Jumlah Pasien",VLOOKUP(O633,#REF!,22,FALSE),IF(F633="Visitase",VLOOKUP(O633,#REF!,28,FALSE),IF(F633="Rawat Jalan",VLOOKUP(O633,#REF!,34,FALSE),0))))))</f>
        <v>#REF!</v>
      </c>
      <c r="N633" s="12">
        <f t="shared" si="18"/>
        <v>0</v>
      </c>
      <c r="O633" t="s">
        <v>705</v>
      </c>
      <c r="P633">
        <v>623</v>
      </c>
    </row>
    <row r="634" spans="2:16" x14ac:dyDescent="0.35">
      <c r="B634" s="7">
        <f t="shared" si="19"/>
        <v>624</v>
      </c>
      <c r="C634" s="3" t="s">
        <v>337</v>
      </c>
      <c r="D634" s="4" t="s">
        <v>669</v>
      </c>
      <c r="E634" s="9" t="s">
        <v>150</v>
      </c>
      <c r="F634" s="9" t="s">
        <v>21</v>
      </c>
      <c r="G634" s="14">
        <v>321</v>
      </c>
      <c r="H634" s="14">
        <v>693386800</v>
      </c>
      <c r="I634" s="14">
        <v>13</v>
      </c>
      <c r="J634" s="14">
        <v>28196000</v>
      </c>
      <c r="K634" s="14">
        <v>1</v>
      </c>
      <c r="L634" s="14">
        <v>300000</v>
      </c>
      <c r="M634" s="4" t="e">
        <f>IF(F634="Tindakan",VLOOKUP(O634,#REF!,4,FALSE),IF(F634="Intensif",VLOOKUP(O634,#REF!,10,FALSE),IF(F634="Penunjang",VLOOKUP(O634,#REF!,16,FALSE),IF(F634="Visitase Berdasarkan Jumlah Pasien",VLOOKUP(O634,#REF!,22,FALSE),IF(F634="Visitase",VLOOKUP(O634,#REF!,28,FALSE),IF(F634="Rawat Jalan",VLOOKUP(O634,#REF!,34,FALSE),0))))))</f>
        <v>#REF!</v>
      </c>
      <c r="N634" s="12">
        <f t="shared" si="18"/>
        <v>0</v>
      </c>
      <c r="O634" t="s">
        <v>707</v>
      </c>
      <c r="P634">
        <v>624</v>
      </c>
    </row>
    <row r="635" spans="2:16" x14ac:dyDescent="0.35">
      <c r="B635" s="7">
        <f t="shared" si="19"/>
        <v>625</v>
      </c>
      <c r="C635" s="3" t="s">
        <v>305</v>
      </c>
      <c r="D635" s="4" t="s">
        <v>670</v>
      </c>
      <c r="E635" s="9" t="s">
        <v>147</v>
      </c>
      <c r="F635" s="9" t="s">
        <v>190</v>
      </c>
      <c r="G635" s="14">
        <v>28</v>
      </c>
      <c r="H635" s="14">
        <v>3885000</v>
      </c>
      <c r="I635" s="14">
        <v>0</v>
      </c>
      <c r="J635" s="14">
        <v>0</v>
      </c>
      <c r="K635" s="14">
        <v>0</v>
      </c>
      <c r="L635" s="14">
        <v>0</v>
      </c>
      <c r="M635" s="4" t="e">
        <f>IF(F635="Tindakan",VLOOKUP(O635,#REF!,4,FALSE),IF(F635="Intensif",VLOOKUP(O635,#REF!,10,FALSE),IF(F635="Penunjang",VLOOKUP(O635,#REF!,16,FALSE),IF(F635="Visitase Berdasarkan Jumlah Pasien",VLOOKUP(O635,#REF!,22,FALSE),IF(F635="Visitase",VLOOKUP(O635,#REF!,28,FALSE),IF(F635="Rawat Jalan",VLOOKUP(O635,#REF!,34,FALSE),0))))))</f>
        <v>#REF!</v>
      </c>
      <c r="N635" s="12">
        <f t="shared" si="18"/>
        <v>0</v>
      </c>
      <c r="O635" t="s">
        <v>691</v>
      </c>
      <c r="P635">
        <v>625</v>
      </c>
    </row>
    <row r="636" spans="2:16" x14ac:dyDescent="0.35">
      <c r="B636" s="7">
        <f t="shared" si="19"/>
        <v>626</v>
      </c>
      <c r="C636" s="3" t="s">
        <v>305</v>
      </c>
      <c r="D636" s="4" t="s">
        <v>670</v>
      </c>
      <c r="E636" s="9" t="s">
        <v>147</v>
      </c>
      <c r="F636" s="9" t="s">
        <v>20</v>
      </c>
      <c r="G636" s="14">
        <v>4</v>
      </c>
      <c r="H636" s="14">
        <v>655000</v>
      </c>
      <c r="I636" s="14">
        <v>0</v>
      </c>
      <c r="J636" s="14">
        <v>0</v>
      </c>
      <c r="K636" s="14">
        <v>0</v>
      </c>
      <c r="L636" s="14">
        <v>0</v>
      </c>
      <c r="M636" s="4" t="e">
        <f>IF(F636="Tindakan",VLOOKUP(O636,#REF!,4,FALSE),IF(F636="Intensif",VLOOKUP(O636,#REF!,10,FALSE),IF(F636="Penunjang",VLOOKUP(O636,#REF!,16,FALSE),IF(F636="Visitase Berdasarkan Jumlah Pasien",VLOOKUP(O636,#REF!,22,FALSE),IF(F636="Visitase",VLOOKUP(O636,#REF!,28,FALSE),IF(F636="Rawat Jalan",VLOOKUP(O636,#REF!,34,FALSE),0))))))</f>
        <v>#REF!</v>
      </c>
      <c r="N636" s="12">
        <f t="shared" si="18"/>
        <v>0</v>
      </c>
      <c r="O636" t="s">
        <v>691</v>
      </c>
      <c r="P636">
        <v>626</v>
      </c>
    </row>
    <row r="637" spans="2:16" x14ac:dyDescent="0.35">
      <c r="B637" s="7">
        <f t="shared" si="19"/>
        <v>627</v>
      </c>
      <c r="C637" s="3" t="s">
        <v>305</v>
      </c>
      <c r="D637" s="4" t="s">
        <v>670</v>
      </c>
      <c r="E637" s="9" t="s">
        <v>147</v>
      </c>
      <c r="F637" s="9" t="s">
        <v>22</v>
      </c>
      <c r="G637" s="14">
        <v>1</v>
      </c>
      <c r="H637" s="14">
        <v>75000</v>
      </c>
      <c r="I637" s="14">
        <v>0</v>
      </c>
      <c r="J637" s="14">
        <v>0</v>
      </c>
      <c r="K637" s="14">
        <v>21</v>
      </c>
      <c r="L637" s="14">
        <v>5635000</v>
      </c>
      <c r="M637" s="4" t="e">
        <f>IF(F637="Tindakan",VLOOKUP(O637,#REF!,4,FALSE),IF(F637="Intensif",VLOOKUP(O637,#REF!,10,FALSE),IF(F637="Penunjang",VLOOKUP(O637,#REF!,16,FALSE),IF(F637="Visitase Berdasarkan Jumlah Pasien",VLOOKUP(O637,#REF!,22,FALSE),IF(F637="Visitase",VLOOKUP(O637,#REF!,28,FALSE),IF(F637="Rawat Jalan",VLOOKUP(O637,#REF!,34,FALSE),0))))))</f>
        <v>#REF!</v>
      </c>
      <c r="N637" s="12">
        <f t="shared" si="18"/>
        <v>0</v>
      </c>
      <c r="O637" t="s">
        <v>691</v>
      </c>
      <c r="P637">
        <v>627</v>
      </c>
    </row>
    <row r="638" spans="2:16" x14ac:dyDescent="0.35">
      <c r="B638" s="7">
        <f t="shared" si="19"/>
        <v>628</v>
      </c>
      <c r="C638" s="3" t="s">
        <v>305</v>
      </c>
      <c r="D638" s="4" t="s">
        <v>670</v>
      </c>
      <c r="E638" s="9" t="s">
        <v>147</v>
      </c>
      <c r="F638" s="9" t="s">
        <v>19</v>
      </c>
      <c r="G638" s="14">
        <v>11</v>
      </c>
      <c r="H638" s="14">
        <v>50011000</v>
      </c>
      <c r="I638" s="14">
        <v>0</v>
      </c>
      <c r="J638" s="14">
        <v>0</v>
      </c>
      <c r="K638" s="14">
        <v>0</v>
      </c>
      <c r="L638" s="14">
        <v>0</v>
      </c>
      <c r="M638" s="4" t="e">
        <f>IF(F638="Tindakan",VLOOKUP(O638,#REF!,4,FALSE),IF(F638="Intensif",VLOOKUP(O638,#REF!,10,FALSE),IF(F638="Penunjang",VLOOKUP(O638,#REF!,16,FALSE),IF(F638="Visitase Berdasarkan Jumlah Pasien",VLOOKUP(O638,#REF!,22,FALSE),IF(F638="Visitase",VLOOKUP(O638,#REF!,28,FALSE),IF(F638="Rawat Jalan",VLOOKUP(O638,#REF!,34,FALSE),0))))))</f>
        <v>#REF!</v>
      </c>
      <c r="N638" s="12">
        <f t="shared" si="18"/>
        <v>0</v>
      </c>
      <c r="O638" t="s">
        <v>691</v>
      </c>
      <c r="P638">
        <v>628</v>
      </c>
    </row>
    <row r="639" spans="2:16" x14ac:dyDescent="0.35">
      <c r="B639" s="7">
        <f t="shared" si="19"/>
        <v>629</v>
      </c>
      <c r="C639" s="3" t="s">
        <v>335</v>
      </c>
      <c r="D639" s="4" t="s">
        <v>671</v>
      </c>
      <c r="E639" s="9" t="s">
        <v>172</v>
      </c>
      <c r="F639" s="9" t="s">
        <v>190</v>
      </c>
      <c r="G639" s="14">
        <v>1</v>
      </c>
      <c r="H639" s="14">
        <v>125000</v>
      </c>
      <c r="I639" s="14">
        <v>0</v>
      </c>
      <c r="J639" s="14">
        <v>0</v>
      </c>
      <c r="K639" s="14">
        <v>0</v>
      </c>
      <c r="L639" s="14">
        <v>0</v>
      </c>
      <c r="M639" s="4" t="e">
        <f>IF(F639="Tindakan",VLOOKUP(O639,#REF!,4,FALSE),IF(F639="Intensif",VLOOKUP(O639,#REF!,10,FALSE),IF(F639="Penunjang",VLOOKUP(O639,#REF!,16,FALSE),IF(F639="Visitase Berdasarkan Jumlah Pasien",VLOOKUP(O639,#REF!,22,FALSE),IF(F639="Visitase",VLOOKUP(O639,#REF!,28,FALSE),IF(F639="Rawat Jalan",VLOOKUP(O639,#REF!,34,FALSE),0))))))</f>
        <v>#REF!</v>
      </c>
      <c r="N639" s="12">
        <f t="shared" si="18"/>
        <v>0</v>
      </c>
      <c r="O639" t="s">
        <v>701</v>
      </c>
      <c r="P639">
        <v>629</v>
      </c>
    </row>
    <row r="640" spans="2:16" x14ac:dyDescent="0.35">
      <c r="B640" s="7">
        <f t="shared" si="19"/>
        <v>630</v>
      </c>
      <c r="C640" s="3" t="s">
        <v>335</v>
      </c>
      <c r="D640" s="4" t="s">
        <v>671</v>
      </c>
      <c r="E640" s="9" t="s">
        <v>172</v>
      </c>
      <c r="F640" s="9" t="s">
        <v>22</v>
      </c>
      <c r="G640" s="14">
        <v>3</v>
      </c>
      <c r="H640" s="14">
        <v>900000</v>
      </c>
      <c r="I640" s="14">
        <v>2</v>
      </c>
      <c r="J640" s="14">
        <v>150000</v>
      </c>
      <c r="K640" s="14">
        <v>4</v>
      </c>
      <c r="L640" s="14">
        <v>1200000</v>
      </c>
      <c r="M640" s="4" t="e">
        <f>IF(F640="Tindakan",VLOOKUP(O640,#REF!,4,FALSE),IF(F640="Intensif",VLOOKUP(O640,#REF!,10,FALSE),IF(F640="Penunjang",VLOOKUP(O640,#REF!,16,FALSE),IF(F640="Visitase Berdasarkan Jumlah Pasien",VLOOKUP(O640,#REF!,22,FALSE),IF(F640="Visitase",VLOOKUP(O640,#REF!,28,FALSE),IF(F640="Rawat Jalan",VLOOKUP(O640,#REF!,34,FALSE),0))))))</f>
        <v>#REF!</v>
      </c>
      <c r="N640" s="12">
        <f t="shared" si="18"/>
        <v>0</v>
      </c>
      <c r="O640" t="s">
        <v>701</v>
      </c>
      <c r="P640">
        <v>630</v>
      </c>
    </row>
    <row r="641" spans="2:16" x14ac:dyDescent="0.35">
      <c r="B641" s="7">
        <f t="shared" si="19"/>
        <v>631</v>
      </c>
      <c r="C641" s="3" t="s">
        <v>335</v>
      </c>
      <c r="D641" s="4" t="s">
        <v>671</v>
      </c>
      <c r="E641" s="9" t="s">
        <v>172</v>
      </c>
      <c r="F641" s="9" t="s">
        <v>20</v>
      </c>
      <c r="G641" s="14">
        <v>2</v>
      </c>
      <c r="H641" s="14">
        <v>280000</v>
      </c>
      <c r="I641" s="14">
        <v>2</v>
      </c>
      <c r="J641" s="14">
        <v>280000</v>
      </c>
      <c r="K641" s="14">
        <v>0</v>
      </c>
      <c r="L641" s="14">
        <v>0</v>
      </c>
      <c r="M641" s="4" t="e">
        <f>IF(F641="Tindakan",VLOOKUP(O641,#REF!,4,FALSE),IF(F641="Intensif",VLOOKUP(O641,#REF!,10,FALSE),IF(F641="Penunjang",VLOOKUP(O641,#REF!,16,FALSE),IF(F641="Visitase Berdasarkan Jumlah Pasien",VLOOKUP(O641,#REF!,22,FALSE),IF(F641="Visitase",VLOOKUP(O641,#REF!,28,FALSE),IF(F641="Rawat Jalan",VLOOKUP(O641,#REF!,34,FALSE),0))))))</f>
        <v>#REF!</v>
      </c>
      <c r="N641" s="12">
        <f t="shared" si="18"/>
        <v>0</v>
      </c>
      <c r="O641" t="s">
        <v>701</v>
      </c>
      <c r="P641">
        <v>631</v>
      </c>
    </row>
    <row r="642" spans="2:16" x14ac:dyDescent="0.35">
      <c r="B642" s="7">
        <f t="shared" si="19"/>
        <v>632</v>
      </c>
      <c r="C642" s="3" t="s">
        <v>232</v>
      </c>
      <c r="D642" s="4" t="s">
        <v>672</v>
      </c>
      <c r="E642" s="9" t="s">
        <v>188</v>
      </c>
      <c r="F642" s="9" t="s">
        <v>190</v>
      </c>
      <c r="G642" s="14">
        <v>66</v>
      </c>
      <c r="H642" s="14">
        <v>8880000</v>
      </c>
      <c r="I642" s="14">
        <v>0</v>
      </c>
      <c r="J642" s="14">
        <v>0</v>
      </c>
      <c r="K642" s="14">
        <v>0</v>
      </c>
      <c r="L642" s="14">
        <v>0</v>
      </c>
      <c r="M642" s="4" t="e">
        <f>IF(F642="Tindakan",VLOOKUP(O642,#REF!,4,FALSE),IF(F642="Intensif",VLOOKUP(O642,#REF!,10,FALSE),IF(F642="Penunjang",VLOOKUP(O642,#REF!,16,FALSE),IF(F642="Visitase Berdasarkan Jumlah Pasien",VLOOKUP(O642,#REF!,22,FALSE),IF(F642="Visitase",VLOOKUP(O642,#REF!,28,FALSE),IF(F642="Rawat Jalan",VLOOKUP(O642,#REF!,34,FALSE),0))))))</f>
        <v>#REF!</v>
      </c>
      <c r="N642" s="12">
        <f t="shared" si="18"/>
        <v>0</v>
      </c>
      <c r="O642" t="s">
        <v>688</v>
      </c>
      <c r="P642">
        <v>632</v>
      </c>
    </row>
    <row r="643" spans="2:16" x14ac:dyDescent="0.35">
      <c r="B643" s="7">
        <f t="shared" si="19"/>
        <v>633</v>
      </c>
      <c r="C643" s="3" t="s">
        <v>232</v>
      </c>
      <c r="D643" s="4" t="s">
        <v>672</v>
      </c>
      <c r="E643" s="9" t="s">
        <v>188</v>
      </c>
      <c r="F643" s="9" t="s">
        <v>20</v>
      </c>
      <c r="G643" s="14">
        <v>6</v>
      </c>
      <c r="H643" s="14">
        <v>1020000</v>
      </c>
      <c r="I643" s="14">
        <v>0</v>
      </c>
      <c r="J643" s="14">
        <v>0</v>
      </c>
      <c r="K643" s="14">
        <v>0</v>
      </c>
      <c r="L643" s="14">
        <v>0</v>
      </c>
      <c r="M643" s="4" t="e">
        <f>IF(F643="Tindakan",VLOOKUP(O643,#REF!,4,FALSE),IF(F643="Intensif",VLOOKUP(O643,#REF!,10,FALSE),IF(F643="Penunjang",VLOOKUP(O643,#REF!,16,FALSE),IF(F643="Visitase Berdasarkan Jumlah Pasien",VLOOKUP(O643,#REF!,22,FALSE),IF(F643="Visitase",VLOOKUP(O643,#REF!,28,FALSE),IF(F643="Rawat Jalan",VLOOKUP(O643,#REF!,34,FALSE),0))))))</f>
        <v>#REF!</v>
      </c>
      <c r="N643" s="12">
        <f t="shared" si="18"/>
        <v>0</v>
      </c>
      <c r="O643" t="s">
        <v>688</v>
      </c>
      <c r="P643">
        <v>633</v>
      </c>
    </row>
    <row r="644" spans="2:16" x14ac:dyDescent="0.35">
      <c r="B644" s="7">
        <f t="shared" si="19"/>
        <v>634</v>
      </c>
      <c r="C644" s="3" t="s">
        <v>232</v>
      </c>
      <c r="D644" s="4" t="s">
        <v>672</v>
      </c>
      <c r="E644" s="9" t="s">
        <v>188</v>
      </c>
      <c r="F644" s="9" t="s">
        <v>19</v>
      </c>
      <c r="G644" s="14">
        <v>24</v>
      </c>
      <c r="H644" s="14">
        <v>226500000</v>
      </c>
      <c r="I644" s="14">
        <v>0</v>
      </c>
      <c r="J644" s="14">
        <v>0</v>
      </c>
      <c r="K644" s="14">
        <v>0</v>
      </c>
      <c r="L644" s="14">
        <v>0</v>
      </c>
      <c r="M644" s="4" t="e">
        <f>IF(F644="Tindakan",VLOOKUP(O644,#REF!,4,FALSE),IF(F644="Intensif",VLOOKUP(O644,#REF!,10,FALSE),IF(F644="Penunjang",VLOOKUP(O644,#REF!,16,FALSE),IF(F644="Visitase Berdasarkan Jumlah Pasien",VLOOKUP(O644,#REF!,22,FALSE),IF(F644="Visitase",VLOOKUP(O644,#REF!,28,FALSE),IF(F644="Rawat Jalan",VLOOKUP(O644,#REF!,34,FALSE),0))))))</f>
        <v>#REF!</v>
      </c>
      <c r="N644" s="12">
        <f t="shared" si="18"/>
        <v>0</v>
      </c>
      <c r="O644" t="s">
        <v>688</v>
      </c>
      <c r="P644">
        <v>634</v>
      </c>
    </row>
    <row r="645" spans="2:16" x14ac:dyDescent="0.35">
      <c r="B645" s="7">
        <f t="shared" si="19"/>
        <v>635</v>
      </c>
      <c r="C645" s="3" t="s">
        <v>232</v>
      </c>
      <c r="D645" s="4" t="s">
        <v>672</v>
      </c>
      <c r="E645" s="9" t="s">
        <v>188</v>
      </c>
      <c r="F645" s="9" t="s">
        <v>22</v>
      </c>
      <c r="G645" s="14">
        <v>160</v>
      </c>
      <c r="H645" s="14">
        <v>223985000</v>
      </c>
      <c r="I645" s="14">
        <v>4</v>
      </c>
      <c r="J645" s="14">
        <v>300000</v>
      </c>
      <c r="K645" s="14">
        <v>0</v>
      </c>
      <c r="L645" s="14">
        <v>0</v>
      </c>
      <c r="M645" s="4" t="e">
        <f>IF(F645="Tindakan",VLOOKUP(O645,#REF!,4,FALSE),IF(F645="Intensif",VLOOKUP(O645,#REF!,10,FALSE),IF(F645="Penunjang",VLOOKUP(O645,#REF!,16,FALSE),IF(F645="Visitase Berdasarkan Jumlah Pasien",VLOOKUP(O645,#REF!,22,FALSE),IF(F645="Visitase",VLOOKUP(O645,#REF!,28,FALSE),IF(F645="Rawat Jalan",VLOOKUP(O645,#REF!,34,FALSE),0))))))</f>
        <v>#REF!</v>
      </c>
      <c r="N645" s="12">
        <f t="shared" si="18"/>
        <v>0</v>
      </c>
      <c r="O645" t="s">
        <v>688</v>
      </c>
      <c r="P645">
        <v>635</v>
      </c>
    </row>
    <row r="646" spans="2:16" x14ac:dyDescent="0.35">
      <c r="B646" s="7">
        <f t="shared" si="19"/>
        <v>636</v>
      </c>
      <c r="C646" s="3" t="s">
        <v>221</v>
      </c>
      <c r="D646" s="4" t="s">
        <v>673</v>
      </c>
      <c r="E646" s="9" t="s">
        <v>151</v>
      </c>
      <c r="F646" s="9" t="s">
        <v>19</v>
      </c>
      <c r="G646" s="14">
        <v>32</v>
      </c>
      <c r="H646" s="14">
        <v>417801500</v>
      </c>
      <c r="I646" s="14">
        <v>0</v>
      </c>
      <c r="J646" s="14">
        <v>0</v>
      </c>
      <c r="K646" s="14">
        <v>0</v>
      </c>
      <c r="L646" s="14">
        <v>0</v>
      </c>
      <c r="M646" s="4" t="e">
        <f>IF(F646="Tindakan",VLOOKUP(O646,#REF!,4,FALSE),IF(F646="Intensif",VLOOKUP(O646,#REF!,10,FALSE),IF(F646="Penunjang",VLOOKUP(O646,#REF!,16,FALSE),IF(F646="Visitase Berdasarkan Jumlah Pasien",VLOOKUP(O646,#REF!,22,FALSE),IF(F646="Visitase",VLOOKUP(O646,#REF!,28,FALSE),IF(F646="Rawat Jalan",VLOOKUP(O646,#REF!,34,FALSE),0))))))</f>
        <v>#REF!</v>
      </c>
      <c r="N646" s="12">
        <f t="shared" si="18"/>
        <v>0</v>
      </c>
      <c r="O646" t="s">
        <v>690</v>
      </c>
      <c r="P646">
        <v>636</v>
      </c>
    </row>
    <row r="647" spans="2:16" x14ac:dyDescent="0.35">
      <c r="B647" s="7">
        <f t="shared" si="19"/>
        <v>637</v>
      </c>
      <c r="C647" s="3" t="s">
        <v>283</v>
      </c>
      <c r="D647" s="4" t="s">
        <v>674</v>
      </c>
      <c r="E647" s="9" t="s">
        <v>172</v>
      </c>
      <c r="F647" s="9" t="s">
        <v>20</v>
      </c>
      <c r="G647" s="14">
        <v>16</v>
      </c>
      <c r="H647" s="14">
        <v>2452000</v>
      </c>
      <c r="I647" s="14">
        <v>0</v>
      </c>
      <c r="J647" s="14">
        <v>0</v>
      </c>
      <c r="K647" s="14">
        <v>0</v>
      </c>
      <c r="L647" s="14">
        <v>0</v>
      </c>
      <c r="M647" s="4" t="e">
        <f>IF(F647="Tindakan",VLOOKUP(O647,#REF!,4,FALSE),IF(F647="Intensif",VLOOKUP(O647,#REF!,10,FALSE),IF(F647="Penunjang",VLOOKUP(O647,#REF!,16,FALSE),IF(F647="Visitase Berdasarkan Jumlah Pasien",VLOOKUP(O647,#REF!,22,FALSE),IF(F647="Visitase",VLOOKUP(O647,#REF!,28,FALSE),IF(F647="Rawat Jalan",VLOOKUP(O647,#REF!,34,FALSE),0))))))</f>
        <v>#REF!</v>
      </c>
      <c r="N647" s="12">
        <f t="shared" si="18"/>
        <v>0</v>
      </c>
      <c r="O647" t="s">
        <v>701</v>
      </c>
      <c r="P647">
        <v>637</v>
      </c>
    </row>
    <row r="648" spans="2:16" x14ac:dyDescent="0.35">
      <c r="B648" s="7">
        <f t="shared" si="19"/>
        <v>638</v>
      </c>
      <c r="C648" s="3" t="s">
        <v>283</v>
      </c>
      <c r="D648" s="4" t="s">
        <v>674</v>
      </c>
      <c r="E648" s="9" t="s">
        <v>172</v>
      </c>
      <c r="F648" s="9" t="s">
        <v>22</v>
      </c>
      <c r="G648" s="14">
        <v>1</v>
      </c>
      <c r="H648" s="14">
        <v>300000</v>
      </c>
      <c r="I648" s="14">
        <v>0</v>
      </c>
      <c r="J648" s="14">
        <v>0</v>
      </c>
      <c r="K648" s="14">
        <v>0</v>
      </c>
      <c r="L648" s="14">
        <v>0</v>
      </c>
      <c r="M648" s="4" t="e">
        <f>IF(F648="Tindakan",VLOOKUP(O648,#REF!,4,FALSE),IF(F648="Intensif",VLOOKUP(O648,#REF!,10,FALSE),IF(F648="Penunjang",VLOOKUP(O648,#REF!,16,FALSE),IF(F648="Visitase Berdasarkan Jumlah Pasien",VLOOKUP(O648,#REF!,22,FALSE),IF(F648="Visitase",VLOOKUP(O648,#REF!,28,FALSE),IF(F648="Rawat Jalan",VLOOKUP(O648,#REF!,34,FALSE),0))))))</f>
        <v>#REF!</v>
      </c>
      <c r="N648" s="12">
        <f t="shared" si="18"/>
        <v>0</v>
      </c>
      <c r="O648" t="s">
        <v>701</v>
      </c>
      <c r="P648">
        <v>638</v>
      </c>
    </row>
    <row r="649" spans="2:16" x14ac:dyDescent="0.35">
      <c r="B649" s="7">
        <f t="shared" si="19"/>
        <v>639</v>
      </c>
      <c r="C649" s="3" t="s">
        <v>296</v>
      </c>
      <c r="D649" s="4" t="s">
        <v>675</v>
      </c>
      <c r="E649" s="9" t="s">
        <v>151</v>
      </c>
      <c r="F649" s="9" t="s">
        <v>19</v>
      </c>
      <c r="G649" s="14">
        <v>50</v>
      </c>
      <c r="H649" s="14">
        <v>472004500</v>
      </c>
      <c r="I649" s="14">
        <v>3</v>
      </c>
      <c r="J649" s="14">
        <v>23100000</v>
      </c>
      <c r="K649" s="14">
        <v>2</v>
      </c>
      <c r="L649" s="14">
        <v>28100000</v>
      </c>
      <c r="M649" s="4" t="e">
        <f>IF(F649="Tindakan",VLOOKUP(O649,#REF!,4,FALSE),IF(F649="Intensif",VLOOKUP(O649,#REF!,10,FALSE),IF(F649="Penunjang",VLOOKUP(O649,#REF!,16,FALSE),IF(F649="Visitase Berdasarkan Jumlah Pasien",VLOOKUP(O649,#REF!,22,FALSE),IF(F649="Visitase",VLOOKUP(O649,#REF!,28,FALSE),IF(F649="Rawat Jalan",VLOOKUP(O649,#REF!,34,FALSE),0))))))</f>
        <v>#REF!</v>
      </c>
      <c r="N649" s="12">
        <f t="shared" si="18"/>
        <v>0</v>
      </c>
      <c r="O649" t="s">
        <v>690</v>
      </c>
      <c r="P649">
        <v>639</v>
      </c>
    </row>
    <row r="650" spans="2:16" x14ac:dyDescent="0.35">
      <c r="B650" s="7">
        <f t="shared" si="19"/>
        <v>640</v>
      </c>
      <c r="C650" s="3" t="s">
        <v>296</v>
      </c>
      <c r="D650" s="4" t="s">
        <v>675</v>
      </c>
      <c r="E650" s="9" t="s">
        <v>151</v>
      </c>
      <c r="F650" s="9" t="s">
        <v>22</v>
      </c>
      <c r="G650" s="14">
        <v>4</v>
      </c>
      <c r="H650" s="14">
        <v>495000</v>
      </c>
      <c r="I650" s="14">
        <v>1</v>
      </c>
      <c r="J650" s="14">
        <v>140000</v>
      </c>
      <c r="K650" s="14">
        <v>0</v>
      </c>
      <c r="L650" s="14">
        <v>0</v>
      </c>
      <c r="M650" s="4" t="e">
        <f>IF(F650="Tindakan",VLOOKUP(O650,#REF!,4,FALSE),IF(F650="Intensif",VLOOKUP(O650,#REF!,10,FALSE),IF(F650="Penunjang",VLOOKUP(O650,#REF!,16,FALSE),IF(F650="Visitase Berdasarkan Jumlah Pasien",VLOOKUP(O650,#REF!,22,FALSE),IF(F650="Visitase",VLOOKUP(O650,#REF!,28,FALSE),IF(F650="Rawat Jalan",VLOOKUP(O650,#REF!,34,FALSE),0))))))</f>
        <v>#REF!</v>
      </c>
      <c r="N650" s="12">
        <f t="shared" si="18"/>
        <v>0</v>
      </c>
      <c r="O650" t="s">
        <v>690</v>
      </c>
      <c r="P650">
        <v>640</v>
      </c>
    </row>
    <row r="651" spans="2:16" x14ac:dyDescent="0.35">
      <c r="B651" s="7">
        <f t="shared" si="19"/>
        <v>641</v>
      </c>
      <c r="C651" s="3" t="s">
        <v>296</v>
      </c>
      <c r="D651" s="4" t="s">
        <v>675</v>
      </c>
      <c r="E651" s="9" t="s">
        <v>151</v>
      </c>
      <c r="F651" s="9" t="s">
        <v>22</v>
      </c>
      <c r="G651" s="14">
        <v>3</v>
      </c>
      <c r="H651" s="14">
        <v>420000</v>
      </c>
      <c r="I651" s="14">
        <v>0</v>
      </c>
      <c r="J651" s="14">
        <v>0</v>
      </c>
      <c r="K651" s="14">
        <v>0</v>
      </c>
      <c r="L651" s="14">
        <v>0</v>
      </c>
      <c r="M651" s="4" t="e">
        <f>IF(F651="Tindakan",VLOOKUP(O651,#REF!,4,FALSE),IF(F651="Intensif",VLOOKUP(O651,#REF!,10,FALSE),IF(F651="Penunjang",VLOOKUP(O651,#REF!,16,FALSE),IF(F651="Visitase Berdasarkan Jumlah Pasien",VLOOKUP(O651,#REF!,22,FALSE),IF(F651="Visitase",VLOOKUP(O651,#REF!,28,FALSE),IF(F651="Rawat Jalan",VLOOKUP(O651,#REF!,34,FALSE),0))))))</f>
        <v>#REF!</v>
      </c>
      <c r="N651" s="12">
        <f t="shared" si="18"/>
        <v>0</v>
      </c>
      <c r="O651" t="s">
        <v>690</v>
      </c>
      <c r="P651">
        <v>641</v>
      </c>
    </row>
    <row r="652" spans="2:16" x14ac:dyDescent="0.35">
      <c r="B652" s="7">
        <f t="shared" si="19"/>
        <v>642</v>
      </c>
      <c r="C652" s="3" t="s">
        <v>296</v>
      </c>
      <c r="D652" s="4" t="s">
        <v>675</v>
      </c>
      <c r="E652" s="9" t="s">
        <v>151</v>
      </c>
      <c r="F652" s="9" t="s">
        <v>19</v>
      </c>
      <c r="G652" s="14">
        <v>2</v>
      </c>
      <c r="H652" s="14">
        <v>16000000</v>
      </c>
      <c r="I652" s="14">
        <v>0</v>
      </c>
      <c r="J652" s="14">
        <v>0</v>
      </c>
      <c r="K652" s="14">
        <v>1</v>
      </c>
      <c r="L652" s="14">
        <v>20190000</v>
      </c>
      <c r="M652" s="4" t="e">
        <f>IF(F652="Tindakan",VLOOKUP(O652,#REF!,4,FALSE),IF(F652="Intensif",VLOOKUP(O652,#REF!,10,FALSE),IF(F652="Penunjang",VLOOKUP(O652,#REF!,16,FALSE),IF(F652="Visitase Berdasarkan Jumlah Pasien",VLOOKUP(O652,#REF!,22,FALSE),IF(F652="Visitase",VLOOKUP(O652,#REF!,28,FALSE),IF(F652="Rawat Jalan",VLOOKUP(O652,#REF!,34,FALSE),0))))))</f>
        <v>#REF!</v>
      </c>
      <c r="N652" s="12">
        <f t="shared" ref="N652:N677" si="20">IFERROR((G652/M652)*100%, 0)</f>
        <v>0</v>
      </c>
      <c r="O652" t="s">
        <v>690</v>
      </c>
      <c r="P652">
        <v>642</v>
      </c>
    </row>
    <row r="653" spans="2:16" x14ac:dyDescent="0.35">
      <c r="B653" s="7">
        <f t="shared" ref="B653:B677" si="21">B652+1</f>
        <v>643</v>
      </c>
      <c r="C653" s="3" t="s">
        <v>436</v>
      </c>
      <c r="D653" s="4" t="s">
        <v>676</v>
      </c>
      <c r="E653" s="9" t="s">
        <v>686</v>
      </c>
      <c r="F653" s="9" t="s">
        <v>190</v>
      </c>
      <c r="G653" s="14">
        <v>39</v>
      </c>
      <c r="H653" s="14">
        <v>5335000</v>
      </c>
      <c r="I653" s="14">
        <v>2</v>
      </c>
      <c r="J653" s="14">
        <v>250000</v>
      </c>
      <c r="K653" s="14">
        <v>0</v>
      </c>
      <c r="L653" s="14">
        <v>0</v>
      </c>
      <c r="M653" s="4" t="e">
        <f>IF(F653="Tindakan",VLOOKUP(O653,#REF!,4,FALSE),IF(F653="Intensif",VLOOKUP(O653,#REF!,10,FALSE),IF(F653="Penunjang",VLOOKUP(O653,#REF!,16,FALSE),IF(F653="Visitase Berdasarkan Jumlah Pasien",VLOOKUP(O653,#REF!,22,FALSE),IF(F653="Visitase",VLOOKUP(O653,#REF!,28,FALSE),IF(F653="Rawat Jalan",VLOOKUP(O653,#REF!,34,FALSE),0))))))</f>
        <v>#REF!</v>
      </c>
      <c r="N653" s="12">
        <f t="shared" si="20"/>
        <v>0</v>
      </c>
      <c r="O653" t="s">
        <v>695</v>
      </c>
      <c r="P653">
        <v>643</v>
      </c>
    </row>
    <row r="654" spans="2:16" x14ac:dyDescent="0.35">
      <c r="B654" s="7">
        <f t="shared" si="21"/>
        <v>644</v>
      </c>
      <c r="C654" s="3" t="s">
        <v>436</v>
      </c>
      <c r="D654" s="4" t="s">
        <v>676</v>
      </c>
      <c r="E654" s="9" t="s">
        <v>686</v>
      </c>
      <c r="F654" s="9" t="s">
        <v>22</v>
      </c>
      <c r="G654" s="14">
        <v>0</v>
      </c>
      <c r="H654" s="14">
        <v>0</v>
      </c>
      <c r="I654" s="14">
        <v>0</v>
      </c>
      <c r="J654" s="14">
        <v>0</v>
      </c>
      <c r="K654" s="14">
        <v>43</v>
      </c>
      <c r="L654" s="14">
        <v>8115000</v>
      </c>
      <c r="M654" s="4" t="e">
        <f>IF(F654="Tindakan",VLOOKUP(O654,#REF!,4,FALSE),IF(F654="Intensif",VLOOKUP(O654,#REF!,10,FALSE),IF(F654="Penunjang",VLOOKUP(O654,#REF!,16,FALSE),IF(F654="Visitase Berdasarkan Jumlah Pasien",VLOOKUP(O654,#REF!,22,FALSE),IF(F654="Visitase",VLOOKUP(O654,#REF!,28,FALSE),IF(F654="Rawat Jalan",VLOOKUP(O654,#REF!,34,FALSE),0))))))</f>
        <v>#REF!</v>
      </c>
      <c r="N654" s="12">
        <f t="shared" si="20"/>
        <v>0</v>
      </c>
      <c r="O654" t="s">
        <v>695</v>
      </c>
      <c r="P654">
        <v>644</v>
      </c>
    </row>
    <row r="655" spans="2:16" x14ac:dyDescent="0.35">
      <c r="B655" s="7">
        <f t="shared" si="21"/>
        <v>645</v>
      </c>
      <c r="C655" s="3" t="s">
        <v>437</v>
      </c>
      <c r="D655" s="4" t="s">
        <v>677</v>
      </c>
      <c r="E655" s="9" t="s">
        <v>686</v>
      </c>
      <c r="F655" s="9" t="s">
        <v>190</v>
      </c>
      <c r="G655" s="14">
        <v>2</v>
      </c>
      <c r="H655" s="14">
        <v>285000</v>
      </c>
      <c r="I655" s="14">
        <v>0</v>
      </c>
      <c r="J655" s="14">
        <v>0</v>
      </c>
      <c r="K655" s="14">
        <v>0</v>
      </c>
      <c r="L655" s="14">
        <v>0</v>
      </c>
      <c r="M655" s="4" t="e">
        <f>IF(F655="Tindakan",VLOOKUP(O655,#REF!,4,FALSE),IF(F655="Intensif",VLOOKUP(O655,#REF!,10,FALSE),IF(F655="Penunjang",VLOOKUP(O655,#REF!,16,FALSE),IF(F655="Visitase Berdasarkan Jumlah Pasien",VLOOKUP(O655,#REF!,22,FALSE),IF(F655="Visitase",VLOOKUP(O655,#REF!,28,FALSE),IF(F655="Rawat Jalan",VLOOKUP(O655,#REF!,34,FALSE),0))))))</f>
        <v>#REF!</v>
      </c>
      <c r="N655" s="12">
        <f t="shared" si="20"/>
        <v>0</v>
      </c>
      <c r="O655" t="s">
        <v>695</v>
      </c>
      <c r="P655">
        <v>645</v>
      </c>
    </row>
    <row r="656" spans="2:16" x14ac:dyDescent="0.35">
      <c r="B656" s="7">
        <f t="shared" si="21"/>
        <v>646</v>
      </c>
      <c r="C656" s="3" t="s">
        <v>233</v>
      </c>
      <c r="D656" s="4" t="s">
        <v>678</v>
      </c>
      <c r="E656" s="9" t="s">
        <v>161</v>
      </c>
      <c r="F656" s="9" t="s">
        <v>190</v>
      </c>
      <c r="G656" s="14">
        <v>26</v>
      </c>
      <c r="H656" s="14">
        <v>3365000</v>
      </c>
      <c r="I656" s="14">
        <v>0</v>
      </c>
      <c r="J656" s="14">
        <v>0</v>
      </c>
      <c r="K656" s="14">
        <v>0</v>
      </c>
      <c r="L656" s="14">
        <v>0</v>
      </c>
      <c r="M656" s="4" t="e">
        <f>IF(F656="Tindakan",VLOOKUP(O656,#REF!,4,FALSE),IF(F656="Intensif",VLOOKUP(O656,#REF!,10,FALSE),IF(F656="Penunjang",VLOOKUP(O656,#REF!,16,FALSE),IF(F656="Visitase Berdasarkan Jumlah Pasien",VLOOKUP(O656,#REF!,22,FALSE),IF(F656="Visitase",VLOOKUP(O656,#REF!,28,FALSE),IF(F656="Rawat Jalan",VLOOKUP(O656,#REF!,34,FALSE),0))))))</f>
        <v>#REF!</v>
      </c>
      <c r="N656" s="12">
        <f t="shared" si="20"/>
        <v>0</v>
      </c>
      <c r="O656" t="s">
        <v>688</v>
      </c>
      <c r="P656">
        <v>646</v>
      </c>
    </row>
    <row r="657" spans="2:16" x14ac:dyDescent="0.35">
      <c r="B657" s="7">
        <f t="shared" si="21"/>
        <v>647</v>
      </c>
      <c r="C657" s="3" t="s">
        <v>233</v>
      </c>
      <c r="D657" s="4" t="s">
        <v>678</v>
      </c>
      <c r="E657" s="9" t="s">
        <v>161</v>
      </c>
      <c r="F657" s="9" t="s">
        <v>20</v>
      </c>
      <c r="G657" s="14">
        <v>4</v>
      </c>
      <c r="H657" s="14">
        <v>640000</v>
      </c>
      <c r="I657" s="14">
        <v>0</v>
      </c>
      <c r="J657" s="14">
        <v>0</v>
      </c>
      <c r="K657" s="14">
        <v>0</v>
      </c>
      <c r="L657" s="14">
        <v>0</v>
      </c>
      <c r="M657" s="4" t="e">
        <f>IF(F657="Tindakan",VLOOKUP(O657,#REF!,4,FALSE),IF(F657="Intensif",VLOOKUP(O657,#REF!,10,FALSE),IF(F657="Penunjang",VLOOKUP(O657,#REF!,16,FALSE),IF(F657="Visitase Berdasarkan Jumlah Pasien",VLOOKUP(O657,#REF!,22,FALSE),IF(F657="Visitase",VLOOKUP(O657,#REF!,28,FALSE),IF(F657="Rawat Jalan",VLOOKUP(O657,#REF!,34,FALSE),0))))))</f>
        <v>#REF!</v>
      </c>
      <c r="N657" s="12">
        <f t="shared" si="20"/>
        <v>0</v>
      </c>
      <c r="O657" t="s">
        <v>688</v>
      </c>
      <c r="P657">
        <v>647</v>
      </c>
    </row>
    <row r="658" spans="2:16" x14ac:dyDescent="0.35">
      <c r="B658" s="7">
        <f t="shared" si="21"/>
        <v>648</v>
      </c>
      <c r="C658" s="3" t="s">
        <v>233</v>
      </c>
      <c r="D658" s="4" t="s">
        <v>678</v>
      </c>
      <c r="E658" s="9" t="s">
        <v>161</v>
      </c>
      <c r="F658" s="9" t="s">
        <v>19</v>
      </c>
      <c r="G658" s="14">
        <v>25</v>
      </c>
      <c r="H658" s="14">
        <v>217000000</v>
      </c>
      <c r="I658" s="14">
        <v>0</v>
      </c>
      <c r="J658" s="14">
        <v>0</v>
      </c>
      <c r="K658" s="14">
        <v>0</v>
      </c>
      <c r="L658" s="14">
        <v>0</v>
      </c>
      <c r="M658" s="4" t="e">
        <f>IF(F658="Tindakan",VLOOKUP(O658,#REF!,4,FALSE),IF(F658="Intensif",VLOOKUP(O658,#REF!,10,FALSE),IF(F658="Penunjang",VLOOKUP(O658,#REF!,16,FALSE),IF(F658="Visitase Berdasarkan Jumlah Pasien",VLOOKUP(O658,#REF!,22,FALSE),IF(F658="Visitase",VLOOKUP(O658,#REF!,28,FALSE),IF(F658="Rawat Jalan",VLOOKUP(O658,#REF!,34,FALSE),0))))))</f>
        <v>#REF!</v>
      </c>
      <c r="N658" s="12">
        <f t="shared" si="20"/>
        <v>0</v>
      </c>
      <c r="O658" t="s">
        <v>688</v>
      </c>
      <c r="P658">
        <v>648</v>
      </c>
    </row>
    <row r="659" spans="2:16" x14ac:dyDescent="0.35">
      <c r="B659" s="7">
        <f t="shared" si="21"/>
        <v>649</v>
      </c>
      <c r="C659" s="3" t="s">
        <v>233</v>
      </c>
      <c r="D659" s="4" t="s">
        <v>678</v>
      </c>
      <c r="E659" s="9" t="s">
        <v>161</v>
      </c>
      <c r="F659" s="9" t="s">
        <v>22</v>
      </c>
      <c r="G659" s="14">
        <v>48</v>
      </c>
      <c r="H659" s="14">
        <v>4061000</v>
      </c>
      <c r="I659" s="14">
        <v>0</v>
      </c>
      <c r="J659" s="14">
        <v>0</v>
      </c>
      <c r="K659" s="14">
        <v>0</v>
      </c>
      <c r="L659" s="14">
        <v>0</v>
      </c>
      <c r="M659" s="4" t="e">
        <f>IF(F659="Tindakan",VLOOKUP(O659,#REF!,4,FALSE),IF(F659="Intensif",VLOOKUP(O659,#REF!,10,FALSE),IF(F659="Penunjang",VLOOKUP(O659,#REF!,16,FALSE),IF(F659="Visitase Berdasarkan Jumlah Pasien",VLOOKUP(O659,#REF!,22,FALSE),IF(F659="Visitase",VLOOKUP(O659,#REF!,28,FALSE),IF(F659="Rawat Jalan",VLOOKUP(O659,#REF!,34,FALSE),0))))))</f>
        <v>#REF!</v>
      </c>
      <c r="N659" s="12">
        <f t="shared" si="20"/>
        <v>0</v>
      </c>
      <c r="O659" t="s">
        <v>688</v>
      </c>
      <c r="P659">
        <v>649</v>
      </c>
    </row>
    <row r="660" spans="2:16" x14ac:dyDescent="0.35">
      <c r="B660" s="7">
        <f t="shared" si="21"/>
        <v>650</v>
      </c>
      <c r="C660" s="3" t="s">
        <v>288</v>
      </c>
      <c r="D660" s="4" t="s">
        <v>679</v>
      </c>
      <c r="E660" s="9" t="s">
        <v>164</v>
      </c>
      <c r="F660" s="9" t="s">
        <v>190</v>
      </c>
      <c r="G660" s="14">
        <v>160</v>
      </c>
      <c r="H660" s="14">
        <v>20810000</v>
      </c>
      <c r="I660" s="14">
        <v>36</v>
      </c>
      <c r="J660" s="14">
        <v>4530000</v>
      </c>
      <c r="K660" s="14">
        <v>4</v>
      </c>
      <c r="L660" s="14">
        <v>500000</v>
      </c>
      <c r="M660" s="4" t="e">
        <f>IF(F660="Tindakan",VLOOKUP(O660,#REF!,4,FALSE),IF(F660="Intensif",VLOOKUP(O660,#REF!,10,FALSE),IF(F660="Penunjang",VLOOKUP(O660,#REF!,16,FALSE),IF(F660="Visitase Berdasarkan Jumlah Pasien",VLOOKUP(O660,#REF!,22,FALSE),IF(F660="Visitase",VLOOKUP(O660,#REF!,28,FALSE),IF(F660="Rawat Jalan",VLOOKUP(O660,#REF!,34,FALSE),0))))))</f>
        <v>#REF!</v>
      </c>
      <c r="N660" s="12">
        <f t="shared" si="20"/>
        <v>0</v>
      </c>
      <c r="O660" t="s">
        <v>693</v>
      </c>
      <c r="P660">
        <v>650</v>
      </c>
    </row>
    <row r="661" spans="2:16" x14ac:dyDescent="0.35">
      <c r="B661" s="7">
        <f t="shared" si="21"/>
        <v>651</v>
      </c>
      <c r="C661" s="3" t="s">
        <v>288</v>
      </c>
      <c r="D661" s="4" t="s">
        <v>679</v>
      </c>
      <c r="E661" s="9" t="s">
        <v>164</v>
      </c>
      <c r="F661" s="9" t="s">
        <v>20</v>
      </c>
      <c r="G661" s="14">
        <v>16</v>
      </c>
      <c r="H661" s="14">
        <v>2755000</v>
      </c>
      <c r="I661" s="14">
        <v>1</v>
      </c>
      <c r="J661" s="14">
        <v>160000</v>
      </c>
      <c r="K661" s="14">
        <v>1</v>
      </c>
      <c r="L661" s="14">
        <v>160000</v>
      </c>
      <c r="M661" s="4" t="e">
        <f>IF(F661="Tindakan",VLOOKUP(O661,#REF!,4,FALSE),IF(F661="Intensif",VLOOKUP(O661,#REF!,10,FALSE),IF(F661="Penunjang",VLOOKUP(O661,#REF!,16,FALSE),IF(F661="Visitase Berdasarkan Jumlah Pasien",VLOOKUP(O661,#REF!,22,FALSE),IF(F661="Visitase",VLOOKUP(O661,#REF!,28,FALSE),IF(F661="Rawat Jalan",VLOOKUP(O661,#REF!,34,FALSE),0))))))</f>
        <v>#REF!</v>
      </c>
      <c r="N661" s="12">
        <f t="shared" si="20"/>
        <v>0</v>
      </c>
      <c r="O661" t="s">
        <v>693</v>
      </c>
      <c r="P661">
        <v>651</v>
      </c>
    </row>
    <row r="662" spans="2:16" x14ac:dyDescent="0.35">
      <c r="B662" s="7">
        <f t="shared" si="21"/>
        <v>652</v>
      </c>
      <c r="C662" s="3" t="s">
        <v>288</v>
      </c>
      <c r="D662" s="4" t="s">
        <v>679</v>
      </c>
      <c r="E662" s="9" t="s">
        <v>164</v>
      </c>
      <c r="F662" s="9" t="s">
        <v>19</v>
      </c>
      <c r="G662" s="14">
        <v>18</v>
      </c>
      <c r="H662" s="14">
        <v>122100000</v>
      </c>
      <c r="I662" s="14">
        <v>3</v>
      </c>
      <c r="J662" s="14">
        <v>23100000</v>
      </c>
      <c r="K662" s="14">
        <v>1</v>
      </c>
      <c r="L662" s="14">
        <v>25390000</v>
      </c>
      <c r="M662" s="4" t="e">
        <f>IF(F662="Tindakan",VLOOKUP(O662,#REF!,4,FALSE),IF(F662="Intensif",VLOOKUP(O662,#REF!,10,FALSE),IF(F662="Penunjang",VLOOKUP(O662,#REF!,16,FALSE),IF(F662="Visitase Berdasarkan Jumlah Pasien",VLOOKUP(O662,#REF!,22,FALSE),IF(F662="Visitase",VLOOKUP(O662,#REF!,28,FALSE),IF(F662="Rawat Jalan",VLOOKUP(O662,#REF!,34,FALSE),0))))))</f>
        <v>#REF!</v>
      </c>
      <c r="N662" s="12">
        <f t="shared" si="20"/>
        <v>0</v>
      </c>
      <c r="O662" t="s">
        <v>693</v>
      </c>
      <c r="P662">
        <v>652</v>
      </c>
    </row>
    <row r="663" spans="2:16" x14ac:dyDescent="0.35">
      <c r="B663" s="7">
        <f t="shared" si="21"/>
        <v>653</v>
      </c>
      <c r="C663" s="3" t="s">
        <v>288</v>
      </c>
      <c r="D663" s="4" t="s">
        <v>679</v>
      </c>
      <c r="E663" s="9" t="s">
        <v>164</v>
      </c>
      <c r="F663" s="9" t="s">
        <v>22</v>
      </c>
      <c r="G663" s="14">
        <v>2</v>
      </c>
      <c r="H663" s="14">
        <v>356000</v>
      </c>
      <c r="I663" s="14">
        <v>0</v>
      </c>
      <c r="J663" s="14">
        <v>0</v>
      </c>
      <c r="K663" s="14">
        <v>10</v>
      </c>
      <c r="L663" s="14">
        <v>2934000</v>
      </c>
      <c r="M663" s="4" t="e">
        <f>IF(F663="Tindakan",VLOOKUP(O663,#REF!,4,FALSE),IF(F663="Intensif",VLOOKUP(O663,#REF!,10,FALSE),IF(F663="Penunjang",VLOOKUP(O663,#REF!,16,FALSE),IF(F663="Visitase Berdasarkan Jumlah Pasien",VLOOKUP(O663,#REF!,22,FALSE),IF(F663="Visitase",VLOOKUP(O663,#REF!,28,FALSE),IF(F663="Rawat Jalan",VLOOKUP(O663,#REF!,34,FALSE),0))))))</f>
        <v>#REF!</v>
      </c>
      <c r="N663" s="12">
        <f t="shared" si="20"/>
        <v>0</v>
      </c>
      <c r="O663" t="s">
        <v>693</v>
      </c>
      <c r="P663">
        <v>653</v>
      </c>
    </row>
    <row r="664" spans="2:16" x14ac:dyDescent="0.35">
      <c r="B664" s="7">
        <f t="shared" si="21"/>
        <v>654</v>
      </c>
      <c r="C664" s="3" t="s">
        <v>438</v>
      </c>
      <c r="D664" s="4" t="s">
        <v>680</v>
      </c>
      <c r="E664" s="9" t="s">
        <v>686</v>
      </c>
      <c r="F664" s="9" t="s">
        <v>22</v>
      </c>
      <c r="G664" s="14">
        <v>1</v>
      </c>
      <c r="H664" s="14">
        <v>50000</v>
      </c>
      <c r="I664" s="14">
        <v>0</v>
      </c>
      <c r="J664" s="14">
        <v>0</v>
      </c>
      <c r="K664" s="14">
        <v>0</v>
      </c>
      <c r="L664" s="14">
        <v>0</v>
      </c>
      <c r="M664" s="4" t="e">
        <f>IF(F664="Tindakan",VLOOKUP(O664,#REF!,4,FALSE),IF(F664="Intensif",VLOOKUP(O664,#REF!,10,FALSE),IF(F664="Penunjang",VLOOKUP(O664,#REF!,16,FALSE),IF(F664="Visitase Berdasarkan Jumlah Pasien",VLOOKUP(O664,#REF!,22,FALSE),IF(F664="Visitase",VLOOKUP(O664,#REF!,28,FALSE),IF(F664="Rawat Jalan",VLOOKUP(O664,#REF!,34,FALSE),0))))))</f>
        <v>#REF!</v>
      </c>
      <c r="N664" s="12">
        <f t="shared" si="20"/>
        <v>0</v>
      </c>
      <c r="O664" t="s">
        <v>695</v>
      </c>
      <c r="P664">
        <v>654</v>
      </c>
    </row>
    <row r="665" spans="2:16" x14ac:dyDescent="0.35">
      <c r="B665" s="7">
        <f t="shared" si="21"/>
        <v>655</v>
      </c>
      <c r="C665" s="3" t="s">
        <v>326</v>
      </c>
      <c r="D665" s="4" t="s">
        <v>681</v>
      </c>
      <c r="E665" s="9" t="s">
        <v>162</v>
      </c>
      <c r="F665" s="9" t="s">
        <v>22</v>
      </c>
      <c r="G665" s="14">
        <v>108</v>
      </c>
      <c r="H665" s="14">
        <v>14666800</v>
      </c>
      <c r="I665" s="14">
        <v>36</v>
      </c>
      <c r="J665" s="14">
        <v>6301200</v>
      </c>
      <c r="K665" s="14">
        <v>20</v>
      </c>
      <c r="L665" s="14">
        <v>5206000</v>
      </c>
      <c r="M665" s="4" t="e">
        <f>IF(F665="Tindakan",VLOOKUP(O665,#REF!,4,FALSE),IF(F665="Intensif",VLOOKUP(O665,#REF!,10,FALSE),IF(F665="Penunjang",VLOOKUP(O665,#REF!,16,FALSE),IF(F665="Visitase Berdasarkan Jumlah Pasien",VLOOKUP(O665,#REF!,22,FALSE),IF(F665="Visitase",VLOOKUP(O665,#REF!,28,FALSE),IF(F665="Rawat Jalan",VLOOKUP(O665,#REF!,34,FALSE),0))))))</f>
        <v>#REF!</v>
      </c>
      <c r="N665" s="12">
        <f t="shared" si="20"/>
        <v>0</v>
      </c>
      <c r="O665" t="s">
        <v>703</v>
      </c>
      <c r="P665">
        <v>655</v>
      </c>
    </row>
    <row r="666" spans="2:16" x14ac:dyDescent="0.35">
      <c r="B666" s="7">
        <f t="shared" si="21"/>
        <v>656</v>
      </c>
      <c r="C666" s="3" t="s">
        <v>326</v>
      </c>
      <c r="D666" s="4" t="s">
        <v>681</v>
      </c>
      <c r="E666" s="9" t="s">
        <v>162</v>
      </c>
      <c r="F666" s="9" t="s">
        <v>20</v>
      </c>
      <c r="G666" s="14">
        <v>1</v>
      </c>
      <c r="H666" s="14">
        <v>140000</v>
      </c>
      <c r="I666" s="14">
        <v>0</v>
      </c>
      <c r="J666" s="14">
        <v>0</v>
      </c>
      <c r="K666" s="14">
        <v>0</v>
      </c>
      <c r="L666" s="14">
        <v>0</v>
      </c>
      <c r="M666" s="4" t="e">
        <f>IF(F666="Tindakan",VLOOKUP(O666,#REF!,4,FALSE),IF(F666="Intensif",VLOOKUP(O666,#REF!,10,FALSE),IF(F666="Penunjang",VLOOKUP(O666,#REF!,16,FALSE),IF(F666="Visitase Berdasarkan Jumlah Pasien",VLOOKUP(O666,#REF!,22,FALSE),IF(F666="Visitase",VLOOKUP(O666,#REF!,28,FALSE),IF(F666="Rawat Jalan",VLOOKUP(O666,#REF!,34,FALSE),0))))))</f>
        <v>#REF!</v>
      </c>
      <c r="N666" s="12">
        <f t="shared" si="20"/>
        <v>0</v>
      </c>
      <c r="O666" t="s">
        <v>703</v>
      </c>
      <c r="P666">
        <v>656</v>
      </c>
    </row>
    <row r="667" spans="2:16" x14ac:dyDescent="0.35">
      <c r="B667" s="7">
        <f t="shared" si="21"/>
        <v>657</v>
      </c>
      <c r="C667" s="3" t="s">
        <v>311</v>
      </c>
      <c r="D667" s="4" t="s">
        <v>682</v>
      </c>
      <c r="E667" s="9" t="s">
        <v>163</v>
      </c>
      <c r="F667" s="9" t="s">
        <v>190</v>
      </c>
      <c r="G667" s="14">
        <v>82</v>
      </c>
      <c r="H667" s="14">
        <v>11265000</v>
      </c>
      <c r="I667" s="14">
        <v>0</v>
      </c>
      <c r="J667" s="14">
        <v>0</v>
      </c>
      <c r="K667" s="14">
        <v>0</v>
      </c>
      <c r="L667" s="14">
        <v>0</v>
      </c>
      <c r="M667" s="4" t="e">
        <f>IF(F667="Tindakan",VLOOKUP(O667,#REF!,4,FALSE),IF(F667="Intensif",VLOOKUP(O667,#REF!,10,FALSE),IF(F667="Penunjang",VLOOKUP(O667,#REF!,16,FALSE),IF(F667="Visitase Berdasarkan Jumlah Pasien",VLOOKUP(O667,#REF!,22,FALSE),IF(F667="Visitase",VLOOKUP(O667,#REF!,28,FALSE),IF(F667="Rawat Jalan",VLOOKUP(O667,#REF!,34,FALSE),0))))))</f>
        <v>#REF!</v>
      </c>
      <c r="N667" s="12">
        <f t="shared" si="20"/>
        <v>0</v>
      </c>
      <c r="O667" t="s">
        <v>694</v>
      </c>
      <c r="P667">
        <v>657</v>
      </c>
    </row>
    <row r="668" spans="2:16" x14ac:dyDescent="0.35">
      <c r="B668" s="7">
        <f t="shared" si="21"/>
        <v>658</v>
      </c>
      <c r="C668" s="3" t="s">
        <v>311</v>
      </c>
      <c r="D668" s="4" t="s">
        <v>682</v>
      </c>
      <c r="E668" s="9" t="s">
        <v>163</v>
      </c>
      <c r="F668" s="9" t="s">
        <v>20</v>
      </c>
      <c r="G668" s="14">
        <v>12</v>
      </c>
      <c r="H668" s="14">
        <v>2040000</v>
      </c>
      <c r="I668" s="14">
        <v>0</v>
      </c>
      <c r="J668" s="14">
        <v>0</v>
      </c>
      <c r="K668" s="14">
        <v>0</v>
      </c>
      <c r="L668" s="14">
        <v>0</v>
      </c>
      <c r="M668" s="4" t="e">
        <f>IF(F668="Tindakan",VLOOKUP(O668,#REF!,4,FALSE),IF(F668="Intensif",VLOOKUP(O668,#REF!,10,FALSE),IF(F668="Penunjang",VLOOKUP(O668,#REF!,16,FALSE),IF(F668="Visitase Berdasarkan Jumlah Pasien",VLOOKUP(O668,#REF!,22,FALSE),IF(F668="Visitase",VLOOKUP(O668,#REF!,28,FALSE),IF(F668="Rawat Jalan",VLOOKUP(O668,#REF!,34,FALSE),0))))))</f>
        <v>#REF!</v>
      </c>
      <c r="N668" s="12">
        <f t="shared" si="20"/>
        <v>0</v>
      </c>
      <c r="O668" t="s">
        <v>694</v>
      </c>
      <c r="P668">
        <v>658</v>
      </c>
    </row>
    <row r="669" spans="2:16" x14ac:dyDescent="0.35">
      <c r="B669" s="7">
        <f t="shared" si="21"/>
        <v>659</v>
      </c>
      <c r="C669" s="3" t="s">
        <v>311</v>
      </c>
      <c r="D669" s="4" t="s">
        <v>682</v>
      </c>
      <c r="E669" s="9" t="s">
        <v>163</v>
      </c>
      <c r="F669" s="9" t="s">
        <v>22</v>
      </c>
      <c r="G669" s="14">
        <v>131</v>
      </c>
      <c r="H669" s="14">
        <v>10955000</v>
      </c>
      <c r="I669" s="14">
        <v>11</v>
      </c>
      <c r="J669" s="14">
        <v>825000</v>
      </c>
      <c r="K669" s="14">
        <v>8</v>
      </c>
      <c r="L669" s="14">
        <v>2000000</v>
      </c>
      <c r="M669" s="4" t="e">
        <f>IF(F669="Tindakan",VLOOKUP(O669,#REF!,4,FALSE),IF(F669="Intensif",VLOOKUP(O669,#REF!,10,FALSE),IF(F669="Penunjang",VLOOKUP(O669,#REF!,16,FALSE),IF(F669="Visitase Berdasarkan Jumlah Pasien",VLOOKUP(O669,#REF!,22,FALSE),IF(F669="Visitase",VLOOKUP(O669,#REF!,28,FALSE),IF(F669="Rawat Jalan",VLOOKUP(O669,#REF!,34,FALSE),0))))))</f>
        <v>#REF!</v>
      </c>
      <c r="N669" s="12">
        <f t="shared" si="20"/>
        <v>0</v>
      </c>
      <c r="O669" t="s">
        <v>694</v>
      </c>
      <c r="P669">
        <v>659</v>
      </c>
    </row>
    <row r="670" spans="2:16" x14ac:dyDescent="0.35">
      <c r="B670" s="7">
        <f t="shared" si="21"/>
        <v>660</v>
      </c>
      <c r="C670" s="3" t="s">
        <v>306</v>
      </c>
      <c r="D670" s="4" t="s">
        <v>683</v>
      </c>
      <c r="E670" s="9" t="s">
        <v>147</v>
      </c>
      <c r="F670" s="9" t="s">
        <v>190</v>
      </c>
      <c r="G670" s="14">
        <v>20</v>
      </c>
      <c r="H670" s="14">
        <v>2500000</v>
      </c>
      <c r="I670" s="14">
        <v>0</v>
      </c>
      <c r="J670" s="14">
        <v>0</v>
      </c>
      <c r="K670" s="14">
        <v>0</v>
      </c>
      <c r="L670" s="14">
        <v>0</v>
      </c>
      <c r="M670" s="4" t="e">
        <f>IF(F670="Tindakan",VLOOKUP(O670,#REF!,4,FALSE),IF(F670="Intensif",VLOOKUP(O670,#REF!,10,FALSE),IF(F670="Penunjang",VLOOKUP(O670,#REF!,16,FALSE),IF(F670="Visitase Berdasarkan Jumlah Pasien",VLOOKUP(O670,#REF!,22,FALSE),IF(F670="Visitase",VLOOKUP(O670,#REF!,28,FALSE),IF(F670="Rawat Jalan",VLOOKUP(O670,#REF!,34,FALSE),0))))))</f>
        <v>#REF!</v>
      </c>
      <c r="N670" s="12">
        <f t="shared" si="20"/>
        <v>0</v>
      </c>
      <c r="O670" t="s">
        <v>691</v>
      </c>
      <c r="P670">
        <v>660</v>
      </c>
    </row>
    <row r="671" spans="2:16" x14ac:dyDescent="0.35">
      <c r="B671" s="7">
        <f t="shared" si="21"/>
        <v>661</v>
      </c>
      <c r="C671" s="3" t="s">
        <v>306</v>
      </c>
      <c r="D671" s="4" t="s">
        <v>683</v>
      </c>
      <c r="E671" s="9" t="s">
        <v>147</v>
      </c>
      <c r="F671" s="9" t="s">
        <v>20</v>
      </c>
      <c r="G671" s="14">
        <v>9</v>
      </c>
      <c r="H671" s="14">
        <v>1436000</v>
      </c>
      <c r="I671" s="14">
        <v>0</v>
      </c>
      <c r="J671" s="14">
        <v>0</v>
      </c>
      <c r="K671" s="14">
        <v>0</v>
      </c>
      <c r="L671" s="14">
        <v>0</v>
      </c>
      <c r="M671" s="4" t="e">
        <f>IF(F671="Tindakan",VLOOKUP(O671,#REF!,4,FALSE),IF(F671="Intensif",VLOOKUP(O671,#REF!,10,FALSE),IF(F671="Penunjang",VLOOKUP(O671,#REF!,16,FALSE),IF(F671="Visitase Berdasarkan Jumlah Pasien",VLOOKUP(O671,#REF!,22,FALSE),IF(F671="Visitase",VLOOKUP(O671,#REF!,28,FALSE),IF(F671="Rawat Jalan",VLOOKUP(O671,#REF!,34,FALSE),0))))))</f>
        <v>#REF!</v>
      </c>
      <c r="N671" s="12">
        <f t="shared" si="20"/>
        <v>0</v>
      </c>
      <c r="O671" t="s">
        <v>691</v>
      </c>
      <c r="P671">
        <v>661</v>
      </c>
    </row>
    <row r="672" spans="2:16" x14ac:dyDescent="0.35">
      <c r="B672" s="7">
        <f t="shared" si="21"/>
        <v>662</v>
      </c>
      <c r="C672" s="3" t="s">
        <v>306</v>
      </c>
      <c r="D672" s="4" t="s">
        <v>683</v>
      </c>
      <c r="E672" s="9" t="s">
        <v>147</v>
      </c>
      <c r="F672" s="9" t="s">
        <v>19</v>
      </c>
      <c r="G672" s="14">
        <v>3</v>
      </c>
      <c r="H672" s="14">
        <v>11111000</v>
      </c>
      <c r="I672" s="14">
        <v>0</v>
      </c>
      <c r="J672" s="14">
        <v>0</v>
      </c>
      <c r="K672" s="14">
        <v>0</v>
      </c>
      <c r="L672" s="14">
        <v>0</v>
      </c>
      <c r="M672" s="4" t="e">
        <f>IF(F672="Tindakan",VLOOKUP(O672,#REF!,4,FALSE),IF(F672="Intensif",VLOOKUP(O672,#REF!,10,FALSE),IF(F672="Penunjang",VLOOKUP(O672,#REF!,16,FALSE),IF(F672="Visitase Berdasarkan Jumlah Pasien",VLOOKUP(O672,#REF!,22,FALSE),IF(F672="Visitase",VLOOKUP(O672,#REF!,28,FALSE),IF(F672="Rawat Jalan",VLOOKUP(O672,#REF!,34,FALSE),0))))))</f>
        <v>#REF!</v>
      </c>
      <c r="N672" s="12">
        <f t="shared" si="20"/>
        <v>0</v>
      </c>
      <c r="O672" t="s">
        <v>691</v>
      </c>
      <c r="P672">
        <v>662</v>
      </c>
    </row>
    <row r="673" spans="2:16" x14ac:dyDescent="0.35">
      <c r="B673" s="7">
        <f t="shared" si="21"/>
        <v>663</v>
      </c>
      <c r="C673" s="3" t="s">
        <v>244</v>
      </c>
      <c r="D673" s="4" t="s">
        <v>684</v>
      </c>
      <c r="E673" s="9" t="s">
        <v>174</v>
      </c>
      <c r="F673" s="9" t="s">
        <v>190</v>
      </c>
      <c r="G673" s="14">
        <v>64</v>
      </c>
      <c r="H673" s="14">
        <v>8285000</v>
      </c>
      <c r="I673" s="14">
        <v>1</v>
      </c>
      <c r="J673" s="14">
        <v>125000</v>
      </c>
      <c r="K673" s="14">
        <v>1</v>
      </c>
      <c r="L673" s="14">
        <v>180000</v>
      </c>
      <c r="M673" s="4" t="e">
        <f>IF(F673="Tindakan",VLOOKUP(O673,#REF!,4,FALSE),IF(F673="Intensif",VLOOKUP(O673,#REF!,10,FALSE),IF(F673="Penunjang",VLOOKUP(O673,#REF!,16,FALSE),IF(F673="Visitase Berdasarkan Jumlah Pasien",VLOOKUP(O673,#REF!,22,FALSE),IF(F673="Visitase",VLOOKUP(O673,#REF!,28,FALSE),IF(F673="Rawat Jalan",VLOOKUP(O673,#REF!,34,FALSE),0))))))</f>
        <v>#REF!</v>
      </c>
      <c r="N673" s="12">
        <f t="shared" si="20"/>
        <v>0</v>
      </c>
      <c r="O673" t="s">
        <v>705</v>
      </c>
      <c r="P673">
        <v>663</v>
      </c>
    </row>
    <row r="674" spans="2:16" x14ac:dyDescent="0.35">
      <c r="B674" s="7">
        <f t="shared" si="21"/>
        <v>664</v>
      </c>
      <c r="C674" s="3" t="s">
        <v>244</v>
      </c>
      <c r="D674" s="4" t="s">
        <v>684</v>
      </c>
      <c r="E674" s="9" t="s">
        <v>174</v>
      </c>
      <c r="F674" s="9" t="s">
        <v>20</v>
      </c>
      <c r="G674" s="14">
        <v>9</v>
      </c>
      <c r="H674" s="14">
        <v>1291000</v>
      </c>
      <c r="I674" s="14">
        <v>0</v>
      </c>
      <c r="J674" s="14">
        <v>0</v>
      </c>
      <c r="K674" s="14">
        <v>0</v>
      </c>
      <c r="L674" s="14">
        <v>0</v>
      </c>
      <c r="M674" s="4" t="e">
        <f>IF(F674="Tindakan",VLOOKUP(O674,#REF!,4,FALSE),IF(F674="Intensif",VLOOKUP(O674,#REF!,10,FALSE),IF(F674="Penunjang",VLOOKUP(O674,#REF!,16,FALSE),IF(F674="Visitase Berdasarkan Jumlah Pasien",VLOOKUP(O674,#REF!,22,FALSE),IF(F674="Visitase",VLOOKUP(O674,#REF!,28,FALSE),IF(F674="Rawat Jalan",VLOOKUP(O674,#REF!,34,FALSE),0))))))</f>
        <v>#REF!</v>
      </c>
      <c r="N674" s="12">
        <f t="shared" si="20"/>
        <v>0</v>
      </c>
      <c r="O674" t="s">
        <v>705</v>
      </c>
      <c r="P674">
        <v>664</v>
      </c>
    </row>
    <row r="675" spans="2:16" x14ac:dyDescent="0.35">
      <c r="B675" s="7">
        <f t="shared" si="21"/>
        <v>665</v>
      </c>
      <c r="C675" s="3" t="s">
        <v>244</v>
      </c>
      <c r="D675" s="4" t="s">
        <v>684</v>
      </c>
      <c r="E675" s="9" t="s">
        <v>174</v>
      </c>
      <c r="F675" s="9" t="s">
        <v>19</v>
      </c>
      <c r="G675" s="14">
        <v>16</v>
      </c>
      <c r="H675" s="14">
        <v>93800000</v>
      </c>
      <c r="I675" s="14">
        <v>0</v>
      </c>
      <c r="J675" s="14">
        <v>0</v>
      </c>
      <c r="K675" s="14">
        <v>1</v>
      </c>
      <c r="L675" s="14">
        <v>14990000</v>
      </c>
      <c r="M675" s="4" t="e">
        <f>IF(F675="Tindakan",VLOOKUP(O675,#REF!,4,FALSE),IF(F675="Intensif",VLOOKUP(O675,#REF!,10,FALSE),IF(F675="Penunjang",VLOOKUP(O675,#REF!,16,FALSE),IF(F675="Visitase Berdasarkan Jumlah Pasien",VLOOKUP(O675,#REF!,22,FALSE),IF(F675="Visitase",VLOOKUP(O675,#REF!,28,FALSE),IF(F675="Rawat Jalan",VLOOKUP(O675,#REF!,34,FALSE),0))))))</f>
        <v>#REF!</v>
      </c>
      <c r="N675" s="12">
        <f t="shared" si="20"/>
        <v>0</v>
      </c>
      <c r="O675" t="s">
        <v>705</v>
      </c>
      <c r="P675">
        <v>665</v>
      </c>
    </row>
    <row r="676" spans="2:16" x14ac:dyDescent="0.35">
      <c r="B676" s="7">
        <f t="shared" si="21"/>
        <v>666</v>
      </c>
      <c r="C676" s="3" t="s">
        <v>244</v>
      </c>
      <c r="D676" s="4" t="s">
        <v>684</v>
      </c>
      <c r="E676" s="9" t="s">
        <v>174</v>
      </c>
      <c r="F676" s="9" t="s">
        <v>22</v>
      </c>
      <c r="G676" s="14">
        <v>155</v>
      </c>
      <c r="H676" s="14">
        <v>25471000</v>
      </c>
      <c r="I676" s="14">
        <v>4</v>
      </c>
      <c r="J676" s="14">
        <v>535000</v>
      </c>
      <c r="K676" s="14">
        <v>31</v>
      </c>
      <c r="L676" s="14">
        <v>7600000</v>
      </c>
      <c r="M676" s="4" t="e">
        <f>IF(F676="Tindakan",VLOOKUP(O676,#REF!,4,FALSE),IF(F676="Intensif",VLOOKUP(O676,#REF!,10,FALSE),IF(F676="Penunjang",VLOOKUP(O676,#REF!,16,FALSE),IF(F676="Visitase Berdasarkan Jumlah Pasien",VLOOKUP(O676,#REF!,22,FALSE),IF(F676="Visitase",VLOOKUP(O676,#REF!,28,FALSE),IF(F676="Rawat Jalan",VLOOKUP(O676,#REF!,34,FALSE),0))))))</f>
        <v>#REF!</v>
      </c>
      <c r="N676" s="12">
        <f t="shared" si="20"/>
        <v>0</v>
      </c>
      <c r="O676" t="s">
        <v>705</v>
      </c>
      <c r="P676">
        <v>666</v>
      </c>
    </row>
    <row r="677" spans="2:16" x14ac:dyDescent="0.35">
      <c r="B677" s="7">
        <f t="shared" si="21"/>
        <v>667</v>
      </c>
      <c r="C677" s="3" t="s">
        <v>439</v>
      </c>
      <c r="D677" s="4" t="s">
        <v>685</v>
      </c>
      <c r="E677" s="9" t="s">
        <v>686</v>
      </c>
      <c r="F677" s="9" t="s">
        <v>190</v>
      </c>
      <c r="G677" s="14">
        <v>2</v>
      </c>
      <c r="H677" s="14">
        <v>285000</v>
      </c>
      <c r="I677" s="14">
        <v>0</v>
      </c>
      <c r="J677" s="14">
        <v>0</v>
      </c>
      <c r="K677" s="14">
        <v>0</v>
      </c>
      <c r="L677" s="14">
        <v>0</v>
      </c>
      <c r="M677" s="4" t="e">
        <f>IF(F677="Tindakan",VLOOKUP(O677,#REF!,4,FALSE),IF(F677="Intensif",VLOOKUP(O677,#REF!,10,FALSE),IF(F677="Penunjang",VLOOKUP(O677,#REF!,16,FALSE),IF(F677="Visitase Berdasarkan Jumlah Pasien",VLOOKUP(O677,#REF!,22,FALSE),IF(F677="Visitase",VLOOKUP(O677,#REF!,28,FALSE),IF(F677="Rawat Jalan",VLOOKUP(O677,#REF!,34,FALSE),0))))))</f>
        <v>#REF!</v>
      </c>
      <c r="N677" s="12">
        <f t="shared" si="20"/>
        <v>0</v>
      </c>
      <c r="O677" t="s">
        <v>695</v>
      </c>
      <c r="P677">
        <v>667</v>
      </c>
    </row>
  </sheetData>
  <autoFilter ref="B10:O677" xr:uid="{D47603B4-A21A-40CF-9F05-4553DE94AF71}"/>
  <mergeCells count="3">
    <mergeCell ref="G9:H9"/>
    <mergeCell ref="I9:J9"/>
    <mergeCell ref="K9:L9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C671DD7-4626-42C9-B1A6-1F5B1E635373}">
          <x14:formula1>
            <xm:f>Lookup!$F$5:$F$10</xm:f>
          </x14:formula1>
          <xm:sqref>F11:F677</xm:sqref>
        </x14:dataValidation>
        <x14:dataValidation type="list" allowBlank="1" showInputMessage="1" showErrorMessage="1" xr:uid="{5C85667F-7606-4A5F-87D2-E18EA0A51118}">
          <x14:formula1>
            <xm:f>Lookup!$D$5:$D$50</xm:f>
          </x14:formula1>
          <xm:sqref>E11:E677</xm:sqref>
        </x14:dataValidation>
        <x14:dataValidation type="list" allowBlank="1" showInputMessage="1" showErrorMessage="1" xr:uid="{400C57BA-8F98-4AFF-B2A4-227CCAA3F630}">
          <x14:formula1>
            <xm:f>Lookup!$J$5:$J$48</xm:f>
          </x14:formula1>
          <xm:sqref>F5</xm:sqref>
        </x14:dataValidation>
        <x14:dataValidation type="list" allowBlank="1" showInputMessage="1" showErrorMessage="1" xr:uid="{64136297-E617-40BC-932D-C63FDF02C9E3}">
          <x14:formula1>
            <xm:f>Lookup!$B$5:$B$17</xm:f>
          </x14:formula1>
          <xm:sqref>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03B4-A21A-40CF-9F05-4553DE94AF71}">
  <dimension ref="B2:N693"/>
  <sheetViews>
    <sheetView showGridLines="0" tabSelected="1" topLeftCell="A2" workbookViewId="0">
      <pane xSplit="4" ySplit="9" topLeftCell="E11" activePane="bottomRight" state="frozen"/>
      <selection activeCell="A2" sqref="A2"/>
      <selection pane="topRight" activeCell="E2" sqref="E2"/>
      <selection pane="bottomLeft" activeCell="A11" sqref="A11"/>
      <selection pane="bottomRight" activeCell="E11" sqref="E11"/>
    </sheetView>
  </sheetViews>
  <sheetFormatPr defaultRowHeight="14.5" x14ac:dyDescent="0.35"/>
  <cols>
    <col min="1" max="1" width="2.26953125" customWidth="1"/>
    <col min="2" max="2" width="5.1796875" customWidth="1"/>
    <col min="3" max="3" width="17" bestFit="1" customWidth="1"/>
    <col min="4" max="4" width="38.08984375" bestFit="1" customWidth="1"/>
    <col min="5" max="5" width="48.453125" bestFit="1" customWidth="1"/>
    <col min="6" max="6" width="46.26953125" customWidth="1"/>
    <col min="7" max="7" width="26.7265625" bestFit="1" customWidth="1"/>
    <col min="8" max="8" width="26.81640625" customWidth="1"/>
    <col min="9" max="9" width="38.54296875" customWidth="1"/>
    <col min="10" max="10" width="38.7265625" customWidth="1"/>
    <col min="11" max="11" width="39.81640625" customWidth="1"/>
    <col min="12" max="12" width="40" customWidth="1"/>
    <col min="13" max="13" width="18.81640625" bestFit="1" customWidth="1"/>
    <col min="14" max="14" width="31.26953125" bestFit="1" customWidth="1"/>
    <col min="15" max="15" width="9.1796875" customWidth="1"/>
  </cols>
  <sheetData>
    <row r="2" spans="2:14" ht="21" x14ac:dyDescent="0.5">
      <c r="B2" s="8" t="s">
        <v>0</v>
      </c>
    </row>
    <row r="3" spans="2:14" x14ac:dyDescent="0.35">
      <c r="B3" s="1" t="s">
        <v>136</v>
      </c>
      <c r="F3" s="9" t="s">
        <v>5</v>
      </c>
      <c r="G3" s="11" t="s">
        <v>139</v>
      </c>
    </row>
    <row r="5" spans="2:14" x14ac:dyDescent="0.35">
      <c r="B5" s="1" t="s">
        <v>137</v>
      </c>
      <c r="F5" s="9" t="s">
        <v>40</v>
      </c>
      <c r="G5" s="11" t="s">
        <v>139</v>
      </c>
    </row>
    <row r="6" spans="2:14" x14ac:dyDescent="0.35">
      <c r="B6" s="1" t="s">
        <v>135</v>
      </c>
      <c r="F6" s="10" t="str">
        <f>IFERROR(VLOOKUP(F5, Lookup!J5:L48, 3, FALSE), "")</f>
        <v>3171012</v>
      </c>
      <c r="G6" s="11" t="s">
        <v>140</v>
      </c>
    </row>
    <row r="7" spans="2:14" x14ac:dyDescent="0.35">
      <c r="B7" s="1" t="s">
        <v>138</v>
      </c>
      <c r="F7" s="10" t="str">
        <f>IFERROR(VLOOKUP(F5, Lookup!J5:N48, 5, FALSE), "")</f>
        <v>Rumah Sakit Umum</v>
      </c>
      <c r="G7" s="11" t="s">
        <v>140</v>
      </c>
    </row>
    <row r="8" spans="2:14" x14ac:dyDescent="0.35">
      <c r="B8" s="1"/>
    </row>
    <row r="9" spans="2:14" x14ac:dyDescent="0.35">
      <c r="G9" s="17" t="s">
        <v>24</v>
      </c>
      <c r="H9" s="17"/>
      <c r="I9" s="18" t="s">
        <v>25</v>
      </c>
      <c r="J9" s="19"/>
      <c r="K9" s="17" t="s">
        <v>26</v>
      </c>
      <c r="L9" s="17"/>
    </row>
    <row r="10" spans="2:14" x14ac:dyDescent="0.35">
      <c r="B10" s="5" t="s">
        <v>15</v>
      </c>
      <c r="C10" s="5" t="s">
        <v>16</v>
      </c>
      <c r="D10" s="5" t="s">
        <v>17</v>
      </c>
      <c r="E10" s="5" t="s">
        <v>189</v>
      </c>
      <c r="F10" s="5" t="s">
        <v>141</v>
      </c>
      <c r="G10" s="5" t="s">
        <v>27</v>
      </c>
      <c r="H10" s="5" t="s">
        <v>28</v>
      </c>
      <c r="I10" s="5" t="s">
        <v>29</v>
      </c>
      <c r="J10" s="5" t="s">
        <v>30</v>
      </c>
      <c r="K10" s="5" t="s">
        <v>31</v>
      </c>
      <c r="L10" s="5" t="s">
        <v>32</v>
      </c>
      <c r="M10" s="5" t="s">
        <v>33</v>
      </c>
      <c r="N10" s="5" t="s">
        <v>142</v>
      </c>
    </row>
    <row r="11" spans="2:14" x14ac:dyDescent="0.35">
      <c r="B11" s="4">
        <v>1</v>
      </c>
      <c r="C11" s="3" t="s">
        <v>289</v>
      </c>
      <c r="D11" s="4" t="s">
        <v>830</v>
      </c>
      <c r="E11" s="9" t="s">
        <v>151</v>
      </c>
      <c r="F11" s="9" t="s">
        <v>20</v>
      </c>
      <c r="G11" s="16">
        <v>35</v>
      </c>
      <c r="H11" s="16">
        <v>15436000</v>
      </c>
      <c r="I11" s="16">
        <v>26</v>
      </c>
      <c r="J11" s="16">
        <v>4659000</v>
      </c>
      <c r="K11" s="16">
        <v>0</v>
      </c>
      <c r="L11" s="16">
        <v>0</v>
      </c>
      <c r="M11" s="16"/>
      <c r="N11" s="12">
        <f t="shared" ref="N11:N74" si="0">IFERROR((G11/M11)*100%, 0)</f>
        <v>0</v>
      </c>
    </row>
    <row r="12" spans="2:14" x14ac:dyDescent="0.35">
      <c r="B12" s="4">
        <f>B11+1</f>
        <v>2</v>
      </c>
      <c r="C12" s="3" t="s">
        <v>289</v>
      </c>
      <c r="D12" s="4" t="s">
        <v>830</v>
      </c>
      <c r="E12" s="9" t="s">
        <v>151</v>
      </c>
      <c r="F12" s="9" t="s">
        <v>21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/>
      <c r="N12" s="12">
        <f t="shared" si="0"/>
        <v>0</v>
      </c>
    </row>
    <row r="13" spans="2:14" x14ac:dyDescent="0.35">
      <c r="B13" s="4">
        <f t="shared" ref="B13:B76" si="1">B12+1</f>
        <v>3</v>
      </c>
      <c r="C13" s="3" t="s">
        <v>289</v>
      </c>
      <c r="D13" s="4" t="s">
        <v>830</v>
      </c>
      <c r="E13" s="9" t="s">
        <v>151</v>
      </c>
      <c r="F13" s="9" t="s">
        <v>22</v>
      </c>
      <c r="G13" s="16">
        <v>267</v>
      </c>
      <c r="H13" s="16">
        <v>31583000</v>
      </c>
      <c r="I13" s="16">
        <v>4</v>
      </c>
      <c r="J13" s="16">
        <v>495000</v>
      </c>
      <c r="K13" s="16">
        <v>32</v>
      </c>
      <c r="L13" s="16">
        <v>8000000</v>
      </c>
      <c r="M13" s="16"/>
      <c r="N13" s="12">
        <f t="shared" si="0"/>
        <v>0</v>
      </c>
    </row>
    <row r="14" spans="2:14" x14ac:dyDescent="0.35">
      <c r="B14" s="4">
        <f t="shared" si="1"/>
        <v>4</v>
      </c>
      <c r="C14" s="3" t="s">
        <v>289</v>
      </c>
      <c r="D14" s="4" t="s">
        <v>830</v>
      </c>
      <c r="E14" s="9" t="s">
        <v>151</v>
      </c>
      <c r="F14" s="9" t="s">
        <v>19</v>
      </c>
      <c r="G14" s="16">
        <v>32</v>
      </c>
      <c r="H14" s="16">
        <v>305251500</v>
      </c>
      <c r="I14" s="16">
        <v>0</v>
      </c>
      <c r="J14" s="16">
        <v>0</v>
      </c>
      <c r="K14" s="16">
        <v>6</v>
      </c>
      <c r="L14" s="16">
        <v>115145000</v>
      </c>
      <c r="M14" s="16"/>
      <c r="N14" s="12">
        <f t="shared" si="0"/>
        <v>0</v>
      </c>
    </row>
    <row r="15" spans="2:14" x14ac:dyDescent="0.35">
      <c r="B15" s="4">
        <f t="shared" si="1"/>
        <v>5</v>
      </c>
      <c r="C15" s="3" t="s">
        <v>289</v>
      </c>
      <c r="D15" s="4" t="s">
        <v>830</v>
      </c>
      <c r="E15" s="9" t="s">
        <v>151</v>
      </c>
      <c r="F15" s="9" t="s">
        <v>190</v>
      </c>
      <c r="G15" s="16">
        <v>5</v>
      </c>
      <c r="H15" s="16">
        <v>625000</v>
      </c>
      <c r="I15" s="16">
        <v>17</v>
      </c>
      <c r="J15" s="16">
        <v>2380000</v>
      </c>
      <c r="K15" s="16">
        <v>1</v>
      </c>
      <c r="L15" s="16">
        <v>160000</v>
      </c>
      <c r="M15" s="16"/>
      <c r="N15" s="12">
        <f t="shared" si="0"/>
        <v>0</v>
      </c>
    </row>
    <row r="16" spans="2:14" x14ac:dyDescent="0.35">
      <c r="B16" s="4">
        <f t="shared" si="1"/>
        <v>6</v>
      </c>
      <c r="C16" s="3" t="s">
        <v>216</v>
      </c>
      <c r="D16" s="4" t="s">
        <v>848</v>
      </c>
      <c r="E16" s="9" t="s">
        <v>151</v>
      </c>
      <c r="F16" s="9" t="s">
        <v>19</v>
      </c>
      <c r="G16" s="16">
        <v>32</v>
      </c>
      <c r="H16" s="16">
        <v>287868500</v>
      </c>
      <c r="I16" s="16">
        <v>3</v>
      </c>
      <c r="J16" s="16">
        <v>29300000</v>
      </c>
      <c r="K16" s="16">
        <v>2</v>
      </c>
      <c r="L16" s="16">
        <v>51170000</v>
      </c>
      <c r="M16" s="16"/>
      <c r="N16" s="12">
        <f t="shared" si="0"/>
        <v>0</v>
      </c>
    </row>
    <row r="17" spans="2:14" x14ac:dyDescent="0.35">
      <c r="B17" s="4">
        <f t="shared" si="1"/>
        <v>7</v>
      </c>
      <c r="C17" s="3" t="s">
        <v>256</v>
      </c>
      <c r="D17" s="4" t="s">
        <v>774</v>
      </c>
      <c r="E17" s="9" t="s">
        <v>151</v>
      </c>
      <c r="F17" s="9" t="s">
        <v>20</v>
      </c>
      <c r="G17" s="16">
        <v>1</v>
      </c>
      <c r="H17" s="16">
        <v>140000</v>
      </c>
      <c r="I17" s="16">
        <v>0</v>
      </c>
      <c r="J17" s="16">
        <v>0</v>
      </c>
      <c r="K17" s="16">
        <v>0</v>
      </c>
      <c r="L17" s="16">
        <v>0</v>
      </c>
      <c r="M17" s="16"/>
      <c r="N17" s="12">
        <f t="shared" si="0"/>
        <v>0</v>
      </c>
    </row>
    <row r="18" spans="2:14" x14ac:dyDescent="0.35">
      <c r="B18" s="4">
        <f t="shared" si="1"/>
        <v>8</v>
      </c>
      <c r="C18" s="3" t="s">
        <v>256</v>
      </c>
      <c r="D18" s="4" t="s">
        <v>774</v>
      </c>
      <c r="E18" s="9" t="s">
        <v>151</v>
      </c>
      <c r="F18" s="9" t="s">
        <v>21</v>
      </c>
      <c r="G18" s="16">
        <v>2</v>
      </c>
      <c r="H18" s="16">
        <v>898000</v>
      </c>
      <c r="I18" s="16">
        <v>0</v>
      </c>
      <c r="J18" s="16">
        <v>0</v>
      </c>
      <c r="K18" s="16">
        <v>0</v>
      </c>
      <c r="L18" s="16">
        <v>0</v>
      </c>
      <c r="M18" s="16"/>
      <c r="N18" s="12">
        <f t="shared" si="0"/>
        <v>0</v>
      </c>
    </row>
    <row r="19" spans="2:14" x14ac:dyDescent="0.35">
      <c r="B19" s="4">
        <f t="shared" si="1"/>
        <v>9</v>
      </c>
      <c r="C19" s="3" t="s">
        <v>256</v>
      </c>
      <c r="D19" s="4" t="s">
        <v>774</v>
      </c>
      <c r="E19" s="9" t="s">
        <v>151</v>
      </c>
      <c r="F19" s="9" t="s">
        <v>22</v>
      </c>
      <c r="G19" s="16">
        <v>46</v>
      </c>
      <c r="H19" s="16">
        <v>5975000</v>
      </c>
      <c r="I19" s="16">
        <v>4</v>
      </c>
      <c r="J19" s="16">
        <v>365000</v>
      </c>
      <c r="K19" s="16">
        <v>33</v>
      </c>
      <c r="L19" s="16">
        <v>8250000</v>
      </c>
      <c r="M19" s="16"/>
      <c r="N19" s="12">
        <f t="shared" si="0"/>
        <v>0</v>
      </c>
    </row>
    <row r="20" spans="2:14" x14ac:dyDescent="0.35">
      <c r="B20" s="4">
        <f t="shared" si="1"/>
        <v>10</v>
      </c>
      <c r="C20" s="3" t="s">
        <v>256</v>
      </c>
      <c r="D20" s="4" t="s">
        <v>774</v>
      </c>
      <c r="E20" s="9" t="s">
        <v>151</v>
      </c>
      <c r="F20" s="9" t="s">
        <v>19</v>
      </c>
      <c r="G20" s="16">
        <v>45</v>
      </c>
      <c r="H20" s="16">
        <v>400200000</v>
      </c>
      <c r="I20" s="16">
        <v>1</v>
      </c>
      <c r="J20" s="16">
        <v>5500000</v>
      </c>
      <c r="K20" s="16">
        <v>4</v>
      </c>
      <c r="L20" s="16">
        <v>125350000</v>
      </c>
      <c r="M20" s="16"/>
      <c r="N20" s="12">
        <f t="shared" si="0"/>
        <v>0</v>
      </c>
    </row>
    <row r="21" spans="2:14" x14ac:dyDescent="0.35">
      <c r="B21" s="4">
        <f t="shared" si="1"/>
        <v>11</v>
      </c>
      <c r="C21" s="3" t="s">
        <v>256</v>
      </c>
      <c r="D21" s="4" t="s">
        <v>774</v>
      </c>
      <c r="E21" s="9" t="s">
        <v>151</v>
      </c>
      <c r="F21" s="9" t="s">
        <v>190</v>
      </c>
      <c r="G21" s="16">
        <v>4</v>
      </c>
      <c r="H21" s="16">
        <v>610000</v>
      </c>
      <c r="I21" s="16">
        <v>0</v>
      </c>
      <c r="J21" s="16">
        <v>0</v>
      </c>
      <c r="K21" s="16">
        <v>1</v>
      </c>
      <c r="L21" s="16">
        <v>180000</v>
      </c>
      <c r="M21" s="16"/>
      <c r="N21" s="12">
        <f t="shared" si="0"/>
        <v>0</v>
      </c>
    </row>
    <row r="22" spans="2:14" x14ac:dyDescent="0.35">
      <c r="B22" s="4">
        <f t="shared" si="1"/>
        <v>12</v>
      </c>
      <c r="C22" s="3" t="s">
        <v>290</v>
      </c>
      <c r="D22" s="4" t="s">
        <v>877</v>
      </c>
      <c r="E22" s="9" t="s">
        <v>151</v>
      </c>
      <c r="F22" s="9" t="s">
        <v>20</v>
      </c>
      <c r="G22" s="16">
        <v>18</v>
      </c>
      <c r="H22" s="16">
        <v>54513000</v>
      </c>
      <c r="I22" s="16">
        <v>34</v>
      </c>
      <c r="J22" s="16">
        <v>108644500</v>
      </c>
      <c r="K22" s="16">
        <v>0</v>
      </c>
      <c r="L22" s="16">
        <v>0</v>
      </c>
      <c r="M22" s="16"/>
      <c r="N22" s="12">
        <f t="shared" si="0"/>
        <v>0</v>
      </c>
    </row>
    <row r="23" spans="2:14" x14ac:dyDescent="0.35">
      <c r="B23" s="4">
        <f t="shared" si="1"/>
        <v>13</v>
      </c>
      <c r="C23" s="3" t="s">
        <v>290</v>
      </c>
      <c r="D23" s="4" t="s">
        <v>877</v>
      </c>
      <c r="E23" s="9" t="s">
        <v>151</v>
      </c>
      <c r="F23" s="9" t="s">
        <v>22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/>
      <c r="N23" s="12">
        <f t="shared" si="0"/>
        <v>0</v>
      </c>
    </row>
    <row r="24" spans="2:14" x14ac:dyDescent="0.35">
      <c r="B24" s="4">
        <f t="shared" si="1"/>
        <v>14</v>
      </c>
      <c r="C24" s="3" t="s">
        <v>290</v>
      </c>
      <c r="D24" s="4" t="s">
        <v>877</v>
      </c>
      <c r="E24" s="9" t="s">
        <v>151</v>
      </c>
      <c r="F24" s="9" t="s">
        <v>19</v>
      </c>
      <c r="G24" s="16">
        <v>21</v>
      </c>
      <c r="H24" s="16">
        <v>199853000</v>
      </c>
      <c r="I24" s="16">
        <v>1</v>
      </c>
      <c r="J24" s="16">
        <v>32352000</v>
      </c>
      <c r="K24" s="16">
        <v>3</v>
      </c>
      <c r="L24" s="16">
        <v>50580000</v>
      </c>
      <c r="M24" s="16"/>
      <c r="N24" s="12">
        <f t="shared" si="0"/>
        <v>0</v>
      </c>
    </row>
    <row r="25" spans="2:14" x14ac:dyDescent="0.35">
      <c r="B25" s="4">
        <f t="shared" si="1"/>
        <v>15</v>
      </c>
      <c r="C25" s="3" t="s">
        <v>257</v>
      </c>
      <c r="D25" s="4" t="s">
        <v>831</v>
      </c>
      <c r="E25" s="9" t="s">
        <v>151</v>
      </c>
      <c r="F25" s="9" t="s">
        <v>22</v>
      </c>
      <c r="G25" s="16">
        <v>9</v>
      </c>
      <c r="H25" s="16">
        <v>1130000</v>
      </c>
      <c r="I25" s="16">
        <v>1</v>
      </c>
      <c r="J25" s="16">
        <v>140000</v>
      </c>
      <c r="K25" s="16">
        <v>0</v>
      </c>
      <c r="L25" s="16">
        <v>0</v>
      </c>
      <c r="M25" s="16"/>
      <c r="N25" s="12">
        <f t="shared" si="0"/>
        <v>0</v>
      </c>
    </row>
    <row r="26" spans="2:14" x14ac:dyDescent="0.35">
      <c r="B26" s="4">
        <f t="shared" si="1"/>
        <v>16</v>
      </c>
      <c r="C26" s="3" t="s">
        <v>257</v>
      </c>
      <c r="D26" s="4" t="s">
        <v>831</v>
      </c>
      <c r="E26" s="9" t="s">
        <v>151</v>
      </c>
      <c r="F26" s="9" t="s">
        <v>19</v>
      </c>
      <c r="G26" s="16">
        <v>61</v>
      </c>
      <c r="H26" s="16">
        <v>628554500</v>
      </c>
      <c r="I26" s="16">
        <v>2</v>
      </c>
      <c r="J26" s="16">
        <v>45502000</v>
      </c>
      <c r="K26" s="16">
        <v>5</v>
      </c>
      <c r="L26" s="16">
        <v>102930000</v>
      </c>
      <c r="M26" s="16"/>
      <c r="N26" s="12">
        <f t="shared" si="0"/>
        <v>0</v>
      </c>
    </row>
    <row r="27" spans="2:14" x14ac:dyDescent="0.35">
      <c r="B27" s="4">
        <f t="shared" si="1"/>
        <v>17</v>
      </c>
      <c r="C27" s="3" t="s">
        <v>291</v>
      </c>
      <c r="D27" s="4" t="s">
        <v>883</v>
      </c>
      <c r="E27" s="9" t="s">
        <v>151</v>
      </c>
      <c r="F27" s="9" t="s">
        <v>20</v>
      </c>
      <c r="G27" s="16">
        <v>205</v>
      </c>
      <c r="H27" s="16">
        <v>33745000</v>
      </c>
      <c r="I27" s="16">
        <v>11</v>
      </c>
      <c r="J27" s="16">
        <v>3180000</v>
      </c>
      <c r="K27" s="16">
        <v>9</v>
      </c>
      <c r="L27" s="16">
        <v>1440000</v>
      </c>
      <c r="M27" s="16"/>
      <c r="N27" s="12">
        <f t="shared" si="0"/>
        <v>0</v>
      </c>
    </row>
    <row r="28" spans="2:14" x14ac:dyDescent="0.35">
      <c r="B28" s="4">
        <f t="shared" si="1"/>
        <v>18</v>
      </c>
      <c r="C28" s="3" t="s">
        <v>291</v>
      </c>
      <c r="D28" s="4" t="s">
        <v>883</v>
      </c>
      <c r="E28" s="9" t="s">
        <v>151</v>
      </c>
      <c r="F28" s="9" t="s">
        <v>21</v>
      </c>
      <c r="G28" s="16">
        <v>10</v>
      </c>
      <c r="H28" s="16">
        <v>13943000</v>
      </c>
      <c r="I28" s="16">
        <v>0</v>
      </c>
      <c r="J28" s="16">
        <v>0</v>
      </c>
      <c r="K28" s="16">
        <v>0</v>
      </c>
      <c r="L28" s="16">
        <v>0</v>
      </c>
      <c r="M28" s="16"/>
      <c r="N28" s="12">
        <f t="shared" si="0"/>
        <v>0</v>
      </c>
    </row>
    <row r="29" spans="2:14" x14ac:dyDescent="0.35">
      <c r="B29" s="4">
        <f t="shared" si="1"/>
        <v>19</v>
      </c>
      <c r="C29" s="3" t="s">
        <v>291</v>
      </c>
      <c r="D29" s="4" t="s">
        <v>883</v>
      </c>
      <c r="E29" s="9" t="s">
        <v>151</v>
      </c>
      <c r="F29" s="9" t="s">
        <v>22</v>
      </c>
      <c r="G29" s="16">
        <v>90</v>
      </c>
      <c r="H29" s="16">
        <v>12346300</v>
      </c>
      <c r="I29" s="16">
        <v>2</v>
      </c>
      <c r="J29" s="16">
        <v>150000</v>
      </c>
      <c r="K29" s="16">
        <v>45</v>
      </c>
      <c r="L29" s="16">
        <v>11250000</v>
      </c>
      <c r="M29" s="16"/>
      <c r="N29" s="12">
        <f t="shared" si="0"/>
        <v>0</v>
      </c>
    </row>
    <row r="30" spans="2:14" x14ac:dyDescent="0.35">
      <c r="B30" s="4">
        <f t="shared" si="1"/>
        <v>20</v>
      </c>
      <c r="C30" s="3" t="s">
        <v>291</v>
      </c>
      <c r="D30" s="4" t="s">
        <v>883</v>
      </c>
      <c r="E30" s="9" t="s">
        <v>151</v>
      </c>
      <c r="F30" s="9" t="s">
        <v>19</v>
      </c>
      <c r="G30" s="16">
        <v>23</v>
      </c>
      <c r="H30" s="16">
        <v>173787000</v>
      </c>
      <c r="I30" s="16">
        <v>1</v>
      </c>
      <c r="J30" s="16">
        <v>13217000</v>
      </c>
      <c r="K30" s="16">
        <v>4</v>
      </c>
      <c r="L30" s="16">
        <v>77711500</v>
      </c>
      <c r="M30" s="16"/>
      <c r="N30" s="12">
        <f t="shared" si="0"/>
        <v>0</v>
      </c>
    </row>
    <row r="31" spans="2:14" x14ac:dyDescent="0.35">
      <c r="B31" s="4">
        <f t="shared" si="1"/>
        <v>21</v>
      </c>
      <c r="C31" s="3" t="s">
        <v>291</v>
      </c>
      <c r="D31" s="4" t="s">
        <v>883</v>
      </c>
      <c r="E31" s="9" t="s">
        <v>151</v>
      </c>
      <c r="F31" s="9" t="s">
        <v>190</v>
      </c>
      <c r="G31" s="16">
        <v>148</v>
      </c>
      <c r="H31" s="16">
        <v>23680000</v>
      </c>
      <c r="I31" s="16">
        <v>6</v>
      </c>
      <c r="J31" s="16">
        <v>960000</v>
      </c>
      <c r="K31" s="16">
        <v>8</v>
      </c>
      <c r="L31" s="16">
        <v>1280000</v>
      </c>
      <c r="M31" s="16"/>
      <c r="N31" s="12">
        <f t="shared" si="0"/>
        <v>0</v>
      </c>
    </row>
    <row r="32" spans="2:14" x14ac:dyDescent="0.35">
      <c r="B32" s="4">
        <f t="shared" si="1"/>
        <v>22</v>
      </c>
      <c r="C32" s="3" t="s">
        <v>292</v>
      </c>
      <c r="D32" s="4" t="s">
        <v>852</v>
      </c>
      <c r="E32" s="9" t="s">
        <v>151</v>
      </c>
      <c r="F32" s="9" t="s">
        <v>20</v>
      </c>
      <c r="G32" s="16">
        <v>4</v>
      </c>
      <c r="H32" s="16">
        <v>1853000</v>
      </c>
      <c r="I32" s="16">
        <v>2</v>
      </c>
      <c r="J32" s="16">
        <v>926500</v>
      </c>
      <c r="K32" s="16">
        <v>0</v>
      </c>
      <c r="L32" s="16">
        <v>0</v>
      </c>
      <c r="M32" s="16"/>
      <c r="N32" s="12">
        <f t="shared" si="0"/>
        <v>0</v>
      </c>
    </row>
    <row r="33" spans="2:14" x14ac:dyDescent="0.35">
      <c r="B33" s="4">
        <f t="shared" si="1"/>
        <v>23</v>
      </c>
      <c r="C33" s="3" t="s">
        <v>292</v>
      </c>
      <c r="D33" s="4" t="s">
        <v>852</v>
      </c>
      <c r="E33" s="9" t="s">
        <v>151</v>
      </c>
      <c r="F33" s="9" t="s">
        <v>21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/>
      <c r="N33" s="12">
        <f t="shared" si="0"/>
        <v>0</v>
      </c>
    </row>
    <row r="34" spans="2:14" x14ac:dyDescent="0.35">
      <c r="B34" s="4">
        <f t="shared" si="1"/>
        <v>24</v>
      </c>
      <c r="C34" s="3" t="s">
        <v>292</v>
      </c>
      <c r="D34" s="4" t="s">
        <v>852</v>
      </c>
      <c r="E34" s="9" t="s">
        <v>151</v>
      </c>
      <c r="F34" s="9" t="s">
        <v>22</v>
      </c>
      <c r="G34" s="16">
        <v>116</v>
      </c>
      <c r="H34" s="16">
        <v>9675000</v>
      </c>
      <c r="I34" s="16">
        <v>1</v>
      </c>
      <c r="J34" s="16">
        <v>75000</v>
      </c>
      <c r="K34" s="16">
        <v>0</v>
      </c>
      <c r="L34" s="16">
        <v>0</v>
      </c>
      <c r="M34" s="16"/>
      <c r="N34" s="12">
        <f t="shared" si="0"/>
        <v>0</v>
      </c>
    </row>
    <row r="35" spans="2:14" x14ac:dyDescent="0.35">
      <c r="B35" s="4">
        <f t="shared" si="1"/>
        <v>25</v>
      </c>
      <c r="C35" s="3" t="s">
        <v>292</v>
      </c>
      <c r="D35" s="4" t="s">
        <v>852</v>
      </c>
      <c r="E35" s="9" t="s">
        <v>151</v>
      </c>
      <c r="F35" s="9" t="s">
        <v>19</v>
      </c>
      <c r="G35" s="16">
        <v>45</v>
      </c>
      <c r="H35" s="16">
        <v>440226000</v>
      </c>
      <c r="I35" s="16">
        <v>1</v>
      </c>
      <c r="J35" s="16">
        <v>7500000</v>
      </c>
      <c r="K35" s="16">
        <v>3</v>
      </c>
      <c r="L35" s="16">
        <v>92097000</v>
      </c>
      <c r="M35" s="16"/>
      <c r="N35" s="12">
        <f t="shared" si="0"/>
        <v>0</v>
      </c>
    </row>
    <row r="36" spans="2:14" x14ac:dyDescent="0.35">
      <c r="B36" s="4">
        <f t="shared" si="1"/>
        <v>26</v>
      </c>
      <c r="C36" s="3" t="s">
        <v>292</v>
      </c>
      <c r="D36" s="4" t="s">
        <v>852</v>
      </c>
      <c r="E36" s="9" t="s">
        <v>151</v>
      </c>
      <c r="F36" s="9" t="s">
        <v>190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/>
      <c r="N36" s="12">
        <f t="shared" si="0"/>
        <v>0</v>
      </c>
    </row>
    <row r="37" spans="2:14" x14ac:dyDescent="0.35">
      <c r="B37" s="4">
        <f t="shared" si="1"/>
        <v>27</v>
      </c>
      <c r="C37" s="3" t="s">
        <v>293</v>
      </c>
      <c r="D37" s="4" t="s">
        <v>896</v>
      </c>
      <c r="E37" s="9" t="s">
        <v>151</v>
      </c>
      <c r="F37" s="9" t="s">
        <v>20</v>
      </c>
      <c r="G37" s="16">
        <v>4</v>
      </c>
      <c r="H37" s="16">
        <v>2506000</v>
      </c>
      <c r="I37" s="16">
        <v>7</v>
      </c>
      <c r="J37" s="16">
        <v>1225000</v>
      </c>
      <c r="K37" s="16">
        <v>0</v>
      </c>
      <c r="L37" s="16">
        <v>0</v>
      </c>
      <c r="M37" s="16"/>
      <c r="N37" s="12">
        <f t="shared" si="0"/>
        <v>0</v>
      </c>
    </row>
    <row r="38" spans="2:14" x14ac:dyDescent="0.35">
      <c r="B38" s="4">
        <f t="shared" si="1"/>
        <v>28</v>
      </c>
      <c r="C38" s="3" t="s">
        <v>293</v>
      </c>
      <c r="D38" s="4" t="s">
        <v>896</v>
      </c>
      <c r="E38" s="9" t="s">
        <v>151</v>
      </c>
      <c r="F38" s="9" t="s">
        <v>22</v>
      </c>
      <c r="G38" s="16">
        <v>4</v>
      </c>
      <c r="H38" s="16">
        <v>560000</v>
      </c>
      <c r="I38" s="16">
        <v>0</v>
      </c>
      <c r="J38" s="16">
        <v>0</v>
      </c>
      <c r="K38" s="16">
        <v>1</v>
      </c>
      <c r="L38" s="16">
        <v>250000</v>
      </c>
      <c r="M38" s="16"/>
      <c r="N38" s="12">
        <f t="shared" si="0"/>
        <v>0</v>
      </c>
    </row>
    <row r="39" spans="2:14" x14ac:dyDescent="0.35">
      <c r="B39" s="4">
        <f t="shared" si="1"/>
        <v>29</v>
      </c>
      <c r="C39" s="3" t="s">
        <v>293</v>
      </c>
      <c r="D39" s="4" t="s">
        <v>896</v>
      </c>
      <c r="E39" s="9" t="s">
        <v>151</v>
      </c>
      <c r="F39" s="9" t="s">
        <v>19</v>
      </c>
      <c r="G39" s="16">
        <v>41</v>
      </c>
      <c r="H39" s="16">
        <v>429103000</v>
      </c>
      <c r="I39" s="16">
        <v>5</v>
      </c>
      <c r="J39" s="16">
        <v>69061500</v>
      </c>
      <c r="K39" s="16">
        <v>4</v>
      </c>
      <c r="L39" s="16">
        <v>89370000</v>
      </c>
      <c r="M39" s="16"/>
      <c r="N39" s="12">
        <f t="shared" si="0"/>
        <v>0</v>
      </c>
    </row>
    <row r="40" spans="2:14" x14ac:dyDescent="0.35">
      <c r="B40" s="4">
        <f t="shared" si="1"/>
        <v>30</v>
      </c>
      <c r="C40" s="3" t="s">
        <v>293</v>
      </c>
      <c r="D40" s="4" t="s">
        <v>896</v>
      </c>
      <c r="E40" s="9" t="s">
        <v>151</v>
      </c>
      <c r="F40" s="9" t="s">
        <v>190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/>
      <c r="N40" s="12">
        <f t="shared" si="0"/>
        <v>0</v>
      </c>
    </row>
    <row r="41" spans="2:14" x14ac:dyDescent="0.35">
      <c r="B41" s="4">
        <f t="shared" si="1"/>
        <v>31</v>
      </c>
      <c r="C41" s="3" t="s">
        <v>410</v>
      </c>
      <c r="D41" s="4" t="s">
        <v>904</v>
      </c>
      <c r="E41" s="9" t="s">
        <v>151</v>
      </c>
      <c r="F41" s="9" t="s">
        <v>20</v>
      </c>
      <c r="G41" s="16">
        <v>8</v>
      </c>
      <c r="H41" s="16">
        <v>2528000</v>
      </c>
      <c r="I41" s="16">
        <v>13</v>
      </c>
      <c r="J41" s="16">
        <v>3626000</v>
      </c>
      <c r="K41" s="16">
        <v>0</v>
      </c>
      <c r="L41" s="16">
        <v>0</v>
      </c>
      <c r="M41" s="16"/>
      <c r="N41" s="12">
        <f t="shared" si="0"/>
        <v>0</v>
      </c>
    </row>
    <row r="42" spans="2:14" x14ac:dyDescent="0.35">
      <c r="B42" s="4">
        <f t="shared" si="1"/>
        <v>32</v>
      </c>
      <c r="C42" s="3" t="s">
        <v>410</v>
      </c>
      <c r="D42" s="4" t="s">
        <v>904</v>
      </c>
      <c r="E42" s="9" t="s">
        <v>151</v>
      </c>
      <c r="F42" s="9" t="s">
        <v>21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/>
      <c r="N42" s="12">
        <f t="shared" si="0"/>
        <v>0</v>
      </c>
    </row>
    <row r="43" spans="2:14" x14ac:dyDescent="0.35">
      <c r="B43" s="4">
        <f t="shared" si="1"/>
        <v>33</v>
      </c>
      <c r="C43" s="3" t="s">
        <v>410</v>
      </c>
      <c r="D43" s="4" t="s">
        <v>904</v>
      </c>
      <c r="E43" s="9" t="s">
        <v>151</v>
      </c>
      <c r="F43" s="9" t="s">
        <v>22</v>
      </c>
      <c r="G43" s="16">
        <v>95</v>
      </c>
      <c r="H43" s="16">
        <v>9530000</v>
      </c>
      <c r="I43" s="16">
        <v>5</v>
      </c>
      <c r="J43" s="16">
        <v>570000</v>
      </c>
      <c r="K43" s="16">
        <v>1</v>
      </c>
      <c r="L43" s="16">
        <v>140000</v>
      </c>
      <c r="M43" s="16"/>
      <c r="N43" s="12">
        <f t="shared" si="0"/>
        <v>0</v>
      </c>
    </row>
    <row r="44" spans="2:14" x14ac:dyDescent="0.35">
      <c r="B44" s="4">
        <f t="shared" si="1"/>
        <v>34</v>
      </c>
      <c r="C44" s="3" t="s">
        <v>410</v>
      </c>
      <c r="D44" s="4" t="s">
        <v>904</v>
      </c>
      <c r="E44" s="9" t="s">
        <v>151</v>
      </c>
      <c r="F44" s="9" t="s">
        <v>19</v>
      </c>
      <c r="G44" s="16">
        <v>38</v>
      </c>
      <c r="H44" s="16">
        <v>394953000</v>
      </c>
      <c r="I44" s="16">
        <v>0</v>
      </c>
      <c r="J44" s="16">
        <v>0</v>
      </c>
      <c r="K44" s="16">
        <v>3</v>
      </c>
      <c r="L44" s="16">
        <v>49165000</v>
      </c>
      <c r="M44" s="16"/>
      <c r="N44" s="12">
        <f t="shared" si="0"/>
        <v>0</v>
      </c>
    </row>
    <row r="45" spans="2:14" x14ac:dyDescent="0.35">
      <c r="B45" s="4">
        <f t="shared" si="1"/>
        <v>35</v>
      </c>
      <c r="C45" s="3" t="s">
        <v>410</v>
      </c>
      <c r="D45" s="4" t="s">
        <v>904</v>
      </c>
      <c r="E45" s="9" t="s">
        <v>151</v>
      </c>
      <c r="F45" s="9" t="s">
        <v>190</v>
      </c>
      <c r="G45" s="16">
        <v>3</v>
      </c>
      <c r="H45" s="16">
        <v>375000</v>
      </c>
      <c r="I45" s="16">
        <v>0</v>
      </c>
      <c r="J45" s="16">
        <v>0</v>
      </c>
      <c r="K45" s="16">
        <v>0</v>
      </c>
      <c r="L45" s="16">
        <v>0</v>
      </c>
      <c r="M45" s="16"/>
      <c r="N45" s="12">
        <f t="shared" si="0"/>
        <v>0</v>
      </c>
    </row>
    <row r="46" spans="2:14" x14ac:dyDescent="0.35">
      <c r="B46" s="4">
        <f t="shared" si="1"/>
        <v>36</v>
      </c>
      <c r="C46" s="3" t="s">
        <v>373</v>
      </c>
      <c r="D46" s="4" t="s">
        <v>865</v>
      </c>
      <c r="E46" s="9" t="s">
        <v>151</v>
      </c>
      <c r="F46" s="9" t="s">
        <v>21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/>
      <c r="N46" s="12">
        <f t="shared" si="0"/>
        <v>0</v>
      </c>
    </row>
    <row r="47" spans="2:14" x14ac:dyDescent="0.35">
      <c r="B47" s="4">
        <f t="shared" si="1"/>
        <v>37</v>
      </c>
      <c r="C47" s="3" t="s">
        <v>373</v>
      </c>
      <c r="D47" s="4" t="s">
        <v>865</v>
      </c>
      <c r="E47" s="9" t="s">
        <v>151</v>
      </c>
      <c r="F47" s="9" t="s">
        <v>22</v>
      </c>
      <c r="G47" s="16">
        <v>98</v>
      </c>
      <c r="H47" s="16">
        <v>9891500</v>
      </c>
      <c r="I47" s="16">
        <v>4</v>
      </c>
      <c r="J47" s="16">
        <v>430000</v>
      </c>
      <c r="K47" s="16">
        <v>14</v>
      </c>
      <c r="L47" s="16">
        <v>3500000</v>
      </c>
      <c r="M47" s="16"/>
      <c r="N47" s="12">
        <f t="shared" si="0"/>
        <v>0</v>
      </c>
    </row>
    <row r="48" spans="2:14" x14ac:dyDescent="0.35">
      <c r="B48" s="4">
        <f t="shared" si="1"/>
        <v>38</v>
      </c>
      <c r="C48" s="3" t="s">
        <v>373</v>
      </c>
      <c r="D48" s="4" t="s">
        <v>865</v>
      </c>
      <c r="E48" s="9" t="s">
        <v>151</v>
      </c>
      <c r="F48" s="9" t="s">
        <v>19</v>
      </c>
      <c r="G48" s="16">
        <v>43</v>
      </c>
      <c r="H48" s="16">
        <v>364107500</v>
      </c>
      <c r="I48" s="16">
        <v>5</v>
      </c>
      <c r="J48" s="16">
        <v>36500000</v>
      </c>
      <c r="K48" s="16">
        <v>0</v>
      </c>
      <c r="L48" s="16">
        <v>0</v>
      </c>
      <c r="M48" s="16"/>
      <c r="N48" s="12">
        <f t="shared" si="0"/>
        <v>0</v>
      </c>
    </row>
    <row r="49" spans="2:14" x14ac:dyDescent="0.35">
      <c r="B49" s="4">
        <f t="shared" si="1"/>
        <v>39</v>
      </c>
      <c r="C49" s="3" t="s">
        <v>421</v>
      </c>
      <c r="D49" s="4" t="s">
        <v>906</v>
      </c>
      <c r="E49" s="9" t="s">
        <v>151</v>
      </c>
      <c r="F49" s="9" t="s">
        <v>20</v>
      </c>
      <c r="G49" s="16">
        <v>6</v>
      </c>
      <c r="H49" s="16">
        <v>2998500</v>
      </c>
      <c r="I49" s="16">
        <v>0</v>
      </c>
      <c r="J49" s="16">
        <v>0</v>
      </c>
      <c r="K49" s="16">
        <v>0</v>
      </c>
      <c r="L49" s="16">
        <v>0</v>
      </c>
      <c r="M49" s="16"/>
      <c r="N49" s="12">
        <f t="shared" si="0"/>
        <v>0</v>
      </c>
    </row>
    <row r="50" spans="2:14" x14ac:dyDescent="0.35">
      <c r="B50" s="4">
        <f t="shared" si="1"/>
        <v>40</v>
      </c>
      <c r="C50" s="3" t="s">
        <v>421</v>
      </c>
      <c r="D50" s="4" t="s">
        <v>906</v>
      </c>
      <c r="E50" s="9" t="s">
        <v>151</v>
      </c>
      <c r="F50" s="9" t="s">
        <v>21</v>
      </c>
      <c r="G50" s="16">
        <v>3</v>
      </c>
      <c r="H50" s="16">
        <v>1347000</v>
      </c>
      <c r="I50" s="16">
        <v>0</v>
      </c>
      <c r="J50" s="16">
        <v>0</v>
      </c>
      <c r="K50" s="16">
        <v>0</v>
      </c>
      <c r="L50" s="16">
        <v>0</v>
      </c>
      <c r="M50" s="16"/>
      <c r="N50" s="12">
        <f t="shared" si="0"/>
        <v>0</v>
      </c>
    </row>
    <row r="51" spans="2:14" x14ac:dyDescent="0.35">
      <c r="B51" s="4">
        <f t="shared" si="1"/>
        <v>41</v>
      </c>
      <c r="C51" s="3" t="s">
        <v>421</v>
      </c>
      <c r="D51" s="4" t="s">
        <v>906</v>
      </c>
      <c r="E51" s="9" t="s">
        <v>151</v>
      </c>
      <c r="F51" s="9" t="s">
        <v>22</v>
      </c>
      <c r="G51" s="16">
        <v>110</v>
      </c>
      <c r="H51" s="16">
        <v>9251500</v>
      </c>
      <c r="I51" s="16">
        <v>3</v>
      </c>
      <c r="J51" s="16">
        <v>225000</v>
      </c>
      <c r="K51" s="16">
        <v>3</v>
      </c>
      <c r="L51" s="16">
        <v>750000</v>
      </c>
      <c r="M51" s="16"/>
      <c r="N51" s="12">
        <f t="shared" si="0"/>
        <v>0</v>
      </c>
    </row>
    <row r="52" spans="2:14" x14ac:dyDescent="0.35">
      <c r="B52" s="4">
        <f t="shared" si="1"/>
        <v>42</v>
      </c>
      <c r="C52" s="3" t="s">
        <v>421</v>
      </c>
      <c r="D52" s="4" t="s">
        <v>906</v>
      </c>
      <c r="E52" s="9" t="s">
        <v>151</v>
      </c>
      <c r="F52" s="9" t="s">
        <v>19</v>
      </c>
      <c r="G52" s="16">
        <v>51</v>
      </c>
      <c r="H52" s="16">
        <v>532904500</v>
      </c>
      <c r="I52" s="16">
        <v>2</v>
      </c>
      <c r="J52" s="16">
        <v>15500000</v>
      </c>
      <c r="K52" s="16">
        <v>3</v>
      </c>
      <c r="L52" s="16">
        <v>42245000</v>
      </c>
      <c r="M52" s="16"/>
      <c r="N52" s="12">
        <f t="shared" si="0"/>
        <v>0</v>
      </c>
    </row>
    <row r="53" spans="2:14" x14ac:dyDescent="0.35">
      <c r="B53" s="4">
        <f t="shared" si="1"/>
        <v>43</v>
      </c>
      <c r="C53" s="3" t="s">
        <v>421</v>
      </c>
      <c r="D53" s="4" t="s">
        <v>906</v>
      </c>
      <c r="E53" s="9" t="s">
        <v>151</v>
      </c>
      <c r="F53" s="9" t="s">
        <v>190</v>
      </c>
      <c r="G53" s="16">
        <v>1</v>
      </c>
      <c r="H53" s="16">
        <v>160000</v>
      </c>
      <c r="I53" s="16">
        <v>0</v>
      </c>
      <c r="J53" s="16">
        <v>0</v>
      </c>
      <c r="K53" s="16">
        <v>0</v>
      </c>
      <c r="L53" s="16">
        <v>0</v>
      </c>
      <c r="M53" s="16"/>
      <c r="N53" s="12">
        <f t="shared" si="0"/>
        <v>0</v>
      </c>
    </row>
    <row r="54" spans="2:14" x14ac:dyDescent="0.35">
      <c r="B54" s="4">
        <f t="shared" si="1"/>
        <v>44</v>
      </c>
      <c r="C54" s="3" t="s">
        <v>294</v>
      </c>
      <c r="D54" s="4" t="s">
        <v>864</v>
      </c>
      <c r="E54" s="9" t="s">
        <v>151</v>
      </c>
      <c r="F54" s="9" t="s">
        <v>20</v>
      </c>
      <c r="G54" s="16">
        <v>132</v>
      </c>
      <c r="H54" s="16">
        <v>173846500</v>
      </c>
      <c r="I54" s="16">
        <v>4</v>
      </c>
      <c r="J54" s="16">
        <v>572000</v>
      </c>
      <c r="K54" s="16">
        <v>5</v>
      </c>
      <c r="L54" s="16">
        <v>1373500</v>
      </c>
      <c r="M54" s="16"/>
      <c r="N54" s="12">
        <f t="shared" si="0"/>
        <v>0</v>
      </c>
    </row>
    <row r="55" spans="2:14" x14ac:dyDescent="0.35">
      <c r="B55" s="4">
        <f t="shared" si="1"/>
        <v>45</v>
      </c>
      <c r="C55" s="3" t="s">
        <v>294</v>
      </c>
      <c r="D55" s="4" t="s">
        <v>864</v>
      </c>
      <c r="E55" s="9" t="s">
        <v>151</v>
      </c>
      <c r="F55" s="9" t="s">
        <v>21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/>
      <c r="N55" s="12">
        <f t="shared" si="0"/>
        <v>0</v>
      </c>
    </row>
    <row r="56" spans="2:14" x14ac:dyDescent="0.35">
      <c r="B56" s="4">
        <f t="shared" si="1"/>
        <v>46</v>
      </c>
      <c r="C56" s="3" t="s">
        <v>294</v>
      </c>
      <c r="D56" s="4" t="s">
        <v>864</v>
      </c>
      <c r="E56" s="9" t="s">
        <v>151</v>
      </c>
      <c r="F56" s="9" t="s">
        <v>22</v>
      </c>
      <c r="G56" s="16">
        <v>1</v>
      </c>
      <c r="H56" s="16">
        <v>125000</v>
      </c>
      <c r="I56" s="16">
        <v>0</v>
      </c>
      <c r="J56" s="16">
        <v>0</v>
      </c>
      <c r="K56" s="16">
        <v>0</v>
      </c>
      <c r="L56" s="16">
        <v>0</v>
      </c>
      <c r="M56" s="16"/>
      <c r="N56" s="12">
        <f t="shared" si="0"/>
        <v>0</v>
      </c>
    </row>
    <row r="57" spans="2:14" x14ac:dyDescent="0.35">
      <c r="B57" s="4">
        <f t="shared" si="1"/>
        <v>47</v>
      </c>
      <c r="C57" s="3" t="s">
        <v>294</v>
      </c>
      <c r="D57" s="4" t="s">
        <v>864</v>
      </c>
      <c r="E57" s="9" t="s">
        <v>151</v>
      </c>
      <c r="F57" s="9" t="s">
        <v>19</v>
      </c>
      <c r="G57" s="16">
        <v>2</v>
      </c>
      <c r="H57" s="16">
        <v>505000</v>
      </c>
      <c r="I57" s="16">
        <v>0</v>
      </c>
      <c r="J57" s="16">
        <v>0</v>
      </c>
      <c r="K57" s="16">
        <v>4</v>
      </c>
      <c r="L57" s="16">
        <v>106672000</v>
      </c>
      <c r="M57" s="16"/>
      <c r="N57" s="12">
        <f t="shared" si="0"/>
        <v>0</v>
      </c>
    </row>
    <row r="58" spans="2:14" x14ac:dyDescent="0.35">
      <c r="B58" s="4">
        <f t="shared" si="1"/>
        <v>48</v>
      </c>
      <c r="C58" s="3" t="s">
        <v>217</v>
      </c>
      <c r="D58" s="4" t="s">
        <v>747</v>
      </c>
      <c r="E58" s="9" t="s">
        <v>151</v>
      </c>
      <c r="F58" s="9" t="s">
        <v>19</v>
      </c>
      <c r="G58" s="16">
        <v>35</v>
      </c>
      <c r="H58" s="16">
        <v>359596500</v>
      </c>
      <c r="I58" s="16">
        <v>2</v>
      </c>
      <c r="J58" s="16">
        <v>17600000</v>
      </c>
      <c r="K58" s="16">
        <v>4</v>
      </c>
      <c r="L58" s="16">
        <v>117970000</v>
      </c>
      <c r="M58" s="16"/>
      <c r="N58" s="12">
        <f t="shared" si="0"/>
        <v>0</v>
      </c>
    </row>
    <row r="59" spans="2:14" x14ac:dyDescent="0.35">
      <c r="B59" s="4">
        <f t="shared" si="1"/>
        <v>49</v>
      </c>
      <c r="C59" s="3" t="s">
        <v>295</v>
      </c>
      <c r="D59" s="4" t="s">
        <v>857</v>
      </c>
      <c r="E59" s="9" t="s">
        <v>151</v>
      </c>
      <c r="F59" s="9" t="s">
        <v>20</v>
      </c>
      <c r="G59" s="16">
        <v>4</v>
      </c>
      <c r="H59" s="16">
        <v>700000</v>
      </c>
      <c r="I59" s="16">
        <v>0</v>
      </c>
      <c r="J59" s="16">
        <v>0</v>
      </c>
      <c r="K59" s="16">
        <v>0</v>
      </c>
      <c r="L59" s="16">
        <v>0</v>
      </c>
      <c r="M59" s="16"/>
      <c r="N59" s="12">
        <f t="shared" si="0"/>
        <v>0</v>
      </c>
    </row>
    <row r="60" spans="2:14" x14ac:dyDescent="0.35">
      <c r="B60" s="4">
        <f t="shared" si="1"/>
        <v>50</v>
      </c>
      <c r="C60" s="3" t="s">
        <v>295</v>
      </c>
      <c r="D60" s="4" t="s">
        <v>857</v>
      </c>
      <c r="E60" s="9" t="s">
        <v>151</v>
      </c>
      <c r="F60" s="9" t="s">
        <v>21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/>
      <c r="N60" s="12">
        <f t="shared" si="0"/>
        <v>0</v>
      </c>
    </row>
    <row r="61" spans="2:14" x14ac:dyDescent="0.35">
      <c r="B61" s="4">
        <f t="shared" si="1"/>
        <v>51</v>
      </c>
      <c r="C61" s="3" t="s">
        <v>295</v>
      </c>
      <c r="D61" s="4" t="s">
        <v>857</v>
      </c>
      <c r="E61" s="9" t="s">
        <v>151</v>
      </c>
      <c r="F61" s="9" t="s">
        <v>22</v>
      </c>
      <c r="G61" s="16">
        <v>81</v>
      </c>
      <c r="H61" s="16">
        <v>6855000</v>
      </c>
      <c r="I61" s="16">
        <v>1</v>
      </c>
      <c r="J61" s="16">
        <v>75000</v>
      </c>
      <c r="K61" s="16">
        <v>17</v>
      </c>
      <c r="L61" s="16">
        <v>4400000</v>
      </c>
      <c r="M61" s="16"/>
      <c r="N61" s="12">
        <f t="shared" si="0"/>
        <v>0</v>
      </c>
    </row>
    <row r="62" spans="2:14" x14ac:dyDescent="0.35">
      <c r="B62" s="4">
        <f t="shared" si="1"/>
        <v>52</v>
      </c>
      <c r="C62" s="3" t="s">
        <v>295</v>
      </c>
      <c r="D62" s="4" t="s">
        <v>857</v>
      </c>
      <c r="E62" s="9" t="s">
        <v>151</v>
      </c>
      <c r="F62" s="9" t="s">
        <v>19</v>
      </c>
      <c r="G62" s="16">
        <v>35</v>
      </c>
      <c r="H62" s="16">
        <v>565544000</v>
      </c>
      <c r="I62" s="16">
        <v>1</v>
      </c>
      <c r="J62" s="16">
        <v>8800000</v>
      </c>
      <c r="K62" s="16">
        <v>3</v>
      </c>
      <c r="L62" s="16">
        <v>95820000</v>
      </c>
      <c r="M62" s="16"/>
      <c r="N62" s="12">
        <f t="shared" si="0"/>
        <v>0</v>
      </c>
    </row>
    <row r="63" spans="2:14" x14ac:dyDescent="0.35">
      <c r="B63" s="4">
        <f t="shared" si="1"/>
        <v>53</v>
      </c>
      <c r="C63" s="3" t="s">
        <v>295</v>
      </c>
      <c r="D63" s="4" t="s">
        <v>857</v>
      </c>
      <c r="E63" s="9" t="s">
        <v>151</v>
      </c>
      <c r="F63" s="9" t="s">
        <v>190</v>
      </c>
      <c r="G63" s="16">
        <v>1</v>
      </c>
      <c r="H63" s="16">
        <v>125000</v>
      </c>
      <c r="I63" s="16">
        <v>0</v>
      </c>
      <c r="J63" s="16">
        <v>0</v>
      </c>
      <c r="K63" s="16">
        <v>1</v>
      </c>
      <c r="L63" s="16">
        <v>180000</v>
      </c>
      <c r="M63" s="16"/>
      <c r="N63" s="12">
        <f t="shared" si="0"/>
        <v>0</v>
      </c>
    </row>
    <row r="64" spans="2:14" x14ac:dyDescent="0.35">
      <c r="B64" s="4">
        <f t="shared" si="1"/>
        <v>54</v>
      </c>
      <c r="C64" s="3" t="s">
        <v>218</v>
      </c>
      <c r="D64" s="4" t="s">
        <v>756</v>
      </c>
      <c r="E64" s="9" t="s">
        <v>151</v>
      </c>
      <c r="F64" s="9" t="s">
        <v>20</v>
      </c>
      <c r="G64" s="16">
        <v>1</v>
      </c>
      <c r="H64" s="16">
        <v>175000</v>
      </c>
      <c r="I64" s="16">
        <v>0</v>
      </c>
      <c r="J64" s="16">
        <v>0</v>
      </c>
      <c r="K64" s="16">
        <v>0</v>
      </c>
      <c r="L64" s="16">
        <v>0</v>
      </c>
      <c r="M64" s="16"/>
      <c r="N64" s="12">
        <f t="shared" si="0"/>
        <v>0</v>
      </c>
    </row>
    <row r="65" spans="2:14" x14ac:dyDescent="0.35">
      <c r="B65" s="4">
        <f t="shared" si="1"/>
        <v>55</v>
      </c>
      <c r="C65" s="3" t="s">
        <v>218</v>
      </c>
      <c r="D65" s="4" t="s">
        <v>756</v>
      </c>
      <c r="E65" s="9" t="s">
        <v>151</v>
      </c>
      <c r="F65" s="9" t="s">
        <v>21</v>
      </c>
      <c r="G65" s="16">
        <v>3</v>
      </c>
      <c r="H65" s="16">
        <v>1347000</v>
      </c>
      <c r="I65" s="16">
        <v>0</v>
      </c>
      <c r="J65" s="16">
        <v>0</v>
      </c>
      <c r="K65" s="16">
        <v>0</v>
      </c>
      <c r="L65" s="16">
        <v>0</v>
      </c>
      <c r="M65" s="16"/>
      <c r="N65" s="12">
        <f t="shared" si="0"/>
        <v>0</v>
      </c>
    </row>
    <row r="66" spans="2:14" x14ac:dyDescent="0.35">
      <c r="B66" s="4">
        <f t="shared" si="1"/>
        <v>56</v>
      </c>
      <c r="C66" s="3" t="s">
        <v>218</v>
      </c>
      <c r="D66" s="4" t="s">
        <v>756</v>
      </c>
      <c r="E66" s="9" t="s">
        <v>151</v>
      </c>
      <c r="F66" s="9" t="s">
        <v>22</v>
      </c>
      <c r="G66" s="16">
        <v>20</v>
      </c>
      <c r="H66" s="16">
        <v>2460000</v>
      </c>
      <c r="I66" s="16">
        <v>1</v>
      </c>
      <c r="J66" s="16">
        <v>140000</v>
      </c>
      <c r="K66" s="16">
        <v>20</v>
      </c>
      <c r="L66" s="16">
        <v>5000000</v>
      </c>
      <c r="M66" s="16"/>
      <c r="N66" s="12">
        <f t="shared" si="0"/>
        <v>0</v>
      </c>
    </row>
    <row r="67" spans="2:14" x14ac:dyDescent="0.35">
      <c r="B67" s="4">
        <f t="shared" si="1"/>
        <v>57</v>
      </c>
      <c r="C67" s="3" t="s">
        <v>218</v>
      </c>
      <c r="D67" s="4" t="s">
        <v>756</v>
      </c>
      <c r="E67" s="9" t="s">
        <v>151</v>
      </c>
      <c r="F67" s="9" t="s">
        <v>19</v>
      </c>
      <c r="G67" s="16">
        <v>64</v>
      </c>
      <c r="H67" s="16">
        <v>486017500</v>
      </c>
      <c r="I67" s="16">
        <v>2</v>
      </c>
      <c r="J67" s="16">
        <v>18750000</v>
      </c>
      <c r="K67" s="16">
        <v>3</v>
      </c>
      <c r="L67" s="16">
        <v>71920000</v>
      </c>
      <c r="M67" s="16"/>
      <c r="N67" s="12">
        <f t="shared" si="0"/>
        <v>0</v>
      </c>
    </row>
    <row r="68" spans="2:14" x14ac:dyDescent="0.35">
      <c r="B68" s="4">
        <f t="shared" si="1"/>
        <v>58</v>
      </c>
      <c r="C68" s="3" t="s">
        <v>218</v>
      </c>
      <c r="D68" s="4" t="s">
        <v>756</v>
      </c>
      <c r="E68" s="9" t="s">
        <v>151</v>
      </c>
      <c r="F68" s="9" t="s">
        <v>190</v>
      </c>
      <c r="G68" s="16">
        <v>0</v>
      </c>
      <c r="H68" s="16">
        <v>0</v>
      </c>
      <c r="I68" s="16">
        <v>1</v>
      </c>
      <c r="J68" s="16">
        <v>125000</v>
      </c>
      <c r="K68" s="16">
        <v>0</v>
      </c>
      <c r="L68" s="16">
        <v>0</v>
      </c>
      <c r="M68" s="16"/>
      <c r="N68" s="12">
        <f t="shared" si="0"/>
        <v>0</v>
      </c>
    </row>
    <row r="69" spans="2:14" x14ac:dyDescent="0.35">
      <c r="B69" s="4">
        <f t="shared" si="1"/>
        <v>59</v>
      </c>
      <c r="C69" s="3" t="s">
        <v>219</v>
      </c>
      <c r="D69" s="4" t="s">
        <v>757</v>
      </c>
      <c r="E69" s="9" t="s">
        <v>151</v>
      </c>
      <c r="F69" s="9" t="s">
        <v>20</v>
      </c>
      <c r="G69" s="16">
        <v>353</v>
      </c>
      <c r="H69" s="16">
        <v>71118600</v>
      </c>
      <c r="I69" s="16">
        <v>8</v>
      </c>
      <c r="J69" s="16">
        <v>1690100</v>
      </c>
      <c r="K69" s="16">
        <v>17</v>
      </c>
      <c r="L69" s="16">
        <v>3555200</v>
      </c>
      <c r="M69" s="16"/>
      <c r="N69" s="12">
        <f t="shared" si="0"/>
        <v>0</v>
      </c>
    </row>
    <row r="70" spans="2:14" x14ac:dyDescent="0.35">
      <c r="B70" s="4">
        <f t="shared" si="1"/>
        <v>60</v>
      </c>
      <c r="C70" s="3" t="s">
        <v>219</v>
      </c>
      <c r="D70" s="4" t="s">
        <v>757</v>
      </c>
      <c r="E70" s="9" t="s">
        <v>151</v>
      </c>
      <c r="F70" s="9" t="s">
        <v>21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/>
      <c r="N70" s="12">
        <f t="shared" si="0"/>
        <v>0</v>
      </c>
    </row>
    <row r="71" spans="2:14" x14ac:dyDescent="0.35">
      <c r="B71" s="4">
        <f t="shared" si="1"/>
        <v>61</v>
      </c>
      <c r="C71" s="3" t="s">
        <v>219</v>
      </c>
      <c r="D71" s="4" t="s">
        <v>757</v>
      </c>
      <c r="E71" s="9" t="s">
        <v>151</v>
      </c>
      <c r="F71" s="9" t="s">
        <v>22</v>
      </c>
      <c r="G71" s="16">
        <v>11</v>
      </c>
      <c r="H71" s="16">
        <v>1475000</v>
      </c>
      <c r="I71" s="16">
        <v>0</v>
      </c>
      <c r="J71" s="16">
        <v>0</v>
      </c>
      <c r="K71" s="16">
        <v>0</v>
      </c>
      <c r="L71" s="16">
        <v>0</v>
      </c>
      <c r="M71" s="16"/>
      <c r="N71" s="12">
        <f t="shared" si="0"/>
        <v>0</v>
      </c>
    </row>
    <row r="72" spans="2:14" x14ac:dyDescent="0.35">
      <c r="B72" s="4">
        <f t="shared" si="1"/>
        <v>62</v>
      </c>
      <c r="C72" s="3" t="s">
        <v>219</v>
      </c>
      <c r="D72" s="4" t="s">
        <v>757</v>
      </c>
      <c r="E72" s="9" t="s">
        <v>151</v>
      </c>
      <c r="F72" s="9" t="s">
        <v>19</v>
      </c>
      <c r="G72" s="16">
        <v>30</v>
      </c>
      <c r="H72" s="16">
        <v>230051500</v>
      </c>
      <c r="I72" s="16">
        <v>1</v>
      </c>
      <c r="J72" s="16">
        <v>5500000</v>
      </c>
      <c r="K72" s="16">
        <v>5</v>
      </c>
      <c r="L72" s="16">
        <v>124050000</v>
      </c>
      <c r="M72" s="16"/>
      <c r="N72" s="12">
        <f t="shared" si="0"/>
        <v>0</v>
      </c>
    </row>
    <row r="73" spans="2:14" x14ac:dyDescent="0.35">
      <c r="B73" s="4">
        <f t="shared" si="1"/>
        <v>63</v>
      </c>
      <c r="C73" s="3" t="s">
        <v>258</v>
      </c>
      <c r="D73" s="4" t="s">
        <v>836</v>
      </c>
      <c r="E73" s="9" t="s">
        <v>151</v>
      </c>
      <c r="F73" s="9" t="s">
        <v>22</v>
      </c>
      <c r="G73" s="16">
        <v>140</v>
      </c>
      <c r="H73" s="16">
        <v>10500000</v>
      </c>
      <c r="I73" s="16">
        <v>1</v>
      </c>
      <c r="J73" s="16">
        <v>75000</v>
      </c>
      <c r="K73" s="16">
        <v>0</v>
      </c>
      <c r="L73" s="16">
        <v>0</v>
      </c>
      <c r="M73" s="16"/>
      <c r="N73" s="12">
        <f t="shared" si="0"/>
        <v>0</v>
      </c>
    </row>
    <row r="74" spans="2:14" x14ac:dyDescent="0.35">
      <c r="B74" s="4">
        <f t="shared" si="1"/>
        <v>64</v>
      </c>
      <c r="C74" s="3" t="s">
        <v>258</v>
      </c>
      <c r="D74" s="4" t="s">
        <v>836</v>
      </c>
      <c r="E74" s="9" t="s">
        <v>151</v>
      </c>
      <c r="F74" s="9" t="s">
        <v>19</v>
      </c>
      <c r="G74" s="16">
        <v>35</v>
      </c>
      <c r="H74" s="16">
        <v>362050000</v>
      </c>
      <c r="I74" s="16">
        <v>1</v>
      </c>
      <c r="J74" s="16">
        <v>15000000</v>
      </c>
      <c r="K74" s="16">
        <v>0</v>
      </c>
      <c r="L74" s="16">
        <v>0</v>
      </c>
      <c r="M74" s="16"/>
      <c r="N74" s="12">
        <f t="shared" si="0"/>
        <v>0</v>
      </c>
    </row>
    <row r="75" spans="2:14" x14ac:dyDescent="0.35">
      <c r="B75" s="4">
        <f t="shared" si="1"/>
        <v>65</v>
      </c>
      <c r="C75" s="3" t="s">
        <v>220</v>
      </c>
      <c r="D75" s="4" t="s">
        <v>770</v>
      </c>
      <c r="E75" s="9" t="s">
        <v>151</v>
      </c>
      <c r="F75" s="9" t="s">
        <v>22</v>
      </c>
      <c r="G75" s="16">
        <v>34</v>
      </c>
      <c r="H75" s="16">
        <v>2745000</v>
      </c>
      <c r="I75" s="16">
        <v>1</v>
      </c>
      <c r="J75" s="16">
        <v>75000</v>
      </c>
      <c r="K75" s="16">
        <v>0</v>
      </c>
      <c r="L75" s="16">
        <v>0</v>
      </c>
      <c r="M75" s="16"/>
      <c r="N75" s="12">
        <f t="shared" ref="N75:N138" si="2">IFERROR((G75/M75)*100%, 0)</f>
        <v>0</v>
      </c>
    </row>
    <row r="76" spans="2:14" x14ac:dyDescent="0.35">
      <c r="B76" s="4">
        <f t="shared" si="1"/>
        <v>66</v>
      </c>
      <c r="C76" s="3" t="s">
        <v>220</v>
      </c>
      <c r="D76" s="4" t="s">
        <v>770</v>
      </c>
      <c r="E76" s="9" t="s">
        <v>151</v>
      </c>
      <c r="F76" s="9" t="s">
        <v>19</v>
      </c>
      <c r="G76" s="16">
        <v>52</v>
      </c>
      <c r="H76" s="16">
        <v>515500000</v>
      </c>
      <c r="I76" s="16">
        <v>1</v>
      </c>
      <c r="J76" s="16">
        <v>25390000</v>
      </c>
      <c r="K76" s="16">
        <v>3</v>
      </c>
      <c r="L76" s="16">
        <v>40370000</v>
      </c>
      <c r="M76" s="16"/>
      <c r="N76" s="12">
        <f t="shared" si="2"/>
        <v>0</v>
      </c>
    </row>
    <row r="77" spans="2:14" x14ac:dyDescent="0.35">
      <c r="B77" s="4">
        <f t="shared" ref="B77:B140" si="3">B76+1</f>
        <v>67</v>
      </c>
      <c r="C77" s="3" t="s">
        <v>197</v>
      </c>
      <c r="D77" s="4" t="s">
        <v>817</v>
      </c>
      <c r="E77" s="9" t="s">
        <v>151</v>
      </c>
      <c r="F77" s="9" t="s">
        <v>20</v>
      </c>
      <c r="G77" s="16">
        <v>301</v>
      </c>
      <c r="H77" s="16">
        <v>439445000</v>
      </c>
      <c r="I77" s="16">
        <v>4</v>
      </c>
      <c r="J77" s="16">
        <v>1010000</v>
      </c>
      <c r="K77" s="16">
        <v>4</v>
      </c>
      <c r="L77" s="16">
        <v>1118100</v>
      </c>
      <c r="M77" s="16"/>
      <c r="N77" s="12">
        <f t="shared" si="2"/>
        <v>0</v>
      </c>
    </row>
    <row r="78" spans="2:14" x14ac:dyDescent="0.35">
      <c r="B78" s="4">
        <f t="shared" si="3"/>
        <v>68</v>
      </c>
      <c r="C78" s="3" t="s">
        <v>197</v>
      </c>
      <c r="D78" s="4" t="s">
        <v>817</v>
      </c>
      <c r="E78" s="9" t="s">
        <v>151</v>
      </c>
      <c r="F78" s="9" t="s">
        <v>21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/>
      <c r="N78" s="12">
        <f t="shared" si="2"/>
        <v>0</v>
      </c>
    </row>
    <row r="79" spans="2:14" x14ac:dyDescent="0.35">
      <c r="B79" s="4">
        <f t="shared" si="3"/>
        <v>69</v>
      </c>
      <c r="C79" s="3" t="s">
        <v>197</v>
      </c>
      <c r="D79" s="4" t="s">
        <v>817</v>
      </c>
      <c r="E79" s="9" t="s">
        <v>151</v>
      </c>
      <c r="F79" s="9" t="s">
        <v>22</v>
      </c>
      <c r="G79" s="16">
        <v>5</v>
      </c>
      <c r="H79" s="16">
        <v>671000</v>
      </c>
      <c r="I79" s="16">
        <v>1</v>
      </c>
      <c r="J79" s="16">
        <v>140000</v>
      </c>
      <c r="K79" s="16">
        <v>0</v>
      </c>
      <c r="L79" s="16">
        <v>0</v>
      </c>
      <c r="M79" s="16"/>
      <c r="N79" s="12">
        <f t="shared" si="2"/>
        <v>0</v>
      </c>
    </row>
    <row r="80" spans="2:14" x14ac:dyDescent="0.35">
      <c r="B80" s="4">
        <f t="shared" si="3"/>
        <v>70</v>
      </c>
      <c r="C80" s="3" t="s">
        <v>197</v>
      </c>
      <c r="D80" s="4" t="s">
        <v>817</v>
      </c>
      <c r="E80" s="9" t="s">
        <v>151</v>
      </c>
      <c r="F80" s="9" t="s">
        <v>19</v>
      </c>
      <c r="G80" s="16">
        <v>7</v>
      </c>
      <c r="H80" s="16">
        <v>58751500</v>
      </c>
      <c r="I80" s="16">
        <v>0</v>
      </c>
      <c r="J80" s="16">
        <v>0</v>
      </c>
      <c r="K80" s="16">
        <v>2</v>
      </c>
      <c r="L80" s="16">
        <v>39375000</v>
      </c>
      <c r="M80" s="16"/>
      <c r="N80" s="12">
        <f t="shared" si="2"/>
        <v>0</v>
      </c>
    </row>
    <row r="81" spans="2:14" x14ac:dyDescent="0.35">
      <c r="B81" s="4">
        <f t="shared" si="3"/>
        <v>71</v>
      </c>
      <c r="C81" s="3" t="s">
        <v>221</v>
      </c>
      <c r="D81" s="4" t="s">
        <v>740</v>
      </c>
      <c r="E81" s="9" t="s">
        <v>151</v>
      </c>
      <c r="F81" s="9" t="s">
        <v>19</v>
      </c>
      <c r="G81" s="16">
        <v>28</v>
      </c>
      <c r="H81" s="16">
        <v>366851500</v>
      </c>
      <c r="I81" s="16">
        <v>0</v>
      </c>
      <c r="J81" s="16">
        <v>0</v>
      </c>
      <c r="K81" s="16">
        <v>0</v>
      </c>
      <c r="L81" s="16">
        <v>0</v>
      </c>
      <c r="M81" s="16"/>
      <c r="N81" s="12">
        <f t="shared" si="2"/>
        <v>0</v>
      </c>
    </row>
    <row r="82" spans="2:14" x14ac:dyDescent="0.35">
      <c r="B82" s="4">
        <f t="shared" si="3"/>
        <v>72</v>
      </c>
      <c r="C82" s="3" t="s">
        <v>296</v>
      </c>
      <c r="D82" s="4" t="s">
        <v>823</v>
      </c>
      <c r="E82" s="9" t="s">
        <v>151</v>
      </c>
      <c r="F82" s="9" t="s">
        <v>22</v>
      </c>
      <c r="G82" s="16">
        <v>25</v>
      </c>
      <c r="H82" s="16">
        <v>3305000</v>
      </c>
      <c r="I82" s="16">
        <v>0</v>
      </c>
      <c r="J82" s="16">
        <v>0</v>
      </c>
      <c r="K82" s="16">
        <v>0</v>
      </c>
      <c r="L82" s="16">
        <v>0</v>
      </c>
      <c r="M82" s="16"/>
      <c r="N82" s="12">
        <f t="shared" si="2"/>
        <v>0</v>
      </c>
    </row>
    <row r="83" spans="2:14" x14ac:dyDescent="0.35">
      <c r="B83" s="4">
        <f t="shared" si="3"/>
        <v>73</v>
      </c>
      <c r="C83" s="3" t="s">
        <v>296</v>
      </c>
      <c r="D83" s="4" t="s">
        <v>823</v>
      </c>
      <c r="E83" s="9" t="s">
        <v>151</v>
      </c>
      <c r="F83" s="9" t="s">
        <v>19</v>
      </c>
      <c r="G83" s="16">
        <v>45</v>
      </c>
      <c r="H83" s="16">
        <v>421326000</v>
      </c>
      <c r="I83" s="16">
        <v>0</v>
      </c>
      <c r="J83" s="16">
        <v>0</v>
      </c>
      <c r="K83" s="16">
        <v>4</v>
      </c>
      <c r="L83" s="16">
        <v>106672000</v>
      </c>
      <c r="M83" s="16"/>
      <c r="N83" s="12">
        <f t="shared" si="2"/>
        <v>0</v>
      </c>
    </row>
    <row r="84" spans="2:14" x14ac:dyDescent="0.35">
      <c r="B84" s="4">
        <f t="shared" si="3"/>
        <v>74</v>
      </c>
      <c r="C84" s="3" t="s">
        <v>297</v>
      </c>
      <c r="D84" s="4" t="s">
        <v>797</v>
      </c>
      <c r="E84" s="9" t="s">
        <v>149</v>
      </c>
      <c r="F84" s="9" t="s">
        <v>20</v>
      </c>
      <c r="G84" s="16">
        <v>27</v>
      </c>
      <c r="H84" s="16">
        <v>24514000</v>
      </c>
      <c r="I84" s="16">
        <v>0</v>
      </c>
      <c r="J84" s="16">
        <v>0</v>
      </c>
      <c r="K84" s="16">
        <v>0</v>
      </c>
      <c r="L84" s="16">
        <v>0</v>
      </c>
      <c r="M84" s="16"/>
      <c r="N84" s="12">
        <f t="shared" si="2"/>
        <v>0</v>
      </c>
    </row>
    <row r="85" spans="2:14" x14ac:dyDescent="0.35">
      <c r="B85" s="4">
        <f t="shared" si="3"/>
        <v>75</v>
      </c>
      <c r="C85" s="3" t="s">
        <v>297</v>
      </c>
      <c r="D85" s="4" t="s">
        <v>797</v>
      </c>
      <c r="E85" s="9" t="s">
        <v>149</v>
      </c>
      <c r="F85" s="9" t="s">
        <v>22</v>
      </c>
      <c r="G85" s="16">
        <v>44</v>
      </c>
      <c r="H85" s="16">
        <v>7921000</v>
      </c>
      <c r="I85" s="16">
        <v>0</v>
      </c>
      <c r="J85" s="16">
        <v>0</v>
      </c>
      <c r="K85" s="16">
        <v>2</v>
      </c>
      <c r="L85" s="16">
        <v>490000</v>
      </c>
      <c r="M85" s="16"/>
      <c r="N85" s="12">
        <f t="shared" si="2"/>
        <v>0</v>
      </c>
    </row>
    <row r="86" spans="2:14" x14ac:dyDescent="0.35">
      <c r="B86" s="4">
        <f t="shared" si="3"/>
        <v>76</v>
      </c>
      <c r="C86" s="3" t="s">
        <v>297</v>
      </c>
      <c r="D86" s="4" t="s">
        <v>797</v>
      </c>
      <c r="E86" s="9" t="s">
        <v>149</v>
      </c>
      <c r="F86" s="9" t="s">
        <v>19</v>
      </c>
      <c r="G86" s="16">
        <v>11</v>
      </c>
      <c r="H86" s="16">
        <v>370500000</v>
      </c>
      <c r="I86" s="16">
        <v>0</v>
      </c>
      <c r="J86" s="16">
        <v>0</v>
      </c>
      <c r="K86" s="16">
        <v>0</v>
      </c>
      <c r="L86" s="16">
        <v>0</v>
      </c>
      <c r="M86" s="16"/>
      <c r="N86" s="12">
        <f t="shared" si="2"/>
        <v>0</v>
      </c>
    </row>
    <row r="87" spans="2:14" x14ac:dyDescent="0.35">
      <c r="B87" s="4">
        <f t="shared" si="3"/>
        <v>77</v>
      </c>
      <c r="C87" s="3" t="s">
        <v>297</v>
      </c>
      <c r="D87" s="4" t="s">
        <v>797</v>
      </c>
      <c r="E87" s="9" t="s">
        <v>149</v>
      </c>
      <c r="F87" s="9" t="s">
        <v>190</v>
      </c>
      <c r="G87" s="16">
        <v>16</v>
      </c>
      <c r="H87" s="16">
        <v>2240000</v>
      </c>
      <c r="I87" s="16">
        <v>0</v>
      </c>
      <c r="J87" s="16">
        <v>0</v>
      </c>
      <c r="K87" s="16">
        <v>0</v>
      </c>
      <c r="L87" s="16">
        <v>0</v>
      </c>
      <c r="M87" s="16"/>
      <c r="N87" s="12">
        <f t="shared" si="2"/>
        <v>0</v>
      </c>
    </row>
    <row r="88" spans="2:14" x14ac:dyDescent="0.35">
      <c r="B88" s="4">
        <f t="shared" si="3"/>
        <v>78</v>
      </c>
      <c r="C88" s="3" t="s">
        <v>298</v>
      </c>
      <c r="D88" s="4" t="s">
        <v>846</v>
      </c>
      <c r="E88" s="9" t="s">
        <v>149</v>
      </c>
      <c r="F88" s="9" t="s">
        <v>20</v>
      </c>
      <c r="G88" s="16">
        <v>27</v>
      </c>
      <c r="H88" s="16">
        <v>4515000</v>
      </c>
      <c r="I88" s="16">
        <v>0</v>
      </c>
      <c r="J88" s="16">
        <v>0</v>
      </c>
      <c r="K88" s="16">
        <v>0</v>
      </c>
      <c r="L88" s="16">
        <v>0</v>
      </c>
      <c r="M88" s="16"/>
      <c r="N88" s="12">
        <f t="shared" si="2"/>
        <v>0</v>
      </c>
    </row>
    <row r="89" spans="2:14" x14ac:dyDescent="0.35">
      <c r="B89" s="4">
        <f t="shared" si="3"/>
        <v>79</v>
      </c>
      <c r="C89" s="3" t="s">
        <v>298</v>
      </c>
      <c r="D89" s="4" t="s">
        <v>846</v>
      </c>
      <c r="E89" s="9" t="s">
        <v>149</v>
      </c>
      <c r="F89" s="9" t="s">
        <v>22</v>
      </c>
      <c r="G89" s="16">
        <v>109</v>
      </c>
      <c r="H89" s="16">
        <v>15615000</v>
      </c>
      <c r="I89" s="16">
        <v>2</v>
      </c>
      <c r="J89" s="16">
        <v>186000</v>
      </c>
      <c r="K89" s="16">
        <v>8</v>
      </c>
      <c r="L89" s="16">
        <v>2350000</v>
      </c>
      <c r="M89" s="16"/>
      <c r="N89" s="12">
        <f t="shared" si="2"/>
        <v>0</v>
      </c>
    </row>
    <row r="90" spans="2:14" x14ac:dyDescent="0.35">
      <c r="B90" s="4">
        <f t="shared" si="3"/>
        <v>80</v>
      </c>
      <c r="C90" s="3" t="s">
        <v>298</v>
      </c>
      <c r="D90" s="4" t="s">
        <v>846</v>
      </c>
      <c r="E90" s="9" t="s">
        <v>149</v>
      </c>
      <c r="F90" s="9" t="s">
        <v>19</v>
      </c>
      <c r="G90" s="16">
        <v>40</v>
      </c>
      <c r="H90" s="16">
        <v>384750000</v>
      </c>
      <c r="I90" s="16">
        <v>0</v>
      </c>
      <c r="J90" s="16">
        <v>0</v>
      </c>
      <c r="K90" s="16">
        <v>1</v>
      </c>
      <c r="L90" s="16">
        <v>22560000</v>
      </c>
      <c r="M90" s="16"/>
      <c r="N90" s="12">
        <f t="shared" si="2"/>
        <v>0</v>
      </c>
    </row>
    <row r="91" spans="2:14" x14ac:dyDescent="0.35">
      <c r="B91" s="4">
        <f t="shared" si="3"/>
        <v>81</v>
      </c>
      <c r="C91" s="3" t="s">
        <v>298</v>
      </c>
      <c r="D91" s="4" t="s">
        <v>846</v>
      </c>
      <c r="E91" s="9" t="s">
        <v>149</v>
      </c>
      <c r="F91" s="9" t="s">
        <v>190</v>
      </c>
      <c r="G91" s="16">
        <v>105</v>
      </c>
      <c r="H91" s="16">
        <v>13285000</v>
      </c>
      <c r="I91" s="16">
        <v>4</v>
      </c>
      <c r="J91" s="16">
        <v>500000</v>
      </c>
      <c r="K91" s="16">
        <v>1</v>
      </c>
      <c r="L91" s="16">
        <v>180000</v>
      </c>
      <c r="M91" s="16"/>
      <c r="N91" s="12">
        <f t="shared" si="2"/>
        <v>0</v>
      </c>
    </row>
    <row r="92" spans="2:14" x14ac:dyDescent="0.35">
      <c r="B92" s="4">
        <f t="shared" si="3"/>
        <v>82</v>
      </c>
      <c r="C92" s="3" t="s">
        <v>222</v>
      </c>
      <c r="D92" s="4" t="s">
        <v>746</v>
      </c>
      <c r="E92" s="9" t="s">
        <v>149</v>
      </c>
      <c r="F92" s="9" t="s">
        <v>20</v>
      </c>
      <c r="G92" s="16">
        <v>11</v>
      </c>
      <c r="H92" s="16">
        <v>1760000</v>
      </c>
      <c r="I92" s="16">
        <v>0</v>
      </c>
      <c r="J92" s="16">
        <v>0</v>
      </c>
      <c r="K92" s="16">
        <v>0</v>
      </c>
      <c r="L92" s="16">
        <v>0</v>
      </c>
      <c r="M92" s="16"/>
      <c r="N92" s="12">
        <f t="shared" si="2"/>
        <v>0</v>
      </c>
    </row>
    <row r="93" spans="2:14" x14ac:dyDescent="0.35">
      <c r="B93" s="4">
        <f t="shared" si="3"/>
        <v>83</v>
      </c>
      <c r="C93" s="3" t="s">
        <v>222</v>
      </c>
      <c r="D93" s="4" t="s">
        <v>746</v>
      </c>
      <c r="E93" s="9" t="s">
        <v>149</v>
      </c>
      <c r="F93" s="9" t="s">
        <v>22</v>
      </c>
      <c r="G93" s="16">
        <v>79</v>
      </c>
      <c r="H93" s="16">
        <v>11880000</v>
      </c>
      <c r="I93" s="16">
        <v>0</v>
      </c>
      <c r="J93" s="16">
        <v>0</v>
      </c>
      <c r="K93" s="16">
        <v>11</v>
      </c>
      <c r="L93" s="16">
        <v>3300000</v>
      </c>
      <c r="M93" s="16"/>
      <c r="N93" s="12">
        <f t="shared" si="2"/>
        <v>0</v>
      </c>
    </row>
    <row r="94" spans="2:14" x14ac:dyDescent="0.35">
      <c r="B94" s="4">
        <f t="shared" si="3"/>
        <v>84</v>
      </c>
      <c r="C94" s="3" t="s">
        <v>222</v>
      </c>
      <c r="D94" s="4" t="s">
        <v>746</v>
      </c>
      <c r="E94" s="9" t="s">
        <v>149</v>
      </c>
      <c r="F94" s="9" t="s">
        <v>19</v>
      </c>
      <c r="G94" s="16">
        <v>39</v>
      </c>
      <c r="H94" s="16">
        <v>297250000</v>
      </c>
      <c r="I94" s="16">
        <v>2</v>
      </c>
      <c r="J94" s="16">
        <v>38177000</v>
      </c>
      <c r="K94" s="16">
        <v>0</v>
      </c>
      <c r="L94" s="16">
        <v>0</v>
      </c>
      <c r="M94" s="16"/>
      <c r="N94" s="12">
        <f t="shared" si="2"/>
        <v>0</v>
      </c>
    </row>
    <row r="95" spans="2:14" x14ac:dyDescent="0.35">
      <c r="B95" s="4">
        <f t="shared" si="3"/>
        <v>85</v>
      </c>
      <c r="C95" s="3" t="s">
        <v>222</v>
      </c>
      <c r="D95" s="4" t="s">
        <v>746</v>
      </c>
      <c r="E95" s="9" t="s">
        <v>149</v>
      </c>
      <c r="F95" s="9" t="s">
        <v>190</v>
      </c>
      <c r="G95" s="16">
        <v>60</v>
      </c>
      <c r="H95" s="16">
        <v>7570000</v>
      </c>
      <c r="I95" s="16">
        <v>2</v>
      </c>
      <c r="J95" s="16">
        <v>360000</v>
      </c>
      <c r="K95" s="16">
        <v>0</v>
      </c>
      <c r="L95" s="16">
        <v>0</v>
      </c>
      <c r="M95" s="16"/>
      <c r="N95" s="12">
        <f t="shared" si="2"/>
        <v>0</v>
      </c>
    </row>
    <row r="96" spans="2:14" x14ac:dyDescent="0.35">
      <c r="B96" s="4">
        <f t="shared" si="3"/>
        <v>86</v>
      </c>
      <c r="C96" s="3" t="s">
        <v>223</v>
      </c>
      <c r="D96" s="4" t="s">
        <v>716</v>
      </c>
      <c r="E96" s="9" t="s">
        <v>149</v>
      </c>
      <c r="F96" s="9" t="s">
        <v>20</v>
      </c>
      <c r="G96" s="16">
        <v>3</v>
      </c>
      <c r="H96" s="16">
        <v>510000</v>
      </c>
      <c r="I96" s="16">
        <v>1</v>
      </c>
      <c r="J96" s="16">
        <v>160000</v>
      </c>
      <c r="K96" s="16">
        <v>0</v>
      </c>
      <c r="L96" s="16">
        <v>0</v>
      </c>
      <c r="M96" s="16"/>
      <c r="N96" s="12">
        <f t="shared" si="2"/>
        <v>0</v>
      </c>
    </row>
    <row r="97" spans="2:14" x14ac:dyDescent="0.35">
      <c r="B97" s="4">
        <f t="shared" si="3"/>
        <v>87</v>
      </c>
      <c r="C97" s="3" t="s">
        <v>223</v>
      </c>
      <c r="D97" s="4" t="s">
        <v>716</v>
      </c>
      <c r="E97" s="9" t="s">
        <v>149</v>
      </c>
      <c r="F97" s="9" t="s">
        <v>21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/>
      <c r="N97" s="12">
        <f t="shared" si="2"/>
        <v>0</v>
      </c>
    </row>
    <row r="98" spans="2:14" x14ac:dyDescent="0.35">
      <c r="B98" s="4">
        <f t="shared" si="3"/>
        <v>88</v>
      </c>
      <c r="C98" s="3" t="s">
        <v>223</v>
      </c>
      <c r="D98" s="4" t="s">
        <v>716</v>
      </c>
      <c r="E98" s="9" t="s">
        <v>149</v>
      </c>
      <c r="F98" s="9" t="s">
        <v>22</v>
      </c>
      <c r="G98" s="16">
        <v>211</v>
      </c>
      <c r="H98" s="16">
        <v>22506000</v>
      </c>
      <c r="I98" s="16">
        <v>2</v>
      </c>
      <c r="J98" s="16">
        <v>150000</v>
      </c>
      <c r="K98" s="16">
        <v>14</v>
      </c>
      <c r="L98" s="16">
        <v>4210000</v>
      </c>
      <c r="M98" s="16"/>
      <c r="N98" s="12">
        <f t="shared" si="2"/>
        <v>0</v>
      </c>
    </row>
    <row r="99" spans="2:14" x14ac:dyDescent="0.35">
      <c r="B99" s="4">
        <f t="shared" si="3"/>
        <v>89</v>
      </c>
      <c r="C99" s="3" t="s">
        <v>223</v>
      </c>
      <c r="D99" s="4" t="s">
        <v>716</v>
      </c>
      <c r="E99" s="9" t="s">
        <v>149</v>
      </c>
      <c r="F99" s="9" t="s">
        <v>19</v>
      </c>
      <c r="G99" s="16">
        <v>52</v>
      </c>
      <c r="H99" s="16">
        <v>400000000</v>
      </c>
      <c r="I99" s="16">
        <v>1</v>
      </c>
      <c r="J99" s="16">
        <v>15100000</v>
      </c>
      <c r="K99" s="16">
        <v>2</v>
      </c>
      <c r="L99" s="16">
        <v>23700000</v>
      </c>
      <c r="M99" s="16"/>
      <c r="N99" s="12">
        <f t="shared" si="2"/>
        <v>0</v>
      </c>
    </row>
    <row r="100" spans="2:14" x14ac:dyDescent="0.35">
      <c r="B100" s="4">
        <f t="shared" si="3"/>
        <v>90</v>
      </c>
      <c r="C100" s="3" t="s">
        <v>223</v>
      </c>
      <c r="D100" s="4" t="s">
        <v>716</v>
      </c>
      <c r="E100" s="9" t="s">
        <v>149</v>
      </c>
      <c r="F100" s="9" t="s">
        <v>190</v>
      </c>
      <c r="G100" s="16">
        <v>101</v>
      </c>
      <c r="H100" s="16">
        <v>13145000</v>
      </c>
      <c r="I100" s="16">
        <v>1</v>
      </c>
      <c r="J100" s="16">
        <v>125000</v>
      </c>
      <c r="K100" s="16">
        <v>4</v>
      </c>
      <c r="L100" s="16">
        <v>645000</v>
      </c>
      <c r="M100" s="16"/>
      <c r="N100" s="12">
        <f t="shared" si="2"/>
        <v>0</v>
      </c>
    </row>
    <row r="101" spans="2:14" x14ac:dyDescent="0.35">
      <c r="B101" s="4">
        <f t="shared" si="3"/>
        <v>91</v>
      </c>
      <c r="C101" s="3" t="s">
        <v>388</v>
      </c>
      <c r="D101" s="4" t="s">
        <v>765</v>
      </c>
      <c r="E101" s="9" t="s">
        <v>149</v>
      </c>
      <c r="F101" s="9" t="s">
        <v>22</v>
      </c>
      <c r="G101" s="16">
        <v>12</v>
      </c>
      <c r="H101" s="16">
        <v>3566000</v>
      </c>
      <c r="I101" s="16">
        <v>0</v>
      </c>
      <c r="J101" s="16">
        <v>0</v>
      </c>
      <c r="K101" s="16">
        <v>2</v>
      </c>
      <c r="L101" s="16">
        <v>600000</v>
      </c>
      <c r="M101" s="16"/>
      <c r="N101" s="12">
        <f t="shared" si="2"/>
        <v>0</v>
      </c>
    </row>
    <row r="102" spans="2:14" x14ac:dyDescent="0.35">
      <c r="B102" s="4">
        <f t="shared" si="3"/>
        <v>92</v>
      </c>
      <c r="C102" s="3" t="s">
        <v>388</v>
      </c>
      <c r="D102" s="4" t="s">
        <v>765</v>
      </c>
      <c r="E102" s="9" t="s">
        <v>149</v>
      </c>
      <c r="F102" s="9" t="s">
        <v>19</v>
      </c>
      <c r="G102" s="16">
        <v>8</v>
      </c>
      <c r="H102" s="16">
        <v>55500000</v>
      </c>
      <c r="I102" s="16">
        <v>0</v>
      </c>
      <c r="J102" s="16">
        <v>0</v>
      </c>
      <c r="K102" s="16">
        <v>0</v>
      </c>
      <c r="L102" s="16">
        <v>0</v>
      </c>
      <c r="M102" s="16"/>
      <c r="N102" s="12">
        <f t="shared" si="2"/>
        <v>0</v>
      </c>
    </row>
    <row r="103" spans="2:14" x14ac:dyDescent="0.35">
      <c r="B103" s="4">
        <f t="shared" si="3"/>
        <v>93</v>
      </c>
      <c r="C103" s="3" t="s">
        <v>388</v>
      </c>
      <c r="D103" s="4" t="s">
        <v>765</v>
      </c>
      <c r="E103" s="9" t="s">
        <v>149</v>
      </c>
      <c r="F103" s="9" t="s">
        <v>190</v>
      </c>
      <c r="G103" s="16">
        <v>9</v>
      </c>
      <c r="H103" s="16">
        <v>1125000</v>
      </c>
      <c r="I103" s="16">
        <v>0</v>
      </c>
      <c r="J103" s="16">
        <v>0</v>
      </c>
      <c r="K103" s="16">
        <v>0</v>
      </c>
      <c r="L103" s="16">
        <v>0</v>
      </c>
      <c r="M103" s="16"/>
      <c r="N103" s="12">
        <f t="shared" si="2"/>
        <v>0</v>
      </c>
    </row>
    <row r="104" spans="2:14" x14ac:dyDescent="0.35">
      <c r="B104" s="4">
        <f t="shared" si="3"/>
        <v>94</v>
      </c>
      <c r="C104" s="3" t="s">
        <v>198</v>
      </c>
      <c r="D104" s="4" t="s">
        <v>808</v>
      </c>
      <c r="E104" s="9" t="s">
        <v>149</v>
      </c>
      <c r="F104" s="9" t="s">
        <v>20</v>
      </c>
      <c r="G104" s="16">
        <v>4</v>
      </c>
      <c r="H104" s="16">
        <v>685000</v>
      </c>
      <c r="I104" s="16">
        <v>0</v>
      </c>
      <c r="J104" s="16">
        <v>0</v>
      </c>
      <c r="K104" s="16">
        <v>0</v>
      </c>
      <c r="L104" s="16">
        <v>0</v>
      </c>
      <c r="M104" s="16"/>
      <c r="N104" s="12">
        <f t="shared" si="2"/>
        <v>0</v>
      </c>
    </row>
    <row r="105" spans="2:14" x14ac:dyDescent="0.35">
      <c r="B105" s="4">
        <f t="shared" si="3"/>
        <v>95</v>
      </c>
      <c r="C105" s="3" t="s">
        <v>198</v>
      </c>
      <c r="D105" s="4" t="s">
        <v>808</v>
      </c>
      <c r="E105" s="9" t="s">
        <v>149</v>
      </c>
      <c r="F105" s="9" t="s">
        <v>22</v>
      </c>
      <c r="G105" s="16">
        <v>281</v>
      </c>
      <c r="H105" s="16">
        <v>36220000</v>
      </c>
      <c r="I105" s="16">
        <v>2</v>
      </c>
      <c r="J105" s="16">
        <v>341000</v>
      </c>
      <c r="K105" s="16">
        <v>28</v>
      </c>
      <c r="L105" s="16">
        <v>8975000</v>
      </c>
      <c r="M105" s="16"/>
      <c r="N105" s="12">
        <f t="shared" si="2"/>
        <v>0</v>
      </c>
    </row>
    <row r="106" spans="2:14" x14ac:dyDescent="0.35">
      <c r="B106" s="4">
        <f t="shared" si="3"/>
        <v>96</v>
      </c>
      <c r="C106" s="3" t="s">
        <v>198</v>
      </c>
      <c r="D106" s="4" t="s">
        <v>808</v>
      </c>
      <c r="E106" s="9" t="s">
        <v>149</v>
      </c>
      <c r="F106" s="9" t="s">
        <v>19</v>
      </c>
      <c r="G106" s="16">
        <v>26</v>
      </c>
      <c r="H106" s="16">
        <v>246000000</v>
      </c>
      <c r="I106" s="16">
        <v>1</v>
      </c>
      <c r="J106" s="16">
        <v>4250000</v>
      </c>
      <c r="K106" s="16">
        <v>1</v>
      </c>
      <c r="L106" s="16">
        <v>8785000</v>
      </c>
      <c r="M106" s="16"/>
      <c r="N106" s="12">
        <f t="shared" si="2"/>
        <v>0</v>
      </c>
    </row>
    <row r="107" spans="2:14" x14ac:dyDescent="0.35">
      <c r="B107" s="4">
        <f t="shared" si="3"/>
        <v>97</v>
      </c>
      <c r="C107" s="3" t="s">
        <v>198</v>
      </c>
      <c r="D107" s="4" t="s">
        <v>808</v>
      </c>
      <c r="E107" s="9" t="s">
        <v>149</v>
      </c>
      <c r="F107" s="9" t="s">
        <v>190</v>
      </c>
      <c r="G107" s="16">
        <v>73</v>
      </c>
      <c r="H107" s="16">
        <v>9160000</v>
      </c>
      <c r="I107" s="16">
        <v>5</v>
      </c>
      <c r="J107" s="16">
        <v>625000</v>
      </c>
      <c r="K107" s="16">
        <v>0</v>
      </c>
      <c r="L107" s="16">
        <v>0</v>
      </c>
      <c r="M107" s="16"/>
      <c r="N107" s="12">
        <f t="shared" si="2"/>
        <v>0</v>
      </c>
    </row>
    <row r="108" spans="2:14" x14ac:dyDescent="0.35">
      <c r="B108" s="4">
        <f t="shared" si="3"/>
        <v>98</v>
      </c>
      <c r="C108" s="3" t="s">
        <v>224</v>
      </c>
      <c r="D108" s="4" t="s">
        <v>838</v>
      </c>
      <c r="E108" s="9" t="s">
        <v>149</v>
      </c>
      <c r="F108" s="9" t="s">
        <v>20</v>
      </c>
      <c r="G108" s="16">
        <v>21</v>
      </c>
      <c r="H108" s="16">
        <v>3675000</v>
      </c>
      <c r="I108" s="16">
        <v>0</v>
      </c>
      <c r="J108" s="16">
        <v>0</v>
      </c>
      <c r="K108" s="16">
        <v>0</v>
      </c>
      <c r="L108" s="16">
        <v>0</v>
      </c>
      <c r="M108" s="16"/>
      <c r="N108" s="12">
        <f t="shared" si="2"/>
        <v>0</v>
      </c>
    </row>
    <row r="109" spans="2:14" x14ac:dyDescent="0.35">
      <c r="B109" s="4">
        <f t="shared" si="3"/>
        <v>99</v>
      </c>
      <c r="C109" s="3" t="s">
        <v>224</v>
      </c>
      <c r="D109" s="4" t="s">
        <v>838</v>
      </c>
      <c r="E109" s="9" t="s">
        <v>149</v>
      </c>
      <c r="F109" s="9" t="s">
        <v>22</v>
      </c>
      <c r="G109" s="16">
        <v>94</v>
      </c>
      <c r="H109" s="16">
        <v>8109000</v>
      </c>
      <c r="I109" s="16">
        <v>4</v>
      </c>
      <c r="J109" s="16">
        <v>336000</v>
      </c>
      <c r="K109" s="16">
        <v>1</v>
      </c>
      <c r="L109" s="16">
        <v>300000</v>
      </c>
      <c r="M109" s="16"/>
      <c r="N109" s="12">
        <f t="shared" si="2"/>
        <v>0</v>
      </c>
    </row>
    <row r="110" spans="2:14" x14ac:dyDescent="0.35">
      <c r="B110" s="4">
        <f t="shared" si="3"/>
        <v>100</v>
      </c>
      <c r="C110" s="3" t="s">
        <v>224</v>
      </c>
      <c r="D110" s="4" t="s">
        <v>838</v>
      </c>
      <c r="E110" s="9" t="s">
        <v>149</v>
      </c>
      <c r="F110" s="9" t="s">
        <v>19</v>
      </c>
      <c r="G110" s="16">
        <v>24</v>
      </c>
      <c r="H110" s="16">
        <v>201501500</v>
      </c>
      <c r="I110" s="16">
        <v>0</v>
      </c>
      <c r="J110" s="16">
        <v>0</v>
      </c>
      <c r="K110" s="16">
        <v>1</v>
      </c>
      <c r="L110" s="16">
        <v>13985000</v>
      </c>
      <c r="M110" s="16"/>
      <c r="N110" s="12">
        <f t="shared" si="2"/>
        <v>0</v>
      </c>
    </row>
    <row r="111" spans="2:14" x14ac:dyDescent="0.35">
      <c r="B111" s="4">
        <f t="shared" si="3"/>
        <v>101</v>
      </c>
      <c r="C111" s="3" t="s">
        <v>224</v>
      </c>
      <c r="D111" s="4" t="s">
        <v>838</v>
      </c>
      <c r="E111" s="9" t="s">
        <v>149</v>
      </c>
      <c r="F111" s="9" t="s">
        <v>190</v>
      </c>
      <c r="G111" s="16">
        <v>64</v>
      </c>
      <c r="H111" s="16">
        <v>8295000</v>
      </c>
      <c r="I111" s="16">
        <v>1</v>
      </c>
      <c r="J111" s="16">
        <v>125000</v>
      </c>
      <c r="K111" s="16">
        <v>1</v>
      </c>
      <c r="L111" s="16">
        <v>180000</v>
      </c>
      <c r="M111" s="16"/>
      <c r="N111" s="12">
        <f t="shared" si="2"/>
        <v>0</v>
      </c>
    </row>
    <row r="112" spans="2:14" x14ac:dyDescent="0.35">
      <c r="B112" s="4">
        <f t="shared" si="3"/>
        <v>102</v>
      </c>
      <c r="C112" s="3" t="s">
        <v>225</v>
      </c>
      <c r="D112" s="4" t="s">
        <v>744</v>
      </c>
      <c r="E112" s="9" t="s">
        <v>149</v>
      </c>
      <c r="F112" s="9" t="s">
        <v>20</v>
      </c>
      <c r="G112" s="16">
        <v>8</v>
      </c>
      <c r="H112" s="16">
        <v>1400000</v>
      </c>
      <c r="I112" s="16">
        <v>0</v>
      </c>
      <c r="J112" s="16">
        <v>0</v>
      </c>
      <c r="K112" s="16">
        <v>0</v>
      </c>
      <c r="L112" s="16">
        <v>0</v>
      </c>
      <c r="M112" s="16"/>
      <c r="N112" s="12">
        <f t="shared" si="2"/>
        <v>0</v>
      </c>
    </row>
    <row r="113" spans="2:14" x14ac:dyDescent="0.35">
      <c r="B113" s="4">
        <f t="shared" si="3"/>
        <v>103</v>
      </c>
      <c r="C113" s="3" t="s">
        <v>225</v>
      </c>
      <c r="D113" s="4" t="s">
        <v>744</v>
      </c>
      <c r="E113" s="9" t="s">
        <v>149</v>
      </c>
      <c r="F113" s="9" t="s">
        <v>22</v>
      </c>
      <c r="G113" s="16">
        <v>77</v>
      </c>
      <c r="H113" s="16">
        <v>7191000</v>
      </c>
      <c r="I113" s="16">
        <v>20</v>
      </c>
      <c r="J113" s="16">
        <v>1784000</v>
      </c>
      <c r="K113" s="16">
        <v>43</v>
      </c>
      <c r="L113" s="16">
        <v>54870000</v>
      </c>
      <c r="M113" s="16"/>
      <c r="N113" s="12">
        <f t="shared" si="2"/>
        <v>0</v>
      </c>
    </row>
    <row r="114" spans="2:14" x14ac:dyDescent="0.35">
      <c r="B114" s="4">
        <f t="shared" si="3"/>
        <v>104</v>
      </c>
      <c r="C114" s="3" t="s">
        <v>225</v>
      </c>
      <c r="D114" s="4" t="s">
        <v>744</v>
      </c>
      <c r="E114" s="9" t="s">
        <v>149</v>
      </c>
      <c r="F114" s="9" t="s">
        <v>19</v>
      </c>
      <c r="G114" s="16">
        <v>8</v>
      </c>
      <c r="H114" s="16">
        <v>59300000</v>
      </c>
      <c r="I114" s="16">
        <v>2</v>
      </c>
      <c r="J114" s="16">
        <v>15000000</v>
      </c>
      <c r="K114" s="16">
        <v>2</v>
      </c>
      <c r="L114" s="16">
        <v>28975000</v>
      </c>
      <c r="M114" s="16"/>
      <c r="N114" s="12">
        <f t="shared" si="2"/>
        <v>0</v>
      </c>
    </row>
    <row r="115" spans="2:14" x14ac:dyDescent="0.35">
      <c r="B115" s="4">
        <f t="shared" si="3"/>
        <v>105</v>
      </c>
      <c r="C115" s="3" t="s">
        <v>225</v>
      </c>
      <c r="D115" s="4" t="s">
        <v>744</v>
      </c>
      <c r="E115" s="9" t="s">
        <v>149</v>
      </c>
      <c r="F115" s="9" t="s">
        <v>190</v>
      </c>
      <c r="G115" s="16">
        <v>32</v>
      </c>
      <c r="H115" s="16">
        <v>4210000</v>
      </c>
      <c r="I115" s="16">
        <v>3</v>
      </c>
      <c r="J115" s="16">
        <v>410000</v>
      </c>
      <c r="K115" s="16">
        <v>0</v>
      </c>
      <c r="L115" s="16">
        <v>0</v>
      </c>
      <c r="M115" s="16"/>
      <c r="N115" s="12">
        <f t="shared" si="2"/>
        <v>0</v>
      </c>
    </row>
    <row r="116" spans="2:14" x14ac:dyDescent="0.35">
      <c r="B116" s="4">
        <f t="shared" si="3"/>
        <v>106</v>
      </c>
      <c r="C116" s="3" t="s">
        <v>226</v>
      </c>
      <c r="D116" s="4" t="s">
        <v>730</v>
      </c>
      <c r="E116" s="9" t="s">
        <v>149</v>
      </c>
      <c r="F116" s="9" t="s">
        <v>20</v>
      </c>
      <c r="G116" s="16">
        <v>13</v>
      </c>
      <c r="H116" s="16">
        <v>2155000</v>
      </c>
      <c r="I116" s="16">
        <v>1</v>
      </c>
      <c r="J116" s="16">
        <v>175000</v>
      </c>
      <c r="K116" s="16">
        <v>0</v>
      </c>
      <c r="L116" s="16">
        <v>0</v>
      </c>
      <c r="M116" s="16"/>
      <c r="N116" s="12">
        <f t="shared" si="2"/>
        <v>0</v>
      </c>
    </row>
    <row r="117" spans="2:14" x14ac:dyDescent="0.35">
      <c r="B117" s="4">
        <f t="shared" si="3"/>
        <v>107</v>
      </c>
      <c r="C117" s="3" t="s">
        <v>226</v>
      </c>
      <c r="D117" s="4" t="s">
        <v>730</v>
      </c>
      <c r="E117" s="9" t="s">
        <v>149</v>
      </c>
      <c r="F117" s="9" t="s">
        <v>22</v>
      </c>
      <c r="G117" s="16">
        <v>40</v>
      </c>
      <c r="H117" s="16">
        <v>3188000</v>
      </c>
      <c r="I117" s="16">
        <v>4</v>
      </c>
      <c r="J117" s="16">
        <v>301000</v>
      </c>
      <c r="K117" s="16">
        <v>0</v>
      </c>
      <c r="L117" s="16">
        <v>0</v>
      </c>
      <c r="M117" s="16"/>
      <c r="N117" s="12">
        <f t="shared" si="2"/>
        <v>0</v>
      </c>
    </row>
    <row r="118" spans="2:14" x14ac:dyDescent="0.35">
      <c r="B118" s="4">
        <f t="shared" si="3"/>
        <v>108</v>
      </c>
      <c r="C118" s="3" t="s">
        <v>226</v>
      </c>
      <c r="D118" s="4" t="s">
        <v>730</v>
      </c>
      <c r="E118" s="9" t="s">
        <v>149</v>
      </c>
      <c r="F118" s="9" t="s">
        <v>19</v>
      </c>
      <c r="G118" s="16">
        <v>26</v>
      </c>
      <c r="H118" s="16">
        <v>212750000</v>
      </c>
      <c r="I118" s="16">
        <v>3</v>
      </c>
      <c r="J118" s="16">
        <v>26750000</v>
      </c>
      <c r="K118" s="16">
        <v>1</v>
      </c>
      <c r="L118" s="16">
        <v>24960000</v>
      </c>
      <c r="M118" s="16"/>
      <c r="N118" s="12">
        <f t="shared" si="2"/>
        <v>0</v>
      </c>
    </row>
    <row r="119" spans="2:14" x14ac:dyDescent="0.35">
      <c r="B119" s="4">
        <f t="shared" si="3"/>
        <v>109</v>
      </c>
      <c r="C119" s="3" t="s">
        <v>226</v>
      </c>
      <c r="D119" s="4" t="s">
        <v>730</v>
      </c>
      <c r="E119" s="9" t="s">
        <v>149</v>
      </c>
      <c r="F119" s="9" t="s">
        <v>190</v>
      </c>
      <c r="G119" s="16">
        <v>47</v>
      </c>
      <c r="H119" s="16">
        <v>6155000</v>
      </c>
      <c r="I119" s="16">
        <v>5</v>
      </c>
      <c r="J119" s="16">
        <v>800000</v>
      </c>
      <c r="K119" s="16">
        <v>2</v>
      </c>
      <c r="L119" s="16">
        <v>360000</v>
      </c>
      <c r="M119" s="16"/>
      <c r="N119" s="12">
        <f t="shared" si="2"/>
        <v>0</v>
      </c>
    </row>
    <row r="120" spans="2:14" x14ac:dyDescent="0.35">
      <c r="B120" s="4">
        <f t="shared" si="3"/>
        <v>110</v>
      </c>
      <c r="C120" s="3" t="s">
        <v>300</v>
      </c>
      <c r="D120" s="4" t="s">
        <v>878</v>
      </c>
      <c r="E120" s="9" t="s">
        <v>149</v>
      </c>
      <c r="F120" s="9" t="s">
        <v>20</v>
      </c>
      <c r="G120" s="16">
        <v>5</v>
      </c>
      <c r="H120" s="16">
        <v>830000</v>
      </c>
      <c r="I120" s="16">
        <v>0</v>
      </c>
      <c r="J120" s="16">
        <v>0</v>
      </c>
      <c r="K120" s="16">
        <v>3</v>
      </c>
      <c r="L120" s="16">
        <v>480000</v>
      </c>
      <c r="M120" s="16"/>
      <c r="N120" s="12">
        <f t="shared" si="2"/>
        <v>0</v>
      </c>
    </row>
    <row r="121" spans="2:14" x14ac:dyDescent="0.35">
      <c r="B121" s="4">
        <f t="shared" si="3"/>
        <v>111</v>
      </c>
      <c r="C121" s="3" t="s">
        <v>300</v>
      </c>
      <c r="D121" s="4" t="s">
        <v>878</v>
      </c>
      <c r="E121" s="9" t="s">
        <v>149</v>
      </c>
      <c r="F121" s="9" t="s">
        <v>21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/>
      <c r="N121" s="12">
        <f t="shared" si="2"/>
        <v>0</v>
      </c>
    </row>
    <row r="122" spans="2:14" x14ac:dyDescent="0.35">
      <c r="B122" s="4">
        <f t="shared" si="3"/>
        <v>112</v>
      </c>
      <c r="C122" s="3" t="s">
        <v>300</v>
      </c>
      <c r="D122" s="4" t="s">
        <v>878</v>
      </c>
      <c r="E122" s="9" t="s">
        <v>149</v>
      </c>
      <c r="F122" s="9" t="s">
        <v>22</v>
      </c>
      <c r="G122" s="16">
        <v>150</v>
      </c>
      <c r="H122" s="16">
        <v>16297000</v>
      </c>
      <c r="I122" s="16">
        <v>2</v>
      </c>
      <c r="J122" s="16">
        <v>150000</v>
      </c>
      <c r="K122" s="16">
        <v>16</v>
      </c>
      <c r="L122" s="16">
        <v>4630000</v>
      </c>
      <c r="M122" s="16"/>
      <c r="N122" s="12">
        <f t="shared" si="2"/>
        <v>0</v>
      </c>
    </row>
    <row r="123" spans="2:14" x14ac:dyDescent="0.35">
      <c r="B123" s="4">
        <f t="shared" si="3"/>
        <v>113</v>
      </c>
      <c r="C123" s="3" t="s">
        <v>300</v>
      </c>
      <c r="D123" s="4" t="s">
        <v>878</v>
      </c>
      <c r="E123" s="9" t="s">
        <v>149</v>
      </c>
      <c r="F123" s="9" t="s">
        <v>19</v>
      </c>
      <c r="G123" s="16">
        <v>28</v>
      </c>
      <c r="H123" s="16">
        <v>230600000</v>
      </c>
      <c r="I123" s="16">
        <v>0</v>
      </c>
      <c r="J123" s="16">
        <v>0</v>
      </c>
      <c r="K123" s="16">
        <v>3</v>
      </c>
      <c r="L123" s="16">
        <v>61300000</v>
      </c>
      <c r="M123" s="16"/>
      <c r="N123" s="12">
        <f t="shared" si="2"/>
        <v>0</v>
      </c>
    </row>
    <row r="124" spans="2:14" x14ac:dyDescent="0.35">
      <c r="B124" s="4">
        <f t="shared" si="3"/>
        <v>114</v>
      </c>
      <c r="C124" s="3" t="s">
        <v>300</v>
      </c>
      <c r="D124" s="4" t="s">
        <v>878</v>
      </c>
      <c r="E124" s="9" t="s">
        <v>149</v>
      </c>
      <c r="F124" s="9" t="s">
        <v>190</v>
      </c>
      <c r="G124" s="16">
        <v>41</v>
      </c>
      <c r="H124" s="16">
        <v>5320000</v>
      </c>
      <c r="I124" s="16">
        <v>0</v>
      </c>
      <c r="J124" s="16">
        <v>0</v>
      </c>
      <c r="K124" s="16">
        <v>10</v>
      </c>
      <c r="L124" s="16">
        <v>1520000</v>
      </c>
      <c r="M124" s="16"/>
      <c r="N124" s="12">
        <f t="shared" si="2"/>
        <v>0</v>
      </c>
    </row>
    <row r="125" spans="2:14" x14ac:dyDescent="0.35">
      <c r="B125" s="4">
        <f t="shared" si="3"/>
        <v>115</v>
      </c>
      <c r="C125" s="3" t="s">
        <v>227</v>
      </c>
      <c r="D125" s="4" t="s">
        <v>727</v>
      </c>
      <c r="E125" s="9" t="s">
        <v>149</v>
      </c>
      <c r="F125" s="9" t="s">
        <v>20</v>
      </c>
      <c r="G125" s="16">
        <v>2</v>
      </c>
      <c r="H125" s="16">
        <v>320000</v>
      </c>
      <c r="I125" s="16">
        <v>4</v>
      </c>
      <c r="J125" s="16">
        <v>700000</v>
      </c>
      <c r="K125" s="16">
        <v>0</v>
      </c>
      <c r="L125" s="16">
        <v>0</v>
      </c>
      <c r="M125" s="16"/>
      <c r="N125" s="12">
        <f t="shared" si="2"/>
        <v>0</v>
      </c>
    </row>
    <row r="126" spans="2:14" x14ac:dyDescent="0.35">
      <c r="B126" s="4">
        <f t="shared" si="3"/>
        <v>116</v>
      </c>
      <c r="C126" s="3" t="s">
        <v>227</v>
      </c>
      <c r="D126" s="4" t="s">
        <v>727</v>
      </c>
      <c r="E126" s="9" t="s">
        <v>149</v>
      </c>
      <c r="F126" s="9" t="s">
        <v>22</v>
      </c>
      <c r="G126" s="16">
        <v>69</v>
      </c>
      <c r="H126" s="16">
        <v>9295000</v>
      </c>
      <c r="I126" s="16">
        <v>1</v>
      </c>
      <c r="J126" s="16">
        <v>75000</v>
      </c>
      <c r="K126" s="16">
        <v>18</v>
      </c>
      <c r="L126" s="16">
        <v>5095000</v>
      </c>
      <c r="M126" s="16"/>
      <c r="N126" s="12">
        <f t="shared" si="2"/>
        <v>0</v>
      </c>
    </row>
    <row r="127" spans="2:14" x14ac:dyDescent="0.35">
      <c r="B127" s="4">
        <f t="shared" si="3"/>
        <v>117</v>
      </c>
      <c r="C127" s="3" t="s">
        <v>227</v>
      </c>
      <c r="D127" s="4" t="s">
        <v>727</v>
      </c>
      <c r="E127" s="9" t="s">
        <v>149</v>
      </c>
      <c r="F127" s="9" t="s">
        <v>19</v>
      </c>
      <c r="G127" s="16">
        <v>21</v>
      </c>
      <c r="H127" s="16">
        <v>157500000</v>
      </c>
      <c r="I127" s="16">
        <v>5</v>
      </c>
      <c r="J127" s="16">
        <v>49250000</v>
      </c>
      <c r="K127" s="16">
        <v>0</v>
      </c>
      <c r="L127" s="16">
        <v>0</v>
      </c>
      <c r="M127" s="16"/>
      <c r="N127" s="12">
        <f t="shared" si="2"/>
        <v>0</v>
      </c>
    </row>
    <row r="128" spans="2:14" x14ac:dyDescent="0.35">
      <c r="B128" s="4">
        <f t="shared" si="3"/>
        <v>118</v>
      </c>
      <c r="C128" s="3" t="s">
        <v>227</v>
      </c>
      <c r="D128" s="4" t="s">
        <v>727</v>
      </c>
      <c r="E128" s="9" t="s">
        <v>149</v>
      </c>
      <c r="F128" s="9" t="s">
        <v>190</v>
      </c>
      <c r="G128" s="16">
        <v>101</v>
      </c>
      <c r="H128" s="16">
        <v>13155000</v>
      </c>
      <c r="I128" s="16">
        <v>3</v>
      </c>
      <c r="J128" s="16">
        <v>375000</v>
      </c>
      <c r="K128" s="16">
        <v>0</v>
      </c>
      <c r="L128" s="16">
        <v>0</v>
      </c>
      <c r="M128" s="16"/>
      <c r="N128" s="12">
        <f t="shared" si="2"/>
        <v>0</v>
      </c>
    </row>
    <row r="129" spans="2:14" x14ac:dyDescent="0.35">
      <c r="B129" s="4">
        <f t="shared" si="3"/>
        <v>119</v>
      </c>
      <c r="C129" s="3" t="s">
        <v>228</v>
      </c>
      <c r="D129" s="4" t="s">
        <v>763</v>
      </c>
      <c r="E129" s="9" t="s">
        <v>149</v>
      </c>
      <c r="F129" s="9" t="s">
        <v>20</v>
      </c>
      <c r="G129" s="16">
        <v>3</v>
      </c>
      <c r="H129" s="16">
        <v>525000</v>
      </c>
      <c r="I129" s="16">
        <v>0</v>
      </c>
      <c r="J129" s="16">
        <v>0</v>
      </c>
      <c r="K129" s="16">
        <v>0</v>
      </c>
      <c r="L129" s="16">
        <v>0</v>
      </c>
      <c r="M129" s="16"/>
      <c r="N129" s="12">
        <f t="shared" si="2"/>
        <v>0</v>
      </c>
    </row>
    <row r="130" spans="2:14" x14ac:dyDescent="0.35">
      <c r="B130" s="4">
        <f t="shared" si="3"/>
        <v>120</v>
      </c>
      <c r="C130" s="3" t="s">
        <v>228</v>
      </c>
      <c r="D130" s="4" t="s">
        <v>763</v>
      </c>
      <c r="E130" s="9" t="s">
        <v>149</v>
      </c>
      <c r="F130" s="9" t="s">
        <v>22</v>
      </c>
      <c r="G130" s="16">
        <v>95</v>
      </c>
      <c r="H130" s="16">
        <v>11430000</v>
      </c>
      <c r="I130" s="16">
        <v>10</v>
      </c>
      <c r="J130" s="16">
        <v>1217000</v>
      </c>
      <c r="K130" s="16">
        <v>39</v>
      </c>
      <c r="L130" s="16">
        <v>25100000</v>
      </c>
      <c r="M130" s="16"/>
      <c r="N130" s="12">
        <f t="shared" si="2"/>
        <v>0</v>
      </c>
    </row>
    <row r="131" spans="2:14" x14ac:dyDescent="0.35">
      <c r="B131" s="4">
        <f t="shared" si="3"/>
        <v>121</v>
      </c>
      <c r="C131" s="3" t="s">
        <v>228</v>
      </c>
      <c r="D131" s="4" t="s">
        <v>763</v>
      </c>
      <c r="E131" s="9" t="s">
        <v>149</v>
      </c>
      <c r="F131" s="9" t="s">
        <v>19</v>
      </c>
      <c r="G131" s="16">
        <v>19</v>
      </c>
      <c r="H131" s="16">
        <v>176100000</v>
      </c>
      <c r="I131" s="16">
        <v>2</v>
      </c>
      <c r="J131" s="16">
        <v>11750000</v>
      </c>
      <c r="K131" s="16">
        <v>0</v>
      </c>
      <c r="L131" s="16">
        <v>0</v>
      </c>
      <c r="M131" s="16"/>
      <c r="N131" s="12">
        <f t="shared" si="2"/>
        <v>0</v>
      </c>
    </row>
    <row r="132" spans="2:14" x14ac:dyDescent="0.35">
      <c r="B132" s="4">
        <f t="shared" si="3"/>
        <v>122</v>
      </c>
      <c r="C132" s="3" t="s">
        <v>228</v>
      </c>
      <c r="D132" s="4" t="s">
        <v>763</v>
      </c>
      <c r="E132" s="9" t="s">
        <v>149</v>
      </c>
      <c r="F132" s="9" t="s">
        <v>190</v>
      </c>
      <c r="G132" s="16">
        <v>44</v>
      </c>
      <c r="H132" s="16">
        <v>5530000</v>
      </c>
      <c r="I132" s="16">
        <v>2</v>
      </c>
      <c r="J132" s="16">
        <v>250000</v>
      </c>
      <c r="K132" s="16">
        <v>0</v>
      </c>
      <c r="L132" s="16">
        <v>0</v>
      </c>
      <c r="M132" s="16"/>
      <c r="N132" s="12">
        <f t="shared" si="2"/>
        <v>0</v>
      </c>
    </row>
    <row r="133" spans="2:14" x14ac:dyDescent="0.35">
      <c r="B133" s="4">
        <f t="shared" si="3"/>
        <v>123</v>
      </c>
      <c r="C133" s="3" t="s">
        <v>199</v>
      </c>
      <c r="D133" s="4" t="s">
        <v>715</v>
      </c>
      <c r="E133" s="9" t="s">
        <v>149</v>
      </c>
      <c r="F133" s="9" t="s">
        <v>20</v>
      </c>
      <c r="G133" s="16">
        <v>1</v>
      </c>
      <c r="H133" s="16">
        <v>160000</v>
      </c>
      <c r="I133" s="16">
        <v>0</v>
      </c>
      <c r="J133" s="16">
        <v>0</v>
      </c>
      <c r="K133" s="16">
        <v>0</v>
      </c>
      <c r="L133" s="16">
        <v>0</v>
      </c>
      <c r="M133" s="16"/>
      <c r="N133" s="12">
        <f t="shared" si="2"/>
        <v>0</v>
      </c>
    </row>
    <row r="134" spans="2:14" x14ac:dyDescent="0.35">
      <c r="B134" s="4">
        <f t="shared" si="3"/>
        <v>124</v>
      </c>
      <c r="C134" s="3" t="s">
        <v>199</v>
      </c>
      <c r="D134" s="4" t="s">
        <v>715</v>
      </c>
      <c r="E134" s="9" t="s">
        <v>149</v>
      </c>
      <c r="F134" s="9" t="s">
        <v>22</v>
      </c>
      <c r="G134" s="16">
        <v>243</v>
      </c>
      <c r="H134" s="16">
        <v>42996000</v>
      </c>
      <c r="I134" s="16">
        <v>3</v>
      </c>
      <c r="J134" s="16">
        <v>225000</v>
      </c>
      <c r="K134" s="16">
        <v>50</v>
      </c>
      <c r="L134" s="16">
        <v>14400000</v>
      </c>
      <c r="M134" s="16"/>
      <c r="N134" s="12">
        <f t="shared" si="2"/>
        <v>0</v>
      </c>
    </row>
    <row r="135" spans="2:14" x14ac:dyDescent="0.35">
      <c r="B135" s="4">
        <f t="shared" si="3"/>
        <v>125</v>
      </c>
      <c r="C135" s="3" t="s">
        <v>199</v>
      </c>
      <c r="D135" s="4" t="s">
        <v>715</v>
      </c>
      <c r="E135" s="9" t="s">
        <v>149</v>
      </c>
      <c r="F135" s="9" t="s">
        <v>19</v>
      </c>
      <c r="G135" s="16">
        <v>18</v>
      </c>
      <c r="H135" s="16">
        <v>137500000</v>
      </c>
      <c r="I135" s="16">
        <v>0</v>
      </c>
      <c r="J135" s="16">
        <v>0</v>
      </c>
      <c r="K135" s="16">
        <v>3</v>
      </c>
      <c r="L135" s="16">
        <v>72000000</v>
      </c>
      <c r="M135" s="16"/>
      <c r="N135" s="12">
        <f t="shared" si="2"/>
        <v>0</v>
      </c>
    </row>
    <row r="136" spans="2:14" x14ac:dyDescent="0.35">
      <c r="B136" s="4">
        <f t="shared" si="3"/>
        <v>126</v>
      </c>
      <c r="C136" s="3" t="s">
        <v>199</v>
      </c>
      <c r="D136" s="4" t="s">
        <v>715</v>
      </c>
      <c r="E136" s="9" t="s">
        <v>149</v>
      </c>
      <c r="F136" s="9" t="s">
        <v>190</v>
      </c>
      <c r="G136" s="16">
        <v>41</v>
      </c>
      <c r="H136" s="16">
        <v>5345000</v>
      </c>
      <c r="I136" s="16">
        <v>0</v>
      </c>
      <c r="J136" s="16">
        <v>0</v>
      </c>
      <c r="K136" s="16">
        <v>7</v>
      </c>
      <c r="L136" s="16">
        <v>1085000</v>
      </c>
      <c r="M136" s="16"/>
      <c r="N136" s="12">
        <f t="shared" si="2"/>
        <v>0</v>
      </c>
    </row>
    <row r="137" spans="2:14" x14ac:dyDescent="0.35">
      <c r="B137" s="4">
        <f t="shared" si="3"/>
        <v>127</v>
      </c>
      <c r="C137" s="3" t="s">
        <v>404</v>
      </c>
      <c r="D137" s="4" t="s">
        <v>937</v>
      </c>
      <c r="E137" s="9" t="s">
        <v>149</v>
      </c>
      <c r="F137" s="9" t="s">
        <v>22</v>
      </c>
      <c r="G137" s="16">
        <v>75</v>
      </c>
      <c r="H137" s="16">
        <v>6835000</v>
      </c>
      <c r="I137" s="16">
        <v>0</v>
      </c>
      <c r="J137" s="16">
        <v>0</v>
      </c>
      <c r="K137" s="16">
        <v>5</v>
      </c>
      <c r="L137" s="16">
        <v>1350000</v>
      </c>
      <c r="M137" s="16"/>
      <c r="N137" s="12">
        <f t="shared" si="2"/>
        <v>0</v>
      </c>
    </row>
    <row r="138" spans="2:14" x14ac:dyDescent="0.35">
      <c r="B138" s="4">
        <f t="shared" si="3"/>
        <v>128</v>
      </c>
      <c r="C138" s="3" t="s">
        <v>404</v>
      </c>
      <c r="D138" s="4" t="s">
        <v>937</v>
      </c>
      <c r="E138" s="9" t="s">
        <v>149</v>
      </c>
      <c r="F138" s="9" t="s">
        <v>19</v>
      </c>
      <c r="G138" s="16">
        <v>1</v>
      </c>
      <c r="H138" s="16">
        <v>15000000</v>
      </c>
      <c r="I138" s="16">
        <v>0</v>
      </c>
      <c r="J138" s="16">
        <v>0</v>
      </c>
      <c r="K138" s="16">
        <v>0</v>
      </c>
      <c r="L138" s="16">
        <v>0</v>
      </c>
      <c r="M138" s="16"/>
      <c r="N138" s="12">
        <f t="shared" si="2"/>
        <v>0</v>
      </c>
    </row>
    <row r="139" spans="2:14" x14ac:dyDescent="0.35">
      <c r="B139" s="4">
        <f t="shared" si="3"/>
        <v>129</v>
      </c>
      <c r="C139" s="3" t="s">
        <v>404</v>
      </c>
      <c r="D139" s="4" t="s">
        <v>937</v>
      </c>
      <c r="E139" s="9" t="s">
        <v>149</v>
      </c>
      <c r="F139" s="9" t="s">
        <v>190</v>
      </c>
      <c r="G139" s="16">
        <v>2</v>
      </c>
      <c r="H139" s="16">
        <v>250000</v>
      </c>
      <c r="I139" s="16">
        <v>0</v>
      </c>
      <c r="J139" s="16">
        <v>0</v>
      </c>
      <c r="K139" s="16">
        <v>0</v>
      </c>
      <c r="L139" s="16">
        <v>0</v>
      </c>
      <c r="M139" s="16"/>
      <c r="N139" s="12">
        <f t="shared" ref="N139:N202" si="4">IFERROR((G139/M139)*100%, 0)</f>
        <v>0</v>
      </c>
    </row>
    <row r="140" spans="2:14" x14ac:dyDescent="0.35">
      <c r="B140" s="4">
        <f t="shared" si="3"/>
        <v>130</v>
      </c>
      <c r="C140" s="3" t="s">
        <v>301</v>
      </c>
      <c r="D140" s="4" t="s">
        <v>863</v>
      </c>
      <c r="E140" s="9" t="s">
        <v>149</v>
      </c>
      <c r="F140" s="9" t="s">
        <v>20</v>
      </c>
      <c r="G140" s="16">
        <v>7</v>
      </c>
      <c r="H140" s="16">
        <v>1225000</v>
      </c>
      <c r="I140" s="16">
        <v>0</v>
      </c>
      <c r="J140" s="16">
        <v>0</v>
      </c>
      <c r="K140" s="16">
        <v>0</v>
      </c>
      <c r="L140" s="16">
        <v>0</v>
      </c>
      <c r="M140" s="16"/>
      <c r="N140" s="12">
        <f t="shared" si="4"/>
        <v>0</v>
      </c>
    </row>
    <row r="141" spans="2:14" x14ac:dyDescent="0.35">
      <c r="B141" s="4">
        <f t="shared" ref="B141:B204" si="5">B140+1</f>
        <v>131</v>
      </c>
      <c r="C141" s="3" t="s">
        <v>301</v>
      </c>
      <c r="D141" s="4" t="s">
        <v>863</v>
      </c>
      <c r="E141" s="9" t="s">
        <v>149</v>
      </c>
      <c r="F141" s="9" t="s">
        <v>22</v>
      </c>
      <c r="G141" s="16">
        <v>44</v>
      </c>
      <c r="H141" s="16">
        <v>3830000</v>
      </c>
      <c r="I141" s="16">
        <v>2</v>
      </c>
      <c r="J141" s="16">
        <v>150000</v>
      </c>
      <c r="K141" s="16">
        <v>0</v>
      </c>
      <c r="L141" s="16">
        <v>0</v>
      </c>
      <c r="M141" s="16"/>
      <c r="N141" s="12">
        <f t="shared" si="4"/>
        <v>0</v>
      </c>
    </row>
    <row r="142" spans="2:14" x14ac:dyDescent="0.35">
      <c r="B142" s="4">
        <f t="shared" si="5"/>
        <v>132</v>
      </c>
      <c r="C142" s="3" t="s">
        <v>301</v>
      </c>
      <c r="D142" s="4" t="s">
        <v>863</v>
      </c>
      <c r="E142" s="9" t="s">
        <v>149</v>
      </c>
      <c r="F142" s="9" t="s">
        <v>19</v>
      </c>
      <c r="G142" s="16">
        <v>3</v>
      </c>
      <c r="H142" s="16">
        <v>25500000</v>
      </c>
      <c r="I142" s="16">
        <v>0</v>
      </c>
      <c r="J142" s="16">
        <v>0</v>
      </c>
      <c r="K142" s="16">
        <v>0</v>
      </c>
      <c r="L142" s="16">
        <v>0</v>
      </c>
      <c r="M142" s="16"/>
      <c r="N142" s="12">
        <f t="shared" si="4"/>
        <v>0</v>
      </c>
    </row>
    <row r="143" spans="2:14" x14ac:dyDescent="0.35">
      <c r="B143" s="4">
        <f t="shared" si="5"/>
        <v>133</v>
      </c>
      <c r="C143" s="3" t="s">
        <v>301</v>
      </c>
      <c r="D143" s="4" t="s">
        <v>863</v>
      </c>
      <c r="E143" s="9" t="s">
        <v>149</v>
      </c>
      <c r="F143" s="9" t="s">
        <v>190</v>
      </c>
      <c r="G143" s="16">
        <v>27</v>
      </c>
      <c r="H143" s="16">
        <v>3585000</v>
      </c>
      <c r="I143" s="16">
        <v>0</v>
      </c>
      <c r="J143" s="16">
        <v>0</v>
      </c>
      <c r="K143" s="16">
        <v>0</v>
      </c>
      <c r="L143" s="16">
        <v>0</v>
      </c>
      <c r="M143" s="16"/>
      <c r="N143" s="12">
        <f t="shared" si="4"/>
        <v>0</v>
      </c>
    </row>
    <row r="144" spans="2:14" x14ac:dyDescent="0.35">
      <c r="B144" s="4">
        <f t="shared" si="5"/>
        <v>134</v>
      </c>
      <c r="C144" s="3" t="s">
        <v>229</v>
      </c>
      <c r="D144" s="4" t="s">
        <v>805</v>
      </c>
      <c r="E144" s="9" t="s">
        <v>149</v>
      </c>
      <c r="F144" s="9" t="s">
        <v>22</v>
      </c>
      <c r="G144" s="16">
        <v>295</v>
      </c>
      <c r="H144" s="16">
        <v>41147000</v>
      </c>
      <c r="I144" s="16">
        <v>0</v>
      </c>
      <c r="J144" s="16">
        <v>0</v>
      </c>
      <c r="K144" s="16">
        <v>17</v>
      </c>
      <c r="L144" s="16">
        <v>4800000</v>
      </c>
      <c r="M144" s="16"/>
      <c r="N144" s="12">
        <f t="shared" si="4"/>
        <v>0</v>
      </c>
    </row>
    <row r="145" spans="2:14" x14ac:dyDescent="0.35">
      <c r="B145" s="4">
        <f t="shared" si="5"/>
        <v>135</v>
      </c>
      <c r="C145" s="3" t="s">
        <v>229</v>
      </c>
      <c r="D145" s="4" t="s">
        <v>805</v>
      </c>
      <c r="E145" s="9" t="s">
        <v>149</v>
      </c>
      <c r="F145" s="9" t="s">
        <v>19</v>
      </c>
      <c r="G145" s="16">
        <v>14</v>
      </c>
      <c r="H145" s="16">
        <v>89750000</v>
      </c>
      <c r="I145" s="16">
        <v>0</v>
      </c>
      <c r="J145" s="16">
        <v>0</v>
      </c>
      <c r="K145" s="16">
        <v>4</v>
      </c>
      <c r="L145" s="16">
        <v>81375000</v>
      </c>
      <c r="M145" s="16"/>
      <c r="N145" s="12">
        <f t="shared" si="4"/>
        <v>0</v>
      </c>
    </row>
    <row r="146" spans="2:14" x14ac:dyDescent="0.35">
      <c r="B146" s="4">
        <f t="shared" si="5"/>
        <v>136</v>
      </c>
      <c r="C146" s="3" t="s">
        <v>229</v>
      </c>
      <c r="D146" s="4" t="s">
        <v>805</v>
      </c>
      <c r="E146" s="9" t="s">
        <v>149</v>
      </c>
      <c r="F146" s="9" t="s">
        <v>190</v>
      </c>
      <c r="G146" s="16">
        <v>47</v>
      </c>
      <c r="H146" s="16">
        <v>5910000</v>
      </c>
      <c r="I146" s="16">
        <v>0</v>
      </c>
      <c r="J146" s="16">
        <v>0</v>
      </c>
      <c r="K146" s="16">
        <v>2</v>
      </c>
      <c r="L146" s="16">
        <v>360000</v>
      </c>
      <c r="M146" s="16"/>
      <c r="N146" s="12">
        <f t="shared" si="4"/>
        <v>0</v>
      </c>
    </row>
    <row r="147" spans="2:14" x14ac:dyDescent="0.35">
      <c r="B147" s="4">
        <f t="shared" si="5"/>
        <v>137</v>
      </c>
      <c r="C147" s="3" t="s">
        <v>230</v>
      </c>
      <c r="D147" s="4" t="s">
        <v>837</v>
      </c>
      <c r="E147" s="9" t="s">
        <v>149</v>
      </c>
      <c r="F147" s="9" t="s">
        <v>20</v>
      </c>
      <c r="G147" s="16">
        <v>17</v>
      </c>
      <c r="H147" s="16">
        <v>6264000</v>
      </c>
      <c r="I147" s="16">
        <v>0</v>
      </c>
      <c r="J147" s="16">
        <v>0</v>
      </c>
      <c r="K147" s="16">
        <v>0</v>
      </c>
      <c r="L147" s="16">
        <v>0</v>
      </c>
      <c r="M147" s="16"/>
      <c r="N147" s="12">
        <f t="shared" si="4"/>
        <v>0</v>
      </c>
    </row>
    <row r="148" spans="2:14" x14ac:dyDescent="0.35">
      <c r="B148" s="4">
        <f t="shared" si="5"/>
        <v>138</v>
      </c>
      <c r="C148" s="3" t="s">
        <v>230</v>
      </c>
      <c r="D148" s="4" t="s">
        <v>837</v>
      </c>
      <c r="E148" s="9" t="s">
        <v>149</v>
      </c>
      <c r="F148" s="9" t="s">
        <v>22</v>
      </c>
      <c r="G148" s="16">
        <v>307</v>
      </c>
      <c r="H148" s="16">
        <v>345205000</v>
      </c>
      <c r="I148" s="16">
        <v>8</v>
      </c>
      <c r="J148" s="16">
        <v>586000</v>
      </c>
      <c r="K148" s="16">
        <v>18</v>
      </c>
      <c r="L148" s="16">
        <v>4635000</v>
      </c>
      <c r="M148" s="16"/>
      <c r="N148" s="12">
        <f t="shared" si="4"/>
        <v>0</v>
      </c>
    </row>
    <row r="149" spans="2:14" x14ac:dyDescent="0.35">
      <c r="B149" s="4">
        <f t="shared" si="5"/>
        <v>139</v>
      </c>
      <c r="C149" s="3" t="s">
        <v>230</v>
      </c>
      <c r="D149" s="4" t="s">
        <v>837</v>
      </c>
      <c r="E149" s="9" t="s">
        <v>149</v>
      </c>
      <c r="F149" s="9" t="s">
        <v>19</v>
      </c>
      <c r="G149" s="16">
        <v>28</v>
      </c>
      <c r="H149" s="16">
        <v>178240000</v>
      </c>
      <c r="I149" s="16">
        <v>0</v>
      </c>
      <c r="J149" s="16">
        <v>0</v>
      </c>
      <c r="K149" s="16">
        <v>0</v>
      </c>
      <c r="L149" s="16">
        <v>0</v>
      </c>
      <c r="M149" s="16"/>
      <c r="N149" s="12">
        <f t="shared" si="4"/>
        <v>0</v>
      </c>
    </row>
    <row r="150" spans="2:14" x14ac:dyDescent="0.35">
      <c r="B150" s="4">
        <f t="shared" si="5"/>
        <v>140</v>
      </c>
      <c r="C150" s="3" t="s">
        <v>230</v>
      </c>
      <c r="D150" s="4" t="s">
        <v>837</v>
      </c>
      <c r="E150" s="9" t="s">
        <v>149</v>
      </c>
      <c r="F150" s="9" t="s">
        <v>190</v>
      </c>
      <c r="G150" s="16">
        <v>179</v>
      </c>
      <c r="H150" s="16">
        <v>23180000</v>
      </c>
      <c r="I150" s="16">
        <v>2</v>
      </c>
      <c r="J150" s="16">
        <v>280000</v>
      </c>
      <c r="K150" s="16">
        <v>0</v>
      </c>
      <c r="L150" s="16">
        <v>0</v>
      </c>
      <c r="M150" s="16"/>
      <c r="N150" s="12">
        <f t="shared" si="4"/>
        <v>0</v>
      </c>
    </row>
    <row r="151" spans="2:14" x14ac:dyDescent="0.35">
      <c r="B151" s="4">
        <f t="shared" si="5"/>
        <v>141</v>
      </c>
      <c r="C151" s="3" t="s">
        <v>200</v>
      </c>
      <c r="D151" s="4" t="s">
        <v>769</v>
      </c>
      <c r="E151" s="9" t="s">
        <v>149</v>
      </c>
      <c r="F151" s="9" t="s">
        <v>20</v>
      </c>
      <c r="G151" s="16">
        <v>17</v>
      </c>
      <c r="H151" s="16">
        <v>4349000</v>
      </c>
      <c r="I151" s="16">
        <v>0</v>
      </c>
      <c r="J151" s="16">
        <v>0</v>
      </c>
      <c r="K151" s="16">
        <v>1</v>
      </c>
      <c r="L151" s="16">
        <v>175000</v>
      </c>
      <c r="M151" s="16"/>
      <c r="N151" s="12">
        <f t="shared" si="4"/>
        <v>0</v>
      </c>
    </row>
    <row r="152" spans="2:14" x14ac:dyDescent="0.35">
      <c r="B152" s="4">
        <f t="shared" si="5"/>
        <v>142</v>
      </c>
      <c r="C152" s="3" t="s">
        <v>200</v>
      </c>
      <c r="D152" s="4" t="s">
        <v>769</v>
      </c>
      <c r="E152" s="9" t="s">
        <v>149</v>
      </c>
      <c r="F152" s="9" t="s">
        <v>22</v>
      </c>
      <c r="G152" s="16">
        <v>53</v>
      </c>
      <c r="H152" s="16">
        <v>6499000</v>
      </c>
      <c r="I152" s="16">
        <v>2</v>
      </c>
      <c r="J152" s="16">
        <v>150000</v>
      </c>
      <c r="K152" s="16">
        <v>4</v>
      </c>
      <c r="L152" s="16">
        <v>1030000</v>
      </c>
      <c r="M152" s="16"/>
      <c r="N152" s="12">
        <f t="shared" si="4"/>
        <v>0</v>
      </c>
    </row>
    <row r="153" spans="2:14" x14ac:dyDescent="0.35">
      <c r="B153" s="4">
        <f t="shared" si="5"/>
        <v>143</v>
      </c>
      <c r="C153" s="3" t="s">
        <v>200</v>
      </c>
      <c r="D153" s="4" t="s">
        <v>769</v>
      </c>
      <c r="E153" s="9" t="s">
        <v>149</v>
      </c>
      <c r="F153" s="9" t="s">
        <v>19</v>
      </c>
      <c r="G153" s="16">
        <v>22</v>
      </c>
      <c r="H153" s="16">
        <v>155001500</v>
      </c>
      <c r="I153" s="16">
        <v>0</v>
      </c>
      <c r="J153" s="16">
        <v>0</v>
      </c>
      <c r="K153" s="16">
        <v>1</v>
      </c>
      <c r="L153" s="16">
        <v>24960000</v>
      </c>
      <c r="M153" s="16"/>
      <c r="N153" s="12">
        <f t="shared" si="4"/>
        <v>0</v>
      </c>
    </row>
    <row r="154" spans="2:14" x14ac:dyDescent="0.35">
      <c r="B154" s="4">
        <f t="shared" si="5"/>
        <v>144</v>
      </c>
      <c r="C154" s="3" t="s">
        <v>200</v>
      </c>
      <c r="D154" s="4" t="s">
        <v>769</v>
      </c>
      <c r="E154" s="9" t="s">
        <v>149</v>
      </c>
      <c r="F154" s="9" t="s">
        <v>190</v>
      </c>
      <c r="G154" s="16">
        <v>43</v>
      </c>
      <c r="H154" s="16">
        <v>5685000</v>
      </c>
      <c r="I154" s="16">
        <v>0</v>
      </c>
      <c r="J154" s="16">
        <v>0</v>
      </c>
      <c r="K154" s="16">
        <v>6</v>
      </c>
      <c r="L154" s="16">
        <v>1080000</v>
      </c>
      <c r="M154" s="16"/>
      <c r="N154" s="12">
        <f t="shared" si="4"/>
        <v>0</v>
      </c>
    </row>
    <row r="155" spans="2:14" x14ac:dyDescent="0.35">
      <c r="B155" s="4">
        <f t="shared" si="5"/>
        <v>145</v>
      </c>
      <c r="C155" s="3" t="s">
        <v>231</v>
      </c>
      <c r="D155" s="4" t="s">
        <v>734</v>
      </c>
      <c r="E155" s="9" t="s">
        <v>149</v>
      </c>
      <c r="F155" s="9" t="s">
        <v>20</v>
      </c>
      <c r="G155" s="16">
        <v>3</v>
      </c>
      <c r="H155" s="16">
        <v>510000</v>
      </c>
      <c r="I155" s="16">
        <v>0</v>
      </c>
      <c r="J155" s="16">
        <v>0</v>
      </c>
      <c r="K155" s="16">
        <v>0</v>
      </c>
      <c r="L155" s="16">
        <v>0</v>
      </c>
      <c r="M155" s="16"/>
      <c r="N155" s="12">
        <f t="shared" si="4"/>
        <v>0</v>
      </c>
    </row>
    <row r="156" spans="2:14" x14ac:dyDescent="0.35">
      <c r="B156" s="4">
        <f t="shared" si="5"/>
        <v>146</v>
      </c>
      <c r="C156" s="3" t="s">
        <v>231</v>
      </c>
      <c r="D156" s="4" t="s">
        <v>734</v>
      </c>
      <c r="E156" s="9" t="s">
        <v>149</v>
      </c>
      <c r="F156" s="9" t="s">
        <v>22</v>
      </c>
      <c r="G156" s="16">
        <v>55</v>
      </c>
      <c r="H156" s="16">
        <v>5826000</v>
      </c>
      <c r="I156" s="16">
        <v>13</v>
      </c>
      <c r="J156" s="16">
        <v>978000</v>
      </c>
      <c r="K156" s="16">
        <v>13</v>
      </c>
      <c r="L156" s="16">
        <v>3040000</v>
      </c>
      <c r="M156" s="16"/>
      <c r="N156" s="12">
        <f t="shared" si="4"/>
        <v>0</v>
      </c>
    </row>
    <row r="157" spans="2:14" x14ac:dyDescent="0.35">
      <c r="B157" s="4">
        <f t="shared" si="5"/>
        <v>147</v>
      </c>
      <c r="C157" s="3" t="s">
        <v>231</v>
      </c>
      <c r="D157" s="4" t="s">
        <v>734</v>
      </c>
      <c r="E157" s="9" t="s">
        <v>149</v>
      </c>
      <c r="F157" s="9" t="s">
        <v>19</v>
      </c>
      <c r="G157" s="16">
        <v>17</v>
      </c>
      <c r="H157" s="16">
        <v>141250000</v>
      </c>
      <c r="I157" s="16">
        <v>0</v>
      </c>
      <c r="J157" s="16">
        <v>0</v>
      </c>
      <c r="K157" s="16">
        <v>1</v>
      </c>
      <c r="L157" s="16">
        <v>8785000</v>
      </c>
      <c r="M157" s="16"/>
      <c r="N157" s="12">
        <f t="shared" si="4"/>
        <v>0</v>
      </c>
    </row>
    <row r="158" spans="2:14" x14ac:dyDescent="0.35">
      <c r="B158" s="4">
        <f t="shared" si="5"/>
        <v>148</v>
      </c>
      <c r="C158" s="3" t="s">
        <v>231</v>
      </c>
      <c r="D158" s="4" t="s">
        <v>734</v>
      </c>
      <c r="E158" s="9" t="s">
        <v>149</v>
      </c>
      <c r="F158" s="9" t="s">
        <v>190</v>
      </c>
      <c r="G158" s="16">
        <v>44</v>
      </c>
      <c r="H158" s="16">
        <v>5580000</v>
      </c>
      <c r="I158" s="16">
        <v>0</v>
      </c>
      <c r="J158" s="16">
        <v>0</v>
      </c>
      <c r="K158" s="16">
        <v>0</v>
      </c>
      <c r="L158" s="16">
        <v>0</v>
      </c>
      <c r="M158" s="16"/>
      <c r="N158" s="12">
        <f t="shared" si="4"/>
        <v>0</v>
      </c>
    </row>
    <row r="159" spans="2:14" x14ac:dyDescent="0.35">
      <c r="B159" s="4">
        <f t="shared" si="5"/>
        <v>149</v>
      </c>
      <c r="C159" s="3" t="s">
        <v>201</v>
      </c>
      <c r="D159" s="4" t="s">
        <v>782</v>
      </c>
      <c r="E159" s="9" t="s">
        <v>149</v>
      </c>
      <c r="F159" s="9" t="s">
        <v>20</v>
      </c>
      <c r="G159" s="16">
        <v>23</v>
      </c>
      <c r="H159" s="16">
        <v>3845000</v>
      </c>
      <c r="I159" s="16">
        <v>0</v>
      </c>
      <c r="J159" s="16">
        <v>0</v>
      </c>
      <c r="K159" s="16">
        <v>1</v>
      </c>
      <c r="L159" s="16">
        <v>160000</v>
      </c>
      <c r="M159" s="16"/>
      <c r="N159" s="12">
        <f t="shared" si="4"/>
        <v>0</v>
      </c>
    </row>
    <row r="160" spans="2:14" x14ac:dyDescent="0.35">
      <c r="B160" s="4">
        <f t="shared" si="5"/>
        <v>150</v>
      </c>
      <c r="C160" s="3" t="s">
        <v>201</v>
      </c>
      <c r="D160" s="4" t="s">
        <v>782</v>
      </c>
      <c r="E160" s="9" t="s">
        <v>149</v>
      </c>
      <c r="F160" s="9" t="s">
        <v>22</v>
      </c>
      <c r="G160" s="16">
        <v>55</v>
      </c>
      <c r="H160" s="16">
        <v>6412000</v>
      </c>
      <c r="I160" s="16">
        <v>0</v>
      </c>
      <c r="J160" s="16">
        <v>0</v>
      </c>
      <c r="K160" s="16">
        <v>4</v>
      </c>
      <c r="L160" s="16">
        <v>1200000</v>
      </c>
      <c r="M160" s="16"/>
      <c r="N160" s="12">
        <f t="shared" si="4"/>
        <v>0</v>
      </c>
    </row>
    <row r="161" spans="2:14" x14ac:dyDescent="0.35">
      <c r="B161" s="4">
        <f t="shared" si="5"/>
        <v>151</v>
      </c>
      <c r="C161" s="3" t="s">
        <v>201</v>
      </c>
      <c r="D161" s="4" t="s">
        <v>782</v>
      </c>
      <c r="E161" s="9" t="s">
        <v>149</v>
      </c>
      <c r="F161" s="9" t="s">
        <v>19</v>
      </c>
      <c r="G161" s="16">
        <v>30</v>
      </c>
      <c r="H161" s="16">
        <v>284000000</v>
      </c>
      <c r="I161" s="16">
        <v>0</v>
      </c>
      <c r="J161" s="16">
        <v>0</v>
      </c>
      <c r="K161" s="16">
        <v>4</v>
      </c>
      <c r="L161" s="16">
        <v>89530000</v>
      </c>
      <c r="M161" s="16"/>
      <c r="N161" s="12">
        <f t="shared" si="4"/>
        <v>0</v>
      </c>
    </row>
    <row r="162" spans="2:14" x14ac:dyDescent="0.35">
      <c r="B162" s="4">
        <f t="shared" si="5"/>
        <v>152</v>
      </c>
      <c r="C162" s="3" t="s">
        <v>201</v>
      </c>
      <c r="D162" s="4" t="s">
        <v>782</v>
      </c>
      <c r="E162" s="9" t="s">
        <v>149</v>
      </c>
      <c r="F162" s="9" t="s">
        <v>190</v>
      </c>
      <c r="G162" s="16">
        <v>48</v>
      </c>
      <c r="H162" s="16">
        <v>6000000</v>
      </c>
      <c r="I162" s="16">
        <v>0</v>
      </c>
      <c r="J162" s="16">
        <v>0</v>
      </c>
      <c r="K162" s="16">
        <v>7</v>
      </c>
      <c r="L162" s="16">
        <v>1260000</v>
      </c>
      <c r="M162" s="16"/>
      <c r="N162" s="12">
        <f t="shared" si="4"/>
        <v>0</v>
      </c>
    </row>
    <row r="163" spans="2:14" x14ac:dyDescent="0.35">
      <c r="B163" s="4">
        <f t="shared" si="5"/>
        <v>153</v>
      </c>
      <c r="C163" s="3" t="s">
        <v>259</v>
      </c>
      <c r="D163" s="4" t="s">
        <v>812</v>
      </c>
      <c r="E163" s="9" t="s">
        <v>149</v>
      </c>
      <c r="F163" s="9" t="s">
        <v>20</v>
      </c>
      <c r="G163" s="16">
        <v>2</v>
      </c>
      <c r="H163" s="16">
        <v>286000</v>
      </c>
      <c r="I163" s="16">
        <v>0</v>
      </c>
      <c r="J163" s="16">
        <v>0</v>
      </c>
      <c r="K163" s="16">
        <v>0</v>
      </c>
      <c r="L163" s="16">
        <v>0</v>
      </c>
      <c r="M163" s="16"/>
      <c r="N163" s="12">
        <f t="shared" si="4"/>
        <v>0</v>
      </c>
    </row>
    <row r="164" spans="2:14" x14ac:dyDescent="0.35">
      <c r="B164" s="4">
        <f t="shared" si="5"/>
        <v>154</v>
      </c>
      <c r="C164" s="3" t="s">
        <v>259</v>
      </c>
      <c r="D164" s="4" t="s">
        <v>812</v>
      </c>
      <c r="E164" s="9" t="s">
        <v>149</v>
      </c>
      <c r="F164" s="9" t="s">
        <v>22</v>
      </c>
      <c r="G164" s="16">
        <v>11</v>
      </c>
      <c r="H164" s="16">
        <v>751000</v>
      </c>
      <c r="I164" s="16">
        <v>0</v>
      </c>
      <c r="J164" s="16">
        <v>0</v>
      </c>
      <c r="K164" s="16">
        <v>0</v>
      </c>
      <c r="L164" s="16">
        <v>0</v>
      </c>
      <c r="M164" s="16"/>
      <c r="N164" s="12">
        <f t="shared" si="4"/>
        <v>0</v>
      </c>
    </row>
    <row r="165" spans="2:14" x14ac:dyDescent="0.35">
      <c r="B165" s="4">
        <f t="shared" si="5"/>
        <v>155</v>
      </c>
      <c r="C165" s="3" t="s">
        <v>259</v>
      </c>
      <c r="D165" s="4" t="s">
        <v>812</v>
      </c>
      <c r="E165" s="9" t="s">
        <v>149</v>
      </c>
      <c r="F165" s="9" t="s">
        <v>19</v>
      </c>
      <c r="G165" s="16">
        <v>3</v>
      </c>
      <c r="H165" s="16">
        <v>304250000</v>
      </c>
      <c r="I165" s="16">
        <v>0</v>
      </c>
      <c r="J165" s="16">
        <v>0</v>
      </c>
      <c r="K165" s="16">
        <v>0</v>
      </c>
      <c r="L165" s="16">
        <v>0</v>
      </c>
      <c r="M165" s="16"/>
      <c r="N165" s="12">
        <f t="shared" si="4"/>
        <v>0</v>
      </c>
    </row>
    <row r="166" spans="2:14" x14ac:dyDescent="0.35">
      <c r="B166" s="4">
        <f t="shared" si="5"/>
        <v>156</v>
      </c>
      <c r="C166" s="3" t="s">
        <v>259</v>
      </c>
      <c r="D166" s="4" t="s">
        <v>812</v>
      </c>
      <c r="E166" s="9" t="s">
        <v>149</v>
      </c>
      <c r="F166" s="9" t="s">
        <v>190</v>
      </c>
      <c r="G166" s="16">
        <v>3</v>
      </c>
      <c r="H166" s="16">
        <v>375000</v>
      </c>
      <c r="I166" s="16">
        <v>0</v>
      </c>
      <c r="J166" s="16">
        <v>0</v>
      </c>
      <c r="K166" s="16">
        <v>0</v>
      </c>
      <c r="L166" s="16">
        <v>0</v>
      </c>
      <c r="M166" s="16"/>
      <c r="N166" s="12">
        <f t="shared" si="4"/>
        <v>0</v>
      </c>
    </row>
    <row r="167" spans="2:14" x14ac:dyDescent="0.35">
      <c r="B167" s="4">
        <f t="shared" si="5"/>
        <v>157</v>
      </c>
      <c r="C167" s="3" t="s">
        <v>429</v>
      </c>
      <c r="D167" s="4" t="s">
        <v>909</v>
      </c>
      <c r="E167" s="9" t="s">
        <v>149</v>
      </c>
      <c r="F167" s="9" t="s">
        <v>20</v>
      </c>
      <c r="G167" s="16">
        <v>12</v>
      </c>
      <c r="H167" s="16">
        <v>1748000</v>
      </c>
      <c r="I167" s="16">
        <v>0</v>
      </c>
      <c r="J167" s="16">
        <v>0</v>
      </c>
      <c r="K167" s="16">
        <v>0</v>
      </c>
      <c r="L167" s="16">
        <v>0</v>
      </c>
      <c r="M167" s="16"/>
      <c r="N167" s="12">
        <f t="shared" si="4"/>
        <v>0</v>
      </c>
    </row>
    <row r="168" spans="2:14" x14ac:dyDescent="0.35">
      <c r="B168" s="4">
        <f t="shared" si="5"/>
        <v>158</v>
      </c>
      <c r="C168" s="3" t="s">
        <v>429</v>
      </c>
      <c r="D168" s="4" t="s">
        <v>909</v>
      </c>
      <c r="E168" s="9" t="s">
        <v>149</v>
      </c>
      <c r="F168" s="9" t="s">
        <v>22</v>
      </c>
      <c r="G168" s="16">
        <v>29</v>
      </c>
      <c r="H168" s="16">
        <v>2786000</v>
      </c>
      <c r="I168" s="16">
        <v>2</v>
      </c>
      <c r="J168" s="16">
        <v>150000</v>
      </c>
      <c r="K168" s="16">
        <v>33</v>
      </c>
      <c r="L168" s="16">
        <v>42813000</v>
      </c>
      <c r="M168" s="16"/>
      <c r="N168" s="12">
        <f t="shared" si="4"/>
        <v>0</v>
      </c>
    </row>
    <row r="169" spans="2:14" x14ac:dyDescent="0.35">
      <c r="B169" s="4">
        <f t="shared" si="5"/>
        <v>159</v>
      </c>
      <c r="C169" s="3" t="s">
        <v>429</v>
      </c>
      <c r="D169" s="4" t="s">
        <v>909</v>
      </c>
      <c r="E169" s="9" t="s">
        <v>149</v>
      </c>
      <c r="F169" s="9" t="s">
        <v>19</v>
      </c>
      <c r="G169" s="16">
        <v>17</v>
      </c>
      <c r="H169" s="16">
        <v>136850000</v>
      </c>
      <c r="I169" s="16">
        <v>0</v>
      </c>
      <c r="J169" s="16">
        <v>0</v>
      </c>
      <c r="K169" s="16">
        <v>0</v>
      </c>
      <c r="L169" s="16">
        <v>0</v>
      </c>
      <c r="M169" s="16"/>
      <c r="N169" s="12">
        <f t="shared" si="4"/>
        <v>0</v>
      </c>
    </row>
    <row r="170" spans="2:14" x14ac:dyDescent="0.35">
      <c r="B170" s="4">
        <f t="shared" si="5"/>
        <v>160</v>
      </c>
      <c r="C170" s="3" t="s">
        <v>429</v>
      </c>
      <c r="D170" s="4" t="s">
        <v>909</v>
      </c>
      <c r="E170" s="9" t="s">
        <v>149</v>
      </c>
      <c r="F170" s="9" t="s">
        <v>190</v>
      </c>
      <c r="G170" s="16">
        <v>51</v>
      </c>
      <c r="H170" s="16">
        <v>6805000</v>
      </c>
      <c r="I170" s="16">
        <v>7</v>
      </c>
      <c r="J170" s="16">
        <v>945000</v>
      </c>
      <c r="K170" s="16">
        <v>0</v>
      </c>
      <c r="L170" s="16">
        <v>0</v>
      </c>
      <c r="M170" s="16"/>
      <c r="N170" s="12">
        <f t="shared" si="4"/>
        <v>0</v>
      </c>
    </row>
    <row r="171" spans="2:14" x14ac:dyDescent="0.35">
      <c r="B171" s="4">
        <f t="shared" si="5"/>
        <v>161</v>
      </c>
      <c r="C171" s="3" t="s">
        <v>260</v>
      </c>
      <c r="D171" s="4" t="s">
        <v>806</v>
      </c>
      <c r="E171" s="9" t="s">
        <v>149</v>
      </c>
      <c r="F171" s="9" t="s">
        <v>20</v>
      </c>
      <c r="G171" s="16">
        <v>3</v>
      </c>
      <c r="H171" s="16">
        <v>525000</v>
      </c>
      <c r="I171" s="16">
        <v>0</v>
      </c>
      <c r="J171" s="16">
        <v>0</v>
      </c>
      <c r="K171" s="16">
        <v>7</v>
      </c>
      <c r="L171" s="16">
        <v>1225000</v>
      </c>
      <c r="M171" s="16"/>
      <c r="N171" s="12">
        <f t="shared" si="4"/>
        <v>0</v>
      </c>
    </row>
    <row r="172" spans="2:14" x14ac:dyDescent="0.35">
      <c r="B172" s="4">
        <f t="shared" si="5"/>
        <v>162</v>
      </c>
      <c r="C172" s="3" t="s">
        <v>260</v>
      </c>
      <c r="D172" s="4" t="s">
        <v>806</v>
      </c>
      <c r="E172" s="9" t="s">
        <v>149</v>
      </c>
      <c r="F172" s="9" t="s">
        <v>22</v>
      </c>
      <c r="G172" s="16">
        <v>124</v>
      </c>
      <c r="H172" s="16">
        <v>18700000</v>
      </c>
      <c r="I172" s="16">
        <v>3</v>
      </c>
      <c r="J172" s="16">
        <v>225000</v>
      </c>
      <c r="K172" s="16">
        <v>16</v>
      </c>
      <c r="L172" s="16">
        <v>4800000</v>
      </c>
      <c r="M172" s="16"/>
      <c r="N172" s="12">
        <f t="shared" si="4"/>
        <v>0</v>
      </c>
    </row>
    <row r="173" spans="2:14" x14ac:dyDescent="0.35">
      <c r="B173" s="4">
        <f t="shared" si="5"/>
        <v>163</v>
      </c>
      <c r="C173" s="3" t="s">
        <v>260</v>
      </c>
      <c r="D173" s="4" t="s">
        <v>806</v>
      </c>
      <c r="E173" s="9" t="s">
        <v>149</v>
      </c>
      <c r="F173" s="9" t="s">
        <v>19</v>
      </c>
      <c r="G173" s="16">
        <v>29</v>
      </c>
      <c r="H173" s="16">
        <v>236500000</v>
      </c>
      <c r="I173" s="16">
        <v>0</v>
      </c>
      <c r="J173" s="16">
        <v>0</v>
      </c>
      <c r="K173" s="16">
        <v>5</v>
      </c>
      <c r="L173" s="16">
        <v>106000000</v>
      </c>
      <c r="M173" s="16"/>
      <c r="N173" s="12">
        <f t="shared" si="4"/>
        <v>0</v>
      </c>
    </row>
    <row r="174" spans="2:14" x14ac:dyDescent="0.35">
      <c r="B174" s="4">
        <f t="shared" si="5"/>
        <v>164</v>
      </c>
      <c r="C174" s="3" t="s">
        <v>260</v>
      </c>
      <c r="D174" s="4" t="s">
        <v>806</v>
      </c>
      <c r="E174" s="9" t="s">
        <v>149</v>
      </c>
      <c r="F174" s="9" t="s">
        <v>190</v>
      </c>
      <c r="G174" s="16">
        <v>84</v>
      </c>
      <c r="H174" s="16">
        <v>12105000</v>
      </c>
      <c r="I174" s="16">
        <v>0</v>
      </c>
      <c r="J174" s="16">
        <v>0</v>
      </c>
      <c r="K174" s="16">
        <v>20</v>
      </c>
      <c r="L174" s="16">
        <v>3500000</v>
      </c>
      <c r="M174" s="16"/>
      <c r="N174" s="12">
        <f t="shared" si="4"/>
        <v>0</v>
      </c>
    </row>
    <row r="175" spans="2:14" x14ac:dyDescent="0.35">
      <c r="B175" s="4">
        <f t="shared" si="5"/>
        <v>165</v>
      </c>
      <c r="C175" s="3" t="s">
        <v>925</v>
      </c>
      <c r="D175" s="4" t="s">
        <v>711</v>
      </c>
      <c r="E175" s="9" t="s">
        <v>149</v>
      </c>
      <c r="F175" s="9" t="s">
        <v>22</v>
      </c>
      <c r="G175" s="16">
        <v>8</v>
      </c>
      <c r="H175" s="16">
        <v>665000</v>
      </c>
      <c r="I175" s="16">
        <v>12</v>
      </c>
      <c r="J175" s="16">
        <v>906000</v>
      </c>
      <c r="K175" s="16">
        <v>0</v>
      </c>
      <c r="L175" s="16">
        <v>0</v>
      </c>
      <c r="M175" s="16"/>
      <c r="N175" s="12">
        <f t="shared" si="4"/>
        <v>0</v>
      </c>
    </row>
    <row r="176" spans="2:14" x14ac:dyDescent="0.35">
      <c r="B176" s="4">
        <f t="shared" si="5"/>
        <v>166</v>
      </c>
      <c r="C176" s="3" t="s">
        <v>925</v>
      </c>
      <c r="D176" s="4" t="s">
        <v>711</v>
      </c>
      <c r="E176" s="9" t="s">
        <v>149</v>
      </c>
      <c r="F176" s="9" t="s">
        <v>19</v>
      </c>
      <c r="G176" s="16">
        <v>2</v>
      </c>
      <c r="H176" s="16">
        <v>19250000</v>
      </c>
      <c r="I176" s="16">
        <v>0</v>
      </c>
      <c r="J176" s="16">
        <v>0</v>
      </c>
      <c r="K176" s="16">
        <v>0</v>
      </c>
      <c r="L176" s="16">
        <v>0</v>
      </c>
      <c r="M176" s="16"/>
      <c r="N176" s="12">
        <f t="shared" si="4"/>
        <v>0</v>
      </c>
    </row>
    <row r="177" spans="2:14" x14ac:dyDescent="0.35">
      <c r="B177" s="4">
        <f t="shared" si="5"/>
        <v>167</v>
      </c>
      <c r="C177" s="3" t="s">
        <v>925</v>
      </c>
      <c r="D177" s="4" t="s">
        <v>711</v>
      </c>
      <c r="E177" s="9" t="s">
        <v>149</v>
      </c>
      <c r="F177" s="9" t="s">
        <v>190</v>
      </c>
      <c r="G177" s="16">
        <v>2</v>
      </c>
      <c r="H177" s="16">
        <v>250000</v>
      </c>
      <c r="I177" s="16">
        <v>0</v>
      </c>
      <c r="J177" s="16">
        <v>0</v>
      </c>
      <c r="K177" s="16">
        <v>0</v>
      </c>
      <c r="L177" s="16">
        <v>0</v>
      </c>
      <c r="M177" s="16"/>
      <c r="N177" s="12">
        <f t="shared" si="4"/>
        <v>0</v>
      </c>
    </row>
    <row r="178" spans="2:14" x14ac:dyDescent="0.35">
      <c r="B178" s="4">
        <f t="shared" si="5"/>
        <v>168</v>
      </c>
      <c r="C178" s="3" t="s">
        <v>926</v>
      </c>
      <c r="D178" s="4" t="s">
        <v>891</v>
      </c>
      <c r="E178" s="9" t="s">
        <v>149</v>
      </c>
      <c r="F178" s="9" t="s">
        <v>190</v>
      </c>
      <c r="G178" s="16">
        <v>1</v>
      </c>
      <c r="H178" s="16">
        <v>125000</v>
      </c>
      <c r="I178" s="16">
        <v>0</v>
      </c>
      <c r="J178" s="16">
        <v>0</v>
      </c>
      <c r="K178" s="16">
        <v>0</v>
      </c>
      <c r="L178" s="16">
        <v>0</v>
      </c>
      <c r="M178" s="16"/>
      <c r="N178" s="12">
        <f t="shared" si="4"/>
        <v>0</v>
      </c>
    </row>
    <row r="179" spans="2:14" x14ac:dyDescent="0.35">
      <c r="B179" s="4">
        <f t="shared" si="5"/>
        <v>169</v>
      </c>
      <c r="C179" s="3" t="s">
        <v>232</v>
      </c>
      <c r="D179" s="4" t="s">
        <v>775</v>
      </c>
      <c r="E179" s="9" t="s">
        <v>149</v>
      </c>
      <c r="F179" s="9" t="s">
        <v>20</v>
      </c>
      <c r="G179" s="16">
        <v>6</v>
      </c>
      <c r="H179" s="16">
        <v>926000</v>
      </c>
      <c r="I179" s="16">
        <v>0</v>
      </c>
      <c r="J179" s="16">
        <v>0</v>
      </c>
      <c r="K179" s="16">
        <v>0</v>
      </c>
      <c r="L179" s="16">
        <v>0</v>
      </c>
      <c r="M179" s="16"/>
      <c r="N179" s="12">
        <f t="shared" si="4"/>
        <v>0</v>
      </c>
    </row>
    <row r="180" spans="2:14" x14ac:dyDescent="0.35">
      <c r="B180" s="4">
        <f t="shared" si="5"/>
        <v>170</v>
      </c>
      <c r="C180" s="3" t="s">
        <v>232</v>
      </c>
      <c r="D180" s="4" t="s">
        <v>775</v>
      </c>
      <c r="E180" s="9" t="s">
        <v>149</v>
      </c>
      <c r="F180" s="9" t="s">
        <v>22</v>
      </c>
      <c r="G180" s="16">
        <v>241</v>
      </c>
      <c r="H180" s="16">
        <v>125239000</v>
      </c>
      <c r="I180" s="16">
        <v>9</v>
      </c>
      <c r="J180" s="16">
        <v>1834000</v>
      </c>
      <c r="K180" s="16">
        <v>13</v>
      </c>
      <c r="L180" s="16">
        <v>5110000</v>
      </c>
      <c r="M180" s="16"/>
      <c r="N180" s="12">
        <f t="shared" si="4"/>
        <v>0</v>
      </c>
    </row>
    <row r="181" spans="2:14" x14ac:dyDescent="0.35">
      <c r="B181" s="4">
        <f t="shared" si="5"/>
        <v>171</v>
      </c>
      <c r="C181" s="3" t="s">
        <v>232</v>
      </c>
      <c r="D181" s="4" t="s">
        <v>775</v>
      </c>
      <c r="E181" s="9" t="s">
        <v>149</v>
      </c>
      <c r="F181" s="9" t="s">
        <v>19</v>
      </c>
      <c r="G181" s="16">
        <v>25</v>
      </c>
      <c r="H181" s="16">
        <v>177650000</v>
      </c>
      <c r="I181" s="16">
        <v>0</v>
      </c>
      <c r="J181" s="16">
        <v>0</v>
      </c>
      <c r="K181" s="16">
        <v>0</v>
      </c>
      <c r="L181" s="16">
        <v>0</v>
      </c>
      <c r="M181" s="16"/>
      <c r="N181" s="12">
        <f t="shared" si="4"/>
        <v>0</v>
      </c>
    </row>
    <row r="182" spans="2:14" x14ac:dyDescent="0.35">
      <c r="B182" s="4">
        <f t="shared" si="5"/>
        <v>172</v>
      </c>
      <c r="C182" s="3" t="s">
        <v>232</v>
      </c>
      <c r="D182" s="4" t="s">
        <v>775</v>
      </c>
      <c r="E182" s="9" t="s">
        <v>149</v>
      </c>
      <c r="F182" s="9" t="s">
        <v>190</v>
      </c>
      <c r="G182" s="16">
        <v>95</v>
      </c>
      <c r="H182" s="16">
        <v>12540000</v>
      </c>
      <c r="I182" s="16">
        <v>0</v>
      </c>
      <c r="J182" s="16">
        <v>0</v>
      </c>
      <c r="K182" s="16">
        <v>1</v>
      </c>
      <c r="L182" s="16">
        <v>180000</v>
      </c>
      <c r="M182" s="16"/>
      <c r="N182" s="12">
        <f t="shared" si="4"/>
        <v>0</v>
      </c>
    </row>
    <row r="183" spans="2:14" x14ac:dyDescent="0.35">
      <c r="B183" s="4">
        <f t="shared" si="5"/>
        <v>173</v>
      </c>
      <c r="C183" s="3" t="s">
        <v>233</v>
      </c>
      <c r="D183" s="4" t="s">
        <v>833</v>
      </c>
      <c r="E183" s="9" t="s">
        <v>149</v>
      </c>
      <c r="F183" s="9" t="s">
        <v>21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/>
      <c r="N183" s="12">
        <f t="shared" si="4"/>
        <v>0</v>
      </c>
    </row>
    <row r="184" spans="2:14" x14ac:dyDescent="0.35">
      <c r="B184" s="4">
        <f t="shared" si="5"/>
        <v>174</v>
      </c>
      <c r="C184" s="3" t="s">
        <v>233</v>
      </c>
      <c r="D184" s="4" t="s">
        <v>833</v>
      </c>
      <c r="E184" s="9" t="s">
        <v>149</v>
      </c>
      <c r="F184" s="9" t="s">
        <v>22</v>
      </c>
      <c r="G184" s="16">
        <v>108</v>
      </c>
      <c r="H184" s="16">
        <v>8972000</v>
      </c>
      <c r="I184" s="16">
        <v>4</v>
      </c>
      <c r="J184" s="16">
        <v>300000</v>
      </c>
      <c r="K184" s="16">
        <v>1</v>
      </c>
      <c r="L184" s="16">
        <v>250000</v>
      </c>
      <c r="M184" s="16"/>
      <c r="N184" s="12">
        <f t="shared" si="4"/>
        <v>0</v>
      </c>
    </row>
    <row r="185" spans="2:14" x14ac:dyDescent="0.35">
      <c r="B185" s="4">
        <f t="shared" si="5"/>
        <v>175</v>
      </c>
      <c r="C185" s="3" t="s">
        <v>233</v>
      </c>
      <c r="D185" s="4" t="s">
        <v>833</v>
      </c>
      <c r="E185" s="9" t="s">
        <v>149</v>
      </c>
      <c r="F185" s="9" t="s">
        <v>19</v>
      </c>
      <c r="G185" s="16">
        <v>41</v>
      </c>
      <c r="H185" s="16">
        <v>298300000</v>
      </c>
      <c r="I185" s="16">
        <v>0</v>
      </c>
      <c r="J185" s="16">
        <v>0</v>
      </c>
      <c r="K185" s="16">
        <v>0</v>
      </c>
      <c r="L185" s="16">
        <v>0</v>
      </c>
      <c r="M185" s="16"/>
      <c r="N185" s="12">
        <f t="shared" si="4"/>
        <v>0</v>
      </c>
    </row>
    <row r="186" spans="2:14" x14ac:dyDescent="0.35">
      <c r="B186" s="4">
        <f t="shared" si="5"/>
        <v>176</v>
      </c>
      <c r="C186" s="3" t="s">
        <v>233</v>
      </c>
      <c r="D186" s="4" t="s">
        <v>833</v>
      </c>
      <c r="E186" s="9" t="s">
        <v>149</v>
      </c>
      <c r="F186" s="9" t="s">
        <v>190</v>
      </c>
      <c r="G186" s="16">
        <v>37</v>
      </c>
      <c r="H186" s="16">
        <v>4770000</v>
      </c>
      <c r="I186" s="16">
        <v>0</v>
      </c>
      <c r="J186" s="16">
        <v>0</v>
      </c>
      <c r="K186" s="16">
        <v>0</v>
      </c>
      <c r="L186" s="16">
        <v>0</v>
      </c>
      <c r="M186" s="16"/>
      <c r="N186" s="12">
        <f t="shared" si="4"/>
        <v>0</v>
      </c>
    </row>
    <row r="187" spans="2:14" x14ac:dyDescent="0.35">
      <c r="B187" s="4">
        <f t="shared" si="5"/>
        <v>177</v>
      </c>
      <c r="C187" s="3" t="s">
        <v>274</v>
      </c>
      <c r="D187" s="4" t="s">
        <v>871</v>
      </c>
      <c r="E187" s="9" t="s">
        <v>159</v>
      </c>
      <c r="F187" s="9" t="s">
        <v>20</v>
      </c>
      <c r="G187" s="16">
        <v>26</v>
      </c>
      <c r="H187" s="16">
        <v>4520000</v>
      </c>
      <c r="I187" s="16">
        <v>1</v>
      </c>
      <c r="J187" s="16">
        <v>160000</v>
      </c>
      <c r="K187" s="16">
        <v>0</v>
      </c>
      <c r="L187" s="16">
        <v>0</v>
      </c>
      <c r="M187" s="16"/>
      <c r="N187" s="12">
        <f t="shared" si="4"/>
        <v>0</v>
      </c>
    </row>
    <row r="188" spans="2:14" x14ac:dyDescent="0.35">
      <c r="B188" s="4">
        <f t="shared" si="5"/>
        <v>178</v>
      </c>
      <c r="C188" s="3" t="s">
        <v>274</v>
      </c>
      <c r="D188" s="4" t="s">
        <v>871</v>
      </c>
      <c r="E188" s="9" t="s">
        <v>159</v>
      </c>
      <c r="F188" s="9" t="s">
        <v>22</v>
      </c>
      <c r="G188" s="16">
        <v>49</v>
      </c>
      <c r="H188" s="16">
        <v>4196000</v>
      </c>
      <c r="I188" s="16">
        <v>2</v>
      </c>
      <c r="J188" s="16">
        <v>125000</v>
      </c>
      <c r="K188" s="16">
        <v>0</v>
      </c>
      <c r="L188" s="16">
        <v>0</v>
      </c>
      <c r="M188" s="16"/>
      <c r="N188" s="12">
        <f t="shared" si="4"/>
        <v>0</v>
      </c>
    </row>
    <row r="189" spans="2:14" x14ac:dyDescent="0.35">
      <c r="B189" s="4">
        <f t="shared" si="5"/>
        <v>179</v>
      </c>
      <c r="C189" s="3" t="s">
        <v>274</v>
      </c>
      <c r="D189" s="4" t="s">
        <v>871</v>
      </c>
      <c r="E189" s="9" t="s">
        <v>159</v>
      </c>
      <c r="F189" s="9" t="s">
        <v>19</v>
      </c>
      <c r="G189" s="16">
        <v>15</v>
      </c>
      <c r="H189" s="16">
        <v>209000000</v>
      </c>
      <c r="I189" s="16">
        <v>0</v>
      </c>
      <c r="J189" s="16">
        <v>0</v>
      </c>
      <c r="K189" s="16">
        <v>0</v>
      </c>
      <c r="L189" s="16">
        <v>0</v>
      </c>
      <c r="M189" s="16"/>
      <c r="N189" s="12">
        <f t="shared" si="4"/>
        <v>0</v>
      </c>
    </row>
    <row r="190" spans="2:14" x14ac:dyDescent="0.35">
      <c r="B190" s="4">
        <f t="shared" si="5"/>
        <v>180</v>
      </c>
      <c r="C190" s="3" t="s">
        <v>274</v>
      </c>
      <c r="D190" s="4" t="s">
        <v>871</v>
      </c>
      <c r="E190" s="9" t="s">
        <v>159</v>
      </c>
      <c r="F190" s="9" t="s">
        <v>190</v>
      </c>
      <c r="G190" s="16">
        <v>31</v>
      </c>
      <c r="H190" s="16">
        <v>4120000</v>
      </c>
      <c r="I190" s="16">
        <v>7</v>
      </c>
      <c r="J190" s="16">
        <v>1110000</v>
      </c>
      <c r="K190" s="16">
        <v>0</v>
      </c>
      <c r="L190" s="16">
        <v>0</v>
      </c>
      <c r="M190" s="16"/>
      <c r="N190" s="12">
        <f t="shared" si="4"/>
        <v>0</v>
      </c>
    </row>
    <row r="191" spans="2:14" x14ac:dyDescent="0.35">
      <c r="B191" s="4">
        <f t="shared" si="5"/>
        <v>181</v>
      </c>
      <c r="C191" s="3" t="s">
        <v>246</v>
      </c>
      <c r="D191" s="4" t="s">
        <v>799</v>
      </c>
      <c r="E191" s="9" t="s">
        <v>159</v>
      </c>
      <c r="F191" s="9" t="s">
        <v>20</v>
      </c>
      <c r="G191" s="16">
        <v>34</v>
      </c>
      <c r="H191" s="16">
        <v>5650000</v>
      </c>
      <c r="I191" s="16">
        <v>4</v>
      </c>
      <c r="J191" s="16">
        <v>635000</v>
      </c>
      <c r="K191" s="16">
        <v>0</v>
      </c>
      <c r="L191" s="16">
        <v>0</v>
      </c>
      <c r="M191" s="16"/>
      <c r="N191" s="12">
        <f t="shared" si="4"/>
        <v>0</v>
      </c>
    </row>
    <row r="192" spans="2:14" x14ac:dyDescent="0.35">
      <c r="B192" s="4">
        <f t="shared" si="5"/>
        <v>182</v>
      </c>
      <c r="C192" s="3" t="s">
        <v>246</v>
      </c>
      <c r="D192" s="4" t="s">
        <v>799</v>
      </c>
      <c r="E192" s="9" t="s">
        <v>159</v>
      </c>
      <c r="F192" s="9" t="s">
        <v>22</v>
      </c>
      <c r="G192" s="16">
        <v>60</v>
      </c>
      <c r="H192" s="16">
        <v>5122000</v>
      </c>
      <c r="I192" s="16">
        <v>2</v>
      </c>
      <c r="J192" s="16">
        <v>150000</v>
      </c>
      <c r="K192" s="16">
        <v>2</v>
      </c>
      <c r="L192" s="16">
        <v>500000</v>
      </c>
      <c r="M192" s="16"/>
      <c r="N192" s="12">
        <f t="shared" si="4"/>
        <v>0</v>
      </c>
    </row>
    <row r="193" spans="2:14" x14ac:dyDescent="0.35">
      <c r="B193" s="4">
        <f t="shared" si="5"/>
        <v>183</v>
      </c>
      <c r="C193" s="3" t="s">
        <v>246</v>
      </c>
      <c r="D193" s="4" t="s">
        <v>799</v>
      </c>
      <c r="E193" s="9" t="s">
        <v>159</v>
      </c>
      <c r="F193" s="9" t="s">
        <v>19</v>
      </c>
      <c r="G193" s="16">
        <v>18</v>
      </c>
      <c r="H193" s="16">
        <v>250750000</v>
      </c>
      <c r="I193" s="16">
        <v>0</v>
      </c>
      <c r="J193" s="16">
        <v>0</v>
      </c>
      <c r="K193" s="16">
        <v>0</v>
      </c>
      <c r="L193" s="16">
        <v>0</v>
      </c>
      <c r="M193" s="16"/>
      <c r="N193" s="12">
        <f t="shared" si="4"/>
        <v>0</v>
      </c>
    </row>
    <row r="194" spans="2:14" x14ac:dyDescent="0.35">
      <c r="B194" s="4">
        <f t="shared" si="5"/>
        <v>184</v>
      </c>
      <c r="C194" s="3" t="s">
        <v>246</v>
      </c>
      <c r="D194" s="4" t="s">
        <v>799</v>
      </c>
      <c r="E194" s="9" t="s">
        <v>159</v>
      </c>
      <c r="F194" s="9" t="s">
        <v>190</v>
      </c>
      <c r="G194" s="16">
        <v>67</v>
      </c>
      <c r="H194" s="16">
        <v>9215000</v>
      </c>
      <c r="I194" s="16">
        <v>5</v>
      </c>
      <c r="J194" s="16">
        <v>625000</v>
      </c>
      <c r="K194" s="16">
        <v>0</v>
      </c>
      <c r="L194" s="16">
        <v>0</v>
      </c>
      <c r="M194" s="16"/>
      <c r="N194" s="12">
        <f t="shared" si="4"/>
        <v>0</v>
      </c>
    </row>
    <row r="195" spans="2:14" x14ac:dyDescent="0.35">
      <c r="B195" s="4">
        <f t="shared" si="5"/>
        <v>185</v>
      </c>
      <c r="C195" s="3" t="s">
        <v>208</v>
      </c>
      <c r="D195" s="4" t="s">
        <v>750</v>
      </c>
      <c r="E195" s="9" t="s">
        <v>159</v>
      </c>
      <c r="F195" s="9" t="s">
        <v>20</v>
      </c>
      <c r="G195" s="16">
        <v>10</v>
      </c>
      <c r="H195" s="16">
        <v>1720000</v>
      </c>
      <c r="I195" s="16">
        <v>1</v>
      </c>
      <c r="J195" s="16">
        <v>160000</v>
      </c>
      <c r="K195" s="16">
        <v>0</v>
      </c>
      <c r="L195" s="16">
        <v>0</v>
      </c>
      <c r="M195" s="16"/>
      <c r="N195" s="12">
        <f t="shared" si="4"/>
        <v>0</v>
      </c>
    </row>
    <row r="196" spans="2:14" x14ac:dyDescent="0.35">
      <c r="B196" s="4">
        <f t="shared" si="5"/>
        <v>186</v>
      </c>
      <c r="C196" s="3" t="s">
        <v>208</v>
      </c>
      <c r="D196" s="4" t="s">
        <v>750</v>
      </c>
      <c r="E196" s="9" t="s">
        <v>159</v>
      </c>
      <c r="F196" s="9" t="s">
        <v>22</v>
      </c>
      <c r="G196" s="16">
        <v>39</v>
      </c>
      <c r="H196" s="16">
        <v>152374000</v>
      </c>
      <c r="I196" s="16">
        <v>0</v>
      </c>
      <c r="J196" s="16">
        <v>0</v>
      </c>
      <c r="K196" s="16">
        <v>0</v>
      </c>
      <c r="L196" s="16">
        <v>0</v>
      </c>
      <c r="M196" s="16"/>
      <c r="N196" s="12">
        <f t="shared" si="4"/>
        <v>0</v>
      </c>
    </row>
    <row r="197" spans="2:14" x14ac:dyDescent="0.35">
      <c r="B197" s="4">
        <f t="shared" si="5"/>
        <v>187</v>
      </c>
      <c r="C197" s="3" t="s">
        <v>208</v>
      </c>
      <c r="D197" s="4" t="s">
        <v>750</v>
      </c>
      <c r="E197" s="9" t="s">
        <v>159</v>
      </c>
      <c r="F197" s="9" t="s">
        <v>19</v>
      </c>
      <c r="G197" s="16">
        <v>8</v>
      </c>
      <c r="H197" s="16">
        <v>107000000</v>
      </c>
      <c r="I197" s="16">
        <v>0</v>
      </c>
      <c r="J197" s="16">
        <v>0</v>
      </c>
      <c r="K197" s="16">
        <v>0</v>
      </c>
      <c r="L197" s="16">
        <v>0</v>
      </c>
      <c r="M197" s="16"/>
      <c r="N197" s="12">
        <f t="shared" si="4"/>
        <v>0</v>
      </c>
    </row>
    <row r="198" spans="2:14" x14ac:dyDescent="0.35">
      <c r="B198" s="4">
        <f t="shared" si="5"/>
        <v>188</v>
      </c>
      <c r="C198" s="3" t="s">
        <v>208</v>
      </c>
      <c r="D198" s="4" t="s">
        <v>750</v>
      </c>
      <c r="E198" s="9" t="s">
        <v>159</v>
      </c>
      <c r="F198" s="9" t="s">
        <v>190</v>
      </c>
      <c r="G198" s="16">
        <v>48</v>
      </c>
      <c r="H198" s="16">
        <v>6630000</v>
      </c>
      <c r="I198" s="16">
        <v>4</v>
      </c>
      <c r="J198" s="16">
        <v>570000</v>
      </c>
      <c r="K198" s="16">
        <v>0</v>
      </c>
      <c r="L198" s="16">
        <v>0</v>
      </c>
      <c r="M198" s="16"/>
      <c r="N198" s="12">
        <f t="shared" si="4"/>
        <v>0</v>
      </c>
    </row>
    <row r="199" spans="2:14" x14ac:dyDescent="0.35">
      <c r="B199" s="4">
        <f t="shared" si="5"/>
        <v>189</v>
      </c>
      <c r="C199" s="3" t="s">
        <v>209</v>
      </c>
      <c r="D199" s="4" t="s">
        <v>771</v>
      </c>
      <c r="E199" s="9" t="s">
        <v>159</v>
      </c>
      <c r="F199" s="9" t="s">
        <v>20</v>
      </c>
      <c r="G199" s="16">
        <v>19</v>
      </c>
      <c r="H199" s="16">
        <v>3170000</v>
      </c>
      <c r="I199" s="16">
        <v>0</v>
      </c>
      <c r="J199" s="16">
        <v>0</v>
      </c>
      <c r="K199" s="16">
        <v>0</v>
      </c>
      <c r="L199" s="16">
        <v>0</v>
      </c>
      <c r="M199" s="16"/>
      <c r="N199" s="12">
        <f t="shared" si="4"/>
        <v>0</v>
      </c>
    </row>
    <row r="200" spans="2:14" x14ac:dyDescent="0.35">
      <c r="B200" s="4">
        <f t="shared" si="5"/>
        <v>190</v>
      </c>
      <c r="C200" s="3" t="s">
        <v>209</v>
      </c>
      <c r="D200" s="4" t="s">
        <v>771</v>
      </c>
      <c r="E200" s="9" t="s">
        <v>159</v>
      </c>
      <c r="F200" s="9" t="s">
        <v>22</v>
      </c>
      <c r="G200" s="16">
        <v>39</v>
      </c>
      <c r="H200" s="16">
        <v>3481000</v>
      </c>
      <c r="I200" s="16">
        <v>4</v>
      </c>
      <c r="J200" s="16">
        <v>300000</v>
      </c>
      <c r="K200" s="16">
        <v>4</v>
      </c>
      <c r="L200" s="16">
        <v>1000000</v>
      </c>
      <c r="M200" s="16"/>
      <c r="N200" s="12">
        <f t="shared" si="4"/>
        <v>0</v>
      </c>
    </row>
    <row r="201" spans="2:14" x14ac:dyDescent="0.35">
      <c r="B201" s="4">
        <f t="shared" si="5"/>
        <v>191</v>
      </c>
      <c r="C201" s="3" t="s">
        <v>209</v>
      </c>
      <c r="D201" s="4" t="s">
        <v>771</v>
      </c>
      <c r="E201" s="9" t="s">
        <v>159</v>
      </c>
      <c r="F201" s="9" t="s">
        <v>19</v>
      </c>
      <c r="G201" s="16">
        <v>15</v>
      </c>
      <c r="H201" s="16">
        <v>210250000</v>
      </c>
      <c r="I201" s="16">
        <v>0</v>
      </c>
      <c r="J201" s="16">
        <v>0</v>
      </c>
      <c r="K201" s="16">
        <v>0</v>
      </c>
      <c r="L201" s="16">
        <v>0</v>
      </c>
      <c r="M201" s="16"/>
      <c r="N201" s="12">
        <f t="shared" si="4"/>
        <v>0</v>
      </c>
    </row>
    <row r="202" spans="2:14" x14ac:dyDescent="0.35">
      <c r="B202" s="4">
        <f t="shared" si="5"/>
        <v>192</v>
      </c>
      <c r="C202" s="3" t="s">
        <v>209</v>
      </c>
      <c r="D202" s="4" t="s">
        <v>771</v>
      </c>
      <c r="E202" s="9" t="s">
        <v>159</v>
      </c>
      <c r="F202" s="9" t="s">
        <v>190</v>
      </c>
      <c r="G202" s="16">
        <v>35</v>
      </c>
      <c r="H202" s="16">
        <v>4875000</v>
      </c>
      <c r="I202" s="16">
        <v>5</v>
      </c>
      <c r="J202" s="16">
        <v>625000</v>
      </c>
      <c r="K202" s="16">
        <v>0</v>
      </c>
      <c r="L202" s="16">
        <v>0</v>
      </c>
      <c r="M202" s="16"/>
      <c r="N202" s="12">
        <f t="shared" si="4"/>
        <v>0</v>
      </c>
    </row>
    <row r="203" spans="2:14" x14ac:dyDescent="0.35">
      <c r="B203" s="4">
        <f t="shared" si="5"/>
        <v>193</v>
      </c>
      <c r="C203" s="3" t="s">
        <v>350</v>
      </c>
      <c r="D203" s="4" t="s">
        <v>807</v>
      </c>
      <c r="E203" s="9" t="s">
        <v>162</v>
      </c>
      <c r="F203" s="9" t="s">
        <v>22</v>
      </c>
      <c r="G203" s="16">
        <v>192</v>
      </c>
      <c r="H203" s="16">
        <v>23000800</v>
      </c>
      <c r="I203" s="16">
        <v>55</v>
      </c>
      <c r="J203" s="16">
        <v>6549600</v>
      </c>
      <c r="K203" s="16">
        <v>29</v>
      </c>
      <c r="L203" s="16">
        <v>8709400</v>
      </c>
      <c r="M203" s="16"/>
      <c r="N203" s="12">
        <f t="shared" ref="N203:N266" si="6">IFERROR((G203/M203)*100%, 0)</f>
        <v>0</v>
      </c>
    </row>
    <row r="204" spans="2:14" x14ac:dyDescent="0.35">
      <c r="B204" s="4">
        <f t="shared" si="5"/>
        <v>194</v>
      </c>
      <c r="C204" s="3" t="s">
        <v>350</v>
      </c>
      <c r="D204" s="4" t="s">
        <v>807</v>
      </c>
      <c r="E204" s="9" t="s">
        <v>162</v>
      </c>
      <c r="F204" s="9" t="s">
        <v>190</v>
      </c>
      <c r="G204" s="16">
        <v>5</v>
      </c>
      <c r="H204" s="16">
        <v>625000</v>
      </c>
      <c r="I204" s="16">
        <v>0</v>
      </c>
      <c r="J204" s="16">
        <v>0</v>
      </c>
      <c r="K204" s="16">
        <v>0</v>
      </c>
      <c r="L204" s="16">
        <v>0</v>
      </c>
      <c r="M204" s="16"/>
      <c r="N204" s="12">
        <f t="shared" si="6"/>
        <v>0</v>
      </c>
    </row>
    <row r="205" spans="2:14" x14ac:dyDescent="0.35">
      <c r="B205" s="4">
        <f t="shared" ref="B205:B268" si="7">B204+1</f>
        <v>195</v>
      </c>
      <c r="C205" s="3" t="s">
        <v>273</v>
      </c>
      <c r="D205" s="4" t="s">
        <v>726</v>
      </c>
      <c r="E205" s="9" t="s">
        <v>162</v>
      </c>
      <c r="F205" s="9" t="s">
        <v>22</v>
      </c>
      <c r="G205" s="16">
        <v>137</v>
      </c>
      <c r="H205" s="16">
        <v>16581250</v>
      </c>
      <c r="I205" s="16">
        <v>33</v>
      </c>
      <c r="J205" s="16">
        <v>3136700</v>
      </c>
      <c r="K205" s="16">
        <v>11</v>
      </c>
      <c r="L205" s="16">
        <v>4094600</v>
      </c>
      <c r="M205" s="16"/>
      <c r="N205" s="12">
        <f t="shared" si="6"/>
        <v>0</v>
      </c>
    </row>
    <row r="206" spans="2:14" x14ac:dyDescent="0.35">
      <c r="B206" s="4">
        <f t="shared" si="7"/>
        <v>196</v>
      </c>
      <c r="C206" s="3" t="s">
        <v>273</v>
      </c>
      <c r="D206" s="4" t="s">
        <v>726</v>
      </c>
      <c r="E206" s="9" t="s">
        <v>162</v>
      </c>
      <c r="F206" s="9" t="s">
        <v>190</v>
      </c>
      <c r="G206" s="16">
        <v>1</v>
      </c>
      <c r="H206" s="16">
        <v>125000</v>
      </c>
      <c r="I206" s="16">
        <v>0</v>
      </c>
      <c r="J206" s="16">
        <v>0</v>
      </c>
      <c r="K206" s="16">
        <v>0</v>
      </c>
      <c r="L206" s="16">
        <v>0</v>
      </c>
      <c r="M206" s="16"/>
      <c r="N206" s="12">
        <f t="shared" si="6"/>
        <v>0</v>
      </c>
    </row>
    <row r="207" spans="2:14" x14ac:dyDescent="0.35">
      <c r="B207" s="4">
        <f t="shared" si="7"/>
        <v>197</v>
      </c>
      <c r="C207" s="3" t="s">
        <v>325</v>
      </c>
      <c r="D207" s="4" t="s">
        <v>739</v>
      </c>
      <c r="E207" s="9" t="s">
        <v>162</v>
      </c>
      <c r="F207" s="9" t="s">
        <v>22</v>
      </c>
      <c r="G207" s="16">
        <v>68</v>
      </c>
      <c r="H207" s="16">
        <v>9034600</v>
      </c>
      <c r="I207" s="16">
        <v>24</v>
      </c>
      <c r="J207" s="16">
        <v>2273350</v>
      </c>
      <c r="K207" s="16">
        <v>46</v>
      </c>
      <c r="L207" s="16">
        <v>9581800</v>
      </c>
      <c r="M207" s="16"/>
      <c r="N207" s="12">
        <f t="shared" si="6"/>
        <v>0</v>
      </c>
    </row>
    <row r="208" spans="2:14" x14ac:dyDescent="0.35">
      <c r="B208" s="4">
        <f t="shared" si="7"/>
        <v>198</v>
      </c>
      <c r="C208" s="3" t="s">
        <v>325</v>
      </c>
      <c r="D208" s="4" t="s">
        <v>739</v>
      </c>
      <c r="E208" s="9" t="s">
        <v>162</v>
      </c>
      <c r="F208" s="9" t="s">
        <v>190</v>
      </c>
      <c r="G208" s="16">
        <v>4</v>
      </c>
      <c r="H208" s="16">
        <v>500000</v>
      </c>
      <c r="I208" s="16">
        <v>0</v>
      </c>
      <c r="J208" s="16">
        <v>0</v>
      </c>
      <c r="K208" s="16">
        <v>0</v>
      </c>
      <c r="L208" s="16">
        <v>0</v>
      </c>
      <c r="M208" s="16"/>
      <c r="N208" s="12">
        <f t="shared" si="6"/>
        <v>0</v>
      </c>
    </row>
    <row r="209" spans="2:14" x14ac:dyDescent="0.35">
      <c r="B209" s="4">
        <f t="shared" si="7"/>
        <v>199</v>
      </c>
      <c r="C209" s="3" t="s">
        <v>326</v>
      </c>
      <c r="D209" s="4" t="s">
        <v>748</v>
      </c>
      <c r="E209" s="9" t="s">
        <v>162</v>
      </c>
      <c r="F209" s="9" t="s">
        <v>22</v>
      </c>
      <c r="G209" s="16">
        <v>150</v>
      </c>
      <c r="H209" s="16">
        <v>18646750</v>
      </c>
      <c r="I209" s="16">
        <v>38</v>
      </c>
      <c r="J209" s="16">
        <v>4044800</v>
      </c>
      <c r="K209" s="16">
        <v>26</v>
      </c>
      <c r="L209" s="16">
        <v>7187500</v>
      </c>
      <c r="M209" s="16"/>
      <c r="N209" s="12">
        <f t="shared" si="6"/>
        <v>0</v>
      </c>
    </row>
    <row r="210" spans="2:14" x14ac:dyDescent="0.35">
      <c r="B210" s="4">
        <f t="shared" si="7"/>
        <v>200</v>
      </c>
      <c r="C210" s="3" t="s">
        <v>326</v>
      </c>
      <c r="D210" s="4" t="s">
        <v>748</v>
      </c>
      <c r="E210" s="9" t="s">
        <v>162</v>
      </c>
      <c r="F210" s="9" t="s">
        <v>190</v>
      </c>
      <c r="G210" s="16">
        <v>1</v>
      </c>
      <c r="H210" s="16">
        <v>125000</v>
      </c>
      <c r="I210" s="16">
        <v>0</v>
      </c>
      <c r="J210" s="16">
        <v>0</v>
      </c>
      <c r="K210" s="16">
        <v>0</v>
      </c>
      <c r="L210" s="16">
        <v>0</v>
      </c>
      <c r="M210" s="16"/>
      <c r="N210" s="12">
        <f t="shared" si="6"/>
        <v>0</v>
      </c>
    </row>
    <row r="211" spans="2:14" x14ac:dyDescent="0.35">
      <c r="B211" s="4">
        <f t="shared" si="7"/>
        <v>201</v>
      </c>
      <c r="C211" s="3" t="s">
        <v>255</v>
      </c>
      <c r="D211" s="4" t="s">
        <v>721</v>
      </c>
      <c r="E211" s="9" t="s">
        <v>939</v>
      </c>
      <c r="F211" s="9" t="s">
        <v>22</v>
      </c>
      <c r="G211" s="16">
        <v>109</v>
      </c>
      <c r="H211" s="16">
        <v>37950000</v>
      </c>
      <c r="I211" s="16">
        <v>8</v>
      </c>
      <c r="J211" s="16">
        <v>3975000</v>
      </c>
      <c r="K211" s="16">
        <v>7</v>
      </c>
      <c r="L211" s="16">
        <v>7104000</v>
      </c>
      <c r="M211" s="16"/>
      <c r="N211" s="12">
        <f t="shared" si="6"/>
        <v>0</v>
      </c>
    </row>
    <row r="212" spans="2:14" x14ac:dyDescent="0.35">
      <c r="B212" s="4">
        <f t="shared" si="7"/>
        <v>202</v>
      </c>
      <c r="C212" s="3" t="s">
        <v>255</v>
      </c>
      <c r="D212" s="4" t="s">
        <v>721</v>
      </c>
      <c r="E212" s="9" t="s">
        <v>939</v>
      </c>
      <c r="F212" s="9" t="s">
        <v>19</v>
      </c>
      <c r="G212" s="16">
        <v>4</v>
      </c>
      <c r="H212" s="16">
        <v>17000000</v>
      </c>
      <c r="I212" s="16">
        <v>0</v>
      </c>
      <c r="J212" s="16">
        <v>0</v>
      </c>
      <c r="K212" s="16">
        <v>0</v>
      </c>
      <c r="L212" s="16">
        <v>0</v>
      </c>
      <c r="M212" s="16"/>
      <c r="N212" s="12">
        <f t="shared" si="6"/>
        <v>0</v>
      </c>
    </row>
    <row r="213" spans="2:14" x14ac:dyDescent="0.35">
      <c r="B213" s="4">
        <f t="shared" si="7"/>
        <v>203</v>
      </c>
      <c r="C213" s="3" t="s">
        <v>255</v>
      </c>
      <c r="D213" s="4" t="s">
        <v>721</v>
      </c>
      <c r="E213" s="9" t="s">
        <v>939</v>
      </c>
      <c r="F213" s="9" t="s">
        <v>190</v>
      </c>
      <c r="G213" s="16">
        <v>3</v>
      </c>
      <c r="H213" s="16">
        <v>375000</v>
      </c>
      <c r="I213" s="16">
        <v>0</v>
      </c>
      <c r="J213" s="16">
        <v>0</v>
      </c>
      <c r="K213" s="16">
        <v>0</v>
      </c>
      <c r="L213" s="16">
        <v>0</v>
      </c>
      <c r="M213" s="16"/>
      <c r="N213" s="12">
        <f t="shared" si="6"/>
        <v>0</v>
      </c>
    </row>
    <row r="214" spans="2:14" x14ac:dyDescent="0.35">
      <c r="B214" s="4">
        <f t="shared" si="7"/>
        <v>204</v>
      </c>
      <c r="C214" s="3" t="s">
        <v>374</v>
      </c>
      <c r="D214" s="4" t="s">
        <v>773</v>
      </c>
      <c r="E214" s="9" t="s">
        <v>939</v>
      </c>
      <c r="F214" s="9" t="s">
        <v>22</v>
      </c>
      <c r="G214" s="16">
        <v>93</v>
      </c>
      <c r="H214" s="16">
        <v>11630000</v>
      </c>
      <c r="I214" s="16">
        <v>11</v>
      </c>
      <c r="J214" s="16">
        <v>1185000</v>
      </c>
      <c r="K214" s="16">
        <v>4</v>
      </c>
      <c r="L214" s="16">
        <v>991000</v>
      </c>
      <c r="M214" s="16"/>
      <c r="N214" s="12">
        <f t="shared" si="6"/>
        <v>0</v>
      </c>
    </row>
    <row r="215" spans="2:14" x14ac:dyDescent="0.35">
      <c r="B215" s="4">
        <f t="shared" si="7"/>
        <v>205</v>
      </c>
      <c r="C215" s="3" t="s">
        <v>375</v>
      </c>
      <c r="D215" s="4" t="s">
        <v>855</v>
      </c>
      <c r="E215" s="9" t="s">
        <v>939</v>
      </c>
      <c r="F215" s="9" t="s">
        <v>20</v>
      </c>
      <c r="G215" s="16">
        <v>2</v>
      </c>
      <c r="H215" s="16">
        <v>8975000</v>
      </c>
      <c r="I215" s="16">
        <v>0</v>
      </c>
      <c r="J215" s="16">
        <v>0</v>
      </c>
      <c r="K215" s="16">
        <v>0</v>
      </c>
      <c r="L215" s="16">
        <v>0</v>
      </c>
      <c r="M215" s="16"/>
      <c r="N215" s="12">
        <f t="shared" si="6"/>
        <v>0</v>
      </c>
    </row>
    <row r="216" spans="2:14" x14ac:dyDescent="0.35">
      <c r="B216" s="4">
        <f t="shared" si="7"/>
        <v>206</v>
      </c>
      <c r="C216" s="3" t="s">
        <v>375</v>
      </c>
      <c r="D216" s="4" t="s">
        <v>855</v>
      </c>
      <c r="E216" s="9" t="s">
        <v>939</v>
      </c>
      <c r="F216" s="9" t="s">
        <v>22</v>
      </c>
      <c r="G216" s="16">
        <v>330</v>
      </c>
      <c r="H216" s="16">
        <v>109866000</v>
      </c>
      <c r="I216" s="16">
        <v>18</v>
      </c>
      <c r="J216" s="16">
        <v>3185000</v>
      </c>
      <c r="K216" s="16">
        <v>11</v>
      </c>
      <c r="L216" s="16">
        <v>6507000</v>
      </c>
      <c r="M216" s="16"/>
      <c r="N216" s="12">
        <f t="shared" si="6"/>
        <v>0</v>
      </c>
    </row>
    <row r="217" spans="2:14" x14ac:dyDescent="0.35">
      <c r="B217" s="4">
        <f t="shared" si="7"/>
        <v>207</v>
      </c>
      <c r="C217" s="3" t="s">
        <v>375</v>
      </c>
      <c r="D217" s="4" t="s">
        <v>855</v>
      </c>
      <c r="E217" s="9" t="s">
        <v>939</v>
      </c>
      <c r="F217" s="9" t="s">
        <v>19</v>
      </c>
      <c r="G217" s="16">
        <v>18</v>
      </c>
      <c r="H217" s="16">
        <v>79650000</v>
      </c>
      <c r="I217" s="16">
        <v>0</v>
      </c>
      <c r="J217" s="16">
        <v>0</v>
      </c>
      <c r="K217" s="16">
        <v>0</v>
      </c>
      <c r="L217" s="16">
        <v>0</v>
      </c>
      <c r="M217" s="16"/>
      <c r="N217" s="12">
        <f t="shared" si="6"/>
        <v>0</v>
      </c>
    </row>
    <row r="218" spans="2:14" x14ac:dyDescent="0.35">
      <c r="B218" s="4">
        <f t="shared" si="7"/>
        <v>208</v>
      </c>
      <c r="C218" s="3" t="s">
        <v>375</v>
      </c>
      <c r="D218" s="4" t="s">
        <v>855</v>
      </c>
      <c r="E218" s="9" t="s">
        <v>939</v>
      </c>
      <c r="F218" s="9" t="s">
        <v>190</v>
      </c>
      <c r="G218" s="16">
        <v>14</v>
      </c>
      <c r="H218" s="16">
        <v>1820000</v>
      </c>
      <c r="I218" s="16">
        <v>0</v>
      </c>
      <c r="J218" s="16">
        <v>0</v>
      </c>
      <c r="K218" s="16">
        <v>0</v>
      </c>
      <c r="L218" s="16">
        <v>0</v>
      </c>
      <c r="M218" s="16"/>
      <c r="N218" s="12">
        <f t="shared" si="6"/>
        <v>0</v>
      </c>
    </row>
    <row r="219" spans="2:14" x14ac:dyDescent="0.35">
      <c r="B219" s="4">
        <f t="shared" si="7"/>
        <v>209</v>
      </c>
      <c r="C219" s="3" t="s">
        <v>348</v>
      </c>
      <c r="D219" s="4" t="s">
        <v>724</v>
      </c>
      <c r="E219" s="9" t="s">
        <v>939</v>
      </c>
      <c r="F219" s="9" t="s">
        <v>22</v>
      </c>
      <c r="G219" s="16">
        <v>403</v>
      </c>
      <c r="H219" s="16">
        <v>99206000</v>
      </c>
      <c r="I219" s="16">
        <v>20</v>
      </c>
      <c r="J219" s="16">
        <v>3395000</v>
      </c>
      <c r="K219" s="16">
        <v>32</v>
      </c>
      <c r="L219" s="16">
        <v>7510000</v>
      </c>
      <c r="M219" s="16"/>
      <c r="N219" s="12">
        <f t="shared" si="6"/>
        <v>0</v>
      </c>
    </row>
    <row r="220" spans="2:14" x14ac:dyDescent="0.35">
      <c r="B220" s="4">
        <f t="shared" si="7"/>
        <v>210</v>
      </c>
      <c r="C220" s="3" t="s">
        <v>321</v>
      </c>
      <c r="D220" s="4" t="s">
        <v>736</v>
      </c>
      <c r="E220" s="9" t="s">
        <v>939</v>
      </c>
      <c r="F220" s="9" t="s">
        <v>22</v>
      </c>
      <c r="G220" s="16">
        <v>0</v>
      </c>
      <c r="H220" s="16">
        <v>0</v>
      </c>
      <c r="I220" s="16">
        <v>9</v>
      </c>
      <c r="J220" s="16">
        <v>1367000</v>
      </c>
      <c r="K220" s="16">
        <v>6</v>
      </c>
      <c r="L220" s="16">
        <v>2034000</v>
      </c>
      <c r="M220" s="16"/>
      <c r="N220" s="12">
        <f t="shared" si="6"/>
        <v>0</v>
      </c>
    </row>
    <row r="221" spans="2:14" x14ac:dyDescent="0.35">
      <c r="B221" s="4">
        <f t="shared" si="7"/>
        <v>211</v>
      </c>
      <c r="C221" s="3" t="s">
        <v>376</v>
      </c>
      <c r="D221" s="4" t="s">
        <v>828</v>
      </c>
      <c r="E221" s="9" t="s">
        <v>939</v>
      </c>
      <c r="F221" s="9" t="s">
        <v>22</v>
      </c>
      <c r="G221" s="16">
        <v>178</v>
      </c>
      <c r="H221" s="16">
        <v>56130000</v>
      </c>
      <c r="I221" s="16">
        <v>3</v>
      </c>
      <c r="J221" s="16">
        <v>350000</v>
      </c>
      <c r="K221" s="16">
        <v>14</v>
      </c>
      <c r="L221" s="16">
        <v>4156000</v>
      </c>
      <c r="M221" s="16"/>
      <c r="N221" s="12">
        <f t="shared" si="6"/>
        <v>0</v>
      </c>
    </row>
    <row r="222" spans="2:14" x14ac:dyDescent="0.35">
      <c r="B222" s="4">
        <f t="shared" si="7"/>
        <v>212</v>
      </c>
      <c r="C222" s="3" t="s">
        <v>377</v>
      </c>
      <c r="D222" s="4" t="s">
        <v>764</v>
      </c>
      <c r="E222" s="9" t="s">
        <v>939</v>
      </c>
      <c r="F222" s="9" t="s">
        <v>22</v>
      </c>
      <c r="G222" s="16">
        <v>117</v>
      </c>
      <c r="H222" s="16">
        <v>21931000</v>
      </c>
      <c r="I222" s="16">
        <v>32</v>
      </c>
      <c r="J222" s="16">
        <v>6036000</v>
      </c>
      <c r="K222" s="16">
        <v>48</v>
      </c>
      <c r="L222" s="16">
        <v>30023020</v>
      </c>
      <c r="M222" s="16"/>
      <c r="N222" s="12">
        <f t="shared" si="6"/>
        <v>0</v>
      </c>
    </row>
    <row r="223" spans="2:14" x14ac:dyDescent="0.35">
      <c r="B223" s="4">
        <f t="shared" si="7"/>
        <v>213</v>
      </c>
      <c r="C223" s="3" t="s">
        <v>378</v>
      </c>
      <c r="D223" s="4" t="s">
        <v>820</v>
      </c>
      <c r="E223" s="9" t="s">
        <v>939</v>
      </c>
      <c r="F223" s="9" t="s">
        <v>22</v>
      </c>
      <c r="G223" s="16">
        <v>71</v>
      </c>
      <c r="H223" s="16">
        <v>12262000</v>
      </c>
      <c r="I223" s="16">
        <v>6</v>
      </c>
      <c r="J223" s="16">
        <v>605000</v>
      </c>
      <c r="K223" s="16">
        <v>11</v>
      </c>
      <c r="L223" s="16">
        <v>3205703</v>
      </c>
      <c r="M223" s="16"/>
      <c r="N223" s="12">
        <f t="shared" si="6"/>
        <v>0</v>
      </c>
    </row>
    <row r="224" spans="2:14" x14ac:dyDescent="0.35">
      <c r="B224" s="4">
        <f t="shared" si="7"/>
        <v>214</v>
      </c>
      <c r="C224" s="3" t="s">
        <v>322</v>
      </c>
      <c r="D224" s="4" t="s">
        <v>792</v>
      </c>
      <c r="E224" s="9" t="s">
        <v>939</v>
      </c>
      <c r="F224" s="9" t="s">
        <v>22</v>
      </c>
      <c r="G224" s="16">
        <v>147</v>
      </c>
      <c r="H224" s="16">
        <v>49035000</v>
      </c>
      <c r="I224" s="16">
        <v>26</v>
      </c>
      <c r="J224" s="16">
        <v>4225000</v>
      </c>
      <c r="K224" s="16">
        <v>8</v>
      </c>
      <c r="L224" s="16">
        <v>2244000</v>
      </c>
      <c r="M224" s="16"/>
      <c r="N224" s="12">
        <f t="shared" si="6"/>
        <v>0</v>
      </c>
    </row>
    <row r="225" spans="2:14" x14ac:dyDescent="0.35">
      <c r="B225" s="4">
        <f t="shared" si="7"/>
        <v>215</v>
      </c>
      <c r="C225" s="3" t="s">
        <v>323</v>
      </c>
      <c r="D225" s="4" t="s">
        <v>752</v>
      </c>
      <c r="E225" s="9" t="s">
        <v>939</v>
      </c>
      <c r="F225" s="9" t="s">
        <v>22</v>
      </c>
      <c r="G225" s="16">
        <v>1</v>
      </c>
      <c r="H225" s="16">
        <v>75000</v>
      </c>
      <c r="I225" s="16">
        <v>34</v>
      </c>
      <c r="J225" s="16">
        <v>5135200</v>
      </c>
      <c r="K225" s="16">
        <v>14</v>
      </c>
      <c r="L225" s="16">
        <v>13619000</v>
      </c>
      <c r="M225" s="16"/>
      <c r="N225" s="12">
        <f t="shared" si="6"/>
        <v>0</v>
      </c>
    </row>
    <row r="226" spans="2:14" x14ac:dyDescent="0.35">
      <c r="B226" s="4">
        <f t="shared" si="7"/>
        <v>216</v>
      </c>
      <c r="C226" s="3" t="s">
        <v>349</v>
      </c>
      <c r="D226" s="4" t="s">
        <v>882</v>
      </c>
      <c r="E226" s="9" t="s">
        <v>939</v>
      </c>
      <c r="F226" s="9" t="s">
        <v>22</v>
      </c>
      <c r="G226" s="16">
        <v>337</v>
      </c>
      <c r="H226" s="16">
        <v>159100000</v>
      </c>
      <c r="I226" s="16">
        <v>12</v>
      </c>
      <c r="J226" s="16">
        <v>2275000</v>
      </c>
      <c r="K226" s="16">
        <v>9</v>
      </c>
      <c r="L226" s="16">
        <v>3043000</v>
      </c>
      <c r="M226" s="16"/>
      <c r="N226" s="12">
        <f t="shared" si="6"/>
        <v>0</v>
      </c>
    </row>
    <row r="227" spans="2:14" x14ac:dyDescent="0.35">
      <c r="B227" s="4">
        <f t="shared" si="7"/>
        <v>217</v>
      </c>
      <c r="C227" s="3" t="s">
        <v>324</v>
      </c>
      <c r="D227" s="4" t="s">
        <v>719</v>
      </c>
      <c r="E227" s="9" t="s">
        <v>156</v>
      </c>
      <c r="F227" s="9" t="s">
        <v>20</v>
      </c>
      <c r="G227" s="16">
        <v>27</v>
      </c>
      <c r="H227" s="16">
        <v>4575000</v>
      </c>
      <c r="I227" s="16">
        <v>0</v>
      </c>
      <c r="J227" s="16">
        <v>0</v>
      </c>
      <c r="K227" s="16">
        <v>0</v>
      </c>
      <c r="L227" s="16">
        <v>0</v>
      </c>
      <c r="M227" s="16"/>
      <c r="N227" s="12">
        <f t="shared" si="6"/>
        <v>0</v>
      </c>
    </row>
    <row r="228" spans="2:14" x14ac:dyDescent="0.35">
      <c r="B228" s="4">
        <f t="shared" si="7"/>
        <v>218</v>
      </c>
      <c r="C228" s="3" t="s">
        <v>324</v>
      </c>
      <c r="D228" s="4" t="s">
        <v>719</v>
      </c>
      <c r="E228" s="9" t="s">
        <v>156</v>
      </c>
      <c r="F228" s="9" t="s">
        <v>22</v>
      </c>
      <c r="G228" s="16">
        <v>7</v>
      </c>
      <c r="H228" s="16">
        <v>720000</v>
      </c>
      <c r="I228" s="16">
        <v>2</v>
      </c>
      <c r="J228" s="16">
        <v>150000</v>
      </c>
      <c r="K228" s="16">
        <v>1</v>
      </c>
      <c r="L228" s="16">
        <v>140000</v>
      </c>
      <c r="M228" s="16"/>
      <c r="N228" s="12">
        <f t="shared" si="6"/>
        <v>0</v>
      </c>
    </row>
    <row r="229" spans="2:14" x14ac:dyDescent="0.35">
      <c r="B229" s="4">
        <f t="shared" si="7"/>
        <v>219</v>
      </c>
      <c r="C229" s="3" t="s">
        <v>324</v>
      </c>
      <c r="D229" s="4" t="s">
        <v>719</v>
      </c>
      <c r="E229" s="9" t="s">
        <v>156</v>
      </c>
      <c r="F229" s="9" t="s">
        <v>190</v>
      </c>
      <c r="G229" s="16">
        <v>140</v>
      </c>
      <c r="H229" s="16">
        <v>21365000</v>
      </c>
      <c r="I229" s="16">
        <v>8</v>
      </c>
      <c r="J229" s="16">
        <v>1125000</v>
      </c>
      <c r="K229" s="16">
        <v>0</v>
      </c>
      <c r="L229" s="16">
        <v>0</v>
      </c>
      <c r="M229" s="16"/>
      <c r="N229" s="12">
        <f t="shared" si="6"/>
        <v>0</v>
      </c>
    </row>
    <row r="230" spans="2:14" x14ac:dyDescent="0.35">
      <c r="B230" s="4">
        <f t="shared" si="7"/>
        <v>220</v>
      </c>
      <c r="C230" s="3" t="s">
        <v>379</v>
      </c>
      <c r="D230" s="4" t="s">
        <v>791</v>
      </c>
      <c r="E230" s="9" t="s">
        <v>156</v>
      </c>
      <c r="F230" s="9" t="s">
        <v>20</v>
      </c>
      <c r="G230" s="16">
        <v>29</v>
      </c>
      <c r="H230" s="16">
        <v>4850000</v>
      </c>
      <c r="I230" s="16">
        <v>7</v>
      </c>
      <c r="J230" s="16">
        <v>1210000</v>
      </c>
      <c r="K230" s="16">
        <v>1</v>
      </c>
      <c r="L230" s="16">
        <v>160000</v>
      </c>
      <c r="M230" s="16"/>
      <c r="N230" s="12">
        <f t="shared" si="6"/>
        <v>0</v>
      </c>
    </row>
    <row r="231" spans="2:14" x14ac:dyDescent="0.35">
      <c r="B231" s="4">
        <f t="shared" si="7"/>
        <v>221</v>
      </c>
      <c r="C231" s="3" t="s">
        <v>379</v>
      </c>
      <c r="D231" s="4" t="s">
        <v>791</v>
      </c>
      <c r="E231" s="9" t="s">
        <v>156</v>
      </c>
      <c r="F231" s="9" t="s">
        <v>22</v>
      </c>
      <c r="G231" s="16">
        <v>19</v>
      </c>
      <c r="H231" s="16">
        <v>2400000</v>
      </c>
      <c r="I231" s="16">
        <v>9</v>
      </c>
      <c r="J231" s="16">
        <v>675000</v>
      </c>
      <c r="K231" s="16">
        <v>5</v>
      </c>
      <c r="L231" s="16">
        <v>4550000</v>
      </c>
      <c r="M231" s="16"/>
      <c r="N231" s="12">
        <f t="shared" si="6"/>
        <v>0</v>
      </c>
    </row>
    <row r="232" spans="2:14" x14ac:dyDescent="0.35">
      <c r="B232" s="4">
        <f t="shared" si="7"/>
        <v>222</v>
      </c>
      <c r="C232" s="3" t="s">
        <v>379</v>
      </c>
      <c r="D232" s="4" t="s">
        <v>791</v>
      </c>
      <c r="E232" s="9" t="s">
        <v>156</v>
      </c>
      <c r="F232" s="9" t="s">
        <v>190</v>
      </c>
      <c r="G232" s="16">
        <v>185</v>
      </c>
      <c r="H232" s="16">
        <v>27720000</v>
      </c>
      <c r="I232" s="16">
        <v>4</v>
      </c>
      <c r="J232" s="16">
        <v>530000</v>
      </c>
      <c r="K232" s="16">
        <v>0</v>
      </c>
      <c r="L232" s="16">
        <v>0</v>
      </c>
      <c r="M232" s="16"/>
      <c r="N232" s="12">
        <f t="shared" si="6"/>
        <v>0</v>
      </c>
    </row>
    <row r="233" spans="2:14" x14ac:dyDescent="0.35">
      <c r="B233" s="4">
        <f t="shared" si="7"/>
        <v>223</v>
      </c>
      <c r="C233" s="3" t="s">
        <v>380</v>
      </c>
      <c r="D233" s="4" t="s">
        <v>780</v>
      </c>
      <c r="E233" s="9" t="s">
        <v>156</v>
      </c>
      <c r="F233" s="9" t="s">
        <v>20</v>
      </c>
      <c r="G233" s="16">
        <v>31</v>
      </c>
      <c r="H233" s="16">
        <v>5185000</v>
      </c>
      <c r="I233" s="16">
        <v>1</v>
      </c>
      <c r="J233" s="16">
        <v>175000</v>
      </c>
      <c r="K233" s="16">
        <v>0</v>
      </c>
      <c r="L233" s="16">
        <v>0</v>
      </c>
      <c r="M233" s="16"/>
      <c r="N233" s="12">
        <f t="shared" si="6"/>
        <v>0</v>
      </c>
    </row>
    <row r="234" spans="2:14" x14ac:dyDescent="0.35">
      <c r="B234" s="4">
        <f t="shared" si="7"/>
        <v>224</v>
      </c>
      <c r="C234" s="3" t="s">
        <v>380</v>
      </c>
      <c r="D234" s="4" t="s">
        <v>780</v>
      </c>
      <c r="E234" s="9" t="s">
        <v>156</v>
      </c>
      <c r="F234" s="9" t="s">
        <v>22</v>
      </c>
      <c r="G234" s="16">
        <v>13</v>
      </c>
      <c r="H234" s="16">
        <v>1395000</v>
      </c>
      <c r="I234" s="16">
        <v>6</v>
      </c>
      <c r="J234" s="16">
        <v>450000</v>
      </c>
      <c r="K234" s="16">
        <v>7</v>
      </c>
      <c r="L234" s="16">
        <v>4650000</v>
      </c>
      <c r="M234" s="16"/>
      <c r="N234" s="12">
        <f t="shared" si="6"/>
        <v>0</v>
      </c>
    </row>
    <row r="235" spans="2:14" x14ac:dyDescent="0.35">
      <c r="B235" s="4">
        <f t="shared" si="7"/>
        <v>225</v>
      </c>
      <c r="C235" s="3" t="s">
        <v>380</v>
      </c>
      <c r="D235" s="4" t="s">
        <v>780</v>
      </c>
      <c r="E235" s="9" t="s">
        <v>156</v>
      </c>
      <c r="F235" s="9" t="s">
        <v>190</v>
      </c>
      <c r="G235" s="16">
        <v>142</v>
      </c>
      <c r="H235" s="16">
        <v>19375000</v>
      </c>
      <c r="I235" s="16">
        <v>5</v>
      </c>
      <c r="J235" s="16">
        <v>760000</v>
      </c>
      <c r="K235" s="16">
        <v>2</v>
      </c>
      <c r="L235" s="16">
        <v>320000</v>
      </c>
      <c r="M235" s="16"/>
      <c r="N235" s="12">
        <f t="shared" si="6"/>
        <v>0</v>
      </c>
    </row>
    <row r="236" spans="2:14" x14ac:dyDescent="0.35">
      <c r="B236" s="4">
        <f t="shared" si="7"/>
        <v>226</v>
      </c>
      <c r="C236" s="3" t="s">
        <v>249</v>
      </c>
      <c r="D236" s="4" t="s">
        <v>729</v>
      </c>
      <c r="E236" s="9" t="s">
        <v>178</v>
      </c>
      <c r="F236" s="9" t="s">
        <v>20</v>
      </c>
      <c r="G236" s="16">
        <v>65</v>
      </c>
      <c r="H236" s="16">
        <v>7465000</v>
      </c>
      <c r="I236" s="16">
        <v>0</v>
      </c>
      <c r="J236" s="16">
        <v>0</v>
      </c>
      <c r="K236" s="16">
        <v>0</v>
      </c>
      <c r="L236" s="16">
        <v>0</v>
      </c>
      <c r="M236" s="16"/>
      <c r="N236" s="12">
        <f t="shared" si="6"/>
        <v>0</v>
      </c>
    </row>
    <row r="237" spans="2:14" x14ac:dyDescent="0.35">
      <c r="B237" s="4">
        <f t="shared" si="7"/>
        <v>227</v>
      </c>
      <c r="C237" s="3" t="s">
        <v>249</v>
      </c>
      <c r="D237" s="4" t="s">
        <v>729</v>
      </c>
      <c r="E237" s="9" t="s">
        <v>178</v>
      </c>
      <c r="F237" s="9" t="s">
        <v>22</v>
      </c>
      <c r="G237" s="16">
        <v>416</v>
      </c>
      <c r="H237" s="16">
        <v>157920000</v>
      </c>
      <c r="I237" s="16">
        <v>8</v>
      </c>
      <c r="J237" s="16">
        <v>968000</v>
      </c>
      <c r="K237" s="16">
        <v>127</v>
      </c>
      <c r="L237" s="16">
        <v>21355000</v>
      </c>
      <c r="M237" s="16"/>
      <c r="N237" s="12">
        <f t="shared" si="6"/>
        <v>0</v>
      </c>
    </row>
    <row r="238" spans="2:14" x14ac:dyDescent="0.35">
      <c r="B238" s="4">
        <f t="shared" si="7"/>
        <v>228</v>
      </c>
      <c r="C238" s="3" t="s">
        <v>249</v>
      </c>
      <c r="D238" s="4" t="s">
        <v>729</v>
      </c>
      <c r="E238" s="9" t="s">
        <v>178</v>
      </c>
      <c r="F238" s="9" t="s">
        <v>190</v>
      </c>
      <c r="G238" s="16">
        <v>18</v>
      </c>
      <c r="H238" s="16">
        <v>2880000</v>
      </c>
      <c r="I238" s="16">
        <v>0</v>
      </c>
      <c r="J238" s="16">
        <v>0</v>
      </c>
      <c r="K238" s="16">
        <v>0</v>
      </c>
      <c r="L238" s="16">
        <v>0</v>
      </c>
      <c r="M238" s="16"/>
      <c r="N238" s="12">
        <f t="shared" si="6"/>
        <v>0</v>
      </c>
    </row>
    <row r="239" spans="2:14" x14ac:dyDescent="0.35">
      <c r="B239" s="4">
        <f t="shared" si="7"/>
        <v>229</v>
      </c>
      <c r="C239" s="3" t="s">
        <v>312</v>
      </c>
      <c r="D239" s="4" t="s">
        <v>856</v>
      </c>
      <c r="E239" s="9" t="s">
        <v>178</v>
      </c>
      <c r="F239" s="9" t="s">
        <v>20</v>
      </c>
      <c r="G239" s="16">
        <v>36</v>
      </c>
      <c r="H239" s="16">
        <v>5920000</v>
      </c>
      <c r="I239" s="16">
        <v>0</v>
      </c>
      <c r="J239" s="16">
        <v>0</v>
      </c>
      <c r="K239" s="16">
        <v>0</v>
      </c>
      <c r="L239" s="16">
        <v>0</v>
      </c>
      <c r="M239" s="16"/>
      <c r="N239" s="12">
        <f t="shared" si="6"/>
        <v>0</v>
      </c>
    </row>
    <row r="240" spans="2:14" x14ac:dyDescent="0.35">
      <c r="B240" s="4">
        <f t="shared" si="7"/>
        <v>230</v>
      </c>
      <c r="C240" s="3" t="s">
        <v>312</v>
      </c>
      <c r="D240" s="4" t="s">
        <v>856</v>
      </c>
      <c r="E240" s="9" t="s">
        <v>178</v>
      </c>
      <c r="F240" s="9" t="s">
        <v>21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/>
      <c r="N240" s="12">
        <f t="shared" si="6"/>
        <v>0</v>
      </c>
    </row>
    <row r="241" spans="2:14" x14ac:dyDescent="0.35">
      <c r="B241" s="4">
        <f t="shared" si="7"/>
        <v>231</v>
      </c>
      <c r="C241" s="3" t="s">
        <v>312</v>
      </c>
      <c r="D241" s="4" t="s">
        <v>856</v>
      </c>
      <c r="E241" s="9" t="s">
        <v>178</v>
      </c>
      <c r="F241" s="9" t="s">
        <v>22</v>
      </c>
      <c r="G241" s="16">
        <v>311</v>
      </c>
      <c r="H241" s="16">
        <v>480486000</v>
      </c>
      <c r="I241" s="16">
        <v>4</v>
      </c>
      <c r="J241" s="16">
        <v>720000</v>
      </c>
      <c r="K241" s="16">
        <v>16</v>
      </c>
      <c r="L241" s="16">
        <v>3080000</v>
      </c>
      <c r="M241" s="16"/>
      <c r="N241" s="12">
        <f t="shared" si="6"/>
        <v>0</v>
      </c>
    </row>
    <row r="242" spans="2:14" x14ac:dyDescent="0.35">
      <c r="B242" s="4">
        <f t="shared" si="7"/>
        <v>232</v>
      </c>
      <c r="C242" s="3" t="s">
        <v>312</v>
      </c>
      <c r="D242" s="4" t="s">
        <v>856</v>
      </c>
      <c r="E242" s="9" t="s">
        <v>178</v>
      </c>
      <c r="F242" s="9" t="s">
        <v>190</v>
      </c>
      <c r="G242" s="16">
        <v>17</v>
      </c>
      <c r="H242" s="16">
        <v>2545000</v>
      </c>
      <c r="I242" s="16">
        <v>0</v>
      </c>
      <c r="J242" s="16">
        <v>0</v>
      </c>
      <c r="K242" s="16">
        <v>0</v>
      </c>
      <c r="L242" s="16">
        <v>0</v>
      </c>
      <c r="M242" s="16"/>
      <c r="N242" s="12">
        <f t="shared" si="6"/>
        <v>0</v>
      </c>
    </row>
    <row r="243" spans="2:14" x14ac:dyDescent="0.35">
      <c r="B243" s="4">
        <f t="shared" si="7"/>
        <v>233</v>
      </c>
      <c r="C243" s="3" t="s">
        <v>362</v>
      </c>
      <c r="D243" s="4" t="s">
        <v>815</v>
      </c>
      <c r="E243" s="9" t="s">
        <v>178</v>
      </c>
      <c r="F243" s="9" t="s">
        <v>20</v>
      </c>
      <c r="G243" s="16">
        <v>62</v>
      </c>
      <c r="H243" s="16">
        <v>9355000</v>
      </c>
      <c r="I243" s="16">
        <v>0</v>
      </c>
      <c r="J243" s="16">
        <v>0</v>
      </c>
      <c r="K243" s="16">
        <v>0</v>
      </c>
      <c r="L243" s="16">
        <v>0</v>
      </c>
      <c r="M243" s="16"/>
      <c r="N243" s="12">
        <f t="shared" si="6"/>
        <v>0</v>
      </c>
    </row>
    <row r="244" spans="2:14" x14ac:dyDescent="0.35">
      <c r="B244" s="4">
        <f t="shared" si="7"/>
        <v>234</v>
      </c>
      <c r="C244" s="3" t="s">
        <v>362</v>
      </c>
      <c r="D244" s="4" t="s">
        <v>815</v>
      </c>
      <c r="E244" s="9" t="s">
        <v>178</v>
      </c>
      <c r="F244" s="9" t="s">
        <v>21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/>
      <c r="N244" s="12">
        <f t="shared" si="6"/>
        <v>0</v>
      </c>
    </row>
    <row r="245" spans="2:14" x14ac:dyDescent="0.35">
      <c r="B245" s="4">
        <f t="shared" si="7"/>
        <v>235</v>
      </c>
      <c r="C245" s="3" t="s">
        <v>362</v>
      </c>
      <c r="D245" s="4" t="s">
        <v>815</v>
      </c>
      <c r="E245" s="9" t="s">
        <v>178</v>
      </c>
      <c r="F245" s="9" t="s">
        <v>22</v>
      </c>
      <c r="G245" s="16">
        <v>536</v>
      </c>
      <c r="H245" s="16">
        <v>40839000</v>
      </c>
      <c r="I245" s="16">
        <v>7</v>
      </c>
      <c r="J245" s="16">
        <v>530000</v>
      </c>
      <c r="K245" s="16">
        <v>66</v>
      </c>
      <c r="L245" s="16">
        <v>11220000</v>
      </c>
      <c r="M245" s="16"/>
      <c r="N245" s="12">
        <f t="shared" si="6"/>
        <v>0</v>
      </c>
    </row>
    <row r="246" spans="2:14" x14ac:dyDescent="0.35">
      <c r="B246" s="4">
        <f t="shared" si="7"/>
        <v>236</v>
      </c>
      <c r="C246" s="4" t="s">
        <v>362</v>
      </c>
      <c r="D246" s="4" t="s">
        <v>815</v>
      </c>
      <c r="E246" s="9" t="s">
        <v>178</v>
      </c>
      <c r="F246" s="9" t="s">
        <v>190</v>
      </c>
      <c r="G246" s="16">
        <v>33</v>
      </c>
      <c r="H246" s="16">
        <v>5125000</v>
      </c>
      <c r="I246" s="16">
        <v>0</v>
      </c>
      <c r="J246" s="16">
        <v>0</v>
      </c>
      <c r="K246" s="16">
        <v>0</v>
      </c>
      <c r="L246" s="16">
        <v>0</v>
      </c>
      <c r="M246" s="16"/>
      <c r="N246" s="12">
        <f t="shared" si="6"/>
        <v>0</v>
      </c>
    </row>
    <row r="247" spans="2:14" x14ac:dyDescent="0.35">
      <c r="B247" s="4">
        <f t="shared" si="7"/>
        <v>237</v>
      </c>
      <c r="C247" s="4" t="s">
        <v>250</v>
      </c>
      <c r="D247" s="4" t="s">
        <v>793</v>
      </c>
      <c r="E247" s="9" t="s">
        <v>178</v>
      </c>
      <c r="F247" s="9" t="s">
        <v>20</v>
      </c>
      <c r="G247" s="16">
        <v>203</v>
      </c>
      <c r="H247" s="16">
        <v>24476000</v>
      </c>
      <c r="I247" s="16">
        <v>14</v>
      </c>
      <c r="J247" s="16">
        <v>1645000</v>
      </c>
      <c r="K247" s="16">
        <v>0</v>
      </c>
      <c r="L247" s="16">
        <v>0</v>
      </c>
      <c r="M247" s="16"/>
      <c r="N247" s="12">
        <f t="shared" si="6"/>
        <v>0</v>
      </c>
    </row>
    <row r="248" spans="2:14" x14ac:dyDescent="0.35">
      <c r="B248" s="4">
        <f t="shared" si="7"/>
        <v>238</v>
      </c>
      <c r="C248" s="3" t="s">
        <v>250</v>
      </c>
      <c r="D248" s="4" t="s">
        <v>793</v>
      </c>
      <c r="E248" s="9" t="s">
        <v>178</v>
      </c>
      <c r="F248" s="9" t="s">
        <v>21</v>
      </c>
      <c r="G248" s="16">
        <v>0</v>
      </c>
      <c r="H248" s="16">
        <v>0</v>
      </c>
      <c r="I248" s="16">
        <v>0</v>
      </c>
      <c r="J248" s="16">
        <v>0</v>
      </c>
      <c r="K248" s="16">
        <v>0</v>
      </c>
      <c r="L248" s="16">
        <v>0</v>
      </c>
      <c r="M248" s="16"/>
      <c r="N248" s="12">
        <f t="shared" si="6"/>
        <v>0</v>
      </c>
    </row>
    <row r="249" spans="2:14" x14ac:dyDescent="0.35">
      <c r="B249" s="4">
        <f t="shared" si="7"/>
        <v>239</v>
      </c>
      <c r="C249" s="3" t="s">
        <v>250</v>
      </c>
      <c r="D249" s="4" t="s">
        <v>793</v>
      </c>
      <c r="E249" s="9" t="s">
        <v>178</v>
      </c>
      <c r="F249" s="9" t="s">
        <v>22</v>
      </c>
      <c r="G249" s="16">
        <v>319</v>
      </c>
      <c r="H249" s="16">
        <v>640066000</v>
      </c>
      <c r="I249" s="16">
        <v>4</v>
      </c>
      <c r="J249" s="16">
        <v>335000</v>
      </c>
      <c r="K249" s="16">
        <v>52</v>
      </c>
      <c r="L249" s="16">
        <v>10225000</v>
      </c>
      <c r="M249" s="16"/>
      <c r="N249" s="12">
        <f t="shared" si="6"/>
        <v>0</v>
      </c>
    </row>
    <row r="250" spans="2:14" x14ac:dyDescent="0.35">
      <c r="B250" s="4">
        <f t="shared" si="7"/>
        <v>240</v>
      </c>
      <c r="C250" s="3" t="s">
        <v>250</v>
      </c>
      <c r="D250" s="4" t="s">
        <v>793</v>
      </c>
      <c r="E250" s="9" t="s">
        <v>178</v>
      </c>
      <c r="F250" s="9" t="s">
        <v>190</v>
      </c>
      <c r="G250" s="16">
        <v>20</v>
      </c>
      <c r="H250" s="16">
        <v>2920000</v>
      </c>
      <c r="I250" s="16">
        <v>0</v>
      </c>
      <c r="J250" s="16">
        <v>0</v>
      </c>
      <c r="K250" s="16">
        <v>0</v>
      </c>
      <c r="L250" s="16">
        <v>0</v>
      </c>
      <c r="M250" s="16"/>
      <c r="N250" s="12">
        <f t="shared" si="6"/>
        <v>0</v>
      </c>
    </row>
    <row r="251" spans="2:14" x14ac:dyDescent="0.35">
      <c r="B251" s="4">
        <f t="shared" si="7"/>
        <v>241</v>
      </c>
      <c r="C251" s="3" t="s">
        <v>402</v>
      </c>
      <c r="D251" s="4" t="s">
        <v>919</v>
      </c>
      <c r="E251" s="9" t="s">
        <v>178</v>
      </c>
      <c r="F251" s="9" t="s">
        <v>20</v>
      </c>
      <c r="G251" s="16">
        <v>50</v>
      </c>
      <c r="H251" s="16">
        <v>6220000</v>
      </c>
      <c r="I251" s="16">
        <v>1</v>
      </c>
      <c r="J251" s="16">
        <v>175000</v>
      </c>
      <c r="K251" s="16">
        <v>0</v>
      </c>
      <c r="L251" s="16">
        <v>0</v>
      </c>
      <c r="M251" s="16"/>
      <c r="N251" s="12">
        <f t="shared" si="6"/>
        <v>0</v>
      </c>
    </row>
    <row r="252" spans="2:14" x14ac:dyDescent="0.35">
      <c r="B252" s="4">
        <f t="shared" si="7"/>
        <v>242</v>
      </c>
      <c r="C252" s="3" t="s">
        <v>402</v>
      </c>
      <c r="D252" s="4" t="s">
        <v>919</v>
      </c>
      <c r="E252" s="9" t="s">
        <v>178</v>
      </c>
      <c r="F252" s="9" t="s">
        <v>21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/>
      <c r="N252" s="12">
        <f t="shared" si="6"/>
        <v>0</v>
      </c>
    </row>
    <row r="253" spans="2:14" x14ac:dyDescent="0.35">
      <c r="B253" s="4">
        <f t="shared" si="7"/>
        <v>243</v>
      </c>
      <c r="C253" s="3" t="s">
        <v>402</v>
      </c>
      <c r="D253" s="4" t="s">
        <v>919</v>
      </c>
      <c r="E253" s="9" t="s">
        <v>178</v>
      </c>
      <c r="F253" s="9" t="s">
        <v>22</v>
      </c>
      <c r="G253" s="16">
        <v>510</v>
      </c>
      <c r="H253" s="16">
        <v>49315000</v>
      </c>
      <c r="I253" s="16">
        <v>3</v>
      </c>
      <c r="J253" s="16">
        <v>195000</v>
      </c>
      <c r="K253" s="16">
        <v>16</v>
      </c>
      <c r="L253" s="16">
        <v>2680000</v>
      </c>
      <c r="M253" s="16"/>
      <c r="N253" s="12">
        <f t="shared" si="6"/>
        <v>0</v>
      </c>
    </row>
    <row r="254" spans="2:14" x14ac:dyDescent="0.35">
      <c r="B254" s="4">
        <f t="shared" si="7"/>
        <v>244</v>
      </c>
      <c r="C254" s="3" t="s">
        <v>402</v>
      </c>
      <c r="D254" s="4" t="s">
        <v>919</v>
      </c>
      <c r="E254" s="9" t="s">
        <v>178</v>
      </c>
      <c r="F254" s="9" t="s">
        <v>190</v>
      </c>
      <c r="G254" s="16">
        <v>32</v>
      </c>
      <c r="H254" s="16">
        <v>4420000</v>
      </c>
      <c r="I254" s="16">
        <v>0</v>
      </c>
      <c r="J254" s="16">
        <v>0</v>
      </c>
      <c r="K254" s="16">
        <v>0</v>
      </c>
      <c r="L254" s="16">
        <v>0</v>
      </c>
      <c r="M254" s="16"/>
      <c r="N254" s="12">
        <f t="shared" si="6"/>
        <v>0</v>
      </c>
    </row>
    <row r="255" spans="2:14" x14ac:dyDescent="0.35">
      <c r="B255" s="4">
        <f t="shared" si="7"/>
        <v>245</v>
      </c>
      <c r="C255" s="3" t="s">
        <v>363</v>
      </c>
      <c r="D255" s="4" t="s">
        <v>869</v>
      </c>
      <c r="E255" s="9" t="s">
        <v>178</v>
      </c>
      <c r="F255" s="9" t="s">
        <v>20</v>
      </c>
      <c r="G255" s="16">
        <v>71</v>
      </c>
      <c r="H255" s="16">
        <v>9941000</v>
      </c>
      <c r="I255" s="16">
        <v>2</v>
      </c>
      <c r="J255" s="16">
        <v>235000</v>
      </c>
      <c r="K255" s="16">
        <v>0</v>
      </c>
      <c r="L255" s="16">
        <v>0</v>
      </c>
      <c r="M255" s="16"/>
      <c r="N255" s="12">
        <f t="shared" si="6"/>
        <v>0</v>
      </c>
    </row>
    <row r="256" spans="2:14" x14ac:dyDescent="0.35">
      <c r="B256" s="4">
        <f t="shared" si="7"/>
        <v>246</v>
      </c>
      <c r="C256" s="3" t="s">
        <v>363</v>
      </c>
      <c r="D256" s="4" t="s">
        <v>869</v>
      </c>
      <c r="E256" s="9" t="s">
        <v>178</v>
      </c>
      <c r="F256" s="9" t="s">
        <v>21</v>
      </c>
      <c r="G256" s="16">
        <v>0</v>
      </c>
      <c r="H256" s="16">
        <v>0</v>
      </c>
      <c r="I256" s="16">
        <v>0</v>
      </c>
      <c r="J256" s="16">
        <v>0</v>
      </c>
      <c r="K256" s="16">
        <v>0</v>
      </c>
      <c r="L256" s="16">
        <v>0</v>
      </c>
      <c r="M256" s="16"/>
      <c r="N256" s="12">
        <f t="shared" si="6"/>
        <v>0</v>
      </c>
    </row>
    <row r="257" spans="2:14" x14ac:dyDescent="0.35">
      <c r="B257" s="4">
        <f t="shared" si="7"/>
        <v>247</v>
      </c>
      <c r="C257" s="3" t="s">
        <v>363</v>
      </c>
      <c r="D257" s="4" t="s">
        <v>869</v>
      </c>
      <c r="E257" s="9" t="s">
        <v>178</v>
      </c>
      <c r="F257" s="9" t="s">
        <v>22</v>
      </c>
      <c r="G257" s="16">
        <v>571</v>
      </c>
      <c r="H257" s="16">
        <v>165460500</v>
      </c>
      <c r="I257" s="16">
        <v>45</v>
      </c>
      <c r="J257" s="16">
        <v>3175000</v>
      </c>
      <c r="K257" s="16">
        <v>22</v>
      </c>
      <c r="L257" s="16">
        <v>3685000</v>
      </c>
      <c r="M257" s="16"/>
      <c r="N257" s="12">
        <f t="shared" si="6"/>
        <v>0</v>
      </c>
    </row>
    <row r="258" spans="2:14" x14ac:dyDescent="0.35">
      <c r="B258" s="4">
        <f t="shared" si="7"/>
        <v>248</v>
      </c>
      <c r="C258" s="3" t="s">
        <v>363</v>
      </c>
      <c r="D258" s="4" t="s">
        <v>869</v>
      </c>
      <c r="E258" s="9" t="s">
        <v>178</v>
      </c>
      <c r="F258" s="9" t="s">
        <v>190</v>
      </c>
      <c r="G258" s="16">
        <v>35</v>
      </c>
      <c r="H258" s="16">
        <v>5005000</v>
      </c>
      <c r="I258" s="16">
        <v>1</v>
      </c>
      <c r="J258" s="16">
        <v>180000</v>
      </c>
      <c r="K258" s="16">
        <v>0</v>
      </c>
      <c r="L258" s="16">
        <v>0</v>
      </c>
      <c r="M258" s="16"/>
      <c r="N258" s="12">
        <f t="shared" si="6"/>
        <v>0</v>
      </c>
    </row>
    <row r="259" spans="2:14" x14ac:dyDescent="0.35">
      <c r="B259" s="4">
        <f t="shared" si="7"/>
        <v>249</v>
      </c>
      <c r="C259" s="3" t="s">
        <v>364</v>
      </c>
      <c r="D259" s="4" t="s">
        <v>854</v>
      </c>
      <c r="E259" s="9" t="s">
        <v>178</v>
      </c>
      <c r="F259" s="9" t="s">
        <v>20</v>
      </c>
      <c r="G259" s="16">
        <v>89</v>
      </c>
      <c r="H259" s="16">
        <v>9710000</v>
      </c>
      <c r="I259" s="16">
        <v>2</v>
      </c>
      <c r="J259" s="16">
        <v>235000</v>
      </c>
      <c r="K259" s="16">
        <v>0</v>
      </c>
      <c r="L259" s="16">
        <v>0</v>
      </c>
      <c r="M259" s="16"/>
      <c r="N259" s="12">
        <f t="shared" si="6"/>
        <v>0</v>
      </c>
    </row>
    <row r="260" spans="2:14" x14ac:dyDescent="0.35">
      <c r="B260" s="4">
        <f t="shared" si="7"/>
        <v>250</v>
      </c>
      <c r="C260" s="3" t="s">
        <v>364</v>
      </c>
      <c r="D260" s="4" t="s">
        <v>854</v>
      </c>
      <c r="E260" s="9" t="s">
        <v>178</v>
      </c>
      <c r="F260" s="9" t="s">
        <v>21</v>
      </c>
      <c r="G260" s="16">
        <v>0</v>
      </c>
      <c r="H260" s="16">
        <v>0</v>
      </c>
      <c r="I260" s="16">
        <v>0</v>
      </c>
      <c r="J260" s="16">
        <v>0</v>
      </c>
      <c r="K260" s="16">
        <v>0</v>
      </c>
      <c r="L260" s="16">
        <v>0</v>
      </c>
      <c r="M260" s="16"/>
      <c r="N260" s="12">
        <f t="shared" si="6"/>
        <v>0</v>
      </c>
    </row>
    <row r="261" spans="2:14" x14ac:dyDescent="0.35">
      <c r="B261" s="4">
        <f t="shared" si="7"/>
        <v>251</v>
      </c>
      <c r="C261" s="3" t="s">
        <v>364</v>
      </c>
      <c r="D261" s="4" t="s">
        <v>854</v>
      </c>
      <c r="E261" s="9" t="s">
        <v>178</v>
      </c>
      <c r="F261" s="9" t="s">
        <v>22</v>
      </c>
      <c r="G261" s="16">
        <v>474</v>
      </c>
      <c r="H261" s="16">
        <v>231716500</v>
      </c>
      <c r="I261" s="16">
        <v>2</v>
      </c>
      <c r="J261" s="16">
        <v>200000</v>
      </c>
      <c r="K261" s="16">
        <v>26</v>
      </c>
      <c r="L261" s="16">
        <v>4270000</v>
      </c>
      <c r="M261" s="16"/>
      <c r="N261" s="12">
        <f t="shared" si="6"/>
        <v>0</v>
      </c>
    </row>
    <row r="262" spans="2:14" x14ac:dyDescent="0.35">
      <c r="B262" s="4">
        <f t="shared" si="7"/>
        <v>252</v>
      </c>
      <c r="C262" s="3" t="s">
        <v>364</v>
      </c>
      <c r="D262" s="4" t="s">
        <v>854</v>
      </c>
      <c r="E262" s="9" t="s">
        <v>178</v>
      </c>
      <c r="F262" s="9" t="s">
        <v>190</v>
      </c>
      <c r="G262" s="16">
        <v>31</v>
      </c>
      <c r="H262" s="16">
        <v>4330000</v>
      </c>
      <c r="I262" s="16">
        <v>0</v>
      </c>
      <c r="J262" s="16">
        <v>0</v>
      </c>
      <c r="K262" s="16">
        <v>2</v>
      </c>
      <c r="L262" s="16">
        <v>340000</v>
      </c>
      <c r="M262" s="16"/>
      <c r="N262" s="12">
        <f t="shared" si="6"/>
        <v>0</v>
      </c>
    </row>
    <row r="263" spans="2:14" x14ac:dyDescent="0.35">
      <c r="B263" s="4">
        <f t="shared" si="7"/>
        <v>253</v>
      </c>
      <c r="C263" s="3" t="s">
        <v>210</v>
      </c>
      <c r="D263" s="4" t="s">
        <v>722</v>
      </c>
      <c r="E263" s="9" t="s">
        <v>178</v>
      </c>
      <c r="F263" s="9" t="s">
        <v>20</v>
      </c>
      <c r="G263" s="16">
        <v>45</v>
      </c>
      <c r="H263" s="16">
        <v>5430000</v>
      </c>
      <c r="I263" s="16">
        <v>0</v>
      </c>
      <c r="J263" s="16">
        <v>0</v>
      </c>
      <c r="K263" s="16">
        <v>0</v>
      </c>
      <c r="L263" s="16">
        <v>0</v>
      </c>
      <c r="M263" s="16"/>
      <c r="N263" s="12">
        <f t="shared" si="6"/>
        <v>0</v>
      </c>
    </row>
    <row r="264" spans="2:14" x14ac:dyDescent="0.35">
      <c r="B264" s="4">
        <f t="shared" si="7"/>
        <v>254</v>
      </c>
      <c r="C264" s="3" t="s">
        <v>210</v>
      </c>
      <c r="D264" s="4" t="s">
        <v>722</v>
      </c>
      <c r="E264" s="9" t="s">
        <v>178</v>
      </c>
      <c r="F264" s="9" t="s">
        <v>21</v>
      </c>
      <c r="G264" s="16">
        <v>0</v>
      </c>
      <c r="H264" s="16">
        <v>0</v>
      </c>
      <c r="I264" s="16">
        <v>0</v>
      </c>
      <c r="J264" s="16">
        <v>0</v>
      </c>
      <c r="K264" s="16">
        <v>0</v>
      </c>
      <c r="L264" s="16">
        <v>0</v>
      </c>
      <c r="M264" s="16"/>
      <c r="N264" s="12">
        <f t="shared" si="6"/>
        <v>0</v>
      </c>
    </row>
    <row r="265" spans="2:14" x14ac:dyDescent="0.35">
      <c r="B265" s="4">
        <f t="shared" si="7"/>
        <v>255</v>
      </c>
      <c r="C265" s="3" t="s">
        <v>210</v>
      </c>
      <c r="D265" s="4" t="s">
        <v>722</v>
      </c>
      <c r="E265" s="9" t="s">
        <v>178</v>
      </c>
      <c r="F265" s="9" t="s">
        <v>22</v>
      </c>
      <c r="G265" s="16">
        <v>543</v>
      </c>
      <c r="H265" s="16">
        <v>189080000</v>
      </c>
      <c r="I265" s="16">
        <v>4</v>
      </c>
      <c r="J265" s="16">
        <v>270000</v>
      </c>
      <c r="K265" s="16">
        <v>62</v>
      </c>
      <c r="L265" s="16">
        <v>10435000</v>
      </c>
      <c r="M265" s="16"/>
      <c r="N265" s="12">
        <f t="shared" si="6"/>
        <v>0</v>
      </c>
    </row>
    <row r="266" spans="2:14" x14ac:dyDescent="0.35">
      <c r="B266" s="4">
        <f t="shared" si="7"/>
        <v>256</v>
      </c>
      <c r="C266" s="3" t="s">
        <v>210</v>
      </c>
      <c r="D266" s="4" t="s">
        <v>722</v>
      </c>
      <c r="E266" s="9" t="s">
        <v>178</v>
      </c>
      <c r="F266" s="9" t="s">
        <v>190</v>
      </c>
      <c r="G266" s="16">
        <v>6</v>
      </c>
      <c r="H266" s="16">
        <v>785000</v>
      </c>
      <c r="I266" s="16">
        <v>0</v>
      </c>
      <c r="J266" s="16">
        <v>0</v>
      </c>
      <c r="K266" s="16">
        <v>0</v>
      </c>
      <c r="L266" s="16">
        <v>0</v>
      </c>
      <c r="M266" s="16"/>
      <c r="N266" s="12">
        <f t="shared" si="6"/>
        <v>0</v>
      </c>
    </row>
    <row r="267" spans="2:14" x14ac:dyDescent="0.35">
      <c r="B267" s="4">
        <f t="shared" si="7"/>
        <v>257</v>
      </c>
      <c r="C267" s="3" t="s">
        <v>251</v>
      </c>
      <c r="D267" s="4" t="s">
        <v>743</v>
      </c>
      <c r="E267" s="9" t="s">
        <v>178</v>
      </c>
      <c r="F267" s="9" t="s">
        <v>20</v>
      </c>
      <c r="G267" s="16">
        <v>81</v>
      </c>
      <c r="H267" s="16">
        <v>9954000</v>
      </c>
      <c r="I267" s="16">
        <v>0</v>
      </c>
      <c r="J267" s="16">
        <v>0</v>
      </c>
      <c r="K267" s="16">
        <v>0</v>
      </c>
      <c r="L267" s="16">
        <v>0</v>
      </c>
      <c r="M267" s="16"/>
      <c r="N267" s="12">
        <f t="shared" ref="N267:N330" si="8">IFERROR((G267/M267)*100%, 0)</f>
        <v>0</v>
      </c>
    </row>
    <row r="268" spans="2:14" x14ac:dyDescent="0.35">
      <c r="B268" s="4">
        <f t="shared" si="7"/>
        <v>258</v>
      </c>
      <c r="C268" s="3" t="s">
        <v>251</v>
      </c>
      <c r="D268" s="4" t="s">
        <v>743</v>
      </c>
      <c r="E268" s="9" t="s">
        <v>178</v>
      </c>
      <c r="F268" s="9" t="s">
        <v>21</v>
      </c>
      <c r="G268" s="16">
        <v>0</v>
      </c>
      <c r="H268" s="16">
        <v>0</v>
      </c>
      <c r="I268" s="16">
        <v>0</v>
      </c>
      <c r="J268" s="16">
        <v>0</v>
      </c>
      <c r="K268" s="16">
        <v>0</v>
      </c>
      <c r="L268" s="16">
        <v>0</v>
      </c>
      <c r="M268" s="16"/>
      <c r="N268" s="12">
        <f t="shared" si="8"/>
        <v>0</v>
      </c>
    </row>
    <row r="269" spans="2:14" x14ac:dyDescent="0.35">
      <c r="B269" s="4">
        <f t="shared" ref="B269:B332" si="9">B268+1</f>
        <v>259</v>
      </c>
      <c r="C269" s="3" t="s">
        <v>251</v>
      </c>
      <c r="D269" s="4" t="s">
        <v>743</v>
      </c>
      <c r="E269" s="9" t="s">
        <v>178</v>
      </c>
      <c r="F269" s="9" t="s">
        <v>22</v>
      </c>
      <c r="G269" s="16">
        <v>349</v>
      </c>
      <c r="H269" s="16">
        <v>221121000</v>
      </c>
      <c r="I269" s="16">
        <v>3</v>
      </c>
      <c r="J269" s="16">
        <v>195000</v>
      </c>
      <c r="K269" s="16">
        <v>2</v>
      </c>
      <c r="L269" s="16">
        <v>385000</v>
      </c>
      <c r="M269" s="16"/>
      <c r="N269" s="12">
        <f t="shared" si="8"/>
        <v>0</v>
      </c>
    </row>
    <row r="270" spans="2:14" x14ac:dyDescent="0.35">
      <c r="B270" s="4">
        <f t="shared" si="9"/>
        <v>260</v>
      </c>
      <c r="C270" s="3" t="s">
        <v>251</v>
      </c>
      <c r="D270" s="4" t="s">
        <v>743</v>
      </c>
      <c r="E270" s="9" t="s">
        <v>178</v>
      </c>
      <c r="F270" s="9" t="s">
        <v>190</v>
      </c>
      <c r="G270" s="16">
        <v>24</v>
      </c>
      <c r="H270" s="16">
        <v>3690000</v>
      </c>
      <c r="I270" s="16">
        <v>0</v>
      </c>
      <c r="J270" s="16">
        <v>0</v>
      </c>
      <c r="K270" s="16">
        <v>1</v>
      </c>
      <c r="L270" s="16">
        <v>180000</v>
      </c>
      <c r="M270" s="16"/>
      <c r="N270" s="12">
        <f t="shared" si="8"/>
        <v>0</v>
      </c>
    </row>
    <row r="271" spans="2:14" x14ac:dyDescent="0.35">
      <c r="B271" s="4">
        <f t="shared" si="9"/>
        <v>261</v>
      </c>
      <c r="C271" s="3" t="s">
        <v>313</v>
      </c>
      <c r="D271" s="4" t="s">
        <v>850</v>
      </c>
      <c r="E271" s="9" t="s">
        <v>178</v>
      </c>
      <c r="F271" s="9" t="s">
        <v>20</v>
      </c>
      <c r="G271" s="16">
        <v>52</v>
      </c>
      <c r="H271" s="16">
        <v>8165000</v>
      </c>
      <c r="I271" s="16">
        <v>0</v>
      </c>
      <c r="J271" s="16">
        <v>0</v>
      </c>
      <c r="K271" s="16">
        <v>0</v>
      </c>
      <c r="L271" s="16">
        <v>0</v>
      </c>
      <c r="M271" s="16"/>
      <c r="N271" s="12">
        <f t="shared" si="8"/>
        <v>0</v>
      </c>
    </row>
    <row r="272" spans="2:14" x14ac:dyDescent="0.35">
      <c r="B272" s="4">
        <f t="shared" si="9"/>
        <v>262</v>
      </c>
      <c r="C272" s="3" t="s">
        <v>313</v>
      </c>
      <c r="D272" s="4" t="s">
        <v>850</v>
      </c>
      <c r="E272" s="9" t="s">
        <v>178</v>
      </c>
      <c r="F272" s="9" t="s">
        <v>21</v>
      </c>
      <c r="G272" s="16">
        <v>0</v>
      </c>
      <c r="H272" s="16">
        <v>0</v>
      </c>
      <c r="I272" s="16">
        <v>0</v>
      </c>
      <c r="J272" s="16">
        <v>0</v>
      </c>
      <c r="K272" s="16">
        <v>0</v>
      </c>
      <c r="L272" s="16">
        <v>0</v>
      </c>
      <c r="M272" s="16"/>
      <c r="N272" s="12">
        <f t="shared" si="8"/>
        <v>0</v>
      </c>
    </row>
    <row r="273" spans="2:14" x14ac:dyDescent="0.35">
      <c r="B273" s="4">
        <f t="shared" si="9"/>
        <v>263</v>
      </c>
      <c r="C273" s="3" t="s">
        <v>313</v>
      </c>
      <c r="D273" s="4" t="s">
        <v>850</v>
      </c>
      <c r="E273" s="9" t="s">
        <v>178</v>
      </c>
      <c r="F273" s="9" t="s">
        <v>22</v>
      </c>
      <c r="G273" s="16">
        <v>290</v>
      </c>
      <c r="H273" s="16">
        <v>21580000</v>
      </c>
      <c r="I273" s="16">
        <v>7</v>
      </c>
      <c r="J273" s="16">
        <v>1009000</v>
      </c>
      <c r="K273" s="16">
        <v>12</v>
      </c>
      <c r="L273" s="16">
        <v>2010000</v>
      </c>
      <c r="M273" s="16"/>
      <c r="N273" s="12">
        <f t="shared" si="8"/>
        <v>0</v>
      </c>
    </row>
    <row r="274" spans="2:14" x14ac:dyDescent="0.35">
      <c r="B274" s="4">
        <f t="shared" si="9"/>
        <v>264</v>
      </c>
      <c r="C274" s="3" t="s">
        <v>313</v>
      </c>
      <c r="D274" s="4" t="s">
        <v>850</v>
      </c>
      <c r="E274" s="9" t="s">
        <v>178</v>
      </c>
      <c r="F274" s="9" t="s">
        <v>190</v>
      </c>
      <c r="G274" s="16">
        <v>32</v>
      </c>
      <c r="H274" s="16">
        <v>4920000</v>
      </c>
      <c r="I274" s="16">
        <v>0</v>
      </c>
      <c r="J274" s="16">
        <v>0</v>
      </c>
      <c r="K274" s="16">
        <v>0</v>
      </c>
      <c r="L274" s="16">
        <v>0</v>
      </c>
      <c r="M274" s="16"/>
      <c r="N274" s="12">
        <f t="shared" si="8"/>
        <v>0</v>
      </c>
    </row>
    <row r="275" spans="2:14" x14ac:dyDescent="0.35">
      <c r="B275" s="4">
        <f t="shared" si="9"/>
        <v>265</v>
      </c>
      <c r="C275" s="3" t="s">
        <v>332</v>
      </c>
      <c r="D275" s="4" t="s">
        <v>885</v>
      </c>
      <c r="E275" s="9" t="s">
        <v>172</v>
      </c>
      <c r="F275" s="9" t="s">
        <v>21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>
        <v>0</v>
      </c>
      <c r="M275" s="16"/>
      <c r="N275" s="12">
        <f t="shared" si="8"/>
        <v>0</v>
      </c>
    </row>
    <row r="276" spans="2:14" x14ac:dyDescent="0.35">
      <c r="B276" s="4">
        <f t="shared" si="9"/>
        <v>266</v>
      </c>
      <c r="C276" s="3" t="s">
        <v>332</v>
      </c>
      <c r="D276" s="4" t="s">
        <v>885</v>
      </c>
      <c r="E276" s="9" t="s">
        <v>172</v>
      </c>
      <c r="F276" s="9" t="s">
        <v>22</v>
      </c>
      <c r="G276" s="16">
        <v>7</v>
      </c>
      <c r="H276" s="16">
        <v>2100000</v>
      </c>
      <c r="I276" s="16">
        <v>0</v>
      </c>
      <c r="J276" s="16">
        <v>0</v>
      </c>
      <c r="K276" s="16">
        <v>8</v>
      </c>
      <c r="L276" s="16">
        <v>2250000</v>
      </c>
      <c r="M276" s="16"/>
      <c r="N276" s="12">
        <f t="shared" si="8"/>
        <v>0</v>
      </c>
    </row>
    <row r="277" spans="2:14" x14ac:dyDescent="0.35">
      <c r="B277" s="4">
        <f t="shared" si="9"/>
        <v>267</v>
      </c>
      <c r="C277" s="3" t="s">
        <v>332</v>
      </c>
      <c r="D277" s="4" t="s">
        <v>885</v>
      </c>
      <c r="E277" s="9" t="s">
        <v>172</v>
      </c>
      <c r="F277" s="9" t="s">
        <v>190</v>
      </c>
      <c r="G277" s="16">
        <v>3</v>
      </c>
      <c r="H277" s="16">
        <v>375000</v>
      </c>
      <c r="I277" s="16">
        <v>0</v>
      </c>
      <c r="J277" s="16">
        <v>0</v>
      </c>
      <c r="K277" s="16">
        <v>0</v>
      </c>
      <c r="L277" s="16">
        <v>0</v>
      </c>
      <c r="M277" s="16"/>
      <c r="N277" s="12">
        <f t="shared" si="8"/>
        <v>0</v>
      </c>
    </row>
    <row r="278" spans="2:14" x14ac:dyDescent="0.35">
      <c r="B278" s="4">
        <f t="shared" si="9"/>
        <v>268</v>
      </c>
      <c r="C278" s="3" t="s">
        <v>333</v>
      </c>
      <c r="D278" s="4" t="s">
        <v>783</v>
      </c>
      <c r="E278" s="9" t="s">
        <v>172</v>
      </c>
      <c r="F278" s="9" t="s">
        <v>22</v>
      </c>
      <c r="G278" s="16">
        <v>11</v>
      </c>
      <c r="H278" s="16">
        <v>2830000</v>
      </c>
      <c r="I278" s="16">
        <v>0</v>
      </c>
      <c r="J278" s="16">
        <v>0</v>
      </c>
      <c r="K278" s="16">
        <v>4</v>
      </c>
      <c r="L278" s="16">
        <v>1030000</v>
      </c>
      <c r="M278" s="16"/>
      <c r="N278" s="12">
        <f t="shared" si="8"/>
        <v>0</v>
      </c>
    </row>
    <row r="279" spans="2:14" x14ac:dyDescent="0.35">
      <c r="B279" s="4">
        <f t="shared" si="9"/>
        <v>269</v>
      </c>
      <c r="C279" s="3" t="s">
        <v>333</v>
      </c>
      <c r="D279" s="4" t="s">
        <v>783</v>
      </c>
      <c r="E279" s="9" t="s">
        <v>172</v>
      </c>
      <c r="F279" s="9" t="s">
        <v>190</v>
      </c>
      <c r="G279" s="16">
        <v>14</v>
      </c>
      <c r="H279" s="16">
        <v>2170000</v>
      </c>
      <c r="I279" s="16">
        <v>0</v>
      </c>
      <c r="J279" s="16">
        <v>0</v>
      </c>
      <c r="K279" s="16">
        <v>0</v>
      </c>
      <c r="L279" s="16">
        <v>0</v>
      </c>
      <c r="M279" s="16"/>
      <c r="N279" s="12">
        <f t="shared" si="8"/>
        <v>0</v>
      </c>
    </row>
    <row r="280" spans="2:14" x14ac:dyDescent="0.35">
      <c r="B280" s="4">
        <f t="shared" si="9"/>
        <v>270</v>
      </c>
      <c r="C280" s="3" t="s">
        <v>412</v>
      </c>
      <c r="D280" s="4" t="s">
        <v>917</v>
      </c>
      <c r="E280" s="9" t="s">
        <v>172</v>
      </c>
      <c r="F280" s="9" t="s">
        <v>21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0</v>
      </c>
      <c r="M280" s="16"/>
      <c r="N280" s="12">
        <f t="shared" si="8"/>
        <v>0</v>
      </c>
    </row>
    <row r="281" spans="2:14" x14ac:dyDescent="0.35">
      <c r="B281" s="4">
        <f t="shared" si="9"/>
        <v>271</v>
      </c>
      <c r="C281" s="3" t="s">
        <v>412</v>
      </c>
      <c r="D281" s="4" t="s">
        <v>917</v>
      </c>
      <c r="E281" s="9" t="s">
        <v>172</v>
      </c>
      <c r="F281" s="9" t="s">
        <v>22</v>
      </c>
      <c r="G281" s="16">
        <v>0</v>
      </c>
      <c r="H281" s="16">
        <v>0</v>
      </c>
      <c r="I281" s="16">
        <v>0</v>
      </c>
      <c r="J281" s="16">
        <v>0</v>
      </c>
      <c r="K281" s="16">
        <v>0</v>
      </c>
      <c r="L281" s="16">
        <v>0</v>
      </c>
      <c r="M281" s="16"/>
      <c r="N281" s="12">
        <f t="shared" si="8"/>
        <v>0</v>
      </c>
    </row>
    <row r="282" spans="2:14" x14ac:dyDescent="0.35">
      <c r="B282" s="4">
        <f t="shared" si="9"/>
        <v>272</v>
      </c>
      <c r="C282" s="3" t="s">
        <v>412</v>
      </c>
      <c r="D282" s="4" t="s">
        <v>917</v>
      </c>
      <c r="E282" s="9" t="s">
        <v>172</v>
      </c>
      <c r="F282" s="9" t="s">
        <v>190</v>
      </c>
      <c r="G282" s="16">
        <v>64</v>
      </c>
      <c r="H282" s="16">
        <v>8000000</v>
      </c>
      <c r="I282" s="16">
        <v>0</v>
      </c>
      <c r="J282" s="16">
        <v>0</v>
      </c>
      <c r="K282" s="16">
        <v>16</v>
      </c>
      <c r="L282" s="16">
        <v>2385000</v>
      </c>
      <c r="M282" s="16"/>
      <c r="N282" s="12">
        <f t="shared" si="8"/>
        <v>0</v>
      </c>
    </row>
    <row r="283" spans="2:14" x14ac:dyDescent="0.35">
      <c r="B283" s="4">
        <f t="shared" si="9"/>
        <v>273</v>
      </c>
      <c r="C283" s="3" t="s">
        <v>927</v>
      </c>
      <c r="D283" s="4" t="s">
        <v>814</v>
      </c>
      <c r="E283" s="9" t="s">
        <v>172</v>
      </c>
      <c r="F283" s="9" t="s">
        <v>22</v>
      </c>
      <c r="G283" s="16">
        <v>0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16"/>
      <c r="N283" s="12">
        <f t="shared" si="8"/>
        <v>0</v>
      </c>
    </row>
    <row r="284" spans="2:14" x14ac:dyDescent="0.35">
      <c r="B284" s="4">
        <f t="shared" si="9"/>
        <v>274</v>
      </c>
      <c r="C284" s="3" t="s">
        <v>927</v>
      </c>
      <c r="D284" s="4" t="s">
        <v>814</v>
      </c>
      <c r="E284" s="9" t="s">
        <v>172</v>
      </c>
      <c r="F284" s="9" t="s">
        <v>190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/>
      <c r="N284" s="12">
        <f t="shared" si="8"/>
        <v>0</v>
      </c>
    </row>
    <row r="285" spans="2:14" x14ac:dyDescent="0.35">
      <c r="B285" s="4">
        <f t="shared" si="9"/>
        <v>275</v>
      </c>
      <c r="C285" s="3" t="s">
        <v>334</v>
      </c>
      <c r="D285" s="4" t="s">
        <v>858</v>
      </c>
      <c r="E285" s="9" t="s">
        <v>172</v>
      </c>
      <c r="F285" s="9" t="s">
        <v>21</v>
      </c>
      <c r="G285" s="16">
        <v>0</v>
      </c>
      <c r="H285" s="16">
        <v>0</v>
      </c>
      <c r="I285" s="16">
        <v>0</v>
      </c>
      <c r="J285" s="16">
        <v>0</v>
      </c>
      <c r="K285" s="16">
        <v>0</v>
      </c>
      <c r="L285" s="16">
        <v>0</v>
      </c>
      <c r="M285" s="16"/>
      <c r="N285" s="12">
        <f t="shared" si="8"/>
        <v>0</v>
      </c>
    </row>
    <row r="286" spans="2:14" x14ac:dyDescent="0.35">
      <c r="B286" s="4">
        <f t="shared" si="9"/>
        <v>276</v>
      </c>
      <c r="C286" s="3" t="s">
        <v>334</v>
      </c>
      <c r="D286" s="4" t="s">
        <v>858</v>
      </c>
      <c r="E286" s="9" t="s">
        <v>172</v>
      </c>
      <c r="F286" s="9" t="s">
        <v>22</v>
      </c>
      <c r="G286" s="16">
        <v>0</v>
      </c>
      <c r="H286" s="16">
        <v>0</v>
      </c>
      <c r="I286" s="16">
        <v>0</v>
      </c>
      <c r="J286" s="16">
        <v>0</v>
      </c>
      <c r="K286" s="16">
        <v>5</v>
      </c>
      <c r="L286" s="16">
        <v>1450000</v>
      </c>
      <c r="M286" s="16"/>
      <c r="N286" s="12">
        <f t="shared" si="8"/>
        <v>0</v>
      </c>
    </row>
    <row r="287" spans="2:14" x14ac:dyDescent="0.35">
      <c r="B287" s="4">
        <f t="shared" si="9"/>
        <v>277</v>
      </c>
      <c r="C287" s="3" t="s">
        <v>334</v>
      </c>
      <c r="D287" s="4" t="s">
        <v>858</v>
      </c>
      <c r="E287" s="9" t="s">
        <v>172</v>
      </c>
      <c r="F287" s="9" t="s">
        <v>190</v>
      </c>
      <c r="G287" s="16">
        <v>76</v>
      </c>
      <c r="H287" s="16">
        <v>9775000</v>
      </c>
      <c r="I287" s="16">
        <v>0</v>
      </c>
      <c r="J287" s="16">
        <v>0</v>
      </c>
      <c r="K287" s="16">
        <v>4</v>
      </c>
      <c r="L287" s="16">
        <v>720000</v>
      </c>
      <c r="M287" s="16"/>
      <c r="N287" s="12">
        <f t="shared" si="8"/>
        <v>0</v>
      </c>
    </row>
    <row r="288" spans="2:14" x14ac:dyDescent="0.35">
      <c r="B288" s="4">
        <f t="shared" si="9"/>
        <v>278</v>
      </c>
      <c r="C288" s="3" t="s">
        <v>357</v>
      </c>
      <c r="D288" s="4" t="s">
        <v>876</v>
      </c>
      <c r="E288" s="9" t="s">
        <v>172</v>
      </c>
      <c r="F288" s="9" t="s">
        <v>20</v>
      </c>
      <c r="G288" s="16">
        <v>32</v>
      </c>
      <c r="H288" s="16">
        <v>5215000</v>
      </c>
      <c r="I288" s="16">
        <v>2</v>
      </c>
      <c r="J288" s="16">
        <v>320000</v>
      </c>
      <c r="K288" s="16">
        <v>0</v>
      </c>
      <c r="L288" s="16">
        <v>0</v>
      </c>
      <c r="M288" s="16"/>
      <c r="N288" s="12">
        <f t="shared" si="8"/>
        <v>0</v>
      </c>
    </row>
    <row r="289" spans="2:14" x14ac:dyDescent="0.35">
      <c r="B289" s="4">
        <f t="shared" si="9"/>
        <v>279</v>
      </c>
      <c r="C289" s="3" t="s">
        <v>357</v>
      </c>
      <c r="D289" s="4" t="s">
        <v>876</v>
      </c>
      <c r="E289" s="9" t="s">
        <v>172</v>
      </c>
      <c r="F289" s="9" t="s">
        <v>21</v>
      </c>
      <c r="G289" s="16">
        <v>0</v>
      </c>
      <c r="H289" s="16">
        <v>0</v>
      </c>
      <c r="I289" s="16">
        <v>0</v>
      </c>
      <c r="J289" s="16">
        <v>0</v>
      </c>
      <c r="K289" s="16">
        <v>0</v>
      </c>
      <c r="L289" s="16">
        <v>0</v>
      </c>
      <c r="M289" s="16"/>
      <c r="N289" s="12">
        <f t="shared" si="8"/>
        <v>0</v>
      </c>
    </row>
    <row r="290" spans="2:14" x14ac:dyDescent="0.35">
      <c r="B290" s="4">
        <f t="shared" si="9"/>
        <v>280</v>
      </c>
      <c r="C290" s="3" t="s">
        <v>357</v>
      </c>
      <c r="D290" s="4" t="s">
        <v>876</v>
      </c>
      <c r="E290" s="9" t="s">
        <v>172</v>
      </c>
      <c r="F290" s="9" t="s">
        <v>22</v>
      </c>
      <c r="G290" s="16">
        <v>10</v>
      </c>
      <c r="H290" s="16">
        <v>2640000</v>
      </c>
      <c r="I290" s="16">
        <v>0</v>
      </c>
      <c r="J290" s="16">
        <v>0</v>
      </c>
      <c r="K290" s="16">
        <v>3</v>
      </c>
      <c r="L290" s="16">
        <v>750000</v>
      </c>
      <c r="M290" s="16"/>
      <c r="N290" s="12">
        <f t="shared" si="8"/>
        <v>0</v>
      </c>
    </row>
    <row r="291" spans="2:14" x14ac:dyDescent="0.35">
      <c r="B291" s="4">
        <f t="shared" si="9"/>
        <v>281</v>
      </c>
      <c r="C291" s="3" t="s">
        <v>357</v>
      </c>
      <c r="D291" s="4" t="s">
        <v>876</v>
      </c>
      <c r="E291" s="9" t="s">
        <v>172</v>
      </c>
      <c r="F291" s="9" t="s">
        <v>190</v>
      </c>
      <c r="G291" s="16">
        <v>1</v>
      </c>
      <c r="H291" s="16">
        <v>125000</v>
      </c>
      <c r="I291" s="16">
        <v>0</v>
      </c>
      <c r="J291" s="16">
        <v>0</v>
      </c>
      <c r="K291" s="16">
        <v>0</v>
      </c>
      <c r="L291" s="16">
        <v>0</v>
      </c>
      <c r="M291" s="16"/>
      <c r="N291" s="12">
        <f t="shared" si="8"/>
        <v>0</v>
      </c>
    </row>
    <row r="292" spans="2:14" x14ac:dyDescent="0.35">
      <c r="B292" s="4">
        <f t="shared" si="9"/>
        <v>282</v>
      </c>
      <c r="C292" s="3" t="s">
        <v>335</v>
      </c>
      <c r="D292" s="4" t="s">
        <v>788</v>
      </c>
      <c r="E292" s="9" t="s">
        <v>172</v>
      </c>
      <c r="F292" s="9" t="s">
        <v>20</v>
      </c>
      <c r="G292" s="16">
        <v>5</v>
      </c>
      <c r="H292" s="16">
        <v>735000</v>
      </c>
      <c r="I292" s="16">
        <v>1</v>
      </c>
      <c r="J292" s="16">
        <v>140000</v>
      </c>
      <c r="K292" s="16">
        <v>0</v>
      </c>
      <c r="L292" s="16">
        <v>0</v>
      </c>
      <c r="M292" s="16"/>
      <c r="N292" s="12">
        <f t="shared" si="8"/>
        <v>0</v>
      </c>
    </row>
    <row r="293" spans="2:14" x14ac:dyDescent="0.35">
      <c r="B293" s="4">
        <f t="shared" si="9"/>
        <v>283</v>
      </c>
      <c r="C293" s="3" t="s">
        <v>335</v>
      </c>
      <c r="D293" s="4" t="s">
        <v>788</v>
      </c>
      <c r="E293" s="9" t="s">
        <v>172</v>
      </c>
      <c r="F293" s="9" t="s">
        <v>21</v>
      </c>
      <c r="G293" s="16">
        <v>0</v>
      </c>
      <c r="H293" s="16">
        <v>0</v>
      </c>
      <c r="I293" s="16">
        <v>0</v>
      </c>
      <c r="J293" s="16">
        <v>0</v>
      </c>
      <c r="K293" s="16">
        <v>0</v>
      </c>
      <c r="L293" s="16">
        <v>0</v>
      </c>
      <c r="M293" s="16"/>
      <c r="N293" s="12">
        <f t="shared" si="8"/>
        <v>0</v>
      </c>
    </row>
    <row r="294" spans="2:14" x14ac:dyDescent="0.35">
      <c r="B294" s="4">
        <f t="shared" si="9"/>
        <v>284</v>
      </c>
      <c r="C294" s="3" t="s">
        <v>335</v>
      </c>
      <c r="D294" s="4" t="s">
        <v>788</v>
      </c>
      <c r="E294" s="9" t="s">
        <v>172</v>
      </c>
      <c r="F294" s="9" t="s">
        <v>22</v>
      </c>
      <c r="G294" s="16">
        <v>32</v>
      </c>
      <c r="H294" s="16">
        <v>4179000</v>
      </c>
      <c r="I294" s="16">
        <v>0</v>
      </c>
      <c r="J294" s="16">
        <v>0</v>
      </c>
      <c r="K294" s="16">
        <v>4</v>
      </c>
      <c r="L294" s="16">
        <v>1200000</v>
      </c>
      <c r="M294" s="16"/>
      <c r="N294" s="12">
        <f t="shared" si="8"/>
        <v>0</v>
      </c>
    </row>
    <row r="295" spans="2:14" x14ac:dyDescent="0.35">
      <c r="B295" s="4">
        <f t="shared" si="9"/>
        <v>285</v>
      </c>
      <c r="C295" s="3" t="s">
        <v>335</v>
      </c>
      <c r="D295" s="4" t="s">
        <v>788</v>
      </c>
      <c r="E295" s="9" t="s">
        <v>172</v>
      </c>
      <c r="F295" s="9" t="s">
        <v>190</v>
      </c>
      <c r="G295" s="16">
        <v>20</v>
      </c>
      <c r="H295" s="16">
        <v>2500000</v>
      </c>
      <c r="I295" s="16">
        <v>0</v>
      </c>
      <c r="J295" s="16">
        <v>0</v>
      </c>
      <c r="K295" s="16">
        <v>0</v>
      </c>
      <c r="L295" s="16">
        <v>0</v>
      </c>
      <c r="M295" s="16"/>
      <c r="N295" s="12">
        <f t="shared" si="8"/>
        <v>0</v>
      </c>
    </row>
    <row r="296" spans="2:14" x14ac:dyDescent="0.35">
      <c r="B296" s="4">
        <f t="shared" si="9"/>
        <v>286</v>
      </c>
      <c r="C296" s="3" t="s">
        <v>283</v>
      </c>
      <c r="D296" s="4" t="s">
        <v>723</v>
      </c>
      <c r="E296" s="9" t="s">
        <v>172</v>
      </c>
      <c r="F296" s="9" t="s">
        <v>20</v>
      </c>
      <c r="G296" s="16">
        <v>6</v>
      </c>
      <c r="H296" s="16">
        <v>960000</v>
      </c>
      <c r="I296" s="16">
        <v>0</v>
      </c>
      <c r="J296" s="16">
        <v>0</v>
      </c>
      <c r="K296" s="16">
        <v>0</v>
      </c>
      <c r="L296" s="16">
        <v>0</v>
      </c>
      <c r="M296" s="16"/>
      <c r="N296" s="12">
        <f t="shared" si="8"/>
        <v>0</v>
      </c>
    </row>
    <row r="297" spans="2:14" x14ac:dyDescent="0.35">
      <c r="B297" s="4">
        <f t="shared" si="9"/>
        <v>287</v>
      </c>
      <c r="C297" s="3" t="s">
        <v>283</v>
      </c>
      <c r="D297" s="4" t="s">
        <v>723</v>
      </c>
      <c r="E297" s="9" t="s">
        <v>172</v>
      </c>
      <c r="F297" s="9" t="s">
        <v>21</v>
      </c>
      <c r="G297" s="16">
        <v>0</v>
      </c>
      <c r="H297" s="16">
        <v>0</v>
      </c>
      <c r="I297" s="16">
        <v>0</v>
      </c>
      <c r="J297" s="16">
        <v>0</v>
      </c>
      <c r="K297" s="16">
        <v>0</v>
      </c>
      <c r="L297" s="16">
        <v>0</v>
      </c>
      <c r="M297" s="16"/>
      <c r="N297" s="12">
        <f t="shared" si="8"/>
        <v>0</v>
      </c>
    </row>
    <row r="298" spans="2:14" x14ac:dyDescent="0.35">
      <c r="B298" s="4">
        <f t="shared" si="9"/>
        <v>288</v>
      </c>
      <c r="C298" s="3" t="s">
        <v>283</v>
      </c>
      <c r="D298" s="4" t="s">
        <v>723</v>
      </c>
      <c r="E298" s="9" t="s">
        <v>172</v>
      </c>
      <c r="F298" s="9" t="s">
        <v>22</v>
      </c>
      <c r="G298" s="16">
        <v>0</v>
      </c>
      <c r="H298" s="16">
        <v>0</v>
      </c>
      <c r="I298" s="16">
        <v>0</v>
      </c>
      <c r="J298" s="16">
        <v>0</v>
      </c>
      <c r="K298" s="16">
        <v>0</v>
      </c>
      <c r="L298" s="16">
        <v>0</v>
      </c>
      <c r="M298" s="16"/>
      <c r="N298" s="12">
        <f t="shared" si="8"/>
        <v>0</v>
      </c>
    </row>
    <row r="299" spans="2:14" x14ac:dyDescent="0.35">
      <c r="B299" s="4">
        <f t="shared" si="9"/>
        <v>289</v>
      </c>
      <c r="C299" s="3" t="s">
        <v>283</v>
      </c>
      <c r="D299" s="4" t="s">
        <v>723</v>
      </c>
      <c r="E299" s="9" t="s">
        <v>172</v>
      </c>
      <c r="F299" s="9" t="s">
        <v>190</v>
      </c>
      <c r="G299" s="16">
        <v>1</v>
      </c>
      <c r="H299" s="16">
        <v>160000</v>
      </c>
      <c r="I299" s="16">
        <v>0</v>
      </c>
      <c r="J299" s="16">
        <v>0</v>
      </c>
      <c r="K299" s="16">
        <v>0</v>
      </c>
      <c r="L299" s="16">
        <v>0</v>
      </c>
      <c r="M299" s="16"/>
      <c r="N299" s="12">
        <f t="shared" si="8"/>
        <v>0</v>
      </c>
    </row>
    <row r="300" spans="2:14" x14ac:dyDescent="0.35">
      <c r="B300" s="4">
        <f t="shared" si="9"/>
        <v>290</v>
      </c>
      <c r="C300" s="3" t="s">
        <v>352</v>
      </c>
      <c r="D300" s="4" t="s">
        <v>827</v>
      </c>
      <c r="E300" s="9" t="s">
        <v>148</v>
      </c>
      <c r="F300" s="9" t="s">
        <v>20</v>
      </c>
      <c r="G300" s="16">
        <v>11</v>
      </c>
      <c r="H300" s="16">
        <v>1831000</v>
      </c>
      <c r="I300" s="16">
        <v>3</v>
      </c>
      <c r="J300" s="16">
        <v>965000</v>
      </c>
      <c r="K300" s="16">
        <v>0</v>
      </c>
      <c r="L300" s="16">
        <v>0</v>
      </c>
      <c r="M300" s="16"/>
      <c r="N300" s="12">
        <f t="shared" si="8"/>
        <v>0</v>
      </c>
    </row>
    <row r="301" spans="2:14" x14ac:dyDescent="0.35">
      <c r="B301" s="4">
        <f t="shared" si="9"/>
        <v>291</v>
      </c>
      <c r="C301" s="3" t="s">
        <v>352</v>
      </c>
      <c r="D301" s="4" t="s">
        <v>827</v>
      </c>
      <c r="E301" s="9" t="s">
        <v>148</v>
      </c>
      <c r="F301" s="9" t="s">
        <v>190</v>
      </c>
      <c r="G301" s="16">
        <v>0</v>
      </c>
      <c r="H301" s="16">
        <v>0</v>
      </c>
      <c r="I301" s="16">
        <v>0</v>
      </c>
      <c r="J301" s="16">
        <v>0</v>
      </c>
      <c r="K301" s="16">
        <v>0</v>
      </c>
      <c r="L301" s="16">
        <v>0</v>
      </c>
      <c r="M301" s="16"/>
      <c r="N301" s="12">
        <f t="shared" si="8"/>
        <v>0</v>
      </c>
    </row>
    <row r="302" spans="2:14" x14ac:dyDescent="0.35">
      <c r="B302" s="4">
        <f t="shared" si="9"/>
        <v>292</v>
      </c>
      <c r="C302" s="3" t="s">
        <v>275</v>
      </c>
      <c r="D302" s="4" t="s">
        <v>798</v>
      </c>
      <c r="E302" s="9" t="s">
        <v>148</v>
      </c>
      <c r="F302" s="9" t="s">
        <v>20</v>
      </c>
      <c r="G302" s="16">
        <v>53</v>
      </c>
      <c r="H302" s="16">
        <v>9531000</v>
      </c>
      <c r="I302" s="16">
        <v>1</v>
      </c>
      <c r="J302" s="16">
        <v>175000</v>
      </c>
      <c r="K302" s="16">
        <v>1</v>
      </c>
      <c r="L302" s="16">
        <v>175000</v>
      </c>
      <c r="M302" s="16"/>
      <c r="N302" s="12">
        <f t="shared" si="8"/>
        <v>0</v>
      </c>
    </row>
    <row r="303" spans="2:14" x14ac:dyDescent="0.35">
      <c r="B303" s="4">
        <f t="shared" si="9"/>
        <v>293</v>
      </c>
      <c r="C303" s="3" t="s">
        <v>275</v>
      </c>
      <c r="D303" s="4" t="s">
        <v>798</v>
      </c>
      <c r="E303" s="9" t="s">
        <v>148</v>
      </c>
      <c r="F303" s="9" t="s">
        <v>22</v>
      </c>
      <c r="G303" s="16">
        <v>196</v>
      </c>
      <c r="H303" s="16">
        <v>51251000</v>
      </c>
      <c r="I303" s="16">
        <v>5</v>
      </c>
      <c r="J303" s="16">
        <v>375000</v>
      </c>
      <c r="K303" s="16">
        <v>12</v>
      </c>
      <c r="L303" s="16">
        <v>2880000</v>
      </c>
      <c r="M303" s="16"/>
      <c r="N303" s="12">
        <f t="shared" si="8"/>
        <v>0</v>
      </c>
    </row>
    <row r="304" spans="2:14" x14ac:dyDescent="0.35">
      <c r="B304" s="4">
        <f t="shared" si="9"/>
        <v>294</v>
      </c>
      <c r="C304" s="3" t="s">
        <v>275</v>
      </c>
      <c r="D304" s="4" t="s">
        <v>798</v>
      </c>
      <c r="E304" s="9" t="s">
        <v>148</v>
      </c>
      <c r="F304" s="9" t="s">
        <v>19</v>
      </c>
      <c r="G304" s="16">
        <v>1</v>
      </c>
      <c r="H304" s="16">
        <v>5500000</v>
      </c>
      <c r="I304" s="16">
        <v>0</v>
      </c>
      <c r="J304" s="16">
        <v>0</v>
      </c>
      <c r="K304" s="16">
        <v>0</v>
      </c>
      <c r="L304" s="16">
        <v>0</v>
      </c>
      <c r="M304" s="16"/>
      <c r="N304" s="12">
        <f t="shared" si="8"/>
        <v>0</v>
      </c>
    </row>
    <row r="305" spans="2:14" x14ac:dyDescent="0.35">
      <c r="B305" s="4">
        <f t="shared" si="9"/>
        <v>295</v>
      </c>
      <c r="C305" s="3" t="s">
        <v>275</v>
      </c>
      <c r="D305" s="4" t="s">
        <v>798</v>
      </c>
      <c r="E305" s="9" t="s">
        <v>148</v>
      </c>
      <c r="F305" s="9" t="s">
        <v>190</v>
      </c>
      <c r="G305" s="16">
        <v>73</v>
      </c>
      <c r="H305" s="16">
        <v>11170000</v>
      </c>
      <c r="I305" s="16">
        <v>1</v>
      </c>
      <c r="J305" s="16">
        <v>140000</v>
      </c>
      <c r="K305" s="16">
        <v>0</v>
      </c>
      <c r="L305" s="16">
        <v>0</v>
      </c>
      <c r="M305" s="16"/>
      <c r="N305" s="12">
        <f t="shared" si="8"/>
        <v>0</v>
      </c>
    </row>
    <row r="306" spans="2:14" x14ac:dyDescent="0.35">
      <c r="B306" s="4">
        <f t="shared" si="9"/>
        <v>296</v>
      </c>
      <c r="C306" s="3" t="s">
        <v>396</v>
      </c>
      <c r="D306" s="4" t="s">
        <v>908</v>
      </c>
      <c r="E306" s="9" t="s">
        <v>148</v>
      </c>
      <c r="F306" s="9" t="s">
        <v>20</v>
      </c>
      <c r="G306" s="16">
        <v>4</v>
      </c>
      <c r="H306" s="16">
        <v>665000</v>
      </c>
      <c r="I306" s="16">
        <v>0</v>
      </c>
      <c r="J306" s="16">
        <v>0</v>
      </c>
      <c r="K306" s="16">
        <v>0</v>
      </c>
      <c r="L306" s="16">
        <v>0</v>
      </c>
      <c r="M306" s="16"/>
      <c r="N306" s="12">
        <f t="shared" si="8"/>
        <v>0</v>
      </c>
    </row>
    <row r="307" spans="2:14" x14ac:dyDescent="0.35">
      <c r="B307" s="4">
        <f t="shared" si="9"/>
        <v>297</v>
      </c>
      <c r="C307" s="3" t="s">
        <v>396</v>
      </c>
      <c r="D307" s="4" t="s">
        <v>908</v>
      </c>
      <c r="E307" s="9" t="s">
        <v>148</v>
      </c>
      <c r="F307" s="9" t="s">
        <v>22</v>
      </c>
      <c r="G307" s="16">
        <v>348</v>
      </c>
      <c r="H307" s="16">
        <v>88448000</v>
      </c>
      <c r="I307" s="16">
        <v>12</v>
      </c>
      <c r="J307" s="16">
        <v>900000</v>
      </c>
      <c r="K307" s="16">
        <v>10</v>
      </c>
      <c r="L307" s="16">
        <v>2950000</v>
      </c>
      <c r="M307" s="16"/>
      <c r="N307" s="12">
        <f t="shared" si="8"/>
        <v>0</v>
      </c>
    </row>
    <row r="308" spans="2:14" x14ac:dyDescent="0.35">
      <c r="B308" s="4">
        <f t="shared" si="9"/>
        <v>298</v>
      </c>
      <c r="C308" s="3" t="s">
        <v>396</v>
      </c>
      <c r="D308" s="4" t="s">
        <v>908</v>
      </c>
      <c r="E308" s="9" t="s">
        <v>148</v>
      </c>
      <c r="F308" s="9" t="s">
        <v>190</v>
      </c>
      <c r="G308" s="16">
        <v>66</v>
      </c>
      <c r="H308" s="16">
        <v>8355000</v>
      </c>
      <c r="I308" s="16">
        <v>0</v>
      </c>
      <c r="J308" s="16">
        <v>0</v>
      </c>
      <c r="K308" s="16">
        <v>0</v>
      </c>
      <c r="L308" s="16">
        <v>0</v>
      </c>
      <c r="M308" s="16"/>
      <c r="N308" s="12">
        <f t="shared" si="8"/>
        <v>0</v>
      </c>
    </row>
    <row r="309" spans="2:14" x14ac:dyDescent="0.35">
      <c r="B309" s="4">
        <f t="shared" si="9"/>
        <v>299</v>
      </c>
      <c r="C309" s="3" t="s">
        <v>276</v>
      </c>
      <c r="D309" s="4" t="s">
        <v>800</v>
      </c>
      <c r="E309" s="9" t="s">
        <v>148</v>
      </c>
      <c r="F309" s="9" t="s">
        <v>20</v>
      </c>
      <c r="G309" s="16">
        <v>7</v>
      </c>
      <c r="H309" s="16">
        <v>1225000</v>
      </c>
      <c r="I309" s="16">
        <v>0</v>
      </c>
      <c r="J309" s="16">
        <v>0</v>
      </c>
      <c r="K309" s="16">
        <v>0</v>
      </c>
      <c r="L309" s="16">
        <v>0</v>
      </c>
      <c r="M309" s="16"/>
      <c r="N309" s="12">
        <f t="shared" si="8"/>
        <v>0</v>
      </c>
    </row>
    <row r="310" spans="2:14" x14ac:dyDescent="0.35">
      <c r="B310" s="4">
        <f t="shared" si="9"/>
        <v>300</v>
      </c>
      <c r="C310" s="3" t="s">
        <v>276</v>
      </c>
      <c r="D310" s="4" t="s">
        <v>800</v>
      </c>
      <c r="E310" s="9" t="s">
        <v>148</v>
      </c>
      <c r="F310" s="9" t="s">
        <v>22</v>
      </c>
      <c r="G310" s="16">
        <v>204</v>
      </c>
      <c r="H310" s="16">
        <v>52925000</v>
      </c>
      <c r="I310" s="16">
        <v>2</v>
      </c>
      <c r="J310" s="16">
        <v>150000</v>
      </c>
      <c r="K310" s="16">
        <v>27</v>
      </c>
      <c r="L310" s="16">
        <v>8100000</v>
      </c>
      <c r="M310" s="16"/>
      <c r="N310" s="12">
        <f t="shared" si="8"/>
        <v>0</v>
      </c>
    </row>
    <row r="311" spans="2:14" x14ac:dyDescent="0.35">
      <c r="B311" s="4">
        <f t="shared" si="9"/>
        <v>301</v>
      </c>
      <c r="C311" s="3" t="s">
        <v>276</v>
      </c>
      <c r="D311" s="4" t="s">
        <v>800</v>
      </c>
      <c r="E311" s="9" t="s">
        <v>148</v>
      </c>
      <c r="F311" s="9" t="s">
        <v>190</v>
      </c>
      <c r="G311" s="16">
        <v>57</v>
      </c>
      <c r="H311" s="16">
        <v>7345000</v>
      </c>
      <c r="I311" s="16">
        <v>0</v>
      </c>
      <c r="J311" s="16">
        <v>0</v>
      </c>
      <c r="K311" s="16">
        <v>0</v>
      </c>
      <c r="L311" s="16">
        <v>0</v>
      </c>
      <c r="M311" s="16"/>
      <c r="N311" s="12">
        <f t="shared" si="8"/>
        <v>0</v>
      </c>
    </row>
    <row r="312" spans="2:14" x14ac:dyDescent="0.35">
      <c r="B312" s="4">
        <f t="shared" si="9"/>
        <v>302</v>
      </c>
      <c r="C312" s="3" t="s">
        <v>247</v>
      </c>
      <c r="D312" s="4" t="s">
        <v>760</v>
      </c>
      <c r="E312" s="9" t="s">
        <v>148</v>
      </c>
      <c r="F312" s="9" t="s">
        <v>20</v>
      </c>
      <c r="G312" s="16">
        <v>1</v>
      </c>
      <c r="H312" s="16">
        <v>140000</v>
      </c>
      <c r="I312" s="16">
        <v>0</v>
      </c>
      <c r="J312" s="16">
        <v>0</v>
      </c>
      <c r="K312" s="16">
        <v>0</v>
      </c>
      <c r="L312" s="16">
        <v>0</v>
      </c>
      <c r="M312" s="16"/>
      <c r="N312" s="12">
        <f t="shared" si="8"/>
        <v>0</v>
      </c>
    </row>
    <row r="313" spans="2:14" x14ac:dyDescent="0.35">
      <c r="B313" s="4">
        <f t="shared" si="9"/>
        <v>303</v>
      </c>
      <c r="C313" s="3" t="s">
        <v>247</v>
      </c>
      <c r="D313" s="4" t="s">
        <v>760</v>
      </c>
      <c r="E313" s="9" t="s">
        <v>148</v>
      </c>
      <c r="F313" s="9" t="s">
        <v>22</v>
      </c>
      <c r="G313" s="16">
        <v>61</v>
      </c>
      <c r="H313" s="16">
        <v>8230000</v>
      </c>
      <c r="I313" s="16">
        <v>21</v>
      </c>
      <c r="J313" s="16">
        <v>1640000</v>
      </c>
      <c r="K313" s="16">
        <v>10</v>
      </c>
      <c r="L313" s="16">
        <v>3000000</v>
      </c>
      <c r="M313" s="16"/>
      <c r="N313" s="12">
        <f t="shared" si="8"/>
        <v>0</v>
      </c>
    </row>
    <row r="314" spans="2:14" x14ac:dyDescent="0.35">
      <c r="B314" s="4">
        <f t="shared" si="9"/>
        <v>304</v>
      </c>
      <c r="C314" s="3" t="s">
        <v>247</v>
      </c>
      <c r="D314" s="4" t="s">
        <v>760</v>
      </c>
      <c r="E314" s="9" t="s">
        <v>148</v>
      </c>
      <c r="F314" s="9" t="s">
        <v>190</v>
      </c>
      <c r="G314" s="16">
        <v>62</v>
      </c>
      <c r="H314" s="16">
        <v>7975000</v>
      </c>
      <c r="I314" s="16">
        <v>3</v>
      </c>
      <c r="J314" s="16">
        <v>375000</v>
      </c>
      <c r="K314" s="16">
        <v>0</v>
      </c>
      <c r="L314" s="16">
        <v>0</v>
      </c>
      <c r="M314" s="16"/>
      <c r="N314" s="12">
        <f t="shared" si="8"/>
        <v>0</v>
      </c>
    </row>
    <row r="315" spans="2:14" x14ac:dyDescent="0.35">
      <c r="B315" s="4">
        <f t="shared" si="9"/>
        <v>305</v>
      </c>
      <c r="C315" s="3" t="s">
        <v>277</v>
      </c>
      <c r="D315" s="4" t="s">
        <v>802</v>
      </c>
      <c r="E315" s="9" t="s">
        <v>148</v>
      </c>
      <c r="F315" s="9" t="s">
        <v>22</v>
      </c>
      <c r="G315" s="16">
        <v>2</v>
      </c>
      <c r="H315" s="16">
        <v>284000</v>
      </c>
      <c r="I315" s="16">
        <v>1</v>
      </c>
      <c r="J315" s="16">
        <v>140000</v>
      </c>
      <c r="K315" s="16">
        <v>0</v>
      </c>
      <c r="L315" s="16">
        <v>0</v>
      </c>
      <c r="M315" s="16"/>
      <c r="N315" s="12">
        <f t="shared" si="8"/>
        <v>0</v>
      </c>
    </row>
    <row r="316" spans="2:14" x14ac:dyDescent="0.35">
      <c r="B316" s="4">
        <f t="shared" si="9"/>
        <v>306</v>
      </c>
      <c r="C316" s="3" t="s">
        <v>277</v>
      </c>
      <c r="D316" s="4" t="s">
        <v>802</v>
      </c>
      <c r="E316" s="9" t="s">
        <v>148</v>
      </c>
      <c r="F316" s="9" t="s">
        <v>190</v>
      </c>
      <c r="G316" s="16">
        <v>3</v>
      </c>
      <c r="H316" s="16">
        <v>485000</v>
      </c>
      <c r="I316" s="16">
        <v>0</v>
      </c>
      <c r="J316" s="16">
        <v>0</v>
      </c>
      <c r="K316" s="16">
        <v>0</v>
      </c>
      <c r="L316" s="16">
        <v>0</v>
      </c>
      <c r="M316" s="16"/>
      <c r="N316" s="12">
        <f t="shared" si="8"/>
        <v>0</v>
      </c>
    </row>
    <row r="317" spans="2:14" x14ac:dyDescent="0.35">
      <c r="B317" s="4">
        <f t="shared" si="9"/>
        <v>307</v>
      </c>
      <c r="C317" s="3" t="s">
        <v>328</v>
      </c>
      <c r="D317" s="4" t="s">
        <v>821</v>
      </c>
      <c r="E317" s="9" t="s">
        <v>148</v>
      </c>
      <c r="F317" s="9" t="s">
        <v>22</v>
      </c>
      <c r="G317" s="16">
        <v>218</v>
      </c>
      <c r="H317" s="16">
        <v>46208000</v>
      </c>
      <c r="I317" s="16">
        <v>9</v>
      </c>
      <c r="J317" s="16">
        <v>719000</v>
      </c>
      <c r="K317" s="16">
        <v>6</v>
      </c>
      <c r="L317" s="16">
        <v>1560000</v>
      </c>
      <c r="M317" s="16"/>
      <c r="N317" s="12">
        <f t="shared" si="8"/>
        <v>0</v>
      </c>
    </row>
    <row r="318" spans="2:14" x14ac:dyDescent="0.35">
      <c r="B318" s="4">
        <f t="shared" si="9"/>
        <v>308</v>
      </c>
      <c r="C318" s="3" t="s">
        <v>328</v>
      </c>
      <c r="D318" s="4" t="s">
        <v>821</v>
      </c>
      <c r="E318" s="9" t="s">
        <v>148</v>
      </c>
      <c r="F318" s="9" t="s">
        <v>190</v>
      </c>
      <c r="G318" s="16">
        <v>376</v>
      </c>
      <c r="H318" s="16">
        <v>47420000</v>
      </c>
      <c r="I318" s="16">
        <v>5</v>
      </c>
      <c r="J318" s="16">
        <v>625000</v>
      </c>
      <c r="K318" s="16">
        <v>1</v>
      </c>
      <c r="L318" s="16">
        <v>125000</v>
      </c>
      <c r="M318" s="16"/>
      <c r="N318" s="12">
        <f t="shared" si="8"/>
        <v>0</v>
      </c>
    </row>
    <row r="319" spans="2:14" x14ac:dyDescent="0.35">
      <c r="B319" s="4">
        <f t="shared" si="9"/>
        <v>309</v>
      </c>
      <c r="C319" s="3" t="s">
        <v>272</v>
      </c>
      <c r="D319" s="4" t="s">
        <v>787</v>
      </c>
      <c r="E319" s="9" t="s">
        <v>148</v>
      </c>
      <c r="F319" s="9" t="s">
        <v>19</v>
      </c>
      <c r="G319" s="16">
        <v>2</v>
      </c>
      <c r="H319" s="16">
        <v>11000000</v>
      </c>
      <c r="I319" s="16">
        <v>0</v>
      </c>
      <c r="J319" s="16">
        <v>0</v>
      </c>
      <c r="K319" s="16">
        <v>0</v>
      </c>
      <c r="L319" s="16">
        <v>0</v>
      </c>
      <c r="M319" s="16"/>
      <c r="N319" s="12">
        <f t="shared" si="8"/>
        <v>0</v>
      </c>
    </row>
    <row r="320" spans="2:14" x14ac:dyDescent="0.35">
      <c r="B320" s="4">
        <f t="shared" si="9"/>
        <v>310</v>
      </c>
      <c r="C320" s="3" t="s">
        <v>353</v>
      </c>
      <c r="D320" s="4" t="s">
        <v>887</v>
      </c>
      <c r="E320" s="9" t="s">
        <v>148</v>
      </c>
      <c r="F320" s="9" t="s">
        <v>20</v>
      </c>
      <c r="G320" s="16">
        <v>6</v>
      </c>
      <c r="H320" s="16">
        <v>945000</v>
      </c>
      <c r="I320" s="16">
        <v>0</v>
      </c>
      <c r="J320" s="16">
        <v>0</v>
      </c>
      <c r="K320" s="16">
        <v>0</v>
      </c>
      <c r="L320" s="16">
        <v>0</v>
      </c>
      <c r="M320" s="16"/>
      <c r="N320" s="12">
        <f t="shared" si="8"/>
        <v>0</v>
      </c>
    </row>
    <row r="321" spans="2:14" x14ac:dyDescent="0.35">
      <c r="B321" s="4">
        <f t="shared" si="9"/>
        <v>311</v>
      </c>
      <c r="C321" s="3" t="s">
        <v>353</v>
      </c>
      <c r="D321" s="4" t="s">
        <v>887</v>
      </c>
      <c r="E321" s="9" t="s">
        <v>148</v>
      </c>
      <c r="F321" s="9" t="s">
        <v>22</v>
      </c>
      <c r="G321" s="16">
        <v>249</v>
      </c>
      <c r="H321" s="16">
        <v>30911000</v>
      </c>
      <c r="I321" s="16">
        <v>44</v>
      </c>
      <c r="J321" s="16">
        <v>3300000</v>
      </c>
      <c r="K321" s="16">
        <v>6</v>
      </c>
      <c r="L321" s="16">
        <v>1700000</v>
      </c>
      <c r="M321" s="16"/>
      <c r="N321" s="12">
        <f t="shared" si="8"/>
        <v>0</v>
      </c>
    </row>
    <row r="322" spans="2:14" x14ac:dyDescent="0.35">
      <c r="B322" s="4">
        <f t="shared" si="9"/>
        <v>312</v>
      </c>
      <c r="C322" s="3" t="s">
        <v>353</v>
      </c>
      <c r="D322" s="4" t="s">
        <v>887</v>
      </c>
      <c r="E322" s="9" t="s">
        <v>148</v>
      </c>
      <c r="F322" s="9" t="s">
        <v>19</v>
      </c>
      <c r="G322" s="16">
        <v>1</v>
      </c>
      <c r="H322" s="16">
        <v>5500000</v>
      </c>
      <c r="I322" s="16">
        <v>0</v>
      </c>
      <c r="J322" s="16">
        <v>0</v>
      </c>
      <c r="K322" s="16">
        <v>0</v>
      </c>
      <c r="L322" s="16">
        <v>0</v>
      </c>
      <c r="M322" s="16"/>
      <c r="N322" s="12">
        <f t="shared" si="8"/>
        <v>0</v>
      </c>
    </row>
    <row r="323" spans="2:14" x14ac:dyDescent="0.35">
      <c r="B323" s="4">
        <f t="shared" si="9"/>
        <v>313</v>
      </c>
      <c r="C323" s="3" t="s">
        <v>353</v>
      </c>
      <c r="D323" s="4" t="s">
        <v>887</v>
      </c>
      <c r="E323" s="9" t="s">
        <v>148</v>
      </c>
      <c r="F323" s="9" t="s">
        <v>190</v>
      </c>
      <c r="G323" s="16">
        <v>37</v>
      </c>
      <c r="H323" s="16">
        <v>4810000</v>
      </c>
      <c r="I323" s="16">
        <v>0</v>
      </c>
      <c r="J323" s="16">
        <v>0</v>
      </c>
      <c r="K323" s="16">
        <v>0</v>
      </c>
      <c r="L323" s="16">
        <v>0</v>
      </c>
      <c r="M323" s="16"/>
      <c r="N323" s="12">
        <f t="shared" si="8"/>
        <v>0</v>
      </c>
    </row>
    <row r="324" spans="2:14" x14ac:dyDescent="0.35">
      <c r="B324" s="4">
        <f t="shared" si="9"/>
        <v>314</v>
      </c>
      <c r="C324" s="3" t="s">
        <v>329</v>
      </c>
      <c r="D324" s="4" t="s">
        <v>796</v>
      </c>
      <c r="E324" s="9" t="s">
        <v>148</v>
      </c>
      <c r="F324" s="9" t="s">
        <v>20</v>
      </c>
      <c r="G324" s="16">
        <v>121</v>
      </c>
      <c r="H324" s="16">
        <v>22118000</v>
      </c>
      <c r="I324" s="16">
        <v>6</v>
      </c>
      <c r="J324" s="16">
        <v>1050000</v>
      </c>
      <c r="K324" s="16">
        <v>0</v>
      </c>
      <c r="L324" s="16">
        <v>0</v>
      </c>
      <c r="M324" s="16"/>
      <c r="N324" s="12">
        <f t="shared" si="8"/>
        <v>0</v>
      </c>
    </row>
    <row r="325" spans="2:14" x14ac:dyDescent="0.35">
      <c r="B325" s="4">
        <f t="shared" si="9"/>
        <v>315</v>
      </c>
      <c r="C325" s="3" t="s">
        <v>329</v>
      </c>
      <c r="D325" s="4" t="s">
        <v>796</v>
      </c>
      <c r="E325" s="9" t="s">
        <v>148</v>
      </c>
      <c r="F325" s="9" t="s">
        <v>19</v>
      </c>
      <c r="G325" s="16">
        <v>8</v>
      </c>
      <c r="H325" s="16">
        <v>44000000</v>
      </c>
      <c r="I325" s="16">
        <v>1</v>
      </c>
      <c r="J325" s="16">
        <v>5500000</v>
      </c>
      <c r="K325" s="16">
        <v>0</v>
      </c>
      <c r="L325" s="16">
        <v>0</v>
      </c>
      <c r="M325" s="16"/>
      <c r="N325" s="12">
        <f t="shared" si="8"/>
        <v>0</v>
      </c>
    </row>
    <row r="326" spans="2:14" x14ac:dyDescent="0.35">
      <c r="B326" s="4">
        <f t="shared" si="9"/>
        <v>316</v>
      </c>
      <c r="C326" s="3" t="s">
        <v>329</v>
      </c>
      <c r="D326" s="4" t="s">
        <v>796</v>
      </c>
      <c r="E326" s="9" t="s">
        <v>148</v>
      </c>
      <c r="F326" s="9" t="s">
        <v>190</v>
      </c>
      <c r="G326" s="16">
        <v>29</v>
      </c>
      <c r="H326" s="16">
        <v>4180000</v>
      </c>
      <c r="I326" s="16">
        <v>8</v>
      </c>
      <c r="J326" s="16">
        <v>1105000</v>
      </c>
      <c r="K326" s="16">
        <v>0</v>
      </c>
      <c r="L326" s="16">
        <v>0</v>
      </c>
      <c r="M326" s="16"/>
      <c r="N326" s="12">
        <f t="shared" si="8"/>
        <v>0</v>
      </c>
    </row>
    <row r="327" spans="2:14" x14ac:dyDescent="0.35">
      <c r="B327" s="4">
        <f t="shared" si="9"/>
        <v>317</v>
      </c>
      <c r="C327" s="3" t="s">
        <v>416</v>
      </c>
      <c r="D327" s="4" t="s">
        <v>911</v>
      </c>
      <c r="E327" s="9" t="s">
        <v>148</v>
      </c>
      <c r="F327" s="9" t="s">
        <v>20</v>
      </c>
      <c r="G327" s="16">
        <v>15</v>
      </c>
      <c r="H327" s="16">
        <v>5088200</v>
      </c>
      <c r="I327" s="16">
        <v>2</v>
      </c>
      <c r="J327" s="16">
        <v>606000</v>
      </c>
      <c r="K327" s="16">
        <v>0</v>
      </c>
      <c r="L327" s="16">
        <v>0</v>
      </c>
      <c r="M327" s="16"/>
      <c r="N327" s="12">
        <f t="shared" si="8"/>
        <v>0</v>
      </c>
    </row>
    <row r="328" spans="2:14" x14ac:dyDescent="0.35">
      <c r="B328" s="4">
        <f t="shared" si="9"/>
        <v>318</v>
      </c>
      <c r="C328" s="3" t="s">
        <v>416</v>
      </c>
      <c r="D328" s="4" t="s">
        <v>911</v>
      </c>
      <c r="E328" s="9" t="s">
        <v>148</v>
      </c>
      <c r="F328" s="9" t="s">
        <v>21</v>
      </c>
      <c r="G328" s="16">
        <v>0</v>
      </c>
      <c r="H328" s="16">
        <v>0</v>
      </c>
      <c r="I328" s="16">
        <v>0</v>
      </c>
      <c r="J328" s="16">
        <v>0</v>
      </c>
      <c r="K328" s="16">
        <v>0</v>
      </c>
      <c r="L328" s="16">
        <v>0</v>
      </c>
      <c r="M328" s="16"/>
      <c r="N328" s="12">
        <f t="shared" si="8"/>
        <v>0</v>
      </c>
    </row>
    <row r="329" spans="2:14" x14ac:dyDescent="0.35">
      <c r="B329" s="4">
        <f t="shared" si="9"/>
        <v>319</v>
      </c>
      <c r="C329" s="3" t="s">
        <v>416</v>
      </c>
      <c r="D329" s="4" t="s">
        <v>911</v>
      </c>
      <c r="E329" s="9" t="s">
        <v>148</v>
      </c>
      <c r="F329" s="9" t="s">
        <v>22</v>
      </c>
      <c r="G329" s="16">
        <v>338</v>
      </c>
      <c r="H329" s="16">
        <v>23058000</v>
      </c>
      <c r="I329" s="16">
        <v>5</v>
      </c>
      <c r="J329" s="16">
        <v>375000</v>
      </c>
      <c r="K329" s="16">
        <v>2</v>
      </c>
      <c r="L329" s="16">
        <v>500000</v>
      </c>
      <c r="M329" s="16"/>
      <c r="N329" s="12">
        <f t="shared" si="8"/>
        <v>0</v>
      </c>
    </row>
    <row r="330" spans="2:14" x14ac:dyDescent="0.35">
      <c r="B330" s="4">
        <f t="shared" si="9"/>
        <v>320</v>
      </c>
      <c r="C330" s="3" t="s">
        <v>416</v>
      </c>
      <c r="D330" s="4" t="s">
        <v>911</v>
      </c>
      <c r="E330" s="9" t="s">
        <v>148</v>
      </c>
      <c r="F330" s="9" t="s">
        <v>190</v>
      </c>
      <c r="G330" s="16">
        <v>69</v>
      </c>
      <c r="H330" s="16">
        <v>8985000</v>
      </c>
      <c r="I330" s="16">
        <v>0</v>
      </c>
      <c r="J330" s="16">
        <v>0</v>
      </c>
      <c r="K330" s="16">
        <v>0</v>
      </c>
      <c r="L330" s="16">
        <v>0</v>
      </c>
      <c r="M330" s="16"/>
      <c r="N330" s="12">
        <f t="shared" si="8"/>
        <v>0</v>
      </c>
    </row>
    <row r="331" spans="2:14" x14ac:dyDescent="0.35">
      <c r="B331" s="4">
        <f t="shared" si="9"/>
        <v>321</v>
      </c>
      <c r="C331" s="3" t="s">
        <v>308</v>
      </c>
      <c r="D331" s="4" t="s">
        <v>767</v>
      </c>
      <c r="E331" s="9" t="s">
        <v>148</v>
      </c>
      <c r="F331" s="9" t="s">
        <v>20</v>
      </c>
      <c r="G331" s="16">
        <v>4</v>
      </c>
      <c r="H331" s="16">
        <v>1312000</v>
      </c>
      <c r="I331" s="16">
        <v>0</v>
      </c>
      <c r="J331" s="16">
        <v>0</v>
      </c>
      <c r="K331" s="16">
        <v>0</v>
      </c>
      <c r="L331" s="16">
        <v>0</v>
      </c>
      <c r="M331" s="16"/>
      <c r="N331" s="12">
        <f t="shared" ref="N331:N394" si="10">IFERROR((G331/M331)*100%, 0)</f>
        <v>0</v>
      </c>
    </row>
    <row r="332" spans="2:14" x14ac:dyDescent="0.35">
      <c r="B332" s="4">
        <f t="shared" si="9"/>
        <v>322</v>
      </c>
      <c r="C332" s="3" t="s">
        <v>308</v>
      </c>
      <c r="D332" s="4" t="s">
        <v>767</v>
      </c>
      <c r="E332" s="9" t="s">
        <v>148</v>
      </c>
      <c r="F332" s="9" t="s">
        <v>21</v>
      </c>
      <c r="G332" s="16">
        <v>0</v>
      </c>
      <c r="H332" s="16">
        <v>0</v>
      </c>
      <c r="I332" s="16">
        <v>0</v>
      </c>
      <c r="J332" s="16">
        <v>0</v>
      </c>
      <c r="K332" s="16">
        <v>0</v>
      </c>
      <c r="L332" s="16">
        <v>0</v>
      </c>
      <c r="M332" s="16"/>
      <c r="N332" s="12">
        <f t="shared" si="10"/>
        <v>0</v>
      </c>
    </row>
    <row r="333" spans="2:14" x14ac:dyDescent="0.35">
      <c r="B333" s="4">
        <f t="shared" ref="B333:B396" si="11">B332+1</f>
        <v>323</v>
      </c>
      <c r="C333" s="3" t="s">
        <v>308</v>
      </c>
      <c r="D333" s="4" t="s">
        <v>767</v>
      </c>
      <c r="E333" s="9" t="s">
        <v>148</v>
      </c>
      <c r="F333" s="9" t="s">
        <v>22</v>
      </c>
      <c r="G333" s="16">
        <v>195</v>
      </c>
      <c r="H333" s="16">
        <v>26662000</v>
      </c>
      <c r="I333" s="16">
        <v>11</v>
      </c>
      <c r="J333" s="16">
        <v>1238000</v>
      </c>
      <c r="K333" s="16">
        <v>4</v>
      </c>
      <c r="L333" s="16">
        <v>885000</v>
      </c>
      <c r="M333" s="16"/>
      <c r="N333" s="12">
        <f t="shared" si="10"/>
        <v>0</v>
      </c>
    </row>
    <row r="334" spans="2:14" x14ac:dyDescent="0.35">
      <c r="B334" s="4">
        <f t="shared" si="11"/>
        <v>324</v>
      </c>
      <c r="C334" s="3" t="s">
        <v>308</v>
      </c>
      <c r="D334" s="4" t="s">
        <v>767</v>
      </c>
      <c r="E334" s="9" t="s">
        <v>148</v>
      </c>
      <c r="F334" s="9" t="s">
        <v>190</v>
      </c>
      <c r="G334" s="16">
        <v>5</v>
      </c>
      <c r="H334" s="16">
        <v>625000</v>
      </c>
      <c r="I334" s="16">
        <v>0</v>
      </c>
      <c r="J334" s="16">
        <v>0</v>
      </c>
      <c r="K334" s="16">
        <v>0</v>
      </c>
      <c r="L334" s="16">
        <v>0</v>
      </c>
      <c r="M334" s="16"/>
      <c r="N334" s="12">
        <f t="shared" si="10"/>
        <v>0</v>
      </c>
    </row>
    <row r="335" spans="2:14" x14ac:dyDescent="0.35">
      <c r="B335" s="4">
        <f t="shared" si="11"/>
        <v>325</v>
      </c>
      <c r="C335" s="3" t="s">
        <v>330</v>
      </c>
      <c r="D335" s="4" t="s">
        <v>829</v>
      </c>
      <c r="E335" s="9" t="s">
        <v>148</v>
      </c>
      <c r="F335" s="9" t="s">
        <v>20</v>
      </c>
      <c r="G335" s="16">
        <v>110</v>
      </c>
      <c r="H335" s="16">
        <v>22473000</v>
      </c>
      <c r="I335" s="16">
        <v>1</v>
      </c>
      <c r="J335" s="16">
        <v>175000</v>
      </c>
      <c r="K335" s="16">
        <v>0</v>
      </c>
      <c r="L335" s="16">
        <v>0</v>
      </c>
      <c r="M335" s="16"/>
      <c r="N335" s="12">
        <f t="shared" si="10"/>
        <v>0</v>
      </c>
    </row>
    <row r="336" spans="2:14" x14ac:dyDescent="0.35">
      <c r="B336" s="4">
        <f t="shared" si="11"/>
        <v>326</v>
      </c>
      <c r="C336" s="3" t="s">
        <v>330</v>
      </c>
      <c r="D336" s="4" t="s">
        <v>829</v>
      </c>
      <c r="E336" s="9" t="s">
        <v>148</v>
      </c>
      <c r="F336" s="9" t="s">
        <v>22</v>
      </c>
      <c r="G336" s="16">
        <v>2</v>
      </c>
      <c r="H336" s="16">
        <v>600000</v>
      </c>
      <c r="I336" s="16">
        <v>0</v>
      </c>
      <c r="J336" s="16">
        <v>0</v>
      </c>
      <c r="K336" s="16">
        <v>5</v>
      </c>
      <c r="L336" s="16">
        <v>1500000</v>
      </c>
      <c r="M336" s="16"/>
      <c r="N336" s="12">
        <f t="shared" si="10"/>
        <v>0</v>
      </c>
    </row>
    <row r="337" spans="2:14" x14ac:dyDescent="0.35">
      <c r="B337" s="4">
        <f t="shared" si="11"/>
        <v>327</v>
      </c>
      <c r="C337" s="3" t="s">
        <v>330</v>
      </c>
      <c r="D337" s="4" t="s">
        <v>829</v>
      </c>
      <c r="E337" s="9" t="s">
        <v>148</v>
      </c>
      <c r="F337" s="9" t="s">
        <v>19</v>
      </c>
      <c r="G337" s="16">
        <v>5</v>
      </c>
      <c r="H337" s="16">
        <v>27500000</v>
      </c>
      <c r="I337" s="16">
        <v>1</v>
      </c>
      <c r="J337" s="16">
        <v>5500000</v>
      </c>
      <c r="K337" s="16">
        <v>0</v>
      </c>
      <c r="L337" s="16">
        <v>0</v>
      </c>
      <c r="M337" s="16"/>
      <c r="N337" s="12">
        <f t="shared" si="10"/>
        <v>0</v>
      </c>
    </row>
    <row r="338" spans="2:14" x14ac:dyDescent="0.35">
      <c r="B338" s="4">
        <f t="shared" si="11"/>
        <v>328</v>
      </c>
      <c r="C338" s="3" t="s">
        <v>330</v>
      </c>
      <c r="D338" s="4" t="s">
        <v>829</v>
      </c>
      <c r="E338" s="9" t="s">
        <v>148</v>
      </c>
      <c r="F338" s="9" t="s">
        <v>190</v>
      </c>
      <c r="G338" s="16">
        <v>46</v>
      </c>
      <c r="H338" s="16">
        <v>6520000</v>
      </c>
      <c r="I338" s="16">
        <v>0</v>
      </c>
      <c r="J338" s="16">
        <v>0</v>
      </c>
      <c r="K338" s="16">
        <v>0</v>
      </c>
      <c r="L338" s="16">
        <v>0</v>
      </c>
      <c r="M338" s="16"/>
      <c r="N338" s="12">
        <f t="shared" si="10"/>
        <v>0</v>
      </c>
    </row>
    <row r="339" spans="2:14" x14ac:dyDescent="0.35">
      <c r="B339" s="4">
        <f t="shared" si="11"/>
        <v>329</v>
      </c>
      <c r="C339" s="3" t="s">
        <v>278</v>
      </c>
      <c r="D339" s="4" t="s">
        <v>826</v>
      </c>
      <c r="E339" s="9" t="s">
        <v>148</v>
      </c>
      <c r="F339" s="9" t="s">
        <v>20</v>
      </c>
      <c r="G339" s="16">
        <v>12</v>
      </c>
      <c r="H339" s="16">
        <v>1960000</v>
      </c>
      <c r="I339" s="16">
        <v>0</v>
      </c>
      <c r="J339" s="16">
        <v>0</v>
      </c>
      <c r="K339" s="16">
        <v>0</v>
      </c>
      <c r="L339" s="16">
        <v>0</v>
      </c>
      <c r="M339" s="16"/>
      <c r="N339" s="12">
        <f t="shared" si="10"/>
        <v>0</v>
      </c>
    </row>
    <row r="340" spans="2:14" x14ac:dyDescent="0.35">
      <c r="B340" s="4">
        <f t="shared" si="11"/>
        <v>330</v>
      </c>
      <c r="C340" s="3" t="s">
        <v>278</v>
      </c>
      <c r="D340" s="4" t="s">
        <v>826</v>
      </c>
      <c r="E340" s="9" t="s">
        <v>148</v>
      </c>
      <c r="F340" s="9" t="s">
        <v>22</v>
      </c>
      <c r="G340" s="16">
        <v>114</v>
      </c>
      <c r="H340" s="16">
        <v>31756000</v>
      </c>
      <c r="I340" s="16">
        <v>9</v>
      </c>
      <c r="J340" s="16">
        <v>900000</v>
      </c>
      <c r="K340" s="16">
        <v>1</v>
      </c>
      <c r="L340" s="16">
        <v>300000</v>
      </c>
      <c r="M340" s="16"/>
      <c r="N340" s="12">
        <f t="shared" si="10"/>
        <v>0</v>
      </c>
    </row>
    <row r="341" spans="2:14" x14ac:dyDescent="0.35">
      <c r="B341" s="4">
        <f t="shared" si="11"/>
        <v>331</v>
      </c>
      <c r="C341" s="3" t="s">
        <v>278</v>
      </c>
      <c r="D341" s="4" t="s">
        <v>826</v>
      </c>
      <c r="E341" s="9" t="s">
        <v>148</v>
      </c>
      <c r="F341" s="9" t="s">
        <v>190</v>
      </c>
      <c r="G341" s="16">
        <v>143</v>
      </c>
      <c r="H341" s="16">
        <v>19005000</v>
      </c>
      <c r="I341" s="16">
        <v>0</v>
      </c>
      <c r="J341" s="16">
        <v>0</v>
      </c>
      <c r="K341" s="16">
        <v>0</v>
      </c>
      <c r="L341" s="16">
        <v>0</v>
      </c>
      <c r="M341" s="16"/>
      <c r="N341" s="12">
        <f t="shared" si="10"/>
        <v>0</v>
      </c>
    </row>
    <row r="342" spans="2:14" x14ac:dyDescent="0.35">
      <c r="B342" s="4">
        <f t="shared" si="11"/>
        <v>332</v>
      </c>
      <c r="C342" s="3" t="s">
        <v>245</v>
      </c>
      <c r="D342" s="4" t="s">
        <v>745</v>
      </c>
      <c r="E342" s="9" t="s">
        <v>148</v>
      </c>
      <c r="F342" s="9" t="s">
        <v>21</v>
      </c>
      <c r="G342" s="16">
        <v>0</v>
      </c>
      <c r="H342" s="16">
        <v>0</v>
      </c>
      <c r="I342" s="16">
        <v>0</v>
      </c>
      <c r="J342" s="16">
        <v>0</v>
      </c>
      <c r="K342" s="16">
        <v>0</v>
      </c>
      <c r="L342" s="16">
        <v>0</v>
      </c>
      <c r="M342" s="16"/>
      <c r="N342" s="12">
        <f t="shared" si="10"/>
        <v>0</v>
      </c>
    </row>
    <row r="343" spans="2:14" x14ac:dyDescent="0.35">
      <c r="B343" s="4">
        <f t="shared" si="11"/>
        <v>333</v>
      </c>
      <c r="C343" s="3" t="s">
        <v>245</v>
      </c>
      <c r="D343" s="4" t="s">
        <v>745</v>
      </c>
      <c r="E343" s="9" t="s">
        <v>148</v>
      </c>
      <c r="F343" s="9" t="s">
        <v>22</v>
      </c>
      <c r="G343" s="16">
        <v>57</v>
      </c>
      <c r="H343" s="16">
        <v>7755000</v>
      </c>
      <c r="I343" s="16">
        <v>7</v>
      </c>
      <c r="J343" s="16">
        <v>590000</v>
      </c>
      <c r="K343" s="16">
        <v>6</v>
      </c>
      <c r="L343" s="16">
        <v>1510000</v>
      </c>
      <c r="M343" s="16"/>
      <c r="N343" s="12">
        <f t="shared" si="10"/>
        <v>0</v>
      </c>
    </row>
    <row r="344" spans="2:14" x14ac:dyDescent="0.35">
      <c r="B344" s="4">
        <f t="shared" si="11"/>
        <v>334</v>
      </c>
      <c r="C344" s="3" t="s">
        <v>245</v>
      </c>
      <c r="D344" s="4" t="s">
        <v>745</v>
      </c>
      <c r="E344" s="9" t="s">
        <v>148</v>
      </c>
      <c r="F344" s="9" t="s">
        <v>190</v>
      </c>
      <c r="G344" s="16">
        <v>74</v>
      </c>
      <c r="H344" s="16">
        <v>9625000</v>
      </c>
      <c r="I344" s="16">
        <v>1</v>
      </c>
      <c r="J344" s="16">
        <v>125000</v>
      </c>
      <c r="K344" s="16">
        <v>0</v>
      </c>
      <c r="L344" s="16">
        <v>0</v>
      </c>
      <c r="M344" s="16"/>
      <c r="N344" s="12">
        <f t="shared" si="10"/>
        <v>0</v>
      </c>
    </row>
    <row r="345" spans="2:14" x14ac:dyDescent="0.35">
      <c r="B345" s="4">
        <f t="shared" si="11"/>
        <v>335</v>
      </c>
      <c r="C345" s="3" t="s">
        <v>248</v>
      </c>
      <c r="D345" s="4" t="s">
        <v>742</v>
      </c>
      <c r="E345" s="9" t="s">
        <v>148</v>
      </c>
      <c r="F345" s="9" t="s">
        <v>20</v>
      </c>
      <c r="G345" s="16">
        <v>2</v>
      </c>
      <c r="H345" s="16">
        <v>350000</v>
      </c>
      <c r="I345" s="16">
        <v>2</v>
      </c>
      <c r="J345" s="16">
        <v>350000</v>
      </c>
      <c r="K345" s="16">
        <v>0</v>
      </c>
      <c r="L345" s="16">
        <v>0</v>
      </c>
      <c r="M345" s="16"/>
      <c r="N345" s="12">
        <f t="shared" si="10"/>
        <v>0</v>
      </c>
    </row>
    <row r="346" spans="2:14" x14ac:dyDescent="0.35">
      <c r="B346" s="4">
        <f t="shared" si="11"/>
        <v>336</v>
      </c>
      <c r="C346" s="3" t="s">
        <v>248</v>
      </c>
      <c r="D346" s="4" t="s">
        <v>742</v>
      </c>
      <c r="E346" s="9" t="s">
        <v>148</v>
      </c>
      <c r="F346" s="9" t="s">
        <v>22</v>
      </c>
      <c r="G346" s="16">
        <v>31</v>
      </c>
      <c r="H346" s="16">
        <v>4475000</v>
      </c>
      <c r="I346" s="16">
        <v>3</v>
      </c>
      <c r="J346" s="16">
        <v>675000</v>
      </c>
      <c r="K346" s="16">
        <v>1</v>
      </c>
      <c r="L346" s="16">
        <v>140000</v>
      </c>
      <c r="M346" s="16"/>
      <c r="N346" s="12">
        <f t="shared" si="10"/>
        <v>0</v>
      </c>
    </row>
    <row r="347" spans="2:14" x14ac:dyDescent="0.35">
      <c r="B347" s="4">
        <f t="shared" si="11"/>
        <v>337</v>
      </c>
      <c r="C347" s="3" t="s">
        <v>248</v>
      </c>
      <c r="D347" s="4" t="s">
        <v>742</v>
      </c>
      <c r="E347" s="9" t="s">
        <v>148</v>
      </c>
      <c r="F347" s="9" t="s">
        <v>190</v>
      </c>
      <c r="G347" s="16">
        <v>51</v>
      </c>
      <c r="H347" s="16">
        <v>6610000</v>
      </c>
      <c r="I347" s="16">
        <v>0</v>
      </c>
      <c r="J347" s="16">
        <v>0</v>
      </c>
      <c r="K347" s="16">
        <v>0</v>
      </c>
      <c r="L347" s="16">
        <v>0</v>
      </c>
      <c r="M347" s="16"/>
      <c r="N347" s="12">
        <f t="shared" si="10"/>
        <v>0</v>
      </c>
    </row>
    <row r="348" spans="2:14" x14ac:dyDescent="0.35">
      <c r="B348" s="4">
        <f t="shared" si="11"/>
        <v>338</v>
      </c>
      <c r="C348" s="3" t="s">
        <v>331</v>
      </c>
      <c r="D348" s="4" t="s">
        <v>813</v>
      </c>
      <c r="E348" s="9" t="s">
        <v>148</v>
      </c>
      <c r="F348" s="9" t="s">
        <v>22</v>
      </c>
      <c r="G348" s="16">
        <v>378</v>
      </c>
      <c r="H348" s="16">
        <v>84629000</v>
      </c>
      <c r="I348" s="16">
        <v>13</v>
      </c>
      <c r="J348" s="16">
        <v>1619000</v>
      </c>
      <c r="K348" s="16">
        <v>6</v>
      </c>
      <c r="L348" s="16">
        <v>1800000</v>
      </c>
      <c r="M348" s="16"/>
      <c r="N348" s="12">
        <f t="shared" si="10"/>
        <v>0</v>
      </c>
    </row>
    <row r="349" spans="2:14" x14ac:dyDescent="0.35">
      <c r="B349" s="4">
        <f t="shared" si="11"/>
        <v>339</v>
      </c>
      <c r="C349" s="3" t="s">
        <v>331</v>
      </c>
      <c r="D349" s="4" t="s">
        <v>813</v>
      </c>
      <c r="E349" s="9" t="s">
        <v>148</v>
      </c>
      <c r="F349" s="9" t="s">
        <v>190</v>
      </c>
      <c r="G349" s="16">
        <v>0</v>
      </c>
      <c r="H349" s="16">
        <v>0</v>
      </c>
      <c r="I349" s="16">
        <v>0</v>
      </c>
      <c r="J349" s="16">
        <v>0</v>
      </c>
      <c r="K349" s="16">
        <v>0</v>
      </c>
      <c r="L349" s="16">
        <v>0</v>
      </c>
      <c r="M349" s="16"/>
      <c r="N349" s="12">
        <f t="shared" si="10"/>
        <v>0</v>
      </c>
    </row>
    <row r="350" spans="2:14" x14ac:dyDescent="0.35">
      <c r="B350" s="4">
        <f t="shared" si="11"/>
        <v>340</v>
      </c>
      <c r="C350" s="3" t="s">
        <v>354</v>
      </c>
      <c r="D350" s="4" t="s">
        <v>889</v>
      </c>
      <c r="E350" s="9" t="s">
        <v>148</v>
      </c>
      <c r="F350" s="9" t="s">
        <v>20</v>
      </c>
      <c r="G350" s="16">
        <v>143</v>
      </c>
      <c r="H350" s="16">
        <v>36205200</v>
      </c>
      <c r="I350" s="16">
        <v>0</v>
      </c>
      <c r="J350" s="16">
        <v>0</v>
      </c>
      <c r="K350" s="16">
        <v>1</v>
      </c>
      <c r="L350" s="16">
        <v>175000</v>
      </c>
      <c r="M350" s="16"/>
      <c r="N350" s="12">
        <f t="shared" si="10"/>
        <v>0</v>
      </c>
    </row>
    <row r="351" spans="2:14" x14ac:dyDescent="0.35">
      <c r="B351" s="4">
        <f t="shared" si="11"/>
        <v>341</v>
      </c>
      <c r="C351" s="3" t="s">
        <v>354</v>
      </c>
      <c r="D351" s="4" t="s">
        <v>889</v>
      </c>
      <c r="E351" s="9" t="s">
        <v>148</v>
      </c>
      <c r="F351" s="9" t="s">
        <v>22</v>
      </c>
      <c r="G351" s="16">
        <v>0</v>
      </c>
      <c r="H351" s="16">
        <v>0</v>
      </c>
      <c r="I351" s="16">
        <v>0</v>
      </c>
      <c r="J351" s="16">
        <v>0</v>
      </c>
      <c r="K351" s="16">
        <v>0</v>
      </c>
      <c r="L351" s="16">
        <v>0</v>
      </c>
      <c r="M351" s="16"/>
      <c r="N351" s="12">
        <f t="shared" si="10"/>
        <v>0</v>
      </c>
    </row>
    <row r="352" spans="2:14" x14ac:dyDescent="0.35">
      <c r="B352" s="4">
        <f t="shared" si="11"/>
        <v>342</v>
      </c>
      <c r="C352" s="3" t="s">
        <v>354</v>
      </c>
      <c r="D352" s="4" t="s">
        <v>889</v>
      </c>
      <c r="E352" s="9" t="s">
        <v>148</v>
      </c>
      <c r="F352" s="9" t="s">
        <v>19</v>
      </c>
      <c r="G352" s="16">
        <v>8</v>
      </c>
      <c r="H352" s="16">
        <v>44000000</v>
      </c>
      <c r="I352" s="16">
        <v>0</v>
      </c>
      <c r="J352" s="16">
        <v>0</v>
      </c>
      <c r="K352" s="16">
        <v>0</v>
      </c>
      <c r="L352" s="16">
        <v>0</v>
      </c>
      <c r="M352" s="16"/>
      <c r="N352" s="12">
        <f t="shared" si="10"/>
        <v>0</v>
      </c>
    </row>
    <row r="353" spans="2:14" x14ac:dyDescent="0.35">
      <c r="B353" s="4">
        <f t="shared" si="11"/>
        <v>343</v>
      </c>
      <c r="C353" s="3" t="s">
        <v>354</v>
      </c>
      <c r="D353" s="4" t="s">
        <v>889</v>
      </c>
      <c r="E353" s="9" t="s">
        <v>148</v>
      </c>
      <c r="F353" s="9" t="s">
        <v>190</v>
      </c>
      <c r="G353" s="16">
        <v>72</v>
      </c>
      <c r="H353" s="16">
        <v>11520000</v>
      </c>
      <c r="I353" s="16">
        <v>0</v>
      </c>
      <c r="J353" s="16">
        <v>0</v>
      </c>
      <c r="K353" s="16">
        <v>0</v>
      </c>
      <c r="L353" s="16">
        <v>0</v>
      </c>
      <c r="M353" s="16"/>
      <c r="N353" s="12">
        <f t="shared" si="10"/>
        <v>0</v>
      </c>
    </row>
    <row r="354" spans="2:14" x14ac:dyDescent="0.35">
      <c r="B354" s="4">
        <f t="shared" si="11"/>
        <v>344</v>
      </c>
      <c r="C354" s="3" t="s">
        <v>279</v>
      </c>
      <c r="D354" s="4" t="s">
        <v>737</v>
      </c>
      <c r="E354" s="9" t="s">
        <v>148</v>
      </c>
      <c r="F354" s="9" t="s">
        <v>21</v>
      </c>
      <c r="G354" s="16">
        <v>0</v>
      </c>
      <c r="H354" s="16">
        <v>0</v>
      </c>
      <c r="I354" s="16">
        <v>0</v>
      </c>
      <c r="J354" s="16">
        <v>0</v>
      </c>
      <c r="K354" s="16">
        <v>0</v>
      </c>
      <c r="L354" s="16">
        <v>0</v>
      </c>
      <c r="M354" s="16"/>
      <c r="N354" s="12">
        <f t="shared" si="10"/>
        <v>0</v>
      </c>
    </row>
    <row r="355" spans="2:14" x14ac:dyDescent="0.35">
      <c r="B355" s="4">
        <f t="shared" si="11"/>
        <v>345</v>
      </c>
      <c r="C355" s="3" t="s">
        <v>279</v>
      </c>
      <c r="D355" s="4" t="s">
        <v>737</v>
      </c>
      <c r="E355" s="9" t="s">
        <v>148</v>
      </c>
      <c r="F355" s="9" t="s">
        <v>22</v>
      </c>
      <c r="G355" s="16">
        <v>292</v>
      </c>
      <c r="H355" s="16">
        <v>57256000</v>
      </c>
      <c r="I355" s="16">
        <v>1</v>
      </c>
      <c r="J355" s="16">
        <v>75000</v>
      </c>
      <c r="K355" s="16">
        <v>7</v>
      </c>
      <c r="L355" s="16">
        <v>1380000</v>
      </c>
      <c r="M355" s="16"/>
      <c r="N355" s="12">
        <f t="shared" si="10"/>
        <v>0</v>
      </c>
    </row>
    <row r="356" spans="2:14" x14ac:dyDescent="0.35">
      <c r="B356" s="4">
        <f t="shared" si="11"/>
        <v>346</v>
      </c>
      <c r="C356" s="3" t="s">
        <v>279</v>
      </c>
      <c r="D356" s="4" t="s">
        <v>737</v>
      </c>
      <c r="E356" s="9" t="s">
        <v>148</v>
      </c>
      <c r="F356" s="9" t="s">
        <v>190</v>
      </c>
      <c r="G356" s="16">
        <v>43</v>
      </c>
      <c r="H356" s="16">
        <v>5555000</v>
      </c>
      <c r="I356" s="16">
        <v>0</v>
      </c>
      <c r="J356" s="16">
        <v>0</v>
      </c>
      <c r="K356" s="16">
        <v>0</v>
      </c>
      <c r="L356" s="16">
        <v>0</v>
      </c>
      <c r="M356" s="16"/>
      <c r="N356" s="12">
        <f t="shared" si="10"/>
        <v>0</v>
      </c>
    </row>
    <row r="357" spans="2:14" x14ac:dyDescent="0.35">
      <c r="B357" s="4">
        <f t="shared" si="11"/>
        <v>347</v>
      </c>
      <c r="C357" s="3" t="s">
        <v>355</v>
      </c>
      <c r="D357" s="4" t="s">
        <v>832</v>
      </c>
      <c r="E357" s="9" t="s">
        <v>171</v>
      </c>
      <c r="F357" s="9" t="s">
        <v>22</v>
      </c>
      <c r="G357" s="16">
        <v>69</v>
      </c>
      <c r="H357" s="16">
        <v>6533000</v>
      </c>
      <c r="I357" s="16">
        <v>15</v>
      </c>
      <c r="J357" s="16">
        <v>1475000</v>
      </c>
      <c r="K357" s="16">
        <v>4</v>
      </c>
      <c r="L357" s="16">
        <v>900000</v>
      </c>
      <c r="M357" s="16"/>
      <c r="N357" s="12">
        <f t="shared" si="10"/>
        <v>0</v>
      </c>
    </row>
    <row r="358" spans="2:14" x14ac:dyDescent="0.35">
      <c r="B358" s="4">
        <f t="shared" si="11"/>
        <v>348</v>
      </c>
      <c r="C358" s="3" t="s">
        <v>355</v>
      </c>
      <c r="D358" s="4" t="s">
        <v>832</v>
      </c>
      <c r="E358" s="9" t="s">
        <v>171</v>
      </c>
      <c r="F358" s="9" t="s">
        <v>190</v>
      </c>
      <c r="G358" s="16">
        <v>0</v>
      </c>
      <c r="H358" s="16">
        <v>0</v>
      </c>
      <c r="I358" s="16">
        <v>1</v>
      </c>
      <c r="J358" s="16">
        <v>125000</v>
      </c>
      <c r="K358" s="16">
        <v>0</v>
      </c>
      <c r="L358" s="16">
        <v>0</v>
      </c>
      <c r="M358" s="16"/>
      <c r="N358" s="12">
        <f t="shared" si="10"/>
        <v>0</v>
      </c>
    </row>
    <row r="359" spans="2:14" x14ac:dyDescent="0.35">
      <c r="B359" s="4">
        <f t="shared" si="11"/>
        <v>349</v>
      </c>
      <c r="C359" s="3" t="s">
        <v>280</v>
      </c>
      <c r="D359" s="4" t="s">
        <v>768</v>
      </c>
      <c r="E359" s="9" t="s">
        <v>171</v>
      </c>
      <c r="F359" s="9" t="s">
        <v>22</v>
      </c>
      <c r="G359" s="16">
        <v>60</v>
      </c>
      <c r="H359" s="16">
        <v>6530000</v>
      </c>
      <c r="I359" s="16">
        <v>29</v>
      </c>
      <c r="J359" s="16">
        <v>2675000</v>
      </c>
      <c r="K359" s="16">
        <v>8</v>
      </c>
      <c r="L359" s="16">
        <v>1800000</v>
      </c>
      <c r="M359" s="16"/>
      <c r="N359" s="12">
        <f t="shared" si="10"/>
        <v>0</v>
      </c>
    </row>
    <row r="360" spans="2:14" x14ac:dyDescent="0.35">
      <c r="B360" s="4">
        <f t="shared" si="11"/>
        <v>350</v>
      </c>
      <c r="C360" s="3" t="s">
        <v>280</v>
      </c>
      <c r="D360" s="4" t="s">
        <v>768</v>
      </c>
      <c r="E360" s="9" t="s">
        <v>171</v>
      </c>
      <c r="F360" s="9" t="s">
        <v>190</v>
      </c>
      <c r="G360" s="16">
        <v>0</v>
      </c>
      <c r="H360" s="16">
        <v>0</v>
      </c>
      <c r="I360" s="16">
        <v>0</v>
      </c>
      <c r="J360" s="16">
        <v>0</v>
      </c>
      <c r="K360" s="16">
        <v>0</v>
      </c>
      <c r="L360" s="16">
        <v>0</v>
      </c>
      <c r="M360" s="16"/>
      <c r="N360" s="12">
        <f t="shared" si="10"/>
        <v>0</v>
      </c>
    </row>
    <row r="361" spans="2:14" x14ac:dyDescent="0.35">
      <c r="B361" s="4">
        <f t="shared" si="11"/>
        <v>351</v>
      </c>
      <c r="C361" s="3" t="s">
        <v>281</v>
      </c>
      <c r="D361" s="4" t="s">
        <v>749</v>
      </c>
      <c r="E361" s="9" t="s">
        <v>171</v>
      </c>
      <c r="F361" s="9" t="s">
        <v>22</v>
      </c>
      <c r="G361" s="16">
        <v>46</v>
      </c>
      <c r="H361" s="16">
        <v>4675000</v>
      </c>
      <c r="I361" s="16">
        <v>25</v>
      </c>
      <c r="J361" s="16">
        <v>2500000</v>
      </c>
      <c r="K361" s="16">
        <v>14</v>
      </c>
      <c r="L361" s="16">
        <v>3450000</v>
      </c>
      <c r="M361" s="16"/>
      <c r="N361" s="12">
        <f t="shared" si="10"/>
        <v>0</v>
      </c>
    </row>
    <row r="362" spans="2:14" x14ac:dyDescent="0.35">
      <c r="B362" s="4">
        <f t="shared" si="11"/>
        <v>352</v>
      </c>
      <c r="C362" s="3" t="s">
        <v>935</v>
      </c>
      <c r="D362" s="4" t="s">
        <v>932</v>
      </c>
      <c r="E362" s="9" t="s">
        <v>171</v>
      </c>
      <c r="F362" s="9" t="s">
        <v>22</v>
      </c>
      <c r="G362" s="16">
        <v>0</v>
      </c>
      <c r="H362" s="16">
        <v>0</v>
      </c>
      <c r="I362" s="16">
        <v>0</v>
      </c>
      <c r="J362" s="16">
        <v>0</v>
      </c>
      <c r="K362" s="16">
        <v>2</v>
      </c>
      <c r="L362" s="16">
        <v>575000</v>
      </c>
      <c r="M362" s="16"/>
      <c r="N362" s="12">
        <f t="shared" si="10"/>
        <v>0</v>
      </c>
    </row>
    <row r="363" spans="2:14" x14ac:dyDescent="0.35">
      <c r="B363" s="4">
        <f t="shared" si="11"/>
        <v>353</v>
      </c>
      <c r="C363" s="3" t="s">
        <v>282</v>
      </c>
      <c r="D363" s="4" t="s">
        <v>777</v>
      </c>
      <c r="E363" s="9" t="s">
        <v>171</v>
      </c>
      <c r="F363" s="9" t="s">
        <v>22</v>
      </c>
      <c r="G363" s="16">
        <v>0</v>
      </c>
      <c r="H363" s="16">
        <v>0</v>
      </c>
      <c r="I363" s="16">
        <v>1</v>
      </c>
      <c r="J363" s="16">
        <v>75000</v>
      </c>
      <c r="K363" s="16">
        <v>0</v>
      </c>
      <c r="L363" s="16">
        <v>0</v>
      </c>
      <c r="M363" s="16"/>
      <c r="N363" s="12">
        <f t="shared" si="10"/>
        <v>0</v>
      </c>
    </row>
    <row r="364" spans="2:14" x14ac:dyDescent="0.35">
      <c r="B364" s="4">
        <f t="shared" si="11"/>
        <v>354</v>
      </c>
      <c r="C364" s="3" t="s">
        <v>356</v>
      </c>
      <c r="D364" s="4" t="s">
        <v>860</v>
      </c>
      <c r="E364" s="9" t="s">
        <v>171</v>
      </c>
      <c r="F364" s="9" t="s">
        <v>20</v>
      </c>
      <c r="G364" s="16">
        <v>1</v>
      </c>
      <c r="H364" s="16">
        <v>140000</v>
      </c>
      <c r="I364" s="16">
        <v>0</v>
      </c>
      <c r="J364" s="16">
        <v>0</v>
      </c>
      <c r="K364" s="16">
        <v>0</v>
      </c>
      <c r="L364" s="16">
        <v>0</v>
      </c>
      <c r="M364" s="16"/>
      <c r="N364" s="12">
        <f t="shared" si="10"/>
        <v>0</v>
      </c>
    </row>
    <row r="365" spans="2:14" x14ac:dyDescent="0.35">
      <c r="B365" s="4">
        <f t="shared" si="11"/>
        <v>355</v>
      </c>
      <c r="C365" s="3" t="s">
        <v>356</v>
      </c>
      <c r="D365" s="4" t="s">
        <v>860</v>
      </c>
      <c r="E365" s="9" t="s">
        <v>171</v>
      </c>
      <c r="F365" s="9" t="s">
        <v>22</v>
      </c>
      <c r="G365" s="16">
        <v>82</v>
      </c>
      <c r="H365" s="16">
        <v>8500000</v>
      </c>
      <c r="I365" s="16">
        <v>46</v>
      </c>
      <c r="J365" s="16">
        <v>4078000</v>
      </c>
      <c r="K365" s="16">
        <v>13</v>
      </c>
      <c r="L365" s="16">
        <v>3250000</v>
      </c>
      <c r="M365" s="16"/>
      <c r="N365" s="12">
        <f t="shared" si="10"/>
        <v>0</v>
      </c>
    </row>
    <row r="366" spans="2:14" x14ac:dyDescent="0.35">
      <c r="B366" s="4">
        <f t="shared" si="11"/>
        <v>356</v>
      </c>
      <c r="C366" s="3" t="s">
        <v>356</v>
      </c>
      <c r="D366" s="4" t="s">
        <v>860</v>
      </c>
      <c r="E366" s="9" t="s">
        <v>171</v>
      </c>
      <c r="F366" s="9" t="s">
        <v>190</v>
      </c>
      <c r="G366" s="16">
        <v>19</v>
      </c>
      <c r="H366" s="16">
        <v>2550000</v>
      </c>
      <c r="I366" s="16">
        <v>0</v>
      </c>
      <c r="J366" s="16">
        <v>0</v>
      </c>
      <c r="K366" s="16">
        <v>0</v>
      </c>
      <c r="L366" s="16">
        <v>0</v>
      </c>
      <c r="M366" s="16"/>
      <c r="N366" s="12">
        <f t="shared" si="10"/>
        <v>0</v>
      </c>
    </row>
    <row r="367" spans="2:14" x14ac:dyDescent="0.35">
      <c r="B367" s="4">
        <f t="shared" si="11"/>
        <v>357</v>
      </c>
      <c r="C367" s="3" t="s">
        <v>395</v>
      </c>
      <c r="D367" s="4" t="s">
        <v>916</v>
      </c>
      <c r="E367" s="9" t="s">
        <v>177</v>
      </c>
      <c r="F367" s="9" t="s">
        <v>22</v>
      </c>
      <c r="G367" s="16">
        <v>265</v>
      </c>
      <c r="H367" s="16">
        <v>27363000</v>
      </c>
      <c r="I367" s="16">
        <v>18</v>
      </c>
      <c r="J367" s="16">
        <v>3080000</v>
      </c>
      <c r="K367" s="16">
        <v>9</v>
      </c>
      <c r="L367" s="16">
        <v>2850000</v>
      </c>
      <c r="M367" s="16"/>
      <c r="N367" s="12">
        <f t="shared" si="10"/>
        <v>0</v>
      </c>
    </row>
    <row r="368" spans="2:14" x14ac:dyDescent="0.35">
      <c r="B368" s="4">
        <f t="shared" si="11"/>
        <v>358</v>
      </c>
      <c r="C368" s="3" t="s">
        <v>395</v>
      </c>
      <c r="D368" s="4" t="s">
        <v>916</v>
      </c>
      <c r="E368" s="9" t="s">
        <v>177</v>
      </c>
      <c r="F368" s="9" t="s">
        <v>19</v>
      </c>
      <c r="G368" s="16">
        <v>19</v>
      </c>
      <c r="H368" s="16">
        <v>98890000</v>
      </c>
      <c r="I368" s="16">
        <v>0</v>
      </c>
      <c r="J368" s="16">
        <v>0</v>
      </c>
      <c r="K368" s="16">
        <v>0</v>
      </c>
      <c r="L368" s="16">
        <v>0</v>
      </c>
      <c r="M368" s="16"/>
      <c r="N368" s="12">
        <f t="shared" si="10"/>
        <v>0</v>
      </c>
    </row>
    <row r="369" spans="2:14" x14ac:dyDescent="0.35">
      <c r="B369" s="4">
        <f t="shared" si="11"/>
        <v>359</v>
      </c>
      <c r="C369" s="3" t="s">
        <v>395</v>
      </c>
      <c r="D369" s="4" t="s">
        <v>916</v>
      </c>
      <c r="E369" s="9" t="s">
        <v>177</v>
      </c>
      <c r="F369" s="9" t="s">
        <v>190</v>
      </c>
      <c r="G369" s="16">
        <v>13</v>
      </c>
      <c r="H369" s="16">
        <v>1625000</v>
      </c>
      <c r="I369" s="16">
        <v>0</v>
      </c>
      <c r="J369" s="16">
        <v>0</v>
      </c>
      <c r="K369" s="16">
        <v>0</v>
      </c>
      <c r="L369" s="16">
        <v>0</v>
      </c>
      <c r="M369" s="16"/>
      <c r="N369" s="12">
        <f t="shared" si="10"/>
        <v>0</v>
      </c>
    </row>
    <row r="370" spans="2:14" x14ac:dyDescent="0.35">
      <c r="B370" s="4">
        <f t="shared" si="11"/>
        <v>360</v>
      </c>
      <c r="C370" s="3" t="s">
        <v>241</v>
      </c>
      <c r="D370" s="4" t="s">
        <v>835</v>
      </c>
      <c r="E370" s="9" t="s">
        <v>177</v>
      </c>
      <c r="F370" s="9" t="s">
        <v>22</v>
      </c>
      <c r="G370" s="16">
        <v>430</v>
      </c>
      <c r="H370" s="16">
        <v>31026000</v>
      </c>
      <c r="I370" s="16">
        <v>0</v>
      </c>
      <c r="J370" s="16">
        <v>0</v>
      </c>
      <c r="K370" s="16">
        <v>8</v>
      </c>
      <c r="L370" s="16">
        <v>2118000</v>
      </c>
      <c r="M370" s="16"/>
      <c r="N370" s="12">
        <f t="shared" si="10"/>
        <v>0</v>
      </c>
    </row>
    <row r="371" spans="2:14" x14ac:dyDescent="0.35">
      <c r="B371" s="4">
        <f t="shared" si="11"/>
        <v>361</v>
      </c>
      <c r="C371" s="3" t="s">
        <v>241</v>
      </c>
      <c r="D371" s="4" t="s">
        <v>835</v>
      </c>
      <c r="E371" s="9" t="s">
        <v>177</v>
      </c>
      <c r="F371" s="9" t="s">
        <v>19</v>
      </c>
      <c r="G371" s="16">
        <v>12</v>
      </c>
      <c r="H371" s="16">
        <v>336110000</v>
      </c>
      <c r="I371" s="16">
        <v>0</v>
      </c>
      <c r="J371" s="16">
        <v>0</v>
      </c>
      <c r="K371" s="16">
        <v>1</v>
      </c>
      <c r="L371" s="16">
        <v>10466000</v>
      </c>
      <c r="M371" s="16"/>
      <c r="N371" s="12">
        <f t="shared" si="10"/>
        <v>0</v>
      </c>
    </row>
    <row r="372" spans="2:14" x14ac:dyDescent="0.35">
      <c r="B372" s="4">
        <f t="shared" si="11"/>
        <v>362</v>
      </c>
      <c r="C372" s="3" t="s">
        <v>241</v>
      </c>
      <c r="D372" s="4" t="s">
        <v>835</v>
      </c>
      <c r="E372" s="9" t="s">
        <v>177</v>
      </c>
      <c r="F372" s="9" t="s">
        <v>190</v>
      </c>
      <c r="G372" s="16">
        <v>12</v>
      </c>
      <c r="H372" s="16">
        <v>1515000</v>
      </c>
      <c r="I372" s="16">
        <v>0</v>
      </c>
      <c r="J372" s="16">
        <v>0</v>
      </c>
      <c r="K372" s="16">
        <v>0</v>
      </c>
      <c r="L372" s="16">
        <v>0</v>
      </c>
      <c r="M372" s="16"/>
      <c r="N372" s="12">
        <f t="shared" si="10"/>
        <v>0</v>
      </c>
    </row>
    <row r="373" spans="2:14" x14ac:dyDescent="0.35">
      <c r="B373" s="4">
        <f t="shared" si="11"/>
        <v>363</v>
      </c>
      <c r="C373" s="3" t="s">
        <v>205</v>
      </c>
      <c r="D373" s="4" t="s">
        <v>753</v>
      </c>
      <c r="E373" s="9" t="s">
        <v>177</v>
      </c>
      <c r="F373" s="9" t="s">
        <v>22</v>
      </c>
      <c r="G373" s="16">
        <v>531</v>
      </c>
      <c r="H373" s="16">
        <v>60962000</v>
      </c>
      <c r="I373" s="16">
        <v>49</v>
      </c>
      <c r="J373" s="16">
        <v>3550000</v>
      </c>
      <c r="K373" s="16">
        <v>6</v>
      </c>
      <c r="L373" s="16">
        <v>1809000</v>
      </c>
      <c r="M373" s="16"/>
      <c r="N373" s="12">
        <f t="shared" si="10"/>
        <v>0</v>
      </c>
    </row>
    <row r="374" spans="2:14" x14ac:dyDescent="0.35">
      <c r="B374" s="4">
        <f t="shared" si="11"/>
        <v>364</v>
      </c>
      <c r="C374" s="3" t="s">
        <v>206</v>
      </c>
      <c r="D374" s="4" t="s">
        <v>714</v>
      </c>
      <c r="E374" s="9" t="s">
        <v>177</v>
      </c>
      <c r="F374" s="9" t="s">
        <v>22</v>
      </c>
      <c r="G374" s="16">
        <v>461</v>
      </c>
      <c r="H374" s="16">
        <v>36529000</v>
      </c>
      <c r="I374" s="16">
        <v>23</v>
      </c>
      <c r="J374" s="16">
        <v>1680000</v>
      </c>
      <c r="K374" s="16">
        <v>0</v>
      </c>
      <c r="L374" s="16">
        <v>0</v>
      </c>
      <c r="M374" s="16"/>
      <c r="N374" s="12">
        <f t="shared" si="10"/>
        <v>0</v>
      </c>
    </row>
    <row r="375" spans="2:14" x14ac:dyDescent="0.35">
      <c r="B375" s="4">
        <f t="shared" si="11"/>
        <v>365</v>
      </c>
      <c r="C375" s="3" t="s">
        <v>206</v>
      </c>
      <c r="D375" s="4" t="s">
        <v>714</v>
      </c>
      <c r="E375" s="9" t="s">
        <v>177</v>
      </c>
      <c r="F375" s="9" t="s">
        <v>19</v>
      </c>
      <c r="G375" s="16">
        <v>25</v>
      </c>
      <c r="H375" s="16">
        <v>134060000</v>
      </c>
      <c r="I375" s="16">
        <v>0</v>
      </c>
      <c r="J375" s="16">
        <v>0</v>
      </c>
      <c r="K375" s="16">
        <v>0</v>
      </c>
      <c r="L375" s="16">
        <v>0</v>
      </c>
      <c r="M375" s="16"/>
      <c r="N375" s="12">
        <f t="shared" si="10"/>
        <v>0</v>
      </c>
    </row>
    <row r="376" spans="2:14" x14ac:dyDescent="0.35">
      <c r="B376" s="4">
        <f t="shared" si="11"/>
        <v>366</v>
      </c>
      <c r="C376" s="3" t="s">
        <v>206</v>
      </c>
      <c r="D376" s="4" t="s">
        <v>714</v>
      </c>
      <c r="E376" s="9" t="s">
        <v>177</v>
      </c>
      <c r="F376" s="9" t="s">
        <v>190</v>
      </c>
      <c r="G376" s="16">
        <v>13</v>
      </c>
      <c r="H376" s="16">
        <v>1625000</v>
      </c>
      <c r="I376" s="16">
        <v>0</v>
      </c>
      <c r="J376" s="16">
        <v>0</v>
      </c>
      <c r="K376" s="16">
        <v>0</v>
      </c>
      <c r="L376" s="16">
        <v>0</v>
      </c>
      <c r="M376" s="16"/>
      <c r="N376" s="12">
        <f t="shared" si="10"/>
        <v>0</v>
      </c>
    </row>
    <row r="377" spans="2:14" x14ac:dyDescent="0.35">
      <c r="B377" s="4">
        <f t="shared" si="11"/>
        <v>367</v>
      </c>
      <c r="C377" s="3" t="s">
        <v>242</v>
      </c>
      <c r="D377" s="4" t="s">
        <v>839</v>
      </c>
      <c r="E377" s="9" t="s">
        <v>177</v>
      </c>
      <c r="F377" s="9" t="s">
        <v>22</v>
      </c>
      <c r="G377" s="16">
        <v>842</v>
      </c>
      <c r="H377" s="16">
        <v>76355000</v>
      </c>
      <c r="I377" s="16">
        <v>49</v>
      </c>
      <c r="J377" s="16">
        <v>4169000</v>
      </c>
      <c r="K377" s="16">
        <v>4</v>
      </c>
      <c r="L377" s="16">
        <v>809000</v>
      </c>
      <c r="M377" s="16"/>
      <c r="N377" s="12">
        <f t="shared" si="10"/>
        <v>0</v>
      </c>
    </row>
    <row r="378" spans="2:14" x14ac:dyDescent="0.35">
      <c r="B378" s="4">
        <f t="shared" si="11"/>
        <v>368</v>
      </c>
      <c r="C378" s="3" t="s">
        <v>242</v>
      </c>
      <c r="D378" s="4" t="s">
        <v>839</v>
      </c>
      <c r="E378" s="9" t="s">
        <v>177</v>
      </c>
      <c r="F378" s="9" t="s">
        <v>19</v>
      </c>
      <c r="G378" s="16">
        <v>17</v>
      </c>
      <c r="H378" s="16">
        <v>108040000</v>
      </c>
      <c r="I378" s="16">
        <v>0</v>
      </c>
      <c r="J378" s="16">
        <v>0</v>
      </c>
      <c r="K378" s="16">
        <v>0</v>
      </c>
      <c r="L378" s="16">
        <v>0</v>
      </c>
      <c r="M378" s="16"/>
      <c r="N378" s="12">
        <f t="shared" si="10"/>
        <v>0</v>
      </c>
    </row>
    <row r="379" spans="2:14" x14ac:dyDescent="0.35">
      <c r="B379" s="4">
        <f t="shared" si="11"/>
        <v>369</v>
      </c>
      <c r="C379" s="3" t="s">
        <v>242</v>
      </c>
      <c r="D379" s="4" t="s">
        <v>839</v>
      </c>
      <c r="E379" s="9" t="s">
        <v>177</v>
      </c>
      <c r="F379" s="9" t="s">
        <v>190</v>
      </c>
      <c r="G379" s="16">
        <v>4</v>
      </c>
      <c r="H379" s="16">
        <v>500000</v>
      </c>
      <c r="I379" s="16">
        <v>0</v>
      </c>
      <c r="J379" s="16">
        <v>0</v>
      </c>
      <c r="K379" s="16">
        <v>0</v>
      </c>
      <c r="L379" s="16">
        <v>0</v>
      </c>
      <c r="M379" s="16"/>
      <c r="N379" s="12">
        <f t="shared" si="10"/>
        <v>0</v>
      </c>
    </row>
    <row r="380" spans="2:14" x14ac:dyDescent="0.35">
      <c r="B380" s="4">
        <f t="shared" si="11"/>
        <v>370</v>
      </c>
      <c r="C380" s="3" t="s">
        <v>207</v>
      </c>
      <c r="D380" s="4" t="s">
        <v>728</v>
      </c>
      <c r="E380" s="9" t="s">
        <v>177</v>
      </c>
      <c r="F380" s="9" t="s">
        <v>22</v>
      </c>
      <c r="G380" s="16">
        <v>517</v>
      </c>
      <c r="H380" s="16">
        <v>64005000</v>
      </c>
      <c r="I380" s="16">
        <v>3</v>
      </c>
      <c r="J380" s="16">
        <v>213000</v>
      </c>
      <c r="K380" s="16">
        <v>23</v>
      </c>
      <c r="L380" s="16">
        <v>5204000</v>
      </c>
      <c r="M380" s="16"/>
      <c r="N380" s="12">
        <f t="shared" si="10"/>
        <v>0</v>
      </c>
    </row>
    <row r="381" spans="2:14" x14ac:dyDescent="0.35">
      <c r="B381" s="4">
        <f t="shared" si="11"/>
        <v>371</v>
      </c>
      <c r="C381" s="3" t="s">
        <v>207</v>
      </c>
      <c r="D381" s="4" t="s">
        <v>728</v>
      </c>
      <c r="E381" s="9" t="s">
        <v>177</v>
      </c>
      <c r="F381" s="9" t="s">
        <v>19</v>
      </c>
      <c r="G381" s="16">
        <v>17</v>
      </c>
      <c r="H381" s="16">
        <v>344160000</v>
      </c>
      <c r="I381" s="16">
        <v>1</v>
      </c>
      <c r="J381" s="16">
        <v>41902000</v>
      </c>
      <c r="K381" s="16">
        <v>0</v>
      </c>
      <c r="L381" s="16">
        <v>0</v>
      </c>
      <c r="M381" s="16"/>
      <c r="N381" s="12">
        <f t="shared" si="10"/>
        <v>0</v>
      </c>
    </row>
    <row r="382" spans="2:14" x14ac:dyDescent="0.35">
      <c r="B382" s="4">
        <f t="shared" si="11"/>
        <v>372</v>
      </c>
      <c r="C382" s="3" t="s">
        <v>207</v>
      </c>
      <c r="D382" s="4" t="s">
        <v>728</v>
      </c>
      <c r="E382" s="9" t="s">
        <v>177</v>
      </c>
      <c r="F382" s="9" t="s">
        <v>190</v>
      </c>
      <c r="G382" s="16">
        <v>14</v>
      </c>
      <c r="H382" s="16">
        <v>1785000</v>
      </c>
      <c r="I382" s="16">
        <v>1</v>
      </c>
      <c r="J382" s="16">
        <v>180000</v>
      </c>
      <c r="K382" s="16">
        <v>0</v>
      </c>
      <c r="L382" s="16">
        <v>0</v>
      </c>
      <c r="M382" s="16"/>
      <c r="N382" s="12">
        <f t="shared" si="10"/>
        <v>0</v>
      </c>
    </row>
    <row r="383" spans="2:14" x14ac:dyDescent="0.35">
      <c r="B383" s="4">
        <f t="shared" si="11"/>
        <v>373</v>
      </c>
      <c r="C383" s="3" t="s">
        <v>359</v>
      </c>
      <c r="D383" s="4" t="s">
        <v>866</v>
      </c>
      <c r="E383" s="9" t="s">
        <v>163</v>
      </c>
      <c r="F383" s="9" t="s">
        <v>20</v>
      </c>
      <c r="G383" s="16">
        <v>24</v>
      </c>
      <c r="H383" s="16">
        <v>4140000</v>
      </c>
      <c r="I383" s="16">
        <v>0</v>
      </c>
      <c r="J383" s="16">
        <v>0</v>
      </c>
      <c r="K383" s="16">
        <v>0</v>
      </c>
      <c r="L383" s="16">
        <v>0</v>
      </c>
      <c r="M383" s="16"/>
      <c r="N383" s="12">
        <f t="shared" si="10"/>
        <v>0</v>
      </c>
    </row>
    <row r="384" spans="2:14" x14ac:dyDescent="0.35">
      <c r="B384" s="4">
        <f t="shared" si="11"/>
        <v>374</v>
      </c>
      <c r="C384" s="3" t="s">
        <v>359</v>
      </c>
      <c r="D384" s="4" t="s">
        <v>866</v>
      </c>
      <c r="E384" s="9" t="s">
        <v>163</v>
      </c>
      <c r="F384" s="9" t="s">
        <v>21</v>
      </c>
      <c r="G384" s="16">
        <v>0</v>
      </c>
      <c r="H384" s="16">
        <v>0</v>
      </c>
      <c r="I384" s="16">
        <v>0</v>
      </c>
      <c r="J384" s="16">
        <v>0</v>
      </c>
      <c r="K384" s="16">
        <v>0</v>
      </c>
      <c r="L384" s="16">
        <v>0</v>
      </c>
      <c r="M384" s="16"/>
      <c r="N384" s="12">
        <f t="shared" si="10"/>
        <v>0</v>
      </c>
    </row>
    <row r="385" spans="2:14" x14ac:dyDescent="0.35">
      <c r="B385" s="4">
        <f t="shared" si="11"/>
        <v>375</v>
      </c>
      <c r="C385" s="3" t="s">
        <v>359</v>
      </c>
      <c r="D385" s="4" t="s">
        <v>866</v>
      </c>
      <c r="E385" s="9" t="s">
        <v>163</v>
      </c>
      <c r="F385" s="9" t="s">
        <v>22</v>
      </c>
      <c r="G385" s="16">
        <v>106</v>
      </c>
      <c r="H385" s="16">
        <v>343608000</v>
      </c>
      <c r="I385" s="16">
        <v>3</v>
      </c>
      <c r="J385" s="16">
        <v>225000</v>
      </c>
      <c r="K385" s="16">
        <v>15</v>
      </c>
      <c r="L385" s="16">
        <v>3750000</v>
      </c>
      <c r="M385" s="16"/>
      <c r="N385" s="12">
        <f t="shared" si="10"/>
        <v>0</v>
      </c>
    </row>
    <row r="386" spans="2:14" x14ac:dyDescent="0.35">
      <c r="B386" s="4">
        <f t="shared" si="11"/>
        <v>376</v>
      </c>
      <c r="C386" s="3" t="s">
        <v>359</v>
      </c>
      <c r="D386" s="4" t="s">
        <v>866</v>
      </c>
      <c r="E386" s="9" t="s">
        <v>163</v>
      </c>
      <c r="F386" s="9" t="s">
        <v>190</v>
      </c>
      <c r="G386" s="16">
        <v>154</v>
      </c>
      <c r="H386" s="16">
        <v>22680000</v>
      </c>
      <c r="I386" s="16">
        <v>0</v>
      </c>
      <c r="J386" s="16">
        <v>0</v>
      </c>
      <c r="K386" s="16">
        <v>0</v>
      </c>
      <c r="L386" s="16">
        <v>0</v>
      </c>
      <c r="M386" s="16"/>
      <c r="N386" s="12">
        <f t="shared" si="10"/>
        <v>0</v>
      </c>
    </row>
    <row r="387" spans="2:14" x14ac:dyDescent="0.35">
      <c r="B387" s="4">
        <f t="shared" si="11"/>
        <v>377</v>
      </c>
      <c r="C387" s="3" t="s">
        <v>360</v>
      </c>
      <c r="D387" s="4" t="s">
        <v>870</v>
      </c>
      <c r="E387" s="9" t="s">
        <v>163</v>
      </c>
      <c r="F387" s="9" t="s">
        <v>20</v>
      </c>
      <c r="G387" s="16">
        <v>15</v>
      </c>
      <c r="H387" s="16">
        <v>2520000</v>
      </c>
      <c r="I387" s="16">
        <v>0</v>
      </c>
      <c r="J387" s="16">
        <v>0</v>
      </c>
      <c r="K387" s="16">
        <v>3</v>
      </c>
      <c r="L387" s="16">
        <v>490000</v>
      </c>
      <c r="M387" s="16"/>
      <c r="N387" s="12">
        <f t="shared" si="10"/>
        <v>0</v>
      </c>
    </row>
    <row r="388" spans="2:14" x14ac:dyDescent="0.35">
      <c r="B388" s="4">
        <f t="shared" si="11"/>
        <v>378</v>
      </c>
      <c r="C388" s="3" t="s">
        <v>360</v>
      </c>
      <c r="D388" s="4" t="s">
        <v>870</v>
      </c>
      <c r="E388" s="9" t="s">
        <v>163</v>
      </c>
      <c r="F388" s="9" t="s">
        <v>21</v>
      </c>
      <c r="G388" s="16">
        <v>0</v>
      </c>
      <c r="H388" s="16">
        <v>0</v>
      </c>
      <c r="I388" s="16">
        <v>0</v>
      </c>
      <c r="J388" s="16">
        <v>0</v>
      </c>
      <c r="K388" s="16">
        <v>0</v>
      </c>
      <c r="L388" s="16">
        <v>0</v>
      </c>
      <c r="M388" s="16"/>
      <c r="N388" s="12">
        <f t="shared" si="10"/>
        <v>0</v>
      </c>
    </row>
    <row r="389" spans="2:14" x14ac:dyDescent="0.35">
      <c r="B389" s="4">
        <f t="shared" si="11"/>
        <v>379</v>
      </c>
      <c r="C389" s="3" t="s">
        <v>360</v>
      </c>
      <c r="D389" s="4" t="s">
        <v>870</v>
      </c>
      <c r="E389" s="9" t="s">
        <v>163</v>
      </c>
      <c r="F389" s="9" t="s">
        <v>22</v>
      </c>
      <c r="G389" s="16">
        <v>176</v>
      </c>
      <c r="H389" s="16">
        <v>13528000</v>
      </c>
      <c r="I389" s="16">
        <v>8</v>
      </c>
      <c r="J389" s="16">
        <v>703000</v>
      </c>
      <c r="K389" s="16">
        <v>3</v>
      </c>
      <c r="L389" s="16">
        <v>750000</v>
      </c>
      <c r="M389" s="16"/>
      <c r="N389" s="12">
        <f t="shared" si="10"/>
        <v>0</v>
      </c>
    </row>
    <row r="390" spans="2:14" x14ac:dyDescent="0.35">
      <c r="B390" s="4">
        <f t="shared" si="11"/>
        <v>380</v>
      </c>
      <c r="C390" s="3" t="s">
        <v>360</v>
      </c>
      <c r="D390" s="4" t="s">
        <v>870</v>
      </c>
      <c r="E390" s="9" t="s">
        <v>163</v>
      </c>
      <c r="F390" s="9" t="s">
        <v>19</v>
      </c>
      <c r="G390" s="16">
        <v>1</v>
      </c>
      <c r="H390" s="16">
        <v>11639000</v>
      </c>
      <c r="I390" s="16">
        <v>0</v>
      </c>
      <c r="J390" s="16">
        <v>0</v>
      </c>
      <c r="K390" s="16">
        <v>0</v>
      </c>
      <c r="L390" s="16">
        <v>0</v>
      </c>
      <c r="M390" s="16"/>
      <c r="N390" s="12">
        <f t="shared" si="10"/>
        <v>0</v>
      </c>
    </row>
    <row r="391" spans="2:14" x14ac:dyDescent="0.35">
      <c r="B391" s="4">
        <f t="shared" si="11"/>
        <v>381</v>
      </c>
      <c r="C391" s="3" t="s">
        <v>360</v>
      </c>
      <c r="D391" s="4" t="s">
        <v>870</v>
      </c>
      <c r="E391" s="9" t="s">
        <v>163</v>
      </c>
      <c r="F391" s="9" t="s">
        <v>190</v>
      </c>
      <c r="G391" s="16">
        <v>160</v>
      </c>
      <c r="H391" s="16">
        <v>22835000</v>
      </c>
      <c r="I391" s="16">
        <v>0</v>
      </c>
      <c r="J391" s="16">
        <v>0</v>
      </c>
      <c r="K391" s="16">
        <v>3</v>
      </c>
      <c r="L391" s="16">
        <v>480000</v>
      </c>
      <c r="M391" s="16"/>
      <c r="N391" s="12">
        <f t="shared" si="10"/>
        <v>0</v>
      </c>
    </row>
    <row r="392" spans="2:14" x14ac:dyDescent="0.35">
      <c r="B392" s="4">
        <f t="shared" si="11"/>
        <v>382</v>
      </c>
      <c r="C392" s="3" t="s">
        <v>309</v>
      </c>
      <c r="D392" s="4" t="s">
        <v>772</v>
      </c>
      <c r="E392" s="9" t="s">
        <v>163</v>
      </c>
      <c r="F392" s="9" t="s">
        <v>20</v>
      </c>
      <c r="G392" s="16">
        <v>14</v>
      </c>
      <c r="H392" s="16">
        <v>2450000</v>
      </c>
      <c r="I392" s="16">
        <v>0</v>
      </c>
      <c r="J392" s="16">
        <v>0</v>
      </c>
      <c r="K392" s="16">
        <v>0</v>
      </c>
      <c r="L392" s="16">
        <v>0</v>
      </c>
      <c r="M392" s="16"/>
      <c r="N392" s="12">
        <f t="shared" si="10"/>
        <v>0</v>
      </c>
    </row>
    <row r="393" spans="2:14" x14ac:dyDescent="0.35">
      <c r="B393" s="4">
        <f t="shared" si="11"/>
        <v>383</v>
      </c>
      <c r="C393" s="3" t="s">
        <v>309</v>
      </c>
      <c r="D393" s="4" t="s">
        <v>772</v>
      </c>
      <c r="E393" s="9" t="s">
        <v>163</v>
      </c>
      <c r="F393" s="9" t="s">
        <v>21</v>
      </c>
      <c r="G393" s="16">
        <v>0</v>
      </c>
      <c r="H393" s="16">
        <v>0</v>
      </c>
      <c r="I393" s="16">
        <v>0</v>
      </c>
      <c r="J393" s="16">
        <v>0</v>
      </c>
      <c r="K393" s="16">
        <v>0</v>
      </c>
      <c r="L393" s="16">
        <v>0</v>
      </c>
      <c r="M393" s="16"/>
      <c r="N393" s="12">
        <f t="shared" si="10"/>
        <v>0</v>
      </c>
    </row>
    <row r="394" spans="2:14" x14ac:dyDescent="0.35">
      <c r="B394" s="4">
        <f t="shared" si="11"/>
        <v>384</v>
      </c>
      <c r="C394" s="3" t="s">
        <v>309</v>
      </c>
      <c r="D394" s="4" t="s">
        <v>772</v>
      </c>
      <c r="E394" s="9" t="s">
        <v>163</v>
      </c>
      <c r="F394" s="9" t="s">
        <v>22</v>
      </c>
      <c r="G394" s="16">
        <v>203</v>
      </c>
      <c r="H394" s="16">
        <v>18380000</v>
      </c>
      <c r="I394" s="16">
        <v>8</v>
      </c>
      <c r="J394" s="16">
        <v>600000</v>
      </c>
      <c r="K394" s="16">
        <v>11</v>
      </c>
      <c r="L394" s="16">
        <v>2750000</v>
      </c>
      <c r="M394" s="16"/>
      <c r="N394" s="12">
        <f t="shared" si="10"/>
        <v>0</v>
      </c>
    </row>
    <row r="395" spans="2:14" x14ac:dyDescent="0.35">
      <c r="B395" s="4">
        <f t="shared" si="11"/>
        <v>385</v>
      </c>
      <c r="C395" s="3" t="s">
        <v>309</v>
      </c>
      <c r="D395" s="4" t="s">
        <v>772</v>
      </c>
      <c r="E395" s="9" t="s">
        <v>163</v>
      </c>
      <c r="F395" s="9" t="s">
        <v>190</v>
      </c>
      <c r="G395" s="16">
        <v>189</v>
      </c>
      <c r="H395" s="16">
        <v>26880000</v>
      </c>
      <c r="I395" s="16">
        <v>6</v>
      </c>
      <c r="J395" s="16">
        <v>750000</v>
      </c>
      <c r="K395" s="16">
        <v>0</v>
      </c>
      <c r="L395" s="16">
        <v>0</v>
      </c>
      <c r="M395" s="16"/>
      <c r="N395" s="12">
        <f t="shared" ref="N395:N458" si="12">IFERROR((G395/M395)*100%, 0)</f>
        <v>0</v>
      </c>
    </row>
    <row r="396" spans="2:14" x14ac:dyDescent="0.35">
      <c r="B396" s="4">
        <f t="shared" si="11"/>
        <v>386</v>
      </c>
      <c r="C396" s="3" t="s">
        <v>338</v>
      </c>
      <c r="D396" s="4" t="s">
        <v>822</v>
      </c>
      <c r="E396" s="9" t="s">
        <v>163</v>
      </c>
      <c r="F396" s="9" t="s">
        <v>20</v>
      </c>
      <c r="G396" s="16">
        <v>3</v>
      </c>
      <c r="H396" s="16">
        <v>525000</v>
      </c>
      <c r="I396" s="16">
        <v>1</v>
      </c>
      <c r="J396" s="16">
        <v>175000</v>
      </c>
      <c r="K396" s="16">
        <v>0</v>
      </c>
      <c r="L396" s="16">
        <v>0</v>
      </c>
      <c r="M396" s="16"/>
      <c r="N396" s="12">
        <f t="shared" si="12"/>
        <v>0</v>
      </c>
    </row>
    <row r="397" spans="2:14" x14ac:dyDescent="0.35">
      <c r="B397" s="4">
        <f t="shared" ref="B397:B460" si="13">B396+1</f>
        <v>387</v>
      </c>
      <c r="C397" s="3" t="s">
        <v>338</v>
      </c>
      <c r="D397" s="4" t="s">
        <v>822</v>
      </c>
      <c r="E397" s="9" t="s">
        <v>163</v>
      </c>
      <c r="F397" s="9" t="s">
        <v>21</v>
      </c>
      <c r="G397" s="16">
        <v>0</v>
      </c>
      <c r="H397" s="16">
        <v>0</v>
      </c>
      <c r="I397" s="16">
        <v>0</v>
      </c>
      <c r="J397" s="16">
        <v>0</v>
      </c>
      <c r="K397" s="16">
        <v>0</v>
      </c>
      <c r="L397" s="16">
        <v>0</v>
      </c>
      <c r="M397" s="16"/>
      <c r="N397" s="12">
        <f t="shared" si="12"/>
        <v>0</v>
      </c>
    </row>
    <row r="398" spans="2:14" x14ac:dyDescent="0.35">
      <c r="B398" s="4">
        <f t="shared" si="13"/>
        <v>388</v>
      </c>
      <c r="C398" s="3" t="s">
        <v>338</v>
      </c>
      <c r="D398" s="4" t="s">
        <v>822</v>
      </c>
      <c r="E398" s="9" t="s">
        <v>163</v>
      </c>
      <c r="F398" s="9" t="s">
        <v>22</v>
      </c>
      <c r="G398" s="16">
        <v>238</v>
      </c>
      <c r="H398" s="16">
        <v>18915000</v>
      </c>
      <c r="I398" s="16">
        <v>4</v>
      </c>
      <c r="J398" s="16">
        <v>300000</v>
      </c>
      <c r="K398" s="16">
        <v>3</v>
      </c>
      <c r="L398" s="16">
        <v>750000</v>
      </c>
      <c r="M398" s="16"/>
      <c r="N398" s="12">
        <f t="shared" si="12"/>
        <v>0</v>
      </c>
    </row>
    <row r="399" spans="2:14" x14ac:dyDescent="0.35">
      <c r="B399" s="4">
        <f t="shared" si="13"/>
        <v>389</v>
      </c>
      <c r="C399" s="3" t="s">
        <v>338</v>
      </c>
      <c r="D399" s="4" t="s">
        <v>822</v>
      </c>
      <c r="E399" s="9" t="s">
        <v>163</v>
      </c>
      <c r="F399" s="9" t="s">
        <v>190</v>
      </c>
      <c r="G399" s="16">
        <v>37</v>
      </c>
      <c r="H399" s="16">
        <v>5255000</v>
      </c>
      <c r="I399" s="16">
        <v>4</v>
      </c>
      <c r="J399" s="16">
        <v>700000</v>
      </c>
      <c r="K399" s="16">
        <v>0</v>
      </c>
      <c r="L399" s="16">
        <v>0</v>
      </c>
      <c r="M399" s="16"/>
      <c r="N399" s="12">
        <f t="shared" si="12"/>
        <v>0</v>
      </c>
    </row>
    <row r="400" spans="2:14" x14ac:dyDescent="0.35">
      <c r="B400" s="4">
        <f t="shared" si="13"/>
        <v>390</v>
      </c>
      <c r="C400" s="4" t="s">
        <v>310</v>
      </c>
      <c r="D400" s="4" t="s">
        <v>755</v>
      </c>
      <c r="E400" s="9" t="s">
        <v>163</v>
      </c>
      <c r="F400" s="9" t="s">
        <v>20</v>
      </c>
      <c r="G400" s="16">
        <v>5</v>
      </c>
      <c r="H400" s="16">
        <v>805000</v>
      </c>
      <c r="I400" s="16">
        <v>1</v>
      </c>
      <c r="J400" s="16">
        <v>175000</v>
      </c>
      <c r="K400" s="16">
        <v>0</v>
      </c>
      <c r="L400" s="16">
        <v>0</v>
      </c>
      <c r="M400" s="16"/>
      <c r="N400" s="12">
        <f t="shared" si="12"/>
        <v>0</v>
      </c>
    </row>
    <row r="401" spans="2:14" x14ac:dyDescent="0.35">
      <c r="B401" s="4">
        <f t="shared" si="13"/>
        <v>391</v>
      </c>
      <c r="C401" s="4" t="s">
        <v>310</v>
      </c>
      <c r="D401" s="4" t="s">
        <v>755</v>
      </c>
      <c r="E401" s="9" t="s">
        <v>163</v>
      </c>
      <c r="F401" s="9" t="s">
        <v>21</v>
      </c>
      <c r="G401" s="16">
        <v>0</v>
      </c>
      <c r="H401" s="16">
        <v>0</v>
      </c>
      <c r="I401" s="16">
        <v>0</v>
      </c>
      <c r="J401" s="16">
        <v>0</v>
      </c>
      <c r="K401" s="16">
        <v>0</v>
      </c>
      <c r="L401" s="16">
        <v>0</v>
      </c>
      <c r="M401" s="16"/>
      <c r="N401" s="12">
        <f t="shared" si="12"/>
        <v>0</v>
      </c>
    </row>
    <row r="402" spans="2:14" x14ac:dyDescent="0.35">
      <c r="B402" s="4">
        <f t="shared" si="13"/>
        <v>392</v>
      </c>
      <c r="C402" s="4" t="s">
        <v>310</v>
      </c>
      <c r="D402" s="4" t="s">
        <v>755</v>
      </c>
      <c r="E402" s="9" t="s">
        <v>163</v>
      </c>
      <c r="F402" s="9" t="s">
        <v>22</v>
      </c>
      <c r="G402" s="16">
        <v>153</v>
      </c>
      <c r="H402" s="16">
        <v>16734000</v>
      </c>
      <c r="I402" s="16">
        <v>4</v>
      </c>
      <c r="J402" s="16">
        <v>300000</v>
      </c>
      <c r="K402" s="16">
        <v>18</v>
      </c>
      <c r="L402" s="16">
        <v>4500000</v>
      </c>
      <c r="M402" s="16"/>
      <c r="N402" s="12">
        <f t="shared" si="12"/>
        <v>0</v>
      </c>
    </row>
    <row r="403" spans="2:14" x14ac:dyDescent="0.35">
      <c r="B403" s="4">
        <f t="shared" si="13"/>
        <v>393</v>
      </c>
      <c r="C403" s="4" t="s">
        <v>310</v>
      </c>
      <c r="D403" s="4" t="s">
        <v>755</v>
      </c>
      <c r="E403" s="9" t="s">
        <v>163</v>
      </c>
      <c r="F403" s="9" t="s">
        <v>190</v>
      </c>
      <c r="G403" s="16">
        <v>103</v>
      </c>
      <c r="H403" s="16">
        <v>15050000</v>
      </c>
      <c r="I403" s="16">
        <v>1</v>
      </c>
      <c r="J403" s="16">
        <v>125000</v>
      </c>
      <c r="K403" s="16">
        <v>0</v>
      </c>
      <c r="L403" s="16">
        <v>0</v>
      </c>
      <c r="M403" s="16"/>
      <c r="N403" s="12">
        <f t="shared" si="12"/>
        <v>0</v>
      </c>
    </row>
    <row r="404" spans="2:14" x14ac:dyDescent="0.35">
      <c r="B404" s="4">
        <f t="shared" si="13"/>
        <v>394</v>
      </c>
      <c r="C404" s="3" t="s">
        <v>339</v>
      </c>
      <c r="D404" s="4" t="s">
        <v>778</v>
      </c>
      <c r="E404" s="9" t="s">
        <v>163</v>
      </c>
      <c r="F404" s="9" t="s">
        <v>20</v>
      </c>
      <c r="G404" s="16">
        <v>48</v>
      </c>
      <c r="H404" s="16">
        <v>8235000</v>
      </c>
      <c r="I404" s="16">
        <v>0</v>
      </c>
      <c r="J404" s="16">
        <v>0</v>
      </c>
      <c r="K404" s="16">
        <v>0</v>
      </c>
      <c r="L404" s="16">
        <v>0</v>
      </c>
      <c r="M404" s="16"/>
      <c r="N404" s="12">
        <f t="shared" si="12"/>
        <v>0</v>
      </c>
    </row>
    <row r="405" spans="2:14" x14ac:dyDescent="0.35">
      <c r="B405" s="4">
        <f t="shared" si="13"/>
        <v>395</v>
      </c>
      <c r="C405" s="3" t="s">
        <v>339</v>
      </c>
      <c r="D405" s="4" t="s">
        <v>778</v>
      </c>
      <c r="E405" s="9" t="s">
        <v>163</v>
      </c>
      <c r="F405" s="9" t="s">
        <v>21</v>
      </c>
      <c r="G405" s="16">
        <v>0</v>
      </c>
      <c r="H405" s="16">
        <v>0</v>
      </c>
      <c r="I405" s="16">
        <v>0</v>
      </c>
      <c r="J405" s="16">
        <v>0</v>
      </c>
      <c r="K405" s="16">
        <v>0</v>
      </c>
      <c r="L405" s="16">
        <v>0</v>
      </c>
      <c r="M405" s="16"/>
      <c r="N405" s="12">
        <f t="shared" si="12"/>
        <v>0</v>
      </c>
    </row>
    <row r="406" spans="2:14" x14ac:dyDescent="0.35">
      <c r="B406" s="4">
        <f t="shared" si="13"/>
        <v>396</v>
      </c>
      <c r="C406" s="3" t="s">
        <v>339</v>
      </c>
      <c r="D406" s="4" t="s">
        <v>778</v>
      </c>
      <c r="E406" s="9" t="s">
        <v>163</v>
      </c>
      <c r="F406" s="9" t="s">
        <v>22</v>
      </c>
      <c r="G406" s="16">
        <v>184</v>
      </c>
      <c r="H406" s="16">
        <v>15325000</v>
      </c>
      <c r="I406" s="16">
        <v>7</v>
      </c>
      <c r="J406" s="16">
        <v>525000</v>
      </c>
      <c r="K406" s="16">
        <v>4</v>
      </c>
      <c r="L406" s="16">
        <v>1000000</v>
      </c>
      <c r="M406" s="16"/>
      <c r="N406" s="12">
        <f t="shared" si="12"/>
        <v>0</v>
      </c>
    </row>
    <row r="407" spans="2:14" x14ac:dyDescent="0.35">
      <c r="B407" s="4">
        <f t="shared" si="13"/>
        <v>397</v>
      </c>
      <c r="C407" s="3" t="s">
        <v>339</v>
      </c>
      <c r="D407" s="4" t="s">
        <v>778</v>
      </c>
      <c r="E407" s="9" t="s">
        <v>163</v>
      </c>
      <c r="F407" s="9" t="s">
        <v>190</v>
      </c>
      <c r="G407" s="16">
        <v>277</v>
      </c>
      <c r="H407" s="16">
        <v>36795000</v>
      </c>
      <c r="I407" s="16">
        <v>7</v>
      </c>
      <c r="J407" s="16">
        <v>980000</v>
      </c>
      <c r="K407" s="16">
        <v>0</v>
      </c>
      <c r="L407" s="16">
        <v>0</v>
      </c>
      <c r="M407" s="16"/>
      <c r="N407" s="12">
        <f t="shared" si="12"/>
        <v>0</v>
      </c>
    </row>
    <row r="408" spans="2:14" x14ac:dyDescent="0.35">
      <c r="B408" s="4">
        <f t="shared" si="13"/>
        <v>398</v>
      </c>
      <c r="C408" s="3" t="s">
        <v>340</v>
      </c>
      <c r="D408" s="4" t="s">
        <v>851</v>
      </c>
      <c r="E408" s="9" t="s">
        <v>163</v>
      </c>
      <c r="F408" s="9" t="s">
        <v>20</v>
      </c>
      <c r="G408" s="16">
        <v>1</v>
      </c>
      <c r="H408" s="16">
        <v>175000</v>
      </c>
      <c r="I408" s="16">
        <v>0</v>
      </c>
      <c r="J408" s="16">
        <v>0</v>
      </c>
      <c r="K408" s="16">
        <v>0</v>
      </c>
      <c r="L408" s="16">
        <v>0</v>
      </c>
      <c r="M408" s="16"/>
      <c r="N408" s="12">
        <f t="shared" si="12"/>
        <v>0</v>
      </c>
    </row>
    <row r="409" spans="2:14" x14ac:dyDescent="0.35">
      <c r="B409" s="4">
        <f t="shared" si="13"/>
        <v>399</v>
      </c>
      <c r="C409" s="3" t="s">
        <v>340</v>
      </c>
      <c r="D409" s="4" t="s">
        <v>851</v>
      </c>
      <c r="E409" s="9" t="s">
        <v>163</v>
      </c>
      <c r="F409" s="9" t="s">
        <v>21</v>
      </c>
      <c r="G409" s="16">
        <v>0</v>
      </c>
      <c r="H409" s="16">
        <v>0</v>
      </c>
      <c r="I409" s="16">
        <v>0</v>
      </c>
      <c r="J409" s="16">
        <v>0</v>
      </c>
      <c r="K409" s="16">
        <v>0</v>
      </c>
      <c r="L409" s="16">
        <v>0</v>
      </c>
      <c r="M409" s="16"/>
      <c r="N409" s="12">
        <f t="shared" si="12"/>
        <v>0</v>
      </c>
    </row>
    <row r="410" spans="2:14" x14ac:dyDescent="0.35">
      <c r="B410" s="4">
        <f t="shared" si="13"/>
        <v>400</v>
      </c>
      <c r="C410" s="3" t="s">
        <v>340</v>
      </c>
      <c r="D410" s="4" t="s">
        <v>851</v>
      </c>
      <c r="E410" s="9" t="s">
        <v>163</v>
      </c>
      <c r="F410" s="9" t="s">
        <v>22</v>
      </c>
      <c r="G410" s="16">
        <v>47</v>
      </c>
      <c r="H410" s="16">
        <v>3915000</v>
      </c>
      <c r="I410" s="16">
        <v>2</v>
      </c>
      <c r="J410" s="16">
        <v>150000</v>
      </c>
      <c r="K410" s="16">
        <v>0</v>
      </c>
      <c r="L410" s="16">
        <v>0</v>
      </c>
      <c r="M410" s="16"/>
      <c r="N410" s="12">
        <f t="shared" si="12"/>
        <v>0</v>
      </c>
    </row>
    <row r="411" spans="2:14" x14ac:dyDescent="0.35">
      <c r="B411" s="4">
        <f t="shared" si="13"/>
        <v>401</v>
      </c>
      <c r="C411" s="3" t="s">
        <v>340</v>
      </c>
      <c r="D411" s="4" t="s">
        <v>851</v>
      </c>
      <c r="E411" s="9" t="s">
        <v>163</v>
      </c>
      <c r="F411" s="9" t="s">
        <v>19</v>
      </c>
      <c r="G411" s="16">
        <v>5</v>
      </c>
      <c r="H411" s="16">
        <v>58195000</v>
      </c>
      <c r="I411" s="16">
        <v>0</v>
      </c>
      <c r="J411" s="16">
        <v>0</v>
      </c>
      <c r="K411" s="16">
        <v>0</v>
      </c>
      <c r="L411" s="16">
        <v>0</v>
      </c>
      <c r="M411" s="16"/>
      <c r="N411" s="12">
        <f t="shared" si="12"/>
        <v>0</v>
      </c>
    </row>
    <row r="412" spans="2:14" x14ac:dyDescent="0.35">
      <c r="B412" s="4">
        <f t="shared" si="13"/>
        <v>402</v>
      </c>
      <c r="C412" s="3" t="s">
        <v>340</v>
      </c>
      <c r="D412" s="4" t="s">
        <v>851</v>
      </c>
      <c r="E412" s="9" t="s">
        <v>163</v>
      </c>
      <c r="F412" s="9" t="s">
        <v>190</v>
      </c>
      <c r="G412" s="16">
        <v>16</v>
      </c>
      <c r="H412" s="16">
        <v>2420000</v>
      </c>
      <c r="I412" s="16">
        <v>2</v>
      </c>
      <c r="J412" s="16">
        <v>320000</v>
      </c>
      <c r="K412" s="16">
        <v>0</v>
      </c>
      <c r="L412" s="16">
        <v>0</v>
      </c>
      <c r="M412" s="16"/>
      <c r="N412" s="12">
        <f t="shared" si="12"/>
        <v>0</v>
      </c>
    </row>
    <row r="413" spans="2:14" x14ac:dyDescent="0.35">
      <c r="B413" s="4">
        <f t="shared" si="13"/>
        <v>403</v>
      </c>
      <c r="C413" s="3" t="s">
        <v>361</v>
      </c>
      <c r="D413" s="4" t="s">
        <v>872</v>
      </c>
      <c r="E413" s="9" t="s">
        <v>163</v>
      </c>
      <c r="F413" s="9" t="s">
        <v>20</v>
      </c>
      <c r="G413" s="16">
        <v>7</v>
      </c>
      <c r="H413" s="16">
        <v>1225000</v>
      </c>
      <c r="I413" s="16">
        <v>1</v>
      </c>
      <c r="J413" s="16">
        <v>175000</v>
      </c>
      <c r="K413" s="16">
        <v>0</v>
      </c>
      <c r="L413" s="16">
        <v>0</v>
      </c>
      <c r="M413" s="16"/>
      <c r="N413" s="12">
        <f t="shared" si="12"/>
        <v>0</v>
      </c>
    </row>
    <row r="414" spans="2:14" x14ac:dyDescent="0.35">
      <c r="B414" s="4">
        <f t="shared" si="13"/>
        <v>404</v>
      </c>
      <c r="C414" s="3" t="s">
        <v>361</v>
      </c>
      <c r="D414" s="4" t="s">
        <v>872</v>
      </c>
      <c r="E414" s="9" t="s">
        <v>163</v>
      </c>
      <c r="F414" s="9" t="s">
        <v>21</v>
      </c>
      <c r="G414" s="16">
        <v>0</v>
      </c>
      <c r="H414" s="16">
        <v>0</v>
      </c>
      <c r="I414" s="16">
        <v>0</v>
      </c>
      <c r="J414" s="16">
        <v>0</v>
      </c>
      <c r="K414" s="16">
        <v>0</v>
      </c>
      <c r="L414" s="16">
        <v>0</v>
      </c>
      <c r="M414" s="16"/>
      <c r="N414" s="12">
        <f t="shared" si="12"/>
        <v>0</v>
      </c>
    </row>
    <row r="415" spans="2:14" x14ac:dyDescent="0.35">
      <c r="B415" s="4">
        <f t="shared" si="13"/>
        <v>405</v>
      </c>
      <c r="C415" s="3" t="s">
        <v>361</v>
      </c>
      <c r="D415" s="4" t="s">
        <v>872</v>
      </c>
      <c r="E415" s="9" t="s">
        <v>163</v>
      </c>
      <c r="F415" s="9" t="s">
        <v>22</v>
      </c>
      <c r="G415" s="16">
        <v>228</v>
      </c>
      <c r="H415" s="16">
        <v>19425000</v>
      </c>
      <c r="I415" s="16">
        <v>9</v>
      </c>
      <c r="J415" s="16">
        <v>870000</v>
      </c>
      <c r="K415" s="16">
        <v>7</v>
      </c>
      <c r="L415" s="16">
        <v>1750000</v>
      </c>
      <c r="M415" s="16"/>
      <c r="N415" s="12">
        <f t="shared" si="12"/>
        <v>0</v>
      </c>
    </row>
    <row r="416" spans="2:14" x14ac:dyDescent="0.35">
      <c r="B416" s="4">
        <f t="shared" si="13"/>
        <v>406</v>
      </c>
      <c r="C416" s="3" t="s">
        <v>361</v>
      </c>
      <c r="D416" s="4" t="s">
        <v>872</v>
      </c>
      <c r="E416" s="9" t="s">
        <v>163</v>
      </c>
      <c r="F416" s="9" t="s">
        <v>190</v>
      </c>
      <c r="G416" s="16">
        <v>131</v>
      </c>
      <c r="H416" s="16">
        <v>18965000</v>
      </c>
      <c r="I416" s="16">
        <v>22</v>
      </c>
      <c r="J416" s="16">
        <v>2785000</v>
      </c>
      <c r="K416" s="16">
        <v>0</v>
      </c>
      <c r="L416" s="16">
        <v>0</v>
      </c>
      <c r="M416" s="16"/>
      <c r="N416" s="12">
        <f t="shared" si="12"/>
        <v>0</v>
      </c>
    </row>
    <row r="417" spans="2:14" x14ac:dyDescent="0.35">
      <c r="B417" s="4">
        <f t="shared" si="13"/>
        <v>407</v>
      </c>
      <c r="C417" s="3" t="s">
        <v>311</v>
      </c>
      <c r="D417" s="4" t="s">
        <v>732</v>
      </c>
      <c r="E417" s="9" t="s">
        <v>163</v>
      </c>
      <c r="F417" s="9" t="s">
        <v>20</v>
      </c>
      <c r="G417" s="16">
        <v>27</v>
      </c>
      <c r="H417" s="16">
        <v>4665000</v>
      </c>
      <c r="I417" s="16">
        <v>0</v>
      </c>
      <c r="J417" s="16">
        <v>0</v>
      </c>
      <c r="K417" s="16">
        <v>0</v>
      </c>
      <c r="L417" s="16">
        <v>0</v>
      </c>
      <c r="M417" s="16"/>
      <c r="N417" s="12">
        <f t="shared" si="12"/>
        <v>0</v>
      </c>
    </row>
    <row r="418" spans="2:14" x14ac:dyDescent="0.35">
      <c r="B418" s="4">
        <f t="shared" si="13"/>
        <v>408</v>
      </c>
      <c r="C418" s="3" t="s">
        <v>311</v>
      </c>
      <c r="D418" s="4" t="s">
        <v>732</v>
      </c>
      <c r="E418" s="9" t="s">
        <v>163</v>
      </c>
      <c r="F418" s="9" t="s">
        <v>21</v>
      </c>
      <c r="G418" s="16">
        <v>0</v>
      </c>
      <c r="H418" s="16">
        <v>0</v>
      </c>
      <c r="I418" s="16">
        <v>0</v>
      </c>
      <c r="J418" s="16">
        <v>0</v>
      </c>
      <c r="K418" s="16">
        <v>0</v>
      </c>
      <c r="L418" s="16">
        <v>0</v>
      </c>
      <c r="M418" s="16"/>
      <c r="N418" s="12">
        <f t="shared" si="12"/>
        <v>0</v>
      </c>
    </row>
    <row r="419" spans="2:14" x14ac:dyDescent="0.35">
      <c r="B419" s="4">
        <f t="shared" si="13"/>
        <v>409</v>
      </c>
      <c r="C419" s="3" t="s">
        <v>311</v>
      </c>
      <c r="D419" s="4" t="s">
        <v>732</v>
      </c>
      <c r="E419" s="9" t="s">
        <v>163</v>
      </c>
      <c r="F419" s="9" t="s">
        <v>22</v>
      </c>
      <c r="G419" s="16">
        <v>170</v>
      </c>
      <c r="H419" s="16">
        <v>14040000</v>
      </c>
      <c r="I419" s="16">
        <v>3</v>
      </c>
      <c r="J419" s="16">
        <v>225000</v>
      </c>
      <c r="K419" s="16">
        <v>10</v>
      </c>
      <c r="L419" s="16">
        <v>2500000</v>
      </c>
      <c r="M419" s="16"/>
      <c r="N419" s="12">
        <f t="shared" si="12"/>
        <v>0</v>
      </c>
    </row>
    <row r="420" spans="2:14" x14ac:dyDescent="0.35">
      <c r="B420" s="4">
        <f t="shared" si="13"/>
        <v>410</v>
      </c>
      <c r="C420" s="3" t="s">
        <v>311</v>
      </c>
      <c r="D420" s="4" t="s">
        <v>732</v>
      </c>
      <c r="E420" s="9" t="s">
        <v>163</v>
      </c>
      <c r="F420" s="9" t="s">
        <v>190</v>
      </c>
      <c r="G420" s="16">
        <v>76</v>
      </c>
      <c r="H420" s="16">
        <v>10865000</v>
      </c>
      <c r="I420" s="16">
        <v>1</v>
      </c>
      <c r="J420" s="16">
        <v>180000</v>
      </c>
      <c r="K420" s="16">
        <v>0</v>
      </c>
      <c r="L420" s="16">
        <v>0</v>
      </c>
      <c r="M420" s="16"/>
      <c r="N420" s="12">
        <f t="shared" si="12"/>
        <v>0</v>
      </c>
    </row>
    <row r="421" spans="2:14" x14ac:dyDescent="0.35">
      <c r="B421" s="4">
        <f t="shared" si="13"/>
        <v>411</v>
      </c>
      <c r="C421" s="3" t="s">
        <v>302</v>
      </c>
      <c r="D421" s="4" t="s">
        <v>840</v>
      </c>
      <c r="E421" s="9" t="s">
        <v>147</v>
      </c>
      <c r="F421" s="9" t="s">
        <v>20</v>
      </c>
      <c r="G421" s="16">
        <v>3</v>
      </c>
      <c r="H421" s="16">
        <v>480000</v>
      </c>
      <c r="I421" s="16">
        <v>0</v>
      </c>
      <c r="J421" s="16">
        <v>0</v>
      </c>
      <c r="K421" s="16">
        <v>0</v>
      </c>
      <c r="L421" s="16">
        <v>0</v>
      </c>
      <c r="M421" s="16"/>
      <c r="N421" s="12">
        <f t="shared" si="12"/>
        <v>0</v>
      </c>
    </row>
    <row r="422" spans="2:14" x14ac:dyDescent="0.35">
      <c r="B422" s="4">
        <f t="shared" si="13"/>
        <v>412</v>
      </c>
      <c r="C422" s="3" t="s">
        <v>302</v>
      </c>
      <c r="D422" s="4" t="s">
        <v>840</v>
      </c>
      <c r="E422" s="9" t="s">
        <v>147</v>
      </c>
      <c r="F422" s="9" t="s">
        <v>22</v>
      </c>
      <c r="G422" s="16">
        <v>0</v>
      </c>
      <c r="H422" s="16">
        <v>0</v>
      </c>
      <c r="I422" s="16">
        <v>1</v>
      </c>
      <c r="J422" s="16">
        <v>75000</v>
      </c>
      <c r="K422" s="16">
        <v>2</v>
      </c>
      <c r="L422" s="16">
        <v>573000</v>
      </c>
      <c r="M422" s="16"/>
      <c r="N422" s="12">
        <f t="shared" si="12"/>
        <v>0</v>
      </c>
    </row>
    <row r="423" spans="2:14" x14ac:dyDescent="0.35">
      <c r="B423" s="4">
        <f t="shared" si="13"/>
        <v>413</v>
      </c>
      <c r="C423" s="3" t="s">
        <v>302</v>
      </c>
      <c r="D423" s="4" t="s">
        <v>840</v>
      </c>
      <c r="E423" s="9" t="s">
        <v>147</v>
      </c>
      <c r="F423" s="9" t="s">
        <v>19</v>
      </c>
      <c r="G423" s="16">
        <v>3</v>
      </c>
      <c r="H423" s="16">
        <v>17100000</v>
      </c>
      <c r="I423" s="16">
        <v>0</v>
      </c>
      <c r="J423" s="16">
        <v>0</v>
      </c>
      <c r="K423" s="16">
        <v>0</v>
      </c>
      <c r="L423" s="16">
        <v>0</v>
      </c>
      <c r="M423" s="16"/>
      <c r="N423" s="12">
        <f t="shared" si="12"/>
        <v>0</v>
      </c>
    </row>
    <row r="424" spans="2:14" x14ac:dyDescent="0.35">
      <c r="B424" s="4">
        <f t="shared" si="13"/>
        <v>414</v>
      </c>
      <c r="C424" s="3" t="s">
        <v>302</v>
      </c>
      <c r="D424" s="4" t="s">
        <v>840</v>
      </c>
      <c r="E424" s="9" t="s">
        <v>147</v>
      </c>
      <c r="F424" s="9" t="s">
        <v>190</v>
      </c>
      <c r="G424" s="16">
        <v>9</v>
      </c>
      <c r="H424" s="16">
        <v>1125000</v>
      </c>
      <c r="I424" s="16">
        <v>0</v>
      </c>
      <c r="J424" s="16">
        <v>0</v>
      </c>
      <c r="K424" s="16">
        <v>0</v>
      </c>
      <c r="L424" s="16">
        <v>0</v>
      </c>
      <c r="M424" s="16"/>
      <c r="N424" s="12">
        <f t="shared" si="12"/>
        <v>0</v>
      </c>
    </row>
    <row r="425" spans="2:14" x14ac:dyDescent="0.35">
      <c r="B425" s="4">
        <f t="shared" si="13"/>
        <v>415</v>
      </c>
      <c r="C425" s="3" t="s">
        <v>202</v>
      </c>
      <c r="D425" s="4" t="s">
        <v>738</v>
      </c>
      <c r="E425" s="9" t="s">
        <v>147</v>
      </c>
      <c r="F425" s="9" t="s">
        <v>20</v>
      </c>
      <c r="G425" s="16">
        <v>3</v>
      </c>
      <c r="H425" s="16">
        <v>480000</v>
      </c>
      <c r="I425" s="16">
        <v>0</v>
      </c>
      <c r="J425" s="16">
        <v>0</v>
      </c>
      <c r="K425" s="16">
        <v>0</v>
      </c>
      <c r="L425" s="16">
        <v>0</v>
      </c>
      <c r="M425" s="16"/>
      <c r="N425" s="12">
        <f t="shared" si="12"/>
        <v>0</v>
      </c>
    </row>
    <row r="426" spans="2:14" x14ac:dyDescent="0.35">
      <c r="B426" s="4">
        <f t="shared" si="13"/>
        <v>416</v>
      </c>
      <c r="C426" s="3" t="s">
        <v>202</v>
      </c>
      <c r="D426" s="4" t="s">
        <v>738</v>
      </c>
      <c r="E426" s="9" t="s">
        <v>147</v>
      </c>
      <c r="F426" s="9" t="s">
        <v>22</v>
      </c>
      <c r="G426" s="16">
        <v>164</v>
      </c>
      <c r="H426" s="16">
        <v>20506000</v>
      </c>
      <c r="I426" s="16">
        <v>8</v>
      </c>
      <c r="J426" s="16">
        <v>600000</v>
      </c>
      <c r="K426" s="16">
        <v>110</v>
      </c>
      <c r="L426" s="16">
        <v>28580000</v>
      </c>
      <c r="M426" s="16"/>
      <c r="N426" s="12">
        <f t="shared" si="12"/>
        <v>0</v>
      </c>
    </row>
    <row r="427" spans="2:14" x14ac:dyDescent="0.35">
      <c r="B427" s="4">
        <f t="shared" si="13"/>
        <v>417</v>
      </c>
      <c r="C427" s="3" t="s">
        <v>202</v>
      </c>
      <c r="D427" s="4" t="s">
        <v>738</v>
      </c>
      <c r="E427" s="9" t="s">
        <v>147</v>
      </c>
      <c r="F427" s="9" t="s">
        <v>19</v>
      </c>
      <c r="G427" s="16">
        <v>29</v>
      </c>
      <c r="H427" s="16">
        <v>157211000</v>
      </c>
      <c r="I427" s="16">
        <v>0</v>
      </c>
      <c r="J427" s="16">
        <v>0</v>
      </c>
      <c r="K427" s="16">
        <v>1</v>
      </c>
      <c r="L427" s="16">
        <v>22800000</v>
      </c>
      <c r="M427" s="16"/>
      <c r="N427" s="12">
        <f t="shared" si="12"/>
        <v>0</v>
      </c>
    </row>
    <row r="428" spans="2:14" x14ac:dyDescent="0.35">
      <c r="B428" s="4">
        <f t="shared" si="13"/>
        <v>418</v>
      </c>
      <c r="C428" s="3" t="s">
        <v>202</v>
      </c>
      <c r="D428" s="4" t="s">
        <v>738</v>
      </c>
      <c r="E428" s="9" t="s">
        <v>147</v>
      </c>
      <c r="F428" s="9" t="s">
        <v>190</v>
      </c>
      <c r="G428" s="16">
        <v>38</v>
      </c>
      <c r="H428" s="16">
        <v>4915000</v>
      </c>
      <c r="I428" s="16">
        <v>0</v>
      </c>
      <c r="J428" s="16">
        <v>0</v>
      </c>
      <c r="K428" s="16">
        <v>2</v>
      </c>
      <c r="L428" s="16">
        <v>250000</v>
      </c>
      <c r="M428" s="16"/>
      <c r="N428" s="12">
        <f t="shared" si="12"/>
        <v>0</v>
      </c>
    </row>
    <row r="429" spans="2:14" x14ac:dyDescent="0.35">
      <c r="B429" s="4">
        <f t="shared" si="13"/>
        <v>419</v>
      </c>
      <c r="C429" s="3" t="s">
        <v>234</v>
      </c>
      <c r="D429" s="4" t="s">
        <v>816</v>
      </c>
      <c r="E429" s="9" t="s">
        <v>147</v>
      </c>
      <c r="F429" s="9" t="s">
        <v>20</v>
      </c>
      <c r="G429" s="16">
        <v>7</v>
      </c>
      <c r="H429" s="16">
        <v>1120000</v>
      </c>
      <c r="I429" s="16">
        <v>0</v>
      </c>
      <c r="J429" s="16">
        <v>0</v>
      </c>
      <c r="K429" s="16">
        <v>0</v>
      </c>
      <c r="L429" s="16">
        <v>0</v>
      </c>
      <c r="M429" s="16"/>
      <c r="N429" s="12">
        <f t="shared" si="12"/>
        <v>0</v>
      </c>
    </row>
    <row r="430" spans="2:14" x14ac:dyDescent="0.35">
      <c r="B430" s="4">
        <f t="shared" si="13"/>
        <v>420</v>
      </c>
      <c r="C430" s="3" t="s">
        <v>234</v>
      </c>
      <c r="D430" s="4" t="s">
        <v>816</v>
      </c>
      <c r="E430" s="9" t="s">
        <v>147</v>
      </c>
      <c r="F430" s="9" t="s">
        <v>22</v>
      </c>
      <c r="G430" s="16">
        <v>131</v>
      </c>
      <c r="H430" s="16">
        <v>28001000</v>
      </c>
      <c r="I430" s="16">
        <v>6</v>
      </c>
      <c r="J430" s="16">
        <v>752000</v>
      </c>
      <c r="K430" s="16">
        <v>0</v>
      </c>
      <c r="L430" s="16">
        <v>0</v>
      </c>
      <c r="M430" s="16"/>
      <c r="N430" s="12">
        <f t="shared" si="12"/>
        <v>0</v>
      </c>
    </row>
    <row r="431" spans="2:14" x14ac:dyDescent="0.35">
      <c r="B431" s="4">
        <f t="shared" si="13"/>
        <v>421</v>
      </c>
      <c r="C431" s="3" t="s">
        <v>234</v>
      </c>
      <c r="D431" s="4" t="s">
        <v>816</v>
      </c>
      <c r="E431" s="9" t="s">
        <v>147</v>
      </c>
      <c r="F431" s="9" t="s">
        <v>19</v>
      </c>
      <c r="G431" s="16">
        <v>15</v>
      </c>
      <c r="H431" s="16">
        <v>62533000</v>
      </c>
      <c r="I431" s="16">
        <v>0</v>
      </c>
      <c r="J431" s="16">
        <v>0</v>
      </c>
      <c r="K431" s="16">
        <v>0</v>
      </c>
      <c r="L431" s="16">
        <v>0</v>
      </c>
      <c r="M431" s="16"/>
      <c r="N431" s="12">
        <f t="shared" si="12"/>
        <v>0</v>
      </c>
    </row>
    <row r="432" spans="2:14" x14ac:dyDescent="0.35">
      <c r="B432" s="4">
        <f t="shared" si="13"/>
        <v>422</v>
      </c>
      <c r="C432" s="3" t="s">
        <v>234</v>
      </c>
      <c r="D432" s="4" t="s">
        <v>816</v>
      </c>
      <c r="E432" s="9" t="s">
        <v>147</v>
      </c>
      <c r="F432" s="9" t="s">
        <v>190</v>
      </c>
      <c r="G432" s="16">
        <v>41</v>
      </c>
      <c r="H432" s="16">
        <v>5345000</v>
      </c>
      <c r="I432" s="16">
        <v>1</v>
      </c>
      <c r="J432" s="16">
        <v>125000</v>
      </c>
      <c r="K432" s="16">
        <v>0</v>
      </c>
      <c r="L432" s="16">
        <v>0</v>
      </c>
      <c r="M432" s="16"/>
      <c r="N432" s="12">
        <f t="shared" si="12"/>
        <v>0</v>
      </c>
    </row>
    <row r="433" spans="2:14" x14ac:dyDescent="0.35">
      <c r="B433" s="4">
        <f t="shared" si="13"/>
        <v>423</v>
      </c>
      <c r="C433" s="3" t="s">
        <v>394</v>
      </c>
      <c r="D433" s="4" t="s">
        <v>912</v>
      </c>
      <c r="E433" s="9" t="s">
        <v>147</v>
      </c>
      <c r="F433" s="9" t="s">
        <v>20</v>
      </c>
      <c r="G433" s="16">
        <v>6</v>
      </c>
      <c r="H433" s="16">
        <v>990000</v>
      </c>
      <c r="I433" s="16">
        <v>0</v>
      </c>
      <c r="J433" s="16">
        <v>0</v>
      </c>
      <c r="K433" s="16">
        <v>0</v>
      </c>
      <c r="L433" s="16">
        <v>0</v>
      </c>
      <c r="M433" s="16"/>
      <c r="N433" s="12">
        <f t="shared" si="12"/>
        <v>0</v>
      </c>
    </row>
    <row r="434" spans="2:14" x14ac:dyDescent="0.35">
      <c r="B434" s="4">
        <f t="shared" si="13"/>
        <v>424</v>
      </c>
      <c r="C434" s="3" t="s">
        <v>394</v>
      </c>
      <c r="D434" s="4" t="s">
        <v>912</v>
      </c>
      <c r="E434" s="9" t="s">
        <v>147</v>
      </c>
      <c r="F434" s="9" t="s">
        <v>22</v>
      </c>
      <c r="G434" s="16">
        <v>83</v>
      </c>
      <c r="H434" s="16">
        <v>8686000</v>
      </c>
      <c r="I434" s="16">
        <v>0</v>
      </c>
      <c r="J434" s="16">
        <v>0</v>
      </c>
      <c r="K434" s="16">
        <v>0</v>
      </c>
      <c r="L434" s="16">
        <v>0</v>
      </c>
      <c r="M434" s="16"/>
      <c r="N434" s="12">
        <f t="shared" si="12"/>
        <v>0</v>
      </c>
    </row>
    <row r="435" spans="2:14" x14ac:dyDescent="0.35">
      <c r="B435" s="4">
        <f t="shared" si="13"/>
        <v>425</v>
      </c>
      <c r="C435" s="3" t="s">
        <v>394</v>
      </c>
      <c r="D435" s="4" t="s">
        <v>912</v>
      </c>
      <c r="E435" s="9" t="s">
        <v>147</v>
      </c>
      <c r="F435" s="9" t="s">
        <v>19</v>
      </c>
      <c r="G435" s="16">
        <v>19</v>
      </c>
      <c r="H435" s="16">
        <v>107850000</v>
      </c>
      <c r="I435" s="16">
        <v>0</v>
      </c>
      <c r="J435" s="16">
        <v>0</v>
      </c>
      <c r="K435" s="16">
        <v>1</v>
      </c>
      <c r="L435" s="16">
        <v>22800000</v>
      </c>
      <c r="M435" s="16"/>
      <c r="N435" s="12">
        <f t="shared" si="12"/>
        <v>0</v>
      </c>
    </row>
    <row r="436" spans="2:14" x14ac:dyDescent="0.35">
      <c r="B436" s="4">
        <f t="shared" si="13"/>
        <v>426</v>
      </c>
      <c r="C436" s="3" t="s">
        <v>394</v>
      </c>
      <c r="D436" s="4" t="s">
        <v>912</v>
      </c>
      <c r="E436" s="9" t="s">
        <v>147</v>
      </c>
      <c r="F436" s="9" t="s">
        <v>190</v>
      </c>
      <c r="G436" s="16">
        <v>41</v>
      </c>
      <c r="H436" s="16">
        <v>5180000</v>
      </c>
      <c r="I436" s="16">
        <v>2</v>
      </c>
      <c r="J436" s="16">
        <v>250000</v>
      </c>
      <c r="K436" s="16">
        <v>0</v>
      </c>
      <c r="L436" s="16">
        <v>0</v>
      </c>
      <c r="M436" s="16"/>
      <c r="N436" s="12">
        <f t="shared" si="12"/>
        <v>0</v>
      </c>
    </row>
    <row r="437" spans="2:14" x14ac:dyDescent="0.35">
      <c r="B437" s="4">
        <f t="shared" si="13"/>
        <v>427</v>
      </c>
      <c r="C437" s="3" t="s">
        <v>393</v>
      </c>
      <c r="D437" s="4" t="s">
        <v>920</v>
      </c>
      <c r="E437" s="9" t="s">
        <v>147</v>
      </c>
      <c r="F437" s="9" t="s">
        <v>20</v>
      </c>
      <c r="G437" s="16">
        <v>5</v>
      </c>
      <c r="H437" s="16">
        <v>800000</v>
      </c>
      <c r="I437" s="16">
        <v>0</v>
      </c>
      <c r="J437" s="16">
        <v>0</v>
      </c>
      <c r="K437" s="16">
        <v>0</v>
      </c>
      <c r="L437" s="16">
        <v>0</v>
      </c>
      <c r="M437" s="16"/>
      <c r="N437" s="12">
        <f t="shared" si="12"/>
        <v>0</v>
      </c>
    </row>
    <row r="438" spans="2:14" x14ac:dyDescent="0.35">
      <c r="B438" s="4">
        <f t="shared" si="13"/>
        <v>428</v>
      </c>
      <c r="C438" s="3" t="s">
        <v>393</v>
      </c>
      <c r="D438" s="4" t="s">
        <v>920</v>
      </c>
      <c r="E438" s="9" t="s">
        <v>147</v>
      </c>
      <c r="F438" s="9" t="s">
        <v>22</v>
      </c>
      <c r="G438" s="16">
        <v>122</v>
      </c>
      <c r="H438" s="16">
        <v>26794000</v>
      </c>
      <c r="I438" s="16">
        <v>0</v>
      </c>
      <c r="J438" s="16">
        <v>0</v>
      </c>
      <c r="K438" s="16">
        <v>26</v>
      </c>
      <c r="L438" s="16">
        <v>7430000</v>
      </c>
      <c r="M438" s="16"/>
      <c r="N438" s="12">
        <f t="shared" si="12"/>
        <v>0</v>
      </c>
    </row>
    <row r="439" spans="2:14" x14ac:dyDescent="0.35">
      <c r="B439" s="4">
        <f t="shared" si="13"/>
        <v>429</v>
      </c>
      <c r="C439" s="3" t="s">
        <v>393</v>
      </c>
      <c r="D439" s="4" t="s">
        <v>920</v>
      </c>
      <c r="E439" s="9" t="s">
        <v>147</v>
      </c>
      <c r="F439" s="9" t="s">
        <v>19</v>
      </c>
      <c r="G439" s="16">
        <v>41</v>
      </c>
      <c r="H439" s="16">
        <v>265350000</v>
      </c>
      <c r="I439" s="16">
        <v>0</v>
      </c>
      <c r="J439" s="16">
        <v>0</v>
      </c>
      <c r="K439" s="16">
        <v>0</v>
      </c>
      <c r="L439" s="16">
        <v>0</v>
      </c>
      <c r="M439" s="16"/>
      <c r="N439" s="12">
        <f t="shared" si="12"/>
        <v>0</v>
      </c>
    </row>
    <row r="440" spans="2:14" x14ac:dyDescent="0.35">
      <c r="B440" s="4">
        <f t="shared" si="13"/>
        <v>430</v>
      </c>
      <c r="C440" s="3" t="s">
        <v>393</v>
      </c>
      <c r="D440" s="4" t="s">
        <v>920</v>
      </c>
      <c r="E440" s="9" t="s">
        <v>147</v>
      </c>
      <c r="F440" s="9" t="s">
        <v>190</v>
      </c>
      <c r="G440" s="16">
        <v>65</v>
      </c>
      <c r="H440" s="16">
        <v>8180000</v>
      </c>
      <c r="I440" s="16">
        <v>0</v>
      </c>
      <c r="J440" s="16">
        <v>0</v>
      </c>
      <c r="K440" s="16">
        <v>0</v>
      </c>
      <c r="L440" s="16">
        <v>0</v>
      </c>
      <c r="M440" s="16"/>
      <c r="N440" s="12">
        <f t="shared" si="12"/>
        <v>0</v>
      </c>
    </row>
    <row r="441" spans="2:14" x14ac:dyDescent="0.35">
      <c r="B441" s="4">
        <f t="shared" si="13"/>
        <v>431</v>
      </c>
      <c r="C441" s="3" t="s">
        <v>235</v>
      </c>
      <c r="D441" s="4" t="s">
        <v>761</v>
      </c>
      <c r="E441" s="9" t="s">
        <v>147</v>
      </c>
      <c r="F441" s="9" t="s">
        <v>20</v>
      </c>
      <c r="G441" s="16">
        <v>7</v>
      </c>
      <c r="H441" s="16">
        <v>1533000</v>
      </c>
      <c r="I441" s="16">
        <v>0</v>
      </c>
      <c r="J441" s="16">
        <v>0</v>
      </c>
      <c r="K441" s="16">
        <v>0</v>
      </c>
      <c r="L441" s="16">
        <v>0</v>
      </c>
      <c r="M441" s="16"/>
      <c r="N441" s="12">
        <f t="shared" si="12"/>
        <v>0</v>
      </c>
    </row>
    <row r="442" spans="2:14" x14ac:dyDescent="0.35">
      <c r="B442" s="4">
        <f t="shared" si="13"/>
        <v>432</v>
      </c>
      <c r="C442" s="3" t="s">
        <v>235</v>
      </c>
      <c r="D442" s="4" t="s">
        <v>761</v>
      </c>
      <c r="E442" s="9" t="s">
        <v>147</v>
      </c>
      <c r="F442" s="9" t="s">
        <v>22</v>
      </c>
      <c r="G442" s="16">
        <v>228</v>
      </c>
      <c r="H442" s="16">
        <v>55015000</v>
      </c>
      <c r="I442" s="16">
        <v>19</v>
      </c>
      <c r="J442" s="16">
        <v>4328000</v>
      </c>
      <c r="K442" s="16">
        <v>32</v>
      </c>
      <c r="L442" s="16">
        <v>17280000</v>
      </c>
      <c r="M442" s="16"/>
      <c r="N442" s="12">
        <f t="shared" si="12"/>
        <v>0</v>
      </c>
    </row>
    <row r="443" spans="2:14" x14ac:dyDescent="0.35">
      <c r="B443" s="4">
        <f t="shared" si="13"/>
        <v>433</v>
      </c>
      <c r="C443" s="3" t="s">
        <v>235</v>
      </c>
      <c r="D443" s="4" t="s">
        <v>761</v>
      </c>
      <c r="E443" s="9" t="s">
        <v>147</v>
      </c>
      <c r="F443" s="9" t="s">
        <v>19</v>
      </c>
      <c r="G443" s="16">
        <v>7</v>
      </c>
      <c r="H443" s="16">
        <v>25822000</v>
      </c>
      <c r="I443" s="16">
        <v>0</v>
      </c>
      <c r="J443" s="16">
        <v>0</v>
      </c>
      <c r="K443" s="16">
        <v>0</v>
      </c>
      <c r="L443" s="16">
        <v>0</v>
      </c>
      <c r="M443" s="16"/>
      <c r="N443" s="12">
        <f t="shared" si="12"/>
        <v>0</v>
      </c>
    </row>
    <row r="444" spans="2:14" x14ac:dyDescent="0.35">
      <c r="B444" s="4">
        <f t="shared" si="13"/>
        <v>434</v>
      </c>
      <c r="C444" s="3" t="s">
        <v>235</v>
      </c>
      <c r="D444" s="4" t="s">
        <v>761</v>
      </c>
      <c r="E444" s="9" t="s">
        <v>147</v>
      </c>
      <c r="F444" s="9" t="s">
        <v>190</v>
      </c>
      <c r="G444" s="16">
        <v>23</v>
      </c>
      <c r="H444" s="16">
        <v>2910000</v>
      </c>
      <c r="I444" s="16">
        <v>0</v>
      </c>
      <c r="J444" s="16">
        <v>0</v>
      </c>
      <c r="K444" s="16">
        <v>0</v>
      </c>
      <c r="L444" s="16">
        <v>0</v>
      </c>
      <c r="M444" s="16"/>
      <c r="N444" s="12">
        <f t="shared" si="12"/>
        <v>0</v>
      </c>
    </row>
    <row r="445" spans="2:14" x14ac:dyDescent="0.35">
      <c r="B445" s="4">
        <f t="shared" si="13"/>
        <v>435</v>
      </c>
      <c r="C445" s="3" t="s">
        <v>236</v>
      </c>
      <c r="D445" s="4" t="s">
        <v>809</v>
      </c>
      <c r="E445" s="9" t="s">
        <v>147</v>
      </c>
      <c r="F445" s="9" t="s">
        <v>20</v>
      </c>
      <c r="G445" s="16">
        <v>9</v>
      </c>
      <c r="H445" s="16">
        <v>1485000</v>
      </c>
      <c r="I445" s="16">
        <v>11</v>
      </c>
      <c r="J445" s="16">
        <v>1880000</v>
      </c>
      <c r="K445" s="16">
        <v>1</v>
      </c>
      <c r="L445" s="16">
        <v>175000</v>
      </c>
      <c r="M445" s="16"/>
      <c r="N445" s="12">
        <f t="shared" si="12"/>
        <v>0</v>
      </c>
    </row>
    <row r="446" spans="2:14" x14ac:dyDescent="0.35">
      <c r="B446" s="4">
        <f t="shared" si="13"/>
        <v>436</v>
      </c>
      <c r="C446" s="3" t="s">
        <v>236</v>
      </c>
      <c r="D446" s="4" t="s">
        <v>809</v>
      </c>
      <c r="E446" s="9" t="s">
        <v>147</v>
      </c>
      <c r="F446" s="9" t="s">
        <v>22</v>
      </c>
      <c r="G446" s="16">
        <v>223</v>
      </c>
      <c r="H446" s="16">
        <v>36156000</v>
      </c>
      <c r="I446" s="16">
        <v>0</v>
      </c>
      <c r="J446" s="16">
        <v>0</v>
      </c>
      <c r="K446" s="16">
        <v>2</v>
      </c>
      <c r="L446" s="16">
        <v>550000</v>
      </c>
      <c r="M446" s="16"/>
      <c r="N446" s="12">
        <f t="shared" si="12"/>
        <v>0</v>
      </c>
    </row>
    <row r="447" spans="2:14" x14ac:dyDescent="0.35">
      <c r="B447" s="4">
        <f t="shared" si="13"/>
        <v>437</v>
      </c>
      <c r="C447" s="3" t="s">
        <v>236</v>
      </c>
      <c r="D447" s="4" t="s">
        <v>809</v>
      </c>
      <c r="E447" s="9" t="s">
        <v>147</v>
      </c>
      <c r="F447" s="9" t="s">
        <v>19</v>
      </c>
      <c r="G447" s="16">
        <v>34</v>
      </c>
      <c r="H447" s="16">
        <v>230611000</v>
      </c>
      <c r="I447" s="16">
        <v>3</v>
      </c>
      <c r="J447" s="16">
        <v>16750000</v>
      </c>
      <c r="K447" s="16">
        <v>1</v>
      </c>
      <c r="L447" s="16">
        <v>32352000</v>
      </c>
      <c r="M447" s="16"/>
      <c r="N447" s="12">
        <f t="shared" si="12"/>
        <v>0</v>
      </c>
    </row>
    <row r="448" spans="2:14" x14ac:dyDescent="0.35">
      <c r="B448" s="4">
        <f t="shared" si="13"/>
        <v>438</v>
      </c>
      <c r="C448" s="3" t="s">
        <v>236</v>
      </c>
      <c r="D448" s="4" t="s">
        <v>809</v>
      </c>
      <c r="E448" s="9" t="s">
        <v>147</v>
      </c>
      <c r="F448" s="9" t="s">
        <v>190</v>
      </c>
      <c r="G448" s="16">
        <v>71</v>
      </c>
      <c r="H448" s="16">
        <v>8930000</v>
      </c>
      <c r="I448" s="16">
        <v>9</v>
      </c>
      <c r="J448" s="16">
        <v>1125000</v>
      </c>
      <c r="K448" s="16">
        <v>5</v>
      </c>
      <c r="L448" s="16">
        <v>900000</v>
      </c>
      <c r="M448" s="16"/>
      <c r="N448" s="12">
        <f t="shared" si="12"/>
        <v>0</v>
      </c>
    </row>
    <row r="449" spans="2:14" x14ac:dyDescent="0.35">
      <c r="B449" s="4">
        <f t="shared" si="13"/>
        <v>439</v>
      </c>
      <c r="C449" s="3" t="s">
        <v>203</v>
      </c>
      <c r="D449" s="4" t="s">
        <v>790</v>
      </c>
      <c r="E449" s="9" t="s">
        <v>147</v>
      </c>
      <c r="F449" s="9" t="s">
        <v>20</v>
      </c>
      <c r="G449" s="16">
        <v>1</v>
      </c>
      <c r="H449" s="16">
        <v>175000</v>
      </c>
      <c r="I449" s="16">
        <v>0</v>
      </c>
      <c r="J449" s="16">
        <v>0</v>
      </c>
      <c r="K449" s="16">
        <v>0</v>
      </c>
      <c r="L449" s="16">
        <v>0</v>
      </c>
      <c r="M449" s="16"/>
      <c r="N449" s="12">
        <f t="shared" si="12"/>
        <v>0</v>
      </c>
    </row>
    <row r="450" spans="2:14" x14ac:dyDescent="0.35">
      <c r="B450" s="4">
        <f t="shared" si="13"/>
        <v>440</v>
      </c>
      <c r="C450" s="3" t="s">
        <v>203</v>
      </c>
      <c r="D450" s="4" t="s">
        <v>790</v>
      </c>
      <c r="E450" s="9" t="s">
        <v>147</v>
      </c>
      <c r="F450" s="9" t="s">
        <v>22</v>
      </c>
      <c r="G450" s="16">
        <v>82</v>
      </c>
      <c r="H450" s="16">
        <v>16859000</v>
      </c>
      <c r="I450" s="16">
        <v>2</v>
      </c>
      <c r="J450" s="16">
        <v>103000</v>
      </c>
      <c r="K450" s="16">
        <v>0</v>
      </c>
      <c r="L450" s="16">
        <v>0</v>
      </c>
      <c r="M450" s="16"/>
      <c r="N450" s="12">
        <f t="shared" si="12"/>
        <v>0</v>
      </c>
    </row>
    <row r="451" spans="2:14" x14ac:dyDescent="0.35">
      <c r="B451" s="4">
        <f t="shared" si="13"/>
        <v>441</v>
      </c>
      <c r="C451" s="3" t="s">
        <v>203</v>
      </c>
      <c r="D451" s="4" t="s">
        <v>790</v>
      </c>
      <c r="E451" s="9" t="s">
        <v>147</v>
      </c>
      <c r="F451" s="9" t="s">
        <v>19</v>
      </c>
      <c r="G451" s="16">
        <v>6</v>
      </c>
      <c r="H451" s="16">
        <v>25711000</v>
      </c>
      <c r="I451" s="16">
        <v>0</v>
      </c>
      <c r="J451" s="16">
        <v>0</v>
      </c>
      <c r="K451" s="16">
        <v>0</v>
      </c>
      <c r="L451" s="16">
        <v>0</v>
      </c>
      <c r="M451" s="16"/>
      <c r="N451" s="12">
        <f t="shared" si="12"/>
        <v>0</v>
      </c>
    </row>
    <row r="452" spans="2:14" x14ac:dyDescent="0.35">
      <c r="B452" s="4">
        <f t="shared" si="13"/>
        <v>442</v>
      </c>
      <c r="C452" s="3" t="s">
        <v>203</v>
      </c>
      <c r="D452" s="4" t="s">
        <v>790</v>
      </c>
      <c r="E452" s="9" t="s">
        <v>147</v>
      </c>
      <c r="F452" s="9" t="s">
        <v>190</v>
      </c>
      <c r="G452" s="16">
        <v>16</v>
      </c>
      <c r="H452" s="16">
        <v>2110000</v>
      </c>
      <c r="I452" s="16">
        <v>0</v>
      </c>
      <c r="J452" s="16">
        <v>0</v>
      </c>
      <c r="K452" s="16">
        <v>0</v>
      </c>
      <c r="L452" s="16">
        <v>0</v>
      </c>
      <c r="M452" s="16"/>
      <c r="N452" s="12">
        <f t="shared" si="12"/>
        <v>0</v>
      </c>
    </row>
    <row r="453" spans="2:14" x14ac:dyDescent="0.35">
      <c r="B453" s="4">
        <f t="shared" si="13"/>
        <v>443</v>
      </c>
      <c r="C453" s="3" t="s">
        <v>303</v>
      </c>
      <c r="D453" s="4" t="s">
        <v>888</v>
      </c>
      <c r="E453" s="9" t="s">
        <v>147</v>
      </c>
      <c r="F453" s="9" t="s">
        <v>20</v>
      </c>
      <c r="G453" s="16">
        <v>6</v>
      </c>
      <c r="H453" s="16">
        <v>990000</v>
      </c>
      <c r="I453" s="16">
        <v>0</v>
      </c>
      <c r="J453" s="16">
        <v>0</v>
      </c>
      <c r="K453" s="16">
        <v>0</v>
      </c>
      <c r="L453" s="16">
        <v>0</v>
      </c>
      <c r="M453" s="16"/>
      <c r="N453" s="12">
        <f t="shared" si="12"/>
        <v>0</v>
      </c>
    </row>
    <row r="454" spans="2:14" x14ac:dyDescent="0.35">
      <c r="B454" s="4">
        <f t="shared" si="13"/>
        <v>444</v>
      </c>
      <c r="C454" s="3" t="s">
        <v>303</v>
      </c>
      <c r="D454" s="4" t="s">
        <v>888</v>
      </c>
      <c r="E454" s="9" t="s">
        <v>147</v>
      </c>
      <c r="F454" s="9" t="s">
        <v>22</v>
      </c>
      <c r="G454" s="16">
        <v>117</v>
      </c>
      <c r="H454" s="16">
        <v>11889000</v>
      </c>
      <c r="I454" s="16">
        <v>1</v>
      </c>
      <c r="J454" s="16">
        <v>75000</v>
      </c>
      <c r="K454" s="16">
        <v>2</v>
      </c>
      <c r="L454" s="16">
        <v>440000</v>
      </c>
      <c r="M454" s="16"/>
      <c r="N454" s="12">
        <f t="shared" si="12"/>
        <v>0</v>
      </c>
    </row>
    <row r="455" spans="2:14" x14ac:dyDescent="0.35">
      <c r="B455" s="4">
        <f t="shared" si="13"/>
        <v>445</v>
      </c>
      <c r="C455" s="3" t="s">
        <v>303</v>
      </c>
      <c r="D455" s="4" t="s">
        <v>888</v>
      </c>
      <c r="E455" s="9" t="s">
        <v>147</v>
      </c>
      <c r="F455" s="9" t="s">
        <v>19</v>
      </c>
      <c r="G455" s="16">
        <v>25</v>
      </c>
      <c r="H455" s="16">
        <v>176600000</v>
      </c>
      <c r="I455" s="16">
        <v>0</v>
      </c>
      <c r="J455" s="16">
        <v>0</v>
      </c>
      <c r="K455" s="16">
        <v>1</v>
      </c>
      <c r="L455" s="16">
        <v>29952000</v>
      </c>
      <c r="M455" s="16"/>
      <c r="N455" s="12">
        <f t="shared" si="12"/>
        <v>0</v>
      </c>
    </row>
    <row r="456" spans="2:14" x14ac:dyDescent="0.35">
      <c r="B456" s="4">
        <f t="shared" si="13"/>
        <v>446</v>
      </c>
      <c r="C456" s="3" t="s">
        <v>303</v>
      </c>
      <c r="D456" s="4" t="s">
        <v>888</v>
      </c>
      <c r="E456" s="9" t="s">
        <v>147</v>
      </c>
      <c r="F456" s="9" t="s">
        <v>190</v>
      </c>
      <c r="G456" s="16">
        <v>10</v>
      </c>
      <c r="H456" s="16">
        <v>1250000</v>
      </c>
      <c r="I456" s="16">
        <v>3</v>
      </c>
      <c r="J456" s="16">
        <v>375000</v>
      </c>
      <c r="K456" s="16">
        <v>1</v>
      </c>
      <c r="L456" s="16">
        <v>180000</v>
      </c>
      <c r="M456" s="16"/>
      <c r="N456" s="12">
        <f t="shared" si="12"/>
        <v>0</v>
      </c>
    </row>
    <row r="457" spans="2:14" x14ac:dyDescent="0.35">
      <c r="B457" s="4">
        <f t="shared" si="13"/>
        <v>447</v>
      </c>
      <c r="C457" s="3" t="s">
        <v>414</v>
      </c>
      <c r="D457" s="4" t="s">
        <v>915</v>
      </c>
      <c r="E457" s="9" t="s">
        <v>147</v>
      </c>
      <c r="F457" s="9" t="s">
        <v>20</v>
      </c>
      <c r="G457" s="16">
        <v>4</v>
      </c>
      <c r="H457" s="16">
        <v>640000</v>
      </c>
      <c r="I457" s="16">
        <v>0</v>
      </c>
      <c r="J457" s="16">
        <v>0</v>
      </c>
      <c r="K457" s="16">
        <v>0</v>
      </c>
      <c r="L457" s="16">
        <v>0</v>
      </c>
      <c r="M457" s="16"/>
      <c r="N457" s="12">
        <f t="shared" si="12"/>
        <v>0</v>
      </c>
    </row>
    <row r="458" spans="2:14" x14ac:dyDescent="0.35">
      <c r="B458" s="4">
        <f t="shared" si="13"/>
        <v>448</v>
      </c>
      <c r="C458" s="3" t="s">
        <v>414</v>
      </c>
      <c r="D458" s="4" t="s">
        <v>915</v>
      </c>
      <c r="E458" s="9" t="s">
        <v>147</v>
      </c>
      <c r="F458" s="9" t="s">
        <v>22</v>
      </c>
      <c r="G458" s="16">
        <v>110</v>
      </c>
      <c r="H458" s="16">
        <v>9979000</v>
      </c>
      <c r="I458" s="16">
        <v>1</v>
      </c>
      <c r="J458" s="16">
        <v>75000</v>
      </c>
      <c r="K458" s="16">
        <v>3</v>
      </c>
      <c r="L458" s="16">
        <v>800000</v>
      </c>
      <c r="M458" s="16"/>
      <c r="N458" s="12">
        <f t="shared" si="12"/>
        <v>0</v>
      </c>
    </row>
    <row r="459" spans="2:14" x14ac:dyDescent="0.35">
      <c r="B459" s="4">
        <f t="shared" si="13"/>
        <v>449</v>
      </c>
      <c r="C459" s="3" t="s">
        <v>414</v>
      </c>
      <c r="D459" s="4" t="s">
        <v>915</v>
      </c>
      <c r="E459" s="9" t="s">
        <v>147</v>
      </c>
      <c r="F459" s="9" t="s">
        <v>19</v>
      </c>
      <c r="G459" s="16">
        <v>26</v>
      </c>
      <c r="H459" s="16">
        <v>133111000</v>
      </c>
      <c r="I459" s="16">
        <v>0</v>
      </c>
      <c r="J459" s="16">
        <v>0</v>
      </c>
      <c r="K459" s="16">
        <v>1</v>
      </c>
      <c r="L459" s="16">
        <v>22800000</v>
      </c>
      <c r="M459" s="16"/>
      <c r="N459" s="12">
        <f t="shared" ref="N459:N522" si="14">IFERROR((G459/M459)*100%, 0)</f>
        <v>0</v>
      </c>
    </row>
    <row r="460" spans="2:14" x14ac:dyDescent="0.35">
      <c r="B460" s="4">
        <f t="shared" si="13"/>
        <v>450</v>
      </c>
      <c r="C460" s="3" t="s">
        <v>414</v>
      </c>
      <c r="D460" s="4" t="s">
        <v>915</v>
      </c>
      <c r="E460" s="9" t="s">
        <v>147</v>
      </c>
      <c r="F460" s="9" t="s">
        <v>190</v>
      </c>
      <c r="G460" s="16">
        <v>15</v>
      </c>
      <c r="H460" s="16">
        <v>1875000</v>
      </c>
      <c r="I460" s="16">
        <v>1</v>
      </c>
      <c r="J460" s="16">
        <v>125000</v>
      </c>
      <c r="K460" s="16">
        <v>1</v>
      </c>
      <c r="L460" s="16">
        <v>180000</v>
      </c>
      <c r="M460" s="16"/>
      <c r="N460" s="12">
        <f t="shared" si="14"/>
        <v>0</v>
      </c>
    </row>
    <row r="461" spans="2:14" x14ac:dyDescent="0.35">
      <c r="B461" s="4">
        <f t="shared" ref="B461:B524" si="15">B460+1</f>
        <v>451</v>
      </c>
      <c r="C461" s="3" t="s">
        <v>304</v>
      </c>
      <c r="D461" s="4" t="s">
        <v>893</v>
      </c>
      <c r="E461" s="9" t="s">
        <v>147</v>
      </c>
      <c r="F461" s="9" t="s">
        <v>20</v>
      </c>
      <c r="G461" s="16">
        <v>5</v>
      </c>
      <c r="H461" s="16">
        <v>800000</v>
      </c>
      <c r="I461" s="16">
        <v>0</v>
      </c>
      <c r="J461" s="16">
        <v>0</v>
      </c>
      <c r="K461" s="16">
        <v>0</v>
      </c>
      <c r="L461" s="16">
        <v>0</v>
      </c>
      <c r="M461" s="16"/>
      <c r="N461" s="12">
        <f t="shared" si="14"/>
        <v>0</v>
      </c>
    </row>
    <row r="462" spans="2:14" x14ac:dyDescent="0.35">
      <c r="B462" s="4">
        <f t="shared" si="15"/>
        <v>452</v>
      </c>
      <c r="C462" s="3" t="s">
        <v>304</v>
      </c>
      <c r="D462" s="4" t="s">
        <v>893</v>
      </c>
      <c r="E462" s="9" t="s">
        <v>147</v>
      </c>
      <c r="F462" s="9" t="s">
        <v>22</v>
      </c>
      <c r="G462" s="16">
        <v>118</v>
      </c>
      <c r="H462" s="16">
        <v>16134000</v>
      </c>
      <c r="I462" s="16">
        <v>4</v>
      </c>
      <c r="J462" s="16">
        <v>452000</v>
      </c>
      <c r="K462" s="16">
        <v>0</v>
      </c>
      <c r="L462" s="16">
        <v>0</v>
      </c>
      <c r="M462" s="16"/>
      <c r="N462" s="12">
        <f t="shared" si="14"/>
        <v>0</v>
      </c>
    </row>
    <row r="463" spans="2:14" x14ac:dyDescent="0.35">
      <c r="B463" s="4">
        <f t="shared" si="15"/>
        <v>453</v>
      </c>
      <c r="C463" s="3" t="s">
        <v>304</v>
      </c>
      <c r="D463" s="4" t="s">
        <v>893</v>
      </c>
      <c r="E463" s="9" t="s">
        <v>147</v>
      </c>
      <c r="F463" s="9" t="s">
        <v>19</v>
      </c>
      <c r="G463" s="16">
        <v>37</v>
      </c>
      <c r="H463" s="16">
        <v>278700000</v>
      </c>
      <c r="I463" s="16">
        <v>1</v>
      </c>
      <c r="J463" s="16">
        <v>3600000</v>
      </c>
      <c r="K463" s="16">
        <v>0</v>
      </c>
      <c r="L463" s="16">
        <v>0</v>
      </c>
      <c r="M463" s="16"/>
      <c r="N463" s="12">
        <f t="shared" si="14"/>
        <v>0</v>
      </c>
    </row>
    <row r="464" spans="2:14" x14ac:dyDescent="0.35">
      <c r="B464" s="4">
        <f t="shared" si="15"/>
        <v>454</v>
      </c>
      <c r="C464" s="3" t="s">
        <v>304</v>
      </c>
      <c r="D464" s="4" t="s">
        <v>893</v>
      </c>
      <c r="E464" s="9" t="s">
        <v>147</v>
      </c>
      <c r="F464" s="9" t="s">
        <v>190</v>
      </c>
      <c r="G464" s="16">
        <v>30</v>
      </c>
      <c r="H464" s="16">
        <v>3750000</v>
      </c>
      <c r="I464" s="16">
        <v>4</v>
      </c>
      <c r="J464" s="16">
        <v>500000</v>
      </c>
      <c r="K464" s="16">
        <v>0</v>
      </c>
      <c r="L464" s="16">
        <v>0</v>
      </c>
      <c r="M464" s="16"/>
      <c r="N464" s="12">
        <f t="shared" si="14"/>
        <v>0</v>
      </c>
    </row>
    <row r="465" spans="2:14" x14ac:dyDescent="0.35">
      <c r="B465" s="4">
        <f t="shared" si="15"/>
        <v>455</v>
      </c>
      <c r="C465" s="3" t="s">
        <v>237</v>
      </c>
      <c r="D465" s="4" t="s">
        <v>824</v>
      </c>
      <c r="E465" s="9" t="s">
        <v>147</v>
      </c>
      <c r="F465" s="9" t="s">
        <v>20</v>
      </c>
      <c r="G465" s="16">
        <v>9</v>
      </c>
      <c r="H465" s="16">
        <v>1440000</v>
      </c>
      <c r="I465" s="16">
        <v>0</v>
      </c>
      <c r="J465" s="16">
        <v>0</v>
      </c>
      <c r="K465" s="16">
        <v>1</v>
      </c>
      <c r="L465" s="16">
        <v>175000</v>
      </c>
      <c r="M465" s="16"/>
      <c r="N465" s="12">
        <f t="shared" si="14"/>
        <v>0</v>
      </c>
    </row>
    <row r="466" spans="2:14" x14ac:dyDescent="0.35">
      <c r="B466" s="4">
        <f t="shared" si="15"/>
        <v>456</v>
      </c>
      <c r="C466" s="3" t="s">
        <v>237</v>
      </c>
      <c r="D466" s="4" t="s">
        <v>824</v>
      </c>
      <c r="E466" s="9" t="s">
        <v>147</v>
      </c>
      <c r="F466" s="9" t="s">
        <v>22</v>
      </c>
      <c r="G466" s="16">
        <v>61</v>
      </c>
      <c r="H466" s="16">
        <v>6187000</v>
      </c>
      <c r="I466" s="16">
        <v>1</v>
      </c>
      <c r="J466" s="16">
        <v>75000</v>
      </c>
      <c r="K466" s="16">
        <v>4</v>
      </c>
      <c r="L466" s="16">
        <v>1100000</v>
      </c>
      <c r="M466" s="16"/>
      <c r="N466" s="12">
        <f t="shared" si="14"/>
        <v>0</v>
      </c>
    </row>
    <row r="467" spans="2:14" x14ac:dyDescent="0.35">
      <c r="B467" s="4">
        <f t="shared" si="15"/>
        <v>457</v>
      </c>
      <c r="C467" s="3" t="s">
        <v>237</v>
      </c>
      <c r="D467" s="4" t="s">
        <v>824</v>
      </c>
      <c r="E467" s="9" t="s">
        <v>147</v>
      </c>
      <c r="F467" s="9" t="s">
        <v>19</v>
      </c>
      <c r="G467" s="16">
        <v>28</v>
      </c>
      <c r="H467" s="16">
        <v>152850000</v>
      </c>
      <c r="I467" s="16">
        <v>0</v>
      </c>
      <c r="J467" s="16">
        <v>0</v>
      </c>
      <c r="K467" s="16">
        <v>0</v>
      </c>
      <c r="L467" s="16">
        <v>0</v>
      </c>
      <c r="M467" s="16"/>
      <c r="N467" s="12">
        <f t="shared" si="14"/>
        <v>0</v>
      </c>
    </row>
    <row r="468" spans="2:14" x14ac:dyDescent="0.35">
      <c r="B468" s="4">
        <f t="shared" si="15"/>
        <v>458</v>
      </c>
      <c r="C468" s="3" t="s">
        <v>237</v>
      </c>
      <c r="D468" s="4" t="s">
        <v>824</v>
      </c>
      <c r="E468" s="9" t="s">
        <v>147</v>
      </c>
      <c r="F468" s="9" t="s">
        <v>190</v>
      </c>
      <c r="G468" s="16">
        <v>32</v>
      </c>
      <c r="H468" s="16">
        <v>4000000</v>
      </c>
      <c r="I468" s="16">
        <v>0</v>
      </c>
      <c r="J468" s="16">
        <v>0</v>
      </c>
      <c r="K468" s="16">
        <v>0</v>
      </c>
      <c r="L468" s="16">
        <v>0</v>
      </c>
      <c r="M468" s="16"/>
      <c r="N468" s="12">
        <f t="shared" si="14"/>
        <v>0</v>
      </c>
    </row>
    <row r="469" spans="2:14" x14ac:dyDescent="0.35">
      <c r="B469" s="4">
        <f t="shared" si="15"/>
        <v>459</v>
      </c>
      <c r="C469" s="3" t="s">
        <v>238</v>
      </c>
      <c r="D469" s="4" t="s">
        <v>795</v>
      </c>
      <c r="E469" s="9" t="s">
        <v>147</v>
      </c>
      <c r="F469" s="9" t="s">
        <v>20</v>
      </c>
      <c r="G469" s="16">
        <v>4</v>
      </c>
      <c r="H469" s="16">
        <v>655000</v>
      </c>
      <c r="I469" s="16">
        <v>0</v>
      </c>
      <c r="J469" s="16">
        <v>0</v>
      </c>
      <c r="K469" s="16">
        <v>1</v>
      </c>
      <c r="L469" s="16">
        <v>160000</v>
      </c>
      <c r="M469" s="16"/>
      <c r="N469" s="12">
        <f t="shared" si="14"/>
        <v>0</v>
      </c>
    </row>
    <row r="470" spans="2:14" x14ac:dyDescent="0.35">
      <c r="B470" s="4">
        <f t="shared" si="15"/>
        <v>460</v>
      </c>
      <c r="C470" s="3" t="s">
        <v>238</v>
      </c>
      <c r="D470" s="4" t="s">
        <v>795</v>
      </c>
      <c r="E470" s="9" t="s">
        <v>147</v>
      </c>
      <c r="F470" s="9" t="s">
        <v>22</v>
      </c>
      <c r="G470" s="16">
        <v>136</v>
      </c>
      <c r="H470" s="16">
        <v>15860000</v>
      </c>
      <c r="I470" s="16">
        <v>8</v>
      </c>
      <c r="J470" s="16">
        <v>600000</v>
      </c>
      <c r="K470" s="16">
        <v>0</v>
      </c>
      <c r="L470" s="16">
        <v>0</v>
      </c>
      <c r="M470" s="16"/>
      <c r="N470" s="12">
        <f t="shared" si="14"/>
        <v>0</v>
      </c>
    </row>
    <row r="471" spans="2:14" x14ac:dyDescent="0.35">
      <c r="B471" s="4">
        <f t="shared" si="15"/>
        <v>461</v>
      </c>
      <c r="C471" s="3" t="s">
        <v>238</v>
      </c>
      <c r="D471" s="4" t="s">
        <v>795</v>
      </c>
      <c r="E471" s="9" t="s">
        <v>147</v>
      </c>
      <c r="F471" s="9" t="s">
        <v>19</v>
      </c>
      <c r="G471" s="16">
        <v>28</v>
      </c>
      <c r="H471" s="16">
        <v>156050000</v>
      </c>
      <c r="I471" s="16">
        <v>0</v>
      </c>
      <c r="J471" s="16">
        <v>0</v>
      </c>
      <c r="K471" s="16">
        <v>1</v>
      </c>
      <c r="L471" s="16">
        <v>32352000</v>
      </c>
      <c r="M471" s="16"/>
      <c r="N471" s="12">
        <f t="shared" si="14"/>
        <v>0</v>
      </c>
    </row>
    <row r="472" spans="2:14" x14ac:dyDescent="0.35">
      <c r="B472" s="4">
        <f t="shared" si="15"/>
        <v>462</v>
      </c>
      <c r="C472" s="3" t="s">
        <v>238</v>
      </c>
      <c r="D472" s="4" t="s">
        <v>795</v>
      </c>
      <c r="E472" s="9" t="s">
        <v>147</v>
      </c>
      <c r="F472" s="9" t="s">
        <v>190</v>
      </c>
      <c r="G472" s="16">
        <v>29</v>
      </c>
      <c r="H472" s="16">
        <v>3625000</v>
      </c>
      <c r="I472" s="16">
        <v>0</v>
      </c>
      <c r="J472" s="16">
        <v>0</v>
      </c>
      <c r="K472" s="16">
        <v>7</v>
      </c>
      <c r="L472" s="16">
        <v>1260000</v>
      </c>
      <c r="M472" s="16"/>
      <c r="N472" s="12">
        <f t="shared" si="14"/>
        <v>0</v>
      </c>
    </row>
    <row r="473" spans="2:14" x14ac:dyDescent="0.35">
      <c r="B473" s="4">
        <f t="shared" si="15"/>
        <v>463</v>
      </c>
      <c r="C473" s="3" t="s">
        <v>261</v>
      </c>
      <c r="D473" s="4" t="s">
        <v>759</v>
      </c>
      <c r="E473" s="9" t="s">
        <v>147</v>
      </c>
      <c r="F473" s="9" t="s">
        <v>20</v>
      </c>
      <c r="G473" s="16">
        <v>5</v>
      </c>
      <c r="H473" s="16">
        <v>815000</v>
      </c>
      <c r="I473" s="16">
        <v>0</v>
      </c>
      <c r="J473" s="16">
        <v>0</v>
      </c>
      <c r="K473" s="16">
        <v>0</v>
      </c>
      <c r="L473" s="16">
        <v>0</v>
      </c>
      <c r="M473" s="16"/>
      <c r="N473" s="12">
        <f t="shared" si="14"/>
        <v>0</v>
      </c>
    </row>
    <row r="474" spans="2:14" x14ac:dyDescent="0.35">
      <c r="B474" s="4">
        <f t="shared" si="15"/>
        <v>464</v>
      </c>
      <c r="C474" s="3" t="s">
        <v>261</v>
      </c>
      <c r="D474" s="4" t="s">
        <v>759</v>
      </c>
      <c r="E474" s="9" t="s">
        <v>147</v>
      </c>
      <c r="F474" s="9" t="s">
        <v>22</v>
      </c>
      <c r="G474" s="16">
        <v>36</v>
      </c>
      <c r="H474" s="16">
        <v>5175000</v>
      </c>
      <c r="I474" s="16">
        <v>5</v>
      </c>
      <c r="J474" s="16">
        <v>350000</v>
      </c>
      <c r="K474" s="16">
        <v>0</v>
      </c>
      <c r="L474" s="16">
        <v>0</v>
      </c>
      <c r="M474" s="16"/>
      <c r="N474" s="12">
        <f t="shared" si="14"/>
        <v>0</v>
      </c>
    </row>
    <row r="475" spans="2:14" x14ac:dyDescent="0.35">
      <c r="B475" s="4">
        <f t="shared" si="15"/>
        <v>465</v>
      </c>
      <c r="C475" s="3" t="s">
        <v>261</v>
      </c>
      <c r="D475" s="4" t="s">
        <v>759</v>
      </c>
      <c r="E475" s="9" t="s">
        <v>147</v>
      </c>
      <c r="F475" s="9" t="s">
        <v>19</v>
      </c>
      <c r="G475" s="16">
        <v>12</v>
      </c>
      <c r="H475" s="16">
        <v>61211000</v>
      </c>
      <c r="I475" s="16">
        <v>0</v>
      </c>
      <c r="J475" s="16">
        <v>0</v>
      </c>
      <c r="K475" s="16">
        <v>0</v>
      </c>
      <c r="L475" s="16">
        <v>0</v>
      </c>
      <c r="M475" s="16"/>
      <c r="N475" s="12">
        <f t="shared" si="14"/>
        <v>0</v>
      </c>
    </row>
    <row r="476" spans="2:14" x14ac:dyDescent="0.35">
      <c r="B476" s="4">
        <f t="shared" si="15"/>
        <v>466</v>
      </c>
      <c r="C476" s="3" t="s">
        <v>261</v>
      </c>
      <c r="D476" s="4" t="s">
        <v>759</v>
      </c>
      <c r="E476" s="9" t="s">
        <v>147</v>
      </c>
      <c r="F476" s="9" t="s">
        <v>190</v>
      </c>
      <c r="G476" s="16">
        <v>24</v>
      </c>
      <c r="H476" s="16">
        <v>3035000</v>
      </c>
      <c r="I476" s="16">
        <v>0</v>
      </c>
      <c r="J476" s="16">
        <v>0</v>
      </c>
      <c r="K476" s="16">
        <v>0</v>
      </c>
      <c r="L476" s="16">
        <v>0</v>
      </c>
      <c r="M476" s="16"/>
      <c r="N476" s="12">
        <f t="shared" si="14"/>
        <v>0</v>
      </c>
    </row>
    <row r="477" spans="2:14" x14ac:dyDescent="0.35">
      <c r="B477" s="4">
        <f t="shared" si="15"/>
        <v>467</v>
      </c>
      <c r="C477" s="3" t="s">
        <v>426</v>
      </c>
      <c r="D477" s="4" t="s">
        <v>913</v>
      </c>
      <c r="E477" s="9" t="s">
        <v>147</v>
      </c>
      <c r="F477" s="9" t="s">
        <v>20</v>
      </c>
      <c r="G477" s="16">
        <v>7</v>
      </c>
      <c r="H477" s="16">
        <v>1150000</v>
      </c>
      <c r="I477" s="16">
        <v>3</v>
      </c>
      <c r="J477" s="16">
        <v>480000</v>
      </c>
      <c r="K477" s="16">
        <v>0</v>
      </c>
      <c r="L477" s="16">
        <v>0</v>
      </c>
      <c r="M477" s="16"/>
      <c r="N477" s="12">
        <f t="shared" si="14"/>
        <v>0</v>
      </c>
    </row>
    <row r="478" spans="2:14" x14ac:dyDescent="0.35">
      <c r="B478" s="4">
        <f t="shared" si="15"/>
        <v>468</v>
      </c>
      <c r="C478" s="3" t="s">
        <v>426</v>
      </c>
      <c r="D478" s="4" t="s">
        <v>913</v>
      </c>
      <c r="E478" s="9" t="s">
        <v>147</v>
      </c>
      <c r="F478" s="9" t="s">
        <v>22</v>
      </c>
      <c r="G478" s="16">
        <v>89</v>
      </c>
      <c r="H478" s="16">
        <v>9391000</v>
      </c>
      <c r="I478" s="16">
        <v>4</v>
      </c>
      <c r="J478" s="16">
        <v>471000</v>
      </c>
      <c r="K478" s="16">
        <v>6</v>
      </c>
      <c r="L478" s="16">
        <v>1939000</v>
      </c>
      <c r="M478" s="16"/>
      <c r="N478" s="12">
        <f t="shared" si="14"/>
        <v>0</v>
      </c>
    </row>
    <row r="479" spans="2:14" x14ac:dyDescent="0.35">
      <c r="B479" s="4">
        <f t="shared" si="15"/>
        <v>469</v>
      </c>
      <c r="C479" s="3" t="s">
        <v>426</v>
      </c>
      <c r="D479" s="4" t="s">
        <v>913</v>
      </c>
      <c r="E479" s="9" t="s">
        <v>147</v>
      </c>
      <c r="F479" s="9" t="s">
        <v>19</v>
      </c>
      <c r="G479" s="16">
        <v>19</v>
      </c>
      <c r="H479" s="16">
        <v>101800000</v>
      </c>
      <c r="I479" s="16">
        <v>7</v>
      </c>
      <c r="J479" s="16">
        <v>27972000</v>
      </c>
      <c r="K479" s="16">
        <v>0</v>
      </c>
      <c r="L479" s="16">
        <v>0</v>
      </c>
      <c r="M479" s="16"/>
      <c r="N479" s="12">
        <f t="shared" si="14"/>
        <v>0</v>
      </c>
    </row>
    <row r="480" spans="2:14" x14ac:dyDescent="0.35">
      <c r="B480" s="4">
        <f t="shared" si="15"/>
        <v>470</v>
      </c>
      <c r="C480" s="3" t="s">
        <v>426</v>
      </c>
      <c r="D480" s="4" t="s">
        <v>913</v>
      </c>
      <c r="E480" s="9" t="s">
        <v>147</v>
      </c>
      <c r="F480" s="9" t="s">
        <v>190</v>
      </c>
      <c r="G480" s="16">
        <v>34</v>
      </c>
      <c r="H480" s="16">
        <v>4415000</v>
      </c>
      <c r="I480" s="16">
        <v>4</v>
      </c>
      <c r="J480" s="16">
        <v>530000</v>
      </c>
      <c r="K480" s="16">
        <v>0</v>
      </c>
      <c r="L480" s="16">
        <v>0</v>
      </c>
      <c r="M480" s="16"/>
      <c r="N480" s="12">
        <f t="shared" si="14"/>
        <v>0</v>
      </c>
    </row>
    <row r="481" spans="2:14" x14ac:dyDescent="0.35">
      <c r="B481" s="4">
        <f t="shared" si="15"/>
        <v>471</v>
      </c>
      <c r="C481" s="3" t="s">
        <v>239</v>
      </c>
      <c r="D481" s="4" t="s">
        <v>811</v>
      </c>
      <c r="E481" s="9" t="s">
        <v>147</v>
      </c>
      <c r="F481" s="9" t="s">
        <v>20</v>
      </c>
      <c r="G481" s="16">
        <v>2</v>
      </c>
      <c r="H481" s="16">
        <v>271000</v>
      </c>
      <c r="I481" s="16">
        <v>1</v>
      </c>
      <c r="J481" s="16">
        <v>175000</v>
      </c>
      <c r="K481" s="16">
        <v>0</v>
      </c>
      <c r="L481" s="16">
        <v>0</v>
      </c>
      <c r="M481" s="16"/>
      <c r="N481" s="12">
        <f t="shared" si="14"/>
        <v>0</v>
      </c>
    </row>
    <row r="482" spans="2:14" x14ac:dyDescent="0.35">
      <c r="B482" s="4">
        <f t="shared" si="15"/>
        <v>472</v>
      </c>
      <c r="C482" s="3" t="s">
        <v>239</v>
      </c>
      <c r="D482" s="4" t="s">
        <v>811</v>
      </c>
      <c r="E482" s="9" t="s">
        <v>147</v>
      </c>
      <c r="F482" s="9" t="s">
        <v>22</v>
      </c>
      <c r="G482" s="16">
        <v>222</v>
      </c>
      <c r="H482" s="16">
        <v>42486000</v>
      </c>
      <c r="I482" s="16">
        <v>26</v>
      </c>
      <c r="J482" s="16">
        <v>3042000</v>
      </c>
      <c r="K482" s="16">
        <v>64</v>
      </c>
      <c r="L482" s="16">
        <v>28210000</v>
      </c>
      <c r="M482" s="16"/>
      <c r="N482" s="12">
        <f t="shared" si="14"/>
        <v>0</v>
      </c>
    </row>
    <row r="483" spans="2:14" x14ac:dyDescent="0.35">
      <c r="B483" s="4">
        <f t="shared" si="15"/>
        <v>473</v>
      </c>
      <c r="C483" s="3" t="s">
        <v>239</v>
      </c>
      <c r="D483" s="4" t="s">
        <v>811</v>
      </c>
      <c r="E483" s="9" t="s">
        <v>147</v>
      </c>
      <c r="F483" s="9" t="s">
        <v>19</v>
      </c>
      <c r="G483" s="16">
        <v>18</v>
      </c>
      <c r="H483" s="16">
        <v>59377000</v>
      </c>
      <c r="I483" s="16">
        <v>0</v>
      </c>
      <c r="J483" s="16">
        <v>0</v>
      </c>
      <c r="K483" s="16">
        <v>0</v>
      </c>
      <c r="L483" s="16">
        <v>0</v>
      </c>
      <c r="M483" s="16"/>
      <c r="N483" s="12">
        <f t="shared" si="14"/>
        <v>0</v>
      </c>
    </row>
    <row r="484" spans="2:14" x14ac:dyDescent="0.35">
      <c r="B484" s="4">
        <f t="shared" si="15"/>
        <v>474</v>
      </c>
      <c r="C484" s="3" t="s">
        <v>239</v>
      </c>
      <c r="D484" s="4" t="s">
        <v>811</v>
      </c>
      <c r="E484" s="9" t="s">
        <v>147</v>
      </c>
      <c r="F484" s="9" t="s">
        <v>190</v>
      </c>
      <c r="G484" s="16">
        <v>54</v>
      </c>
      <c r="H484" s="16">
        <v>7080000</v>
      </c>
      <c r="I484" s="16">
        <v>1</v>
      </c>
      <c r="J484" s="16">
        <v>125000</v>
      </c>
      <c r="K484" s="16">
        <v>0</v>
      </c>
      <c r="L484" s="16">
        <v>0</v>
      </c>
      <c r="M484" s="16"/>
      <c r="N484" s="12">
        <f t="shared" si="14"/>
        <v>0</v>
      </c>
    </row>
    <row r="485" spans="2:14" x14ac:dyDescent="0.35">
      <c r="B485" s="4">
        <f t="shared" si="15"/>
        <v>475</v>
      </c>
      <c r="C485" s="3" t="s">
        <v>240</v>
      </c>
      <c r="D485" s="4" t="s">
        <v>789</v>
      </c>
      <c r="E485" s="9" t="s">
        <v>147</v>
      </c>
      <c r="F485" s="9" t="s">
        <v>19</v>
      </c>
      <c r="G485" s="16">
        <v>10</v>
      </c>
      <c r="H485" s="16">
        <v>49300000</v>
      </c>
      <c r="I485" s="16">
        <v>0</v>
      </c>
      <c r="J485" s="16">
        <v>0</v>
      </c>
      <c r="K485" s="16">
        <v>1</v>
      </c>
      <c r="L485" s="16">
        <v>29952000</v>
      </c>
      <c r="M485" s="16"/>
      <c r="N485" s="12">
        <f t="shared" si="14"/>
        <v>0</v>
      </c>
    </row>
    <row r="486" spans="2:14" x14ac:dyDescent="0.35">
      <c r="B486" s="4">
        <f t="shared" si="15"/>
        <v>476</v>
      </c>
      <c r="C486" s="3" t="s">
        <v>240</v>
      </c>
      <c r="D486" s="4" t="s">
        <v>789</v>
      </c>
      <c r="E486" s="9" t="s">
        <v>147</v>
      </c>
      <c r="F486" s="9" t="s">
        <v>190</v>
      </c>
      <c r="G486" s="16">
        <v>0</v>
      </c>
      <c r="H486" s="16">
        <v>0</v>
      </c>
      <c r="I486" s="16">
        <v>0</v>
      </c>
      <c r="J486" s="16">
        <v>0</v>
      </c>
      <c r="K486" s="16">
        <v>3</v>
      </c>
      <c r="L486" s="16">
        <v>540000</v>
      </c>
      <c r="M486" s="16"/>
      <c r="N486" s="12">
        <f t="shared" si="14"/>
        <v>0</v>
      </c>
    </row>
    <row r="487" spans="2:14" x14ac:dyDescent="0.35">
      <c r="B487" s="4">
        <f t="shared" si="15"/>
        <v>477</v>
      </c>
      <c r="C487" s="3" t="s">
        <v>204</v>
      </c>
      <c r="D487" s="4" t="s">
        <v>762</v>
      </c>
      <c r="E487" s="9" t="s">
        <v>147</v>
      </c>
      <c r="F487" s="9" t="s">
        <v>20</v>
      </c>
      <c r="G487" s="16">
        <v>11</v>
      </c>
      <c r="H487" s="16">
        <v>1805000</v>
      </c>
      <c r="I487" s="16">
        <v>0</v>
      </c>
      <c r="J487" s="16">
        <v>0</v>
      </c>
      <c r="K487" s="16">
        <v>0</v>
      </c>
      <c r="L487" s="16">
        <v>0</v>
      </c>
      <c r="M487" s="16"/>
      <c r="N487" s="12">
        <f t="shared" si="14"/>
        <v>0</v>
      </c>
    </row>
    <row r="488" spans="2:14" x14ac:dyDescent="0.35">
      <c r="B488" s="4">
        <f t="shared" si="15"/>
        <v>478</v>
      </c>
      <c r="C488" s="3" t="s">
        <v>204</v>
      </c>
      <c r="D488" s="4" t="s">
        <v>762</v>
      </c>
      <c r="E488" s="9" t="s">
        <v>147</v>
      </c>
      <c r="F488" s="9" t="s">
        <v>22</v>
      </c>
      <c r="G488" s="16">
        <v>186</v>
      </c>
      <c r="H488" s="16">
        <v>29957000</v>
      </c>
      <c r="I488" s="16">
        <v>0</v>
      </c>
      <c r="J488" s="16">
        <v>0</v>
      </c>
      <c r="K488" s="16">
        <v>5</v>
      </c>
      <c r="L488" s="16">
        <v>1500000</v>
      </c>
      <c r="M488" s="16"/>
      <c r="N488" s="12">
        <f t="shared" si="14"/>
        <v>0</v>
      </c>
    </row>
    <row r="489" spans="2:14" x14ac:dyDescent="0.35">
      <c r="B489" s="4">
        <f t="shared" si="15"/>
        <v>479</v>
      </c>
      <c r="C489" s="3" t="s">
        <v>204</v>
      </c>
      <c r="D489" s="4" t="s">
        <v>762</v>
      </c>
      <c r="E489" s="9" t="s">
        <v>147</v>
      </c>
      <c r="F489" s="9" t="s">
        <v>19</v>
      </c>
      <c r="G489" s="16">
        <v>31</v>
      </c>
      <c r="H489" s="16">
        <v>233000000</v>
      </c>
      <c r="I489" s="16">
        <v>1</v>
      </c>
      <c r="J489" s="16">
        <v>32352000</v>
      </c>
      <c r="K489" s="16">
        <v>0</v>
      </c>
      <c r="L489" s="16">
        <v>0</v>
      </c>
      <c r="M489" s="16"/>
      <c r="N489" s="12">
        <f t="shared" si="14"/>
        <v>0</v>
      </c>
    </row>
    <row r="490" spans="2:14" x14ac:dyDescent="0.35">
      <c r="B490" s="4">
        <f t="shared" si="15"/>
        <v>480</v>
      </c>
      <c r="C490" s="3" t="s">
        <v>204</v>
      </c>
      <c r="D490" s="4" t="s">
        <v>762</v>
      </c>
      <c r="E490" s="9" t="s">
        <v>147</v>
      </c>
      <c r="F490" s="9" t="s">
        <v>190</v>
      </c>
      <c r="G490" s="16">
        <v>88</v>
      </c>
      <c r="H490" s="16">
        <v>11000000</v>
      </c>
      <c r="I490" s="16">
        <v>1</v>
      </c>
      <c r="J490" s="16">
        <v>180000</v>
      </c>
      <c r="K490" s="16">
        <v>0</v>
      </c>
      <c r="L490" s="16">
        <v>0</v>
      </c>
      <c r="M490" s="16"/>
      <c r="N490" s="12">
        <f t="shared" si="14"/>
        <v>0</v>
      </c>
    </row>
    <row r="491" spans="2:14" x14ac:dyDescent="0.35">
      <c r="B491" s="4">
        <f t="shared" si="15"/>
        <v>481</v>
      </c>
      <c r="C491" s="3" t="s">
        <v>305</v>
      </c>
      <c r="D491" s="4" t="s">
        <v>819</v>
      </c>
      <c r="E491" s="9" t="s">
        <v>147</v>
      </c>
      <c r="F491" s="9" t="s">
        <v>20</v>
      </c>
      <c r="G491" s="16">
        <v>5</v>
      </c>
      <c r="H491" s="16">
        <v>815000</v>
      </c>
      <c r="I491" s="16">
        <v>0</v>
      </c>
      <c r="J491" s="16">
        <v>0</v>
      </c>
      <c r="K491" s="16">
        <v>0</v>
      </c>
      <c r="L491" s="16">
        <v>0</v>
      </c>
      <c r="M491" s="16"/>
      <c r="N491" s="12">
        <f t="shared" si="14"/>
        <v>0</v>
      </c>
    </row>
    <row r="492" spans="2:14" x14ac:dyDescent="0.35">
      <c r="B492" s="4">
        <f t="shared" si="15"/>
        <v>482</v>
      </c>
      <c r="C492" s="3" t="s">
        <v>305</v>
      </c>
      <c r="D492" s="4" t="s">
        <v>819</v>
      </c>
      <c r="E492" s="9" t="s">
        <v>147</v>
      </c>
      <c r="F492" s="9" t="s">
        <v>22</v>
      </c>
      <c r="G492" s="16">
        <v>0</v>
      </c>
      <c r="H492" s="16">
        <v>0</v>
      </c>
      <c r="I492" s="16">
        <v>0</v>
      </c>
      <c r="J492" s="16">
        <v>0</v>
      </c>
      <c r="K492" s="16">
        <v>21</v>
      </c>
      <c r="L492" s="16">
        <v>5565000</v>
      </c>
      <c r="M492" s="16"/>
      <c r="N492" s="12">
        <f t="shared" si="14"/>
        <v>0</v>
      </c>
    </row>
    <row r="493" spans="2:14" x14ac:dyDescent="0.35">
      <c r="B493" s="4">
        <f t="shared" si="15"/>
        <v>483</v>
      </c>
      <c r="C493" s="3" t="s">
        <v>305</v>
      </c>
      <c r="D493" s="4" t="s">
        <v>819</v>
      </c>
      <c r="E493" s="9" t="s">
        <v>147</v>
      </c>
      <c r="F493" s="9" t="s">
        <v>19</v>
      </c>
      <c r="G493" s="16">
        <v>4</v>
      </c>
      <c r="H493" s="16">
        <v>20100000</v>
      </c>
      <c r="I493" s="16">
        <v>0</v>
      </c>
      <c r="J493" s="16">
        <v>0</v>
      </c>
      <c r="K493" s="16">
        <v>0</v>
      </c>
      <c r="L493" s="16">
        <v>0</v>
      </c>
      <c r="M493" s="16"/>
      <c r="N493" s="12">
        <f t="shared" si="14"/>
        <v>0</v>
      </c>
    </row>
    <row r="494" spans="2:14" x14ac:dyDescent="0.35">
      <c r="B494" s="4">
        <f t="shared" si="15"/>
        <v>484</v>
      </c>
      <c r="C494" s="3" t="s">
        <v>305</v>
      </c>
      <c r="D494" s="4" t="s">
        <v>819</v>
      </c>
      <c r="E494" s="9" t="s">
        <v>147</v>
      </c>
      <c r="F494" s="9" t="s">
        <v>190</v>
      </c>
      <c r="G494" s="16">
        <v>19</v>
      </c>
      <c r="H494" s="16">
        <v>2375000</v>
      </c>
      <c r="I494" s="16">
        <v>0</v>
      </c>
      <c r="J494" s="16">
        <v>0</v>
      </c>
      <c r="K494" s="16">
        <v>0</v>
      </c>
      <c r="L494" s="16">
        <v>0</v>
      </c>
      <c r="M494" s="16"/>
      <c r="N494" s="12">
        <f t="shared" si="14"/>
        <v>0</v>
      </c>
    </row>
    <row r="495" spans="2:14" x14ac:dyDescent="0.35">
      <c r="B495" s="4">
        <f t="shared" si="15"/>
        <v>485</v>
      </c>
      <c r="C495" s="3" t="s">
        <v>306</v>
      </c>
      <c r="D495" s="4" t="s">
        <v>874</v>
      </c>
      <c r="E495" s="9" t="s">
        <v>147</v>
      </c>
      <c r="F495" s="9" t="s">
        <v>20</v>
      </c>
      <c r="G495" s="16">
        <v>4</v>
      </c>
      <c r="H495" s="16">
        <v>670000</v>
      </c>
      <c r="I495" s="16">
        <v>0</v>
      </c>
      <c r="J495" s="16">
        <v>0</v>
      </c>
      <c r="K495" s="16">
        <v>1</v>
      </c>
      <c r="L495" s="16">
        <v>175000</v>
      </c>
      <c r="M495" s="16"/>
      <c r="N495" s="12">
        <f t="shared" si="14"/>
        <v>0</v>
      </c>
    </row>
    <row r="496" spans="2:14" x14ac:dyDescent="0.35">
      <c r="B496" s="4">
        <f t="shared" si="15"/>
        <v>486</v>
      </c>
      <c r="C496" s="3" t="s">
        <v>306</v>
      </c>
      <c r="D496" s="4" t="s">
        <v>874</v>
      </c>
      <c r="E496" s="9" t="s">
        <v>147</v>
      </c>
      <c r="F496" s="9" t="s">
        <v>22</v>
      </c>
      <c r="G496" s="16">
        <v>0</v>
      </c>
      <c r="H496" s="16">
        <v>0</v>
      </c>
      <c r="I496" s="16">
        <v>0</v>
      </c>
      <c r="J496" s="16">
        <v>0</v>
      </c>
      <c r="K496" s="16">
        <v>0</v>
      </c>
      <c r="L496" s="16">
        <v>0</v>
      </c>
      <c r="M496" s="16"/>
      <c r="N496" s="12">
        <f t="shared" si="14"/>
        <v>0</v>
      </c>
    </row>
    <row r="497" spans="2:14" x14ac:dyDescent="0.35">
      <c r="B497" s="4">
        <f t="shared" si="15"/>
        <v>487</v>
      </c>
      <c r="C497" s="3" t="s">
        <v>306</v>
      </c>
      <c r="D497" s="4" t="s">
        <v>874</v>
      </c>
      <c r="E497" s="9" t="s">
        <v>147</v>
      </c>
      <c r="F497" s="9" t="s">
        <v>19</v>
      </c>
      <c r="G497" s="16">
        <v>5</v>
      </c>
      <c r="H497" s="16">
        <v>22111000</v>
      </c>
      <c r="I497" s="16">
        <v>0</v>
      </c>
      <c r="J497" s="16">
        <v>0</v>
      </c>
      <c r="K497" s="16">
        <v>0</v>
      </c>
      <c r="L497" s="16">
        <v>0</v>
      </c>
      <c r="M497" s="16"/>
      <c r="N497" s="12">
        <f t="shared" si="14"/>
        <v>0</v>
      </c>
    </row>
    <row r="498" spans="2:14" x14ac:dyDescent="0.35">
      <c r="B498" s="4">
        <f t="shared" si="15"/>
        <v>488</v>
      </c>
      <c r="C498" s="3" t="s">
        <v>306</v>
      </c>
      <c r="D498" s="4" t="s">
        <v>874</v>
      </c>
      <c r="E498" s="9" t="s">
        <v>147</v>
      </c>
      <c r="F498" s="9" t="s">
        <v>190</v>
      </c>
      <c r="G498" s="16">
        <v>6</v>
      </c>
      <c r="H498" s="16">
        <v>750000</v>
      </c>
      <c r="I498" s="16">
        <v>0</v>
      </c>
      <c r="J498" s="16">
        <v>0</v>
      </c>
      <c r="K498" s="16">
        <v>0</v>
      </c>
      <c r="L498" s="16">
        <v>0</v>
      </c>
      <c r="M498" s="16"/>
      <c r="N498" s="12">
        <f t="shared" si="14"/>
        <v>0</v>
      </c>
    </row>
    <row r="499" spans="2:14" x14ac:dyDescent="0.35">
      <c r="B499" s="4">
        <f t="shared" si="15"/>
        <v>489</v>
      </c>
      <c r="C499" s="3" t="s">
        <v>385</v>
      </c>
      <c r="D499" s="4" t="s">
        <v>938</v>
      </c>
      <c r="E499" s="9" t="s">
        <v>164</v>
      </c>
      <c r="F499" s="9" t="s">
        <v>19</v>
      </c>
      <c r="G499" s="16">
        <v>6</v>
      </c>
      <c r="H499" s="16">
        <v>49500000</v>
      </c>
      <c r="I499" s="16">
        <v>1</v>
      </c>
      <c r="J499" s="16">
        <v>5500000</v>
      </c>
      <c r="K499" s="16">
        <v>0</v>
      </c>
      <c r="L499" s="16">
        <v>0</v>
      </c>
      <c r="M499" s="16"/>
      <c r="N499" s="12">
        <f t="shared" si="14"/>
        <v>0</v>
      </c>
    </row>
    <row r="500" spans="2:14" x14ac:dyDescent="0.35">
      <c r="B500" s="4">
        <f t="shared" si="15"/>
        <v>490</v>
      </c>
      <c r="C500" s="3" t="s">
        <v>284</v>
      </c>
      <c r="D500" s="4" t="s">
        <v>901</v>
      </c>
      <c r="E500" s="9" t="s">
        <v>164</v>
      </c>
      <c r="F500" s="9" t="s">
        <v>20</v>
      </c>
      <c r="G500" s="16">
        <v>7</v>
      </c>
      <c r="H500" s="16">
        <v>1180000</v>
      </c>
      <c r="I500" s="16">
        <v>0</v>
      </c>
      <c r="J500" s="16">
        <v>0</v>
      </c>
      <c r="K500" s="16">
        <v>0</v>
      </c>
      <c r="L500" s="16">
        <v>0</v>
      </c>
      <c r="M500" s="16"/>
      <c r="N500" s="12">
        <f t="shared" si="14"/>
        <v>0</v>
      </c>
    </row>
    <row r="501" spans="2:14" x14ac:dyDescent="0.35">
      <c r="B501" s="4">
        <f t="shared" si="15"/>
        <v>491</v>
      </c>
      <c r="C501" s="3" t="s">
        <v>284</v>
      </c>
      <c r="D501" s="4" t="s">
        <v>901</v>
      </c>
      <c r="E501" s="9" t="s">
        <v>164</v>
      </c>
      <c r="F501" s="9" t="s">
        <v>22</v>
      </c>
      <c r="G501" s="16">
        <v>118</v>
      </c>
      <c r="H501" s="16">
        <v>11050000</v>
      </c>
      <c r="I501" s="16">
        <v>4</v>
      </c>
      <c r="J501" s="16">
        <v>300000</v>
      </c>
      <c r="K501" s="16">
        <v>28</v>
      </c>
      <c r="L501" s="16">
        <v>8343000</v>
      </c>
      <c r="M501" s="16"/>
      <c r="N501" s="12">
        <f t="shared" si="14"/>
        <v>0</v>
      </c>
    </row>
    <row r="502" spans="2:14" x14ac:dyDescent="0.35">
      <c r="B502" s="4">
        <f t="shared" si="15"/>
        <v>492</v>
      </c>
      <c r="C502" s="3" t="s">
        <v>284</v>
      </c>
      <c r="D502" s="4" t="s">
        <v>901</v>
      </c>
      <c r="E502" s="9" t="s">
        <v>164</v>
      </c>
      <c r="F502" s="9" t="s">
        <v>19</v>
      </c>
      <c r="G502" s="16">
        <v>19</v>
      </c>
      <c r="H502" s="16">
        <v>235100000</v>
      </c>
      <c r="I502" s="16">
        <v>2</v>
      </c>
      <c r="J502" s="16">
        <v>17600000</v>
      </c>
      <c r="K502" s="16">
        <v>2</v>
      </c>
      <c r="L502" s="16">
        <v>58945000</v>
      </c>
      <c r="M502" s="16"/>
      <c r="N502" s="12">
        <f t="shared" si="14"/>
        <v>0</v>
      </c>
    </row>
    <row r="503" spans="2:14" x14ac:dyDescent="0.35">
      <c r="B503" s="4">
        <f t="shared" si="15"/>
        <v>493</v>
      </c>
      <c r="C503" s="3" t="s">
        <v>284</v>
      </c>
      <c r="D503" s="4" t="s">
        <v>901</v>
      </c>
      <c r="E503" s="9" t="s">
        <v>164</v>
      </c>
      <c r="F503" s="9" t="s">
        <v>190</v>
      </c>
      <c r="G503" s="16">
        <v>87</v>
      </c>
      <c r="H503" s="16">
        <v>10980000</v>
      </c>
      <c r="I503" s="16">
        <v>30</v>
      </c>
      <c r="J503" s="16">
        <v>3750000</v>
      </c>
      <c r="K503" s="16">
        <v>2</v>
      </c>
      <c r="L503" s="16">
        <v>250000</v>
      </c>
      <c r="M503" s="16"/>
      <c r="N503" s="12">
        <f t="shared" si="14"/>
        <v>0</v>
      </c>
    </row>
    <row r="504" spans="2:14" x14ac:dyDescent="0.35">
      <c r="B504" s="4">
        <f t="shared" si="15"/>
        <v>494</v>
      </c>
      <c r="C504" s="3" t="s">
        <v>285</v>
      </c>
      <c r="D504" s="4" t="s">
        <v>899</v>
      </c>
      <c r="E504" s="9" t="s">
        <v>164</v>
      </c>
      <c r="F504" s="9" t="s">
        <v>20</v>
      </c>
      <c r="G504" s="16">
        <v>10</v>
      </c>
      <c r="H504" s="16">
        <v>1705000</v>
      </c>
      <c r="I504" s="16">
        <v>0</v>
      </c>
      <c r="J504" s="16">
        <v>0</v>
      </c>
      <c r="K504" s="16">
        <v>1</v>
      </c>
      <c r="L504" s="16">
        <v>160000</v>
      </c>
      <c r="M504" s="16"/>
      <c r="N504" s="12">
        <f t="shared" si="14"/>
        <v>0</v>
      </c>
    </row>
    <row r="505" spans="2:14" x14ac:dyDescent="0.35">
      <c r="B505" s="4">
        <f t="shared" si="15"/>
        <v>495</v>
      </c>
      <c r="C505" s="3" t="s">
        <v>285</v>
      </c>
      <c r="D505" s="4" t="s">
        <v>899</v>
      </c>
      <c r="E505" s="9" t="s">
        <v>164</v>
      </c>
      <c r="F505" s="9" t="s">
        <v>22</v>
      </c>
      <c r="G505" s="16">
        <v>12</v>
      </c>
      <c r="H505" s="16">
        <v>2156000</v>
      </c>
      <c r="I505" s="16">
        <v>0</v>
      </c>
      <c r="J505" s="16">
        <v>0</v>
      </c>
      <c r="K505" s="16">
        <v>14</v>
      </c>
      <c r="L505" s="16">
        <v>4200000</v>
      </c>
      <c r="M505" s="16"/>
      <c r="N505" s="12">
        <f t="shared" si="14"/>
        <v>0</v>
      </c>
    </row>
    <row r="506" spans="2:14" x14ac:dyDescent="0.35">
      <c r="B506" s="4">
        <f t="shared" si="15"/>
        <v>496</v>
      </c>
      <c r="C506" s="3" t="s">
        <v>285</v>
      </c>
      <c r="D506" s="4" t="s">
        <v>899</v>
      </c>
      <c r="E506" s="9" t="s">
        <v>164</v>
      </c>
      <c r="F506" s="9" t="s">
        <v>19</v>
      </c>
      <c r="G506" s="16">
        <v>12</v>
      </c>
      <c r="H506" s="16">
        <v>195000000</v>
      </c>
      <c r="I506" s="16">
        <v>0</v>
      </c>
      <c r="J506" s="16">
        <v>0</v>
      </c>
      <c r="K506" s="16">
        <v>8</v>
      </c>
      <c r="L506" s="16">
        <v>320305000</v>
      </c>
      <c r="M506" s="16"/>
      <c r="N506" s="12">
        <f t="shared" si="14"/>
        <v>0</v>
      </c>
    </row>
    <row r="507" spans="2:14" x14ac:dyDescent="0.35">
      <c r="B507" s="4">
        <f t="shared" si="15"/>
        <v>497</v>
      </c>
      <c r="C507" s="3" t="s">
        <v>285</v>
      </c>
      <c r="D507" s="4" t="s">
        <v>899</v>
      </c>
      <c r="E507" s="9" t="s">
        <v>164</v>
      </c>
      <c r="F507" s="9" t="s">
        <v>190</v>
      </c>
      <c r="G507" s="16">
        <v>46</v>
      </c>
      <c r="H507" s="16">
        <v>5835000</v>
      </c>
      <c r="I507" s="16">
        <v>0</v>
      </c>
      <c r="J507" s="16">
        <v>0</v>
      </c>
      <c r="K507" s="16">
        <v>20</v>
      </c>
      <c r="L507" s="16">
        <v>3300000</v>
      </c>
      <c r="M507" s="16"/>
      <c r="N507" s="12">
        <f t="shared" si="14"/>
        <v>0</v>
      </c>
    </row>
    <row r="508" spans="2:14" x14ac:dyDescent="0.35">
      <c r="B508" s="4">
        <f t="shared" si="15"/>
        <v>498</v>
      </c>
      <c r="C508" s="3" t="s">
        <v>192</v>
      </c>
      <c r="D508" s="4" t="s">
        <v>779</v>
      </c>
      <c r="E508" s="9" t="s">
        <v>164</v>
      </c>
      <c r="F508" s="9" t="s">
        <v>22</v>
      </c>
      <c r="G508" s="16">
        <v>10</v>
      </c>
      <c r="H508" s="16">
        <v>2375000</v>
      </c>
      <c r="I508" s="16">
        <v>0</v>
      </c>
      <c r="J508" s="16">
        <v>0</v>
      </c>
      <c r="K508" s="16">
        <v>0</v>
      </c>
      <c r="L508" s="16">
        <v>0</v>
      </c>
      <c r="M508" s="16"/>
      <c r="N508" s="12">
        <f t="shared" si="14"/>
        <v>0</v>
      </c>
    </row>
    <row r="509" spans="2:14" x14ac:dyDescent="0.35">
      <c r="B509" s="4">
        <f t="shared" si="15"/>
        <v>499</v>
      </c>
      <c r="C509" s="3" t="s">
        <v>192</v>
      </c>
      <c r="D509" s="4" t="s">
        <v>779</v>
      </c>
      <c r="E509" s="9" t="s">
        <v>164</v>
      </c>
      <c r="F509" s="9" t="s">
        <v>19</v>
      </c>
      <c r="G509" s="16">
        <v>3</v>
      </c>
      <c r="H509" s="16">
        <v>48750000</v>
      </c>
      <c r="I509" s="16">
        <v>0</v>
      </c>
      <c r="J509" s="16">
        <v>0</v>
      </c>
      <c r="K509" s="16">
        <v>0</v>
      </c>
      <c r="L509" s="16">
        <v>0</v>
      </c>
      <c r="M509" s="16"/>
      <c r="N509" s="12">
        <f t="shared" si="14"/>
        <v>0</v>
      </c>
    </row>
    <row r="510" spans="2:14" x14ac:dyDescent="0.35">
      <c r="B510" s="4">
        <f t="shared" si="15"/>
        <v>500</v>
      </c>
      <c r="C510" s="3" t="s">
        <v>192</v>
      </c>
      <c r="D510" s="4" t="s">
        <v>779</v>
      </c>
      <c r="E510" s="9" t="s">
        <v>164</v>
      </c>
      <c r="F510" s="9" t="s">
        <v>190</v>
      </c>
      <c r="G510" s="16">
        <v>49</v>
      </c>
      <c r="H510" s="16">
        <v>6125000</v>
      </c>
      <c r="I510" s="16">
        <v>0</v>
      </c>
      <c r="J510" s="16">
        <v>0</v>
      </c>
      <c r="K510" s="16">
        <v>0</v>
      </c>
      <c r="L510" s="16">
        <v>0</v>
      </c>
      <c r="M510" s="16"/>
      <c r="N510" s="12">
        <f t="shared" si="14"/>
        <v>0</v>
      </c>
    </row>
    <row r="511" spans="2:14" x14ac:dyDescent="0.35">
      <c r="B511" s="4">
        <f t="shared" si="15"/>
        <v>501</v>
      </c>
      <c r="C511" s="3" t="s">
        <v>211</v>
      </c>
      <c r="D511" s="4" t="s">
        <v>843</v>
      </c>
      <c r="E511" s="9" t="s">
        <v>164</v>
      </c>
      <c r="F511" s="9" t="s">
        <v>22</v>
      </c>
      <c r="G511" s="16">
        <v>167</v>
      </c>
      <c r="H511" s="16">
        <v>18376000</v>
      </c>
      <c r="I511" s="16">
        <v>24</v>
      </c>
      <c r="J511" s="16">
        <v>2259000</v>
      </c>
      <c r="K511" s="16">
        <v>24</v>
      </c>
      <c r="L511" s="16">
        <v>8106000</v>
      </c>
      <c r="M511" s="16"/>
      <c r="N511" s="12">
        <f t="shared" si="14"/>
        <v>0</v>
      </c>
    </row>
    <row r="512" spans="2:14" x14ac:dyDescent="0.35">
      <c r="B512" s="4">
        <f t="shared" si="15"/>
        <v>502</v>
      </c>
      <c r="C512" s="3" t="s">
        <v>211</v>
      </c>
      <c r="D512" s="4" t="s">
        <v>843</v>
      </c>
      <c r="E512" s="9" t="s">
        <v>164</v>
      </c>
      <c r="F512" s="9" t="s">
        <v>19</v>
      </c>
      <c r="G512" s="16">
        <v>13</v>
      </c>
      <c r="H512" s="16">
        <v>107800000</v>
      </c>
      <c r="I512" s="16">
        <v>4</v>
      </c>
      <c r="J512" s="16">
        <v>28600000</v>
      </c>
      <c r="K512" s="16">
        <v>0</v>
      </c>
      <c r="L512" s="16">
        <v>0</v>
      </c>
      <c r="M512" s="16"/>
      <c r="N512" s="12">
        <f t="shared" si="14"/>
        <v>0</v>
      </c>
    </row>
    <row r="513" spans="2:14" x14ac:dyDescent="0.35">
      <c r="B513" s="4">
        <f t="shared" si="15"/>
        <v>503</v>
      </c>
      <c r="C513" s="3" t="s">
        <v>211</v>
      </c>
      <c r="D513" s="4" t="s">
        <v>843</v>
      </c>
      <c r="E513" s="9" t="s">
        <v>164</v>
      </c>
      <c r="F513" s="9" t="s">
        <v>190</v>
      </c>
      <c r="G513" s="16">
        <v>54</v>
      </c>
      <c r="H513" s="16">
        <v>6960000</v>
      </c>
      <c r="I513" s="16">
        <v>18</v>
      </c>
      <c r="J513" s="16">
        <v>2390000</v>
      </c>
      <c r="K513" s="16">
        <v>0</v>
      </c>
      <c r="L513" s="16">
        <v>0</v>
      </c>
      <c r="M513" s="16"/>
      <c r="N513" s="12">
        <f t="shared" si="14"/>
        <v>0</v>
      </c>
    </row>
    <row r="514" spans="2:14" x14ac:dyDescent="0.35">
      <c r="B514" s="4">
        <f t="shared" si="15"/>
        <v>504</v>
      </c>
      <c r="C514" s="3" t="s">
        <v>193</v>
      </c>
      <c r="D514" s="4" t="s">
        <v>733</v>
      </c>
      <c r="E514" s="9" t="s">
        <v>164</v>
      </c>
      <c r="F514" s="9" t="s">
        <v>22</v>
      </c>
      <c r="G514" s="16">
        <v>9</v>
      </c>
      <c r="H514" s="16">
        <v>1775000</v>
      </c>
      <c r="I514" s="16">
        <v>0</v>
      </c>
      <c r="J514" s="16">
        <v>0</v>
      </c>
      <c r="K514" s="16">
        <v>0</v>
      </c>
      <c r="L514" s="16">
        <v>0</v>
      </c>
      <c r="M514" s="16"/>
      <c r="N514" s="12">
        <f t="shared" si="14"/>
        <v>0</v>
      </c>
    </row>
    <row r="515" spans="2:14" x14ac:dyDescent="0.35">
      <c r="B515" s="4">
        <f t="shared" si="15"/>
        <v>505</v>
      </c>
      <c r="C515" s="3" t="s">
        <v>193</v>
      </c>
      <c r="D515" s="4" t="s">
        <v>733</v>
      </c>
      <c r="E515" s="9" t="s">
        <v>164</v>
      </c>
      <c r="F515" s="9" t="s">
        <v>19</v>
      </c>
      <c r="G515" s="16">
        <v>6</v>
      </c>
      <c r="H515" s="16">
        <v>78050000</v>
      </c>
      <c r="I515" s="16">
        <v>0</v>
      </c>
      <c r="J515" s="16">
        <v>0</v>
      </c>
      <c r="K515" s="16">
        <v>0</v>
      </c>
      <c r="L515" s="16">
        <v>0</v>
      </c>
      <c r="M515" s="16"/>
      <c r="N515" s="12">
        <f t="shared" si="14"/>
        <v>0</v>
      </c>
    </row>
    <row r="516" spans="2:14" x14ac:dyDescent="0.35">
      <c r="B516" s="4">
        <f t="shared" si="15"/>
        <v>506</v>
      </c>
      <c r="C516" s="3" t="s">
        <v>193</v>
      </c>
      <c r="D516" s="4" t="s">
        <v>733</v>
      </c>
      <c r="E516" s="9" t="s">
        <v>164</v>
      </c>
      <c r="F516" s="9" t="s">
        <v>190</v>
      </c>
      <c r="G516" s="16">
        <v>13</v>
      </c>
      <c r="H516" s="16">
        <v>1640000</v>
      </c>
      <c r="I516" s="16">
        <v>0</v>
      </c>
      <c r="J516" s="16">
        <v>0</v>
      </c>
      <c r="K516" s="16">
        <v>0</v>
      </c>
      <c r="L516" s="16">
        <v>0</v>
      </c>
      <c r="M516" s="16"/>
      <c r="N516" s="12">
        <f t="shared" si="14"/>
        <v>0</v>
      </c>
    </row>
    <row r="517" spans="2:14" x14ac:dyDescent="0.35">
      <c r="B517" s="4">
        <f t="shared" si="15"/>
        <v>507</v>
      </c>
      <c r="C517" s="3" t="s">
        <v>194</v>
      </c>
      <c r="D517" s="4" t="s">
        <v>718</v>
      </c>
      <c r="E517" s="9" t="s">
        <v>164</v>
      </c>
      <c r="F517" s="9" t="s">
        <v>20</v>
      </c>
      <c r="G517" s="16">
        <v>1</v>
      </c>
      <c r="H517" s="16">
        <v>175000</v>
      </c>
      <c r="I517" s="16">
        <v>0</v>
      </c>
      <c r="J517" s="16">
        <v>0</v>
      </c>
      <c r="K517" s="16">
        <v>0</v>
      </c>
      <c r="L517" s="16">
        <v>0</v>
      </c>
      <c r="M517" s="16"/>
      <c r="N517" s="12">
        <f t="shared" si="14"/>
        <v>0</v>
      </c>
    </row>
    <row r="518" spans="2:14" x14ac:dyDescent="0.35">
      <c r="B518" s="4">
        <f t="shared" si="15"/>
        <v>508</v>
      </c>
      <c r="C518" s="3" t="s">
        <v>194</v>
      </c>
      <c r="D518" s="4" t="s">
        <v>718</v>
      </c>
      <c r="E518" s="9" t="s">
        <v>164</v>
      </c>
      <c r="F518" s="9" t="s">
        <v>22</v>
      </c>
      <c r="G518" s="16">
        <v>11</v>
      </c>
      <c r="H518" s="16">
        <v>2325000</v>
      </c>
      <c r="I518" s="16">
        <v>1</v>
      </c>
      <c r="J518" s="16">
        <v>75000</v>
      </c>
      <c r="K518" s="16">
        <v>0</v>
      </c>
      <c r="L518" s="16">
        <v>0</v>
      </c>
      <c r="M518" s="16"/>
      <c r="N518" s="12">
        <f t="shared" si="14"/>
        <v>0</v>
      </c>
    </row>
    <row r="519" spans="2:14" x14ac:dyDescent="0.35">
      <c r="B519" s="4">
        <f t="shared" si="15"/>
        <v>509</v>
      </c>
      <c r="C519" s="3" t="s">
        <v>194</v>
      </c>
      <c r="D519" s="4" t="s">
        <v>718</v>
      </c>
      <c r="E519" s="9" t="s">
        <v>164</v>
      </c>
      <c r="F519" s="9" t="s">
        <v>19</v>
      </c>
      <c r="G519" s="16">
        <v>5</v>
      </c>
      <c r="H519" s="16">
        <v>70500000</v>
      </c>
      <c r="I519" s="16">
        <v>0</v>
      </c>
      <c r="J519" s="16">
        <v>0</v>
      </c>
      <c r="K519" s="16">
        <v>1</v>
      </c>
      <c r="L519" s="16">
        <v>8785000</v>
      </c>
      <c r="M519" s="16"/>
      <c r="N519" s="12">
        <f t="shared" si="14"/>
        <v>0</v>
      </c>
    </row>
    <row r="520" spans="2:14" x14ac:dyDescent="0.35">
      <c r="B520" s="4">
        <f t="shared" si="15"/>
        <v>510</v>
      </c>
      <c r="C520" s="3" t="s">
        <v>194</v>
      </c>
      <c r="D520" s="4" t="s">
        <v>718</v>
      </c>
      <c r="E520" s="9" t="s">
        <v>164</v>
      </c>
      <c r="F520" s="9" t="s">
        <v>190</v>
      </c>
      <c r="G520" s="16">
        <v>33</v>
      </c>
      <c r="H520" s="16">
        <v>4215000</v>
      </c>
      <c r="I520" s="16">
        <v>0</v>
      </c>
      <c r="J520" s="16">
        <v>0</v>
      </c>
      <c r="K520" s="16">
        <v>1</v>
      </c>
      <c r="L520" s="16">
        <v>140000</v>
      </c>
      <c r="M520" s="16"/>
      <c r="N520" s="12">
        <f t="shared" si="14"/>
        <v>0</v>
      </c>
    </row>
    <row r="521" spans="2:14" x14ac:dyDescent="0.35">
      <c r="B521" s="4">
        <f t="shared" si="15"/>
        <v>511</v>
      </c>
      <c r="C521" s="3" t="s">
        <v>195</v>
      </c>
      <c r="D521" s="4" t="s">
        <v>801</v>
      </c>
      <c r="E521" s="9" t="s">
        <v>164</v>
      </c>
      <c r="F521" s="9" t="s">
        <v>20</v>
      </c>
      <c r="G521" s="16">
        <v>2</v>
      </c>
      <c r="H521" s="16">
        <v>350000</v>
      </c>
      <c r="I521" s="16">
        <v>0</v>
      </c>
      <c r="J521" s="16">
        <v>0</v>
      </c>
      <c r="K521" s="16">
        <v>2</v>
      </c>
      <c r="L521" s="16">
        <v>350000</v>
      </c>
      <c r="M521" s="16"/>
      <c r="N521" s="12">
        <f t="shared" si="14"/>
        <v>0</v>
      </c>
    </row>
    <row r="522" spans="2:14" x14ac:dyDescent="0.35">
      <c r="B522" s="4">
        <f t="shared" si="15"/>
        <v>512</v>
      </c>
      <c r="C522" s="3" t="s">
        <v>195</v>
      </c>
      <c r="D522" s="4" t="s">
        <v>801</v>
      </c>
      <c r="E522" s="9" t="s">
        <v>164</v>
      </c>
      <c r="F522" s="9" t="s">
        <v>22</v>
      </c>
      <c r="G522" s="16">
        <v>23</v>
      </c>
      <c r="H522" s="16">
        <v>4425000</v>
      </c>
      <c r="I522" s="16">
        <v>0</v>
      </c>
      <c r="J522" s="16">
        <v>0</v>
      </c>
      <c r="K522" s="16">
        <v>2</v>
      </c>
      <c r="L522" s="16">
        <v>600000</v>
      </c>
      <c r="M522" s="16"/>
      <c r="N522" s="12">
        <f t="shared" si="14"/>
        <v>0</v>
      </c>
    </row>
    <row r="523" spans="2:14" x14ac:dyDescent="0.35">
      <c r="B523" s="4">
        <f t="shared" si="15"/>
        <v>513</v>
      </c>
      <c r="C523" s="3" t="s">
        <v>195</v>
      </c>
      <c r="D523" s="4" t="s">
        <v>801</v>
      </c>
      <c r="E523" s="9" t="s">
        <v>164</v>
      </c>
      <c r="F523" s="9" t="s">
        <v>19</v>
      </c>
      <c r="G523" s="16">
        <v>5</v>
      </c>
      <c r="H523" s="16">
        <v>81250000</v>
      </c>
      <c r="I523" s="16">
        <v>0</v>
      </c>
      <c r="J523" s="16">
        <v>0</v>
      </c>
      <c r="K523" s="16">
        <v>1</v>
      </c>
      <c r="L523" s="16">
        <v>42385000</v>
      </c>
      <c r="M523" s="16"/>
      <c r="N523" s="12">
        <f t="shared" ref="N523:N586" si="16">IFERROR((G523/M523)*100%, 0)</f>
        <v>0</v>
      </c>
    </row>
    <row r="524" spans="2:14" x14ac:dyDescent="0.35">
      <c r="B524" s="4">
        <f t="shared" si="15"/>
        <v>514</v>
      </c>
      <c r="C524" s="3" t="s">
        <v>195</v>
      </c>
      <c r="D524" s="4" t="s">
        <v>801</v>
      </c>
      <c r="E524" s="9" t="s">
        <v>164</v>
      </c>
      <c r="F524" s="9" t="s">
        <v>190</v>
      </c>
      <c r="G524" s="16">
        <v>42</v>
      </c>
      <c r="H524" s="16">
        <v>5300000</v>
      </c>
      <c r="I524" s="16">
        <v>0</v>
      </c>
      <c r="J524" s="16">
        <v>0</v>
      </c>
      <c r="K524" s="16">
        <v>6</v>
      </c>
      <c r="L524" s="16">
        <v>980000</v>
      </c>
      <c r="M524" s="16"/>
      <c r="N524" s="12">
        <f t="shared" si="16"/>
        <v>0</v>
      </c>
    </row>
    <row r="525" spans="2:14" x14ac:dyDescent="0.35">
      <c r="B525" s="4">
        <f t="shared" ref="B525:B588" si="17">B524+1</f>
        <v>515</v>
      </c>
      <c r="C525" s="3" t="s">
        <v>212</v>
      </c>
      <c r="D525" s="4" t="s">
        <v>804</v>
      </c>
      <c r="E525" s="9" t="s">
        <v>164</v>
      </c>
      <c r="F525" s="9" t="s">
        <v>22</v>
      </c>
      <c r="G525" s="16">
        <v>212</v>
      </c>
      <c r="H525" s="16">
        <v>36509000</v>
      </c>
      <c r="I525" s="16">
        <v>5</v>
      </c>
      <c r="J525" s="16">
        <v>375000</v>
      </c>
      <c r="K525" s="16">
        <v>43</v>
      </c>
      <c r="L525" s="16">
        <v>20994000</v>
      </c>
      <c r="M525" s="16"/>
      <c r="N525" s="12">
        <f t="shared" si="16"/>
        <v>0</v>
      </c>
    </row>
    <row r="526" spans="2:14" x14ac:dyDescent="0.35">
      <c r="B526" s="4">
        <f t="shared" si="17"/>
        <v>516</v>
      </c>
      <c r="C526" s="3" t="s">
        <v>212</v>
      </c>
      <c r="D526" s="4" t="s">
        <v>804</v>
      </c>
      <c r="E526" s="9" t="s">
        <v>164</v>
      </c>
      <c r="F526" s="9" t="s">
        <v>19</v>
      </c>
      <c r="G526" s="16">
        <v>29</v>
      </c>
      <c r="H526" s="16">
        <v>243700000</v>
      </c>
      <c r="I526" s="16">
        <v>0</v>
      </c>
      <c r="J526" s="16">
        <v>0</v>
      </c>
      <c r="K526" s="16">
        <v>3</v>
      </c>
      <c r="L526" s="16">
        <v>69680000</v>
      </c>
      <c r="M526" s="16"/>
      <c r="N526" s="12">
        <f t="shared" si="16"/>
        <v>0</v>
      </c>
    </row>
    <row r="527" spans="2:14" x14ac:dyDescent="0.35">
      <c r="B527" s="4">
        <f t="shared" si="17"/>
        <v>517</v>
      </c>
      <c r="C527" s="3" t="s">
        <v>212</v>
      </c>
      <c r="D527" s="4" t="s">
        <v>804</v>
      </c>
      <c r="E527" s="9" t="s">
        <v>164</v>
      </c>
      <c r="F527" s="9" t="s">
        <v>190</v>
      </c>
      <c r="G527" s="16">
        <v>14</v>
      </c>
      <c r="H527" s="16">
        <v>1750000</v>
      </c>
      <c r="I527" s="16">
        <v>2</v>
      </c>
      <c r="J527" s="16">
        <v>250000</v>
      </c>
      <c r="K527" s="16">
        <v>0</v>
      </c>
      <c r="L527" s="16">
        <v>0</v>
      </c>
      <c r="M527" s="16"/>
      <c r="N527" s="12">
        <f t="shared" si="16"/>
        <v>0</v>
      </c>
    </row>
    <row r="528" spans="2:14" x14ac:dyDescent="0.35">
      <c r="B528" s="4">
        <f t="shared" si="17"/>
        <v>518</v>
      </c>
      <c r="C528" s="3" t="s">
        <v>213</v>
      </c>
      <c r="D528" s="4" t="s">
        <v>849</v>
      </c>
      <c r="E528" s="9" t="s">
        <v>164</v>
      </c>
      <c r="F528" s="9" t="s">
        <v>20</v>
      </c>
      <c r="G528" s="16">
        <v>2</v>
      </c>
      <c r="H528" s="16">
        <v>335000</v>
      </c>
      <c r="I528" s="16">
        <v>0</v>
      </c>
      <c r="J528" s="16">
        <v>0</v>
      </c>
      <c r="K528" s="16">
        <v>0</v>
      </c>
      <c r="L528" s="16">
        <v>0</v>
      </c>
      <c r="M528" s="16"/>
      <c r="N528" s="12">
        <f t="shared" si="16"/>
        <v>0</v>
      </c>
    </row>
    <row r="529" spans="2:14" x14ac:dyDescent="0.35">
      <c r="B529" s="4">
        <f t="shared" si="17"/>
        <v>519</v>
      </c>
      <c r="C529" s="3" t="s">
        <v>213</v>
      </c>
      <c r="D529" s="4" t="s">
        <v>849</v>
      </c>
      <c r="E529" s="9" t="s">
        <v>164</v>
      </c>
      <c r="F529" s="9" t="s">
        <v>22</v>
      </c>
      <c r="G529" s="16">
        <v>100</v>
      </c>
      <c r="H529" s="16">
        <v>9301000</v>
      </c>
      <c r="I529" s="16">
        <v>4</v>
      </c>
      <c r="J529" s="16">
        <v>300000</v>
      </c>
      <c r="K529" s="16">
        <v>0</v>
      </c>
      <c r="L529" s="16">
        <v>0</v>
      </c>
      <c r="M529" s="16"/>
      <c r="N529" s="12">
        <f t="shared" si="16"/>
        <v>0</v>
      </c>
    </row>
    <row r="530" spans="2:14" x14ac:dyDescent="0.35">
      <c r="B530" s="4">
        <f t="shared" si="17"/>
        <v>520</v>
      </c>
      <c r="C530" s="3" t="s">
        <v>213</v>
      </c>
      <c r="D530" s="4" t="s">
        <v>849</v>
      </c>
      <c r="E530" s="9" t="s">
        <v>164</v>
      </c>
      <c r="F530" s="9" t="s">
        <v>19</v>
      </c>
      <c r="G530" s="16">
        <v>20</v>
      </c>
      <c r="H530" s="16">
        <v>204500000</v>
      </c>
      <c r="I530" s="16">
        <v>2</v>
      </c>
      <c r="J530" s="16">
        <v>22050000</v>
      </c>
      <c r="K530" s="16">
        <v>0</v>
      </c>
      <c r="L530" s="16">
        <v>0</v>
      </c>
      <c r="M530" s="16"/>
      <c r="N530" s="12">
        <f t="shared" si="16"/>
        <v>0</v>
      </c>
    </row>
    <row r="531" spans="2:14" x14ac:dyDescent="0.35">
      <c r="B531" s="4">
        <f t="shared" si="17"/>
        <v>521</v>
      </c>
      <c r="C531" s="3" t="s">
        <v>213</v>
      </c>
      <c r="D531" s="4" t="s">
        <v>849</v>
      </c>
      <c r="E531" s="9" t="s">
        <v>164</v>
      </c>
      <c r="F531" s="9" t="s">
        <v>190</v>
      </c>
      <c r="G531" s="16">
        <v>42</v>
      </c>
      <c r="H531" s="16">
        <v>5390000</v>
      </c>
      <c r="I531" s="16">
        <v>11</v>
      </c>
      <c r="J531" s="16">
        <v>1375000</v>
      </c>
      <c r="K531" s="16">
        <v>0</v>
      </c>
      <c r="L531" s="16">
        <v>0</v>
      </c>
      <c r="M531" s="16"/>
      <c r="N531" s="12">
        <f t="shared" si="16"/>
        <v>0</v>
      </c>
    </row>
    <row r="532" spans="2:14" x14ac:dyDescent="0.35">
      <c r="B532" s="4">
        <f t="shared" si="17"/>
        <v>522</v>
      </c>
      <c r="C532" s="3" t="s">
        <v>214</v>
      </c>
      <c r="D532" s="4" t="s">
        <v>810</v>
      </c>
      <c r="E532" s="9" t="s">
        <v>164</v>
      </c>
      <c r="F532" s="9" t="s">
        <v>20</v>
      </c>
      <c r="G532" s="16">
        <v>5</v>
      </c>
      <c r="H532" s="16">
        <v>640000</v>
      </c>
      <c r="I532" s="16">
        <v>0</v>
      </c>
      <c r="J532" s="16">
        <v>0</v>
      </c>
      <c r="K532" s="16">
        <v>0</v>
      </c>
      <c r="L532" s="16">
        <v>0</v>
      </c>
      <c r="M532" s="16"/>
      <c r="N532" s="12">
        <f t="shared" si="16"/>
        <v>0</v>
      </c>
    </row>
    <row r="533" spans="2:14" x14ac:dyDescent="0.35">
      <c r="B533" s="4">
        <f t="shared" si="17"/>
        <v>523</v>
      </c>
      <c r="C533" s="3" t="s">
        <v>214</v>
      </c>
      <c r="D533" s="4" t="s">
        <v>810</v>
      </c>
      <c r="E533" s="9" t="s">
        <v>164</v>
      </c>
      <c r="F533" s="9" t="s">
        <v>22</v>
      </c>
      <c r="G533" s="16">
        <v>10</v>
      </c>
      <c r="H533" s="16">
        <v>2168000</v>
      </c>
      <c r="I533" s="16">
        <v>0</v>
      </c>
      <c r="J533" s="16">
        <v>0</v>
      </c>
      <c r="K533" s="16">
        <v>2</v>
      </c>
      <c r="L533" s="16">
        <v>600000</v>
      </c>
      <c r="M533" s="16"/>
      <c r="N533" s="12">
        <f t="shared" si="16"/>
        <v>0</v>
      </c>
    </row>
    <row r="534" spans="2:14" x14ac:dyDescent="0.35">
      <c r="B534" s="4">
        <f t="shared" si="17"/>
        <v>524</v>
      </c>
      <c r="C534" s="3" t="s">
        <v>214</v>
      </c>
      <c r="D534" s="4" t="s">
        <v>810</v>
      </c>
      <c r="E534" s="9" t="s">
        <v>164</v>
      </c>
      <c r="F534" s="9" t="s">
        <v>19</v>
      </c>
      <c r="G534" s="16">
        <v>27</v>
      </c>
      <c r="H534" s="16">
        <v>215350000</v>
      </c>
      <c r="I534" s="16">
        <v>0</v>
      </c>
      <c r="J534" s="16">
        <v>0</v>
      </c>
      <c r="K534" s="16">
        <v>0</v>
      </c>
      <c r="L534" s="16">
        <v>0</v>
      </c>
      <c r="M534" s="16"/>
      <c r="N534" s="12">
        <f t="shared" si="16"/>
        <v>0</v>
      </c>
    </row>
    <row r="535" spans="2:14" x14ac:dyDescent="0.35">
      <c r="B535" s="4">
        <f t="shared" si="17"/>
        <v>525</v>
      </c>
      <c r="C535" s="3" t="s">
        <v>214</v>
      </c>
      <c r="D535" s="4" t="s">
        <v>810</v>
      </c>
      <c r="E535" s="9" t="s">
        <v>164</v>
      </c>
      <c r="F535" s="9" t="s">
        <v>190</v>
      </c>
      <c r="G535" s="16">
        <v>72</v>
      </c>
      <c r="H535" s="16">
        <v>9170000</v>
      </c>
      <c r="I535" s="16">
        <v>0</v>
      </c>
      <c r="J535" s="16">
        <v>0</v>
      </c>
      <c r="K535" s="16">
        <v>0</v>
      </c>
      <c r="L535" s="16">
        <v>0</v>
      </c>
      <c r="M535" s="16"/>
      <c r="N535" s="12">
        <f t="shared" si="16"/>
        <v>0</v>
      </c>
    </row>
    <row r="536" spans="2:14" x14ac:dyDescent="0.35">
      <c r="B536" s="4">
        <f t="shared" si="17"/>
        <v>526</v>
      </c>
      <c r="C536" s="3" t="s">
        <v>286</v>
      </c>
      <c r="D536" s="4" t="s">
        <v>853</v>
      </c>
      <c r="E536" s="9" t="s">
        <v>164</v>
      </c>
      <c r="F536" s="9" t="s">
        <v>20</v>
      </c>
      <c r="G536" s="16">
        <v>7</v>
      </c>
      <c r="H536" s="16">
        <v>1210000</v>
      </c>
      <c r="I536" s="16">
        <v>0</v>
      </c>
      <c r="J536" s="16">
        <v>0</v>
      </c>
      <c r="K536" s="16">
        <v>0</v>
      </c>
      <c r="L536" s="16">
        <v>0</v>
      </c>
      <c r="M536" s="16"/>
      <c r="N536" s="12">
        <f t="shared" si="16"/>
        <v>0</v>
      </c>
    </row>
    <row r="537" spans="2:14" x14ac:dyDescent="0.35">
      <c r="B537" s="4">
        <f t="shared" si="17"/>
        <v>527</v>
      </c>
      <c r="C537" s="3" t="s">
        <v>286</v>
      </c>
      <c r="D537" s="4" t="s">
        <v>853</v>
      </c>
      <c r="E537" s="9" t="s">
        <v>164</v>
      </c>
      <c r="F537" s="9" t="s">
        <v>22</v>
      </c>
      <c r="G537" s="16">
        <v>86</v>
      </c>
      <c r="H537" s="16">
        <v>8178000</v>
      </c>
      <c r="I537" s="16">
        <v>3</v>
      </c>
      <c r="J537" s="16">
        <v>575000</v>
      </c>
      <c r="K537" s="16">
        <v>8</v>
      </c>
      <c r="L537" s="16">
        <v>2343000</v>
      </c>
      <c r="M537" s="16"/>
      <c r="N537" s="12">
        <f t="shared" si="16"/>
        <v>0</v>
      </c>
    </row>
    <row r="538" spans="2:14" x14ac:dyDescent="0.35">
      <c r="B538" s="4">
        <f t="shared" si="17"/>
        <v>528</v>
      </c>
      <c r="C538" s="3" t="s">
        <v>286</v>
      </c>
      <c r="D538" s="4" t="s">
        <v>853</v>
      </c>
      <c r="E538" s="9" t="s">
        <v>164</v>
      </c>
      <c r="F538" s="9" t="s">
        <v>19</v>
      </c>
      <c r="G538" s="16">
        <v>28</v>
      </c>
      <c r="H538" s="16">
        <v>265650000</v>
      </c>
      <c r="I538" s="16">
        <v>0</v>
      </c>
      <c r="J538" s="16">
        <v>0</v>
      </c>
      <c r="K538" s="16">
        <v>2</v>
      </c>
      <c r="L538" s="16">
        <v>33745000</v>
      </c>
      <c r="M538" s="16"/>
      <c r="N538" s="12">
        <f t="shared" si="16"/>
        <v>0</v>
      </c>
    </row>
    <row r="539" spans="2:14" x14ac:dyDescent="0.35">
      <c r="B539" s="4">
        <f t="shared" si="17"/>
        <v>529</v>
      </c>
      <c r="C539" s="3" t="s">
        <v>286</v>
      </c>
      <c r="D539" s="4" t="s">
        <v>853</v>
      </c>
      <c r="E539" s="9" t="s">
        <v>164</v>
      </c>
      <c r="F539" s="9" t="s">
        <v>190</v>
      </c>
      <c r="G539" s="16">
        <v>132</v>
      </c>
      <c r="H539" s="16">
        <v>16820000</v>
      </c>
      <c r="I539" s="16">
        <v>1</v>
      </c>
      <c r="J539" s="16">
        <v>125000</v>
      </c>
      <c r="K539" s="16">
        <v>1</v>
      </c>
      <c r="L539" s="16">
        <v>180000</v>
      </c>
      <c r="M539" s="16"/>
      <c r="N539" s="12">
        <f t="shared" si="16"/>
        <v>0</v>
      </c>
    </row>
    <row r="540" spans="2:14" x14ac:dyDescent="0.35">
      <c r="B540" s="4">
        <f t="shared" si="17"/>
        <v>530</v>
      </c>
      <c r="C540" s="3" t="s">
        <v>287</v>
      </c>
      <c r="D540" s="4" t="s">
        <v>879</v>
      </c>
      <c r="E540" s="9" t="s">
        <v>164</v>
      </c>
      <c r="F540" s="9" t="s">
        <v>22</v>
      </c>
      <c r="G540" s="16">
        <v>135</v>
      </c>
      <c r="H540" s="16">
        <v>15031000</v>
      </c>
      <c r="I540" s="16">
        <v>12</v>
      </c>
      <c r="J540" s="16">
        <v>1209000</v>
      </c>
      <c r="K540" s="16">
        <v>17</v>
      </c>
      <c r="L540" s="16">
        <v>5043000</v>
      </c>
      <c r="M540" s="16"/>
      <c r="N540" s="12">
        <f t="shared" si="16"/>
        <v>0</v>
      </c>
    </row>
    <row r="541" spans="2:14" x14ac:dyDescent="0.35">
      <c r="B541" s="4">
        <f t="shared" si="17"/>
        <v>531</v>
      </c>
      <c r="C541" s="3" t="s">
        <v>287</v>
      </c>
      <c r="D541" s="4" t="s">
        <v>879</v>
      </c>
      <c r="E541" s="9" t="s">
        <v>164</v>
      </c>
      <c r="F541" s="9" t="s">
        <v>19</v>
      </c>
      <c r="G541" s="16">
        <v>21</v>
      </c>
      <c r="H541" s="16">
        <v>155950000</v>
      </c>
      <c r="I541" s="16">
        <v>5</v>
      </c>
      <c r="J541" s="16">
        <v>35250000</v>
      </c>
      <c r="K541" s="16">
        <v>2</v>
      </c>
      <c r="L541" s="16">
        <v>33745000</v>
      </c>
      <c r="M541" s="16"/>
      <c r="N541" s="12">
        <f t="shared" si="16"/>
        <v>0</v>
      </c>
    </row>
    <row r="542" spans="2:14" x14ac:dyDescent="0.35">
      <c r="B542" s="4">
        <f t="shared" si="17"/>
        <v>532</v>
      </c>
      <c r="C542" s="3" t="s">
        <v>287</v>
      </c>
      <c r="D542" s="4" t="s">
        <v>879</v>
      </c>
      <c r="E542" s="9" t="s">
        <v>164</v>
      </c>
      <c r="F542" s="9" t="s">
        <v>190</v>
      </c>
      <c r="G542" s="16">
        <v>27</v>
      </c>
      <c r="H542" s="16">
        <v>3485000</v>
      </c>
      <c r="I542" s="16">
        <v>15</v>
      </c>
      <c r="J542" s="16">
        <v>2110000</v>
      </c>
      <c r="K542" s="16">
        <v>1</v>
      </c>
      <c r="L542" s="16">
        <v>125000</v>
      </c>
      <c r="M542" s="16"/>
      <c r="N542" s="12">
        <f t="shared" si="16"/>
        <v>0</v>
      </c>
    </row>
    <row r="543" spans="2:14" x14ac:dyDescent="0.35">
      <c r="B543" s="4">
        <f t="shared" si="17"/>
        <v>533</v>
      </c>
      <c r="C543" s="3" t="s">
        <v>215</v>
      </c>
      <c r="D543" s="4" t="s">
        <v>859</v>
      </c>
      <c r="E543" s="9" t="s">
        <v>164</v>
      </c>
      <c r="F543" s="9" t="s">
        <v>20</v>
      </c>
      <c r="G543" s="16">
        <v>5</v>
      </c>
      <c r="H543" s="16">
        <v>875000</v>
      </c>
      <c r="I543" s="16">
        <v>0</v>
      </c>
      <c r="J543" s="16">
        <v>0</v>
      </c>
      <c r="K543" s="16">
        <v>0</v>
      </c>
      <c r="L543" s="16">
        <v>0</v>
      </c>
      <c r="M543" s="16"/>
      <c r="N543" s="12">
        <f t="shared" si="16"/>
        <v>0</v>
      </c>
    </row>
    <row r="544" spans="2:14" x14ac:dyDescent="0.35">
      <c r="B544" s="4">
        <f t="shared" si="17"/>
        <v>534</v>
      </c>
      <c r="C544" s="3" t="s">
        <v>215</v>
      </c>
      <c r="D544" s="4" t="s">
        <v>859</v>
      </c>
      <c r="E544" s="9" t="s">
        <v>164</v>
      </c>
      <c r="F544" s="9" t="s">
        <v>22</v>
      </c>
      <c r="G544" s="16">
        <v>25</v>
      </c>
      <c r="H544" s="16">
        <v>3300000</v>
      </c>
      <c r="I544" s="16">
        <v>1</v>
      </c>
      <c r="J544" s="16">
        <v>75000</v>
      </c>
      <c r="K544" s="16">
        <v>9</v>
      </c>
      <c r="L544" s="16">
        <v>2700000</v>
      </c>
      <c r="M544" s="16"/>
      <c r="N544" s="12">
        <f t="shared" si="16"/>
        <v>0</v>
      </c>
    </row>
    <row r="545" spans="2:14" x14ac:dyDescent="0.35">
      <c r="B545" s="4">
        <f t="shared" si="17"/>
        <v>535</v>
      </c>
      <c r="C545" s="3" t="s">
        <v>215</v>
      </c>
      <c r="D545" s="4" t="s">
        <v>859</v>
      </c>
      <c r="E545" s="9" t="s">
        <v>164</v>
      </c>
      <c r="F545" s="9" t="s">
        <v>19</v>
      </c>
      <c r="G545" s="16">
        <v>6</v>
      </c>
      <c r="H545" s="16">
        <v>97500000</v>
      </c>
      <c r="I545" s="16">
        <v>0</v>
      </c>
      <c r="J545" s="16">
        <v>0</v>
      </c>
      <c r="K545" s="16">
        <v>1</v>
      </c>
      <c r="L545" s="16">
        <v>42385000</v>
      </c>
      <c r="M545" s="16"/>
      <c r="N545" s="12">
        <f t="shared" si="16"/>
        <v>0</v>
      </c>
    </row>
    <row r="546" spans="2:14" x14ac:dyDescent="0.35">
      <c r="B546" s="4">
        <f t="shared" si="17"/>
        <v>536</v>
      </c>
      <c r="C546" s="3" t="s">
        <v>215</v>
      </c>
      <c r="D546" s="4" t="s">
        <v>859</v>
      </c>
      <c r="E546" s="9" t="s">
        <v>164</v>
      </c>
      <c r="F546" s="9" t="s">
        <v>190</v>
      </c>
      <c r="G546" s="16">
        <v>53</v>
      </c>
      <c r="H546" s="16">
        <v>6955000</v>
      </c>
      <c r="I546" s="16">
        <v>0</v>
      </c>
      <c r="J546" s="16">
        <v>0</v>
      </c>
      <c r="K546" s="16">
        <v>5</v>
      </c>
      <c r="L546" s="16">
        <v>625000</v>
      </c>
      <c r="M546" s="16"/>
      <c r="N546" s="12">
        <f t="shared" si="16"/>
        <v>0</v>
      </c>
    </row>
    <row r="547" spans="2:14" x14ac:dyDescent="0.35">
      <c r="B547" s="4">
        <f t="shared" si="17"/>
        <v>537</v>
      </c>
      <c r="C547" s="3" t="s">
        <v>288</v>
      </c>
      <c r="D547" s="4" t="s">
        <v>900</v>
      </c>
      <c r="E547" s="9" t="s">
        <v>164</v>
      </c>
      <c r="F547" s="9" t="s">
        <v>20</v>
      </c>
      <c r="G547" s="16">
        <v>2</v>
      </c>
      <c r="H547" s="16">
        <v>320000</v>
      </c>
      <c r="I547" s="16">
        <v>0</v>
      </c>
      <c r="J547" s="16">
        <v>0</v>
      </c>
      <c r="K547" s="16">
        <v>0</v>
      </c>
      <c r="L547" s="16">
        <v>0</v>
      </c>
      <c r="M547" s="16"/>
      <c r="N547" s="12">
        <f t="shared" si="16"/>
        <v>0</v>
      </c>
    </row>
    <row r="548" spans="2:14" x14ac:dyDescent="0.35">
      <c r="B548" s="4">
        <f t="shared" si="17"/>
        <v>538</v>
      </c>
      <c r="C548" s="3" t="s">
        <v>288</v>
      </c>
      <c r="D548" s="4" t="s">
        <v>900</v>
      </c>
      <c r="E548" s="9" t="s">
        <v>164</v>
      </c>
      <c r="F548" s="9" t="s">
        <v>22</v>
      </c>
      <c r="G548" s="16">
        <v>31</v>
      </c>
      <c r="H548" s="16">
        <v>7371000</v>
      </c>
      <c r="I548" s="16">
        <v>2</v>
      </c>
      <c r="J548" s="16">
        <v>550000</v>
      </c>
      <c r="K548" s="16">
        <v>5</v>
      </c>
      <c r="L548" s="16">
        <v>1500000</v>
      </c>
      <c r="M548" s="16"/>
      <c r="N548" s="12">
        <f t="shared" si="16"/>
        <v>0</v>
      </c>
    </row>
    <row r="549" spans="2:14" x14ac:dyDescent="0.35">
      <c r="B549" s="4">
        <f t="shared" si="17"/>
        <v>539</v>
      </c>
      <c r="C549" s="3" t="s">
        <v>288</v>
      </c>
      <c r="D549" s="4" t="s">
        <v>900</v>
      </c>
      <c r="E549" s="9" t="s">
        <v>164</v>
      </c>
      <c r="F549" s="9" t="s">
        <v>19</v>
      </c>
      <c r="G549" s="16">
        <v>26</v>
      </c>
      <c r="H549" s="16">
        <v>203250000</v>
      </c>
      <c r="I549" s="16">
        <v>0</v>
      </c>
      <c r="J549" s="16">
        <v>0</v>
      </c>
      <c r="K549" s="16">
        <v>0</v>
      </c>
      <c r="L549" s="16">
        <v>0</v>
      </c>
      <c r="M549" s="16"/>
      <c r="N549" s="12">
        <f t="shared" si="16"/>
        <v>0</v>
      </c>
    </row>
    <row r="550" spans="2:14" x14ac:dyDescent="0.35">
      <c r="B550" s="4">
        <f t="shared" si="17"/>
        <v>540</v>
      </c>
      <c r="C550" s="3" t="s">
        <v>288</v>
      </c>
      <c r="D550" s="4" t="s">
        <v>900</v>
      </c>
      <c r="E550" s="9" t="s">
        <v>164</v>
      </c>
      <c r="F550" s="9" t="s">
        <v>190</v>
      </c>
      <c r="G550" s="16">
        <v>152</v>
      </c>
      <c r="H550" s="16">
        <v>19765000</v>
      </c>
      <c r="I550" s="16">
        <v>3</v>
      </c>
      <c r="J550" s="16">
        <v>375000</v>
      </c>
      <c r="K550" s="16">
        <v>0</v>
      </c>
      <c r="L550" s="16">
        <v>0</v>
      </c>
      <c r="M550" s="16"/>
      <c r="N550" s="12">
        <f t="shared" si="16"/>
        <v>0</v>
      </c>
    </row>
    <row r="551" spans="2:14" x14ac:dyDescent="0.35">
      <c r="B551" s="4">
        <f t="shared" si="17"/>
        <v>541</v>
      </c>
      <c r="C551" s="3" t="s">
        <v>344</v>
      </c>
      <c r="D551" s="4" t="s">
        <v>867</v>
      </c>
      <c r="E551" s="9" t="s">
        <v>165</v>
      </c>
      <c r="F551" s="9" t="s">
        <v>20</v>
      </c>
      <c r="G551" s="16">
        <v>70</v>
      </c>
      <c r="H551" s="16">
        <v>29075000</v>
      </c>
      <c r="I551" s="16">
        <v>18</v>
      </c>
      <c r="J551" s="16">
        <v>3150000</v>
      </c>
      <c r="K551" s="16">
        <v>0</v>
      </c>
      <c r="L551" s="16">
        <v>0</v>
      </c>
      <c r="M551" s="16"/>
      <c r="N551" s="12">
        <f t="shared" si="16"/>
        <v>0</v>
      </c>
    </row>
    <row r="552" spans="2:14" x14ac:dyDescent="0.35">
      <c r="B552" s="4">
        <f t="shared" si="17"/>
        <v>542</v>
      </c>
      <c r="C552" s="3" t="s">
        <v>344</v>
      </c>
      <c r="D552" s="4" t="s">
        <v>867</v>
      </c>
      <c r="E552" s="9" t="s">
        <v>165</v>
      </c>
      <c r="F552" s="9" t="s">
        <v>21</v>
      </c>
      <c r="G552" s="16">
        <v>2</v>
      </c>
      <c r="H552" s="16">
        <v>1146000</v>
      </c>
      <c r="I552" s="16">
        <v>0</v>
      </c>
      <c r="J552" s="16">
        <v>0</v>
      </c>
      <c r="K552" s="16">
        <v>0</v>
      </c>
      <c r="L552" s="16">
        <v>0</v>
      </c>
      <c r="M552" s="16"/>
      <c r="N552" s="12">
        <f t="shared" si="16"/>
        <v>0</v>
      </c>
    </row>
    <row r="553" spans="2:14" x14ac:dyDescent="0.35">
      <c r="B553" s="4">
        <f t="shared" si="17"/>
        <v>543</v>
      </c>
      <c r="C553" s="3" t="s">
        <v>344</v>
      </c>
      <c r="D553" s="4" t="s">
        <v>867</v>
      </c>
      <c r="E553" s="9" t="s">
        <v>165</v>
      </c>
      <c r="F553" s="9" t="s">
        <v>22</v>
      </c>
      <c r="G553" s="16">
        <v>127</v>
      </c>
      <c r="H553" s="16">
        <v>12347000</v>
      </c>
      <c r="I553" s="16">
        <v>51</v>
      </c>
      <c r="J553" s="16">
        <v>3825000</v>
      </c>
      <c r="K553" s="16">
        <v>0</v>
      </c>
      <c r="L553" s="16">
        <v>0</v>
      </c>
      <c r="M553" s="16"/>
      <c r="N553" s="12">
        <f t="shared" si="16"/>
        <v>0</v>
      </c>
    </row>
    <row r="554" spans="2:14" x14ac:dyDescent="0.35">
      <c r="B554" s="4">
        <f t="shared" si="17"/>
        <v>544</v>
      </c>
      <c r="C554" s="3" t="s">
        <v>344</v>
      </c>
      <c r="D554" s="4" t="s">
        <v>867</v>
      </c>
      <c r="E554" s="9" t="s">
        <v>165</v>
      </c>
      <c r="F554" s="9" t="s">
        <v>190</v>
      </c>
      <c r="G554" s="16">
        <v>142</v>
      </c>
      <c r="H554" s="16">
        <v>19050000</v>
      </c>
      <c r="I554" s="16">
        <v>18</v>
      </c>
      <c r="J554" s="16">
        <v>2520000</v>
      </c>
      <c r="K554" s="16">
        <v>0</v>
      </c>
      <c r="L554" s="16">
        <v>0</v>
      </c>
      <c r="M554" s="16"/>
      <c r="N554" s="12">
        <f t="shared" si="16"/>
        <v>0</v>
      </c>
    </row>
    <row r="555" spans="2:14" x14ac:dyDescent="0.35">
      <c r="B555" s="4">
        <f t="shared" si="17"/>
        <v>545</v>
      </c>
      <c r="C555" s="3" t="s">
        <v>271</v>
      </c>
      <c r="D555" s="4" t="s">
        <v>751</v>
      </c>
      <c r="E555" s="9" t="s">
        <v>165</v>
      </c>
      <c r="F555" s="9" t="s">
        <v>20</v>
      </c>
      <c r="G555" s="16">
        <v>42</v>
      </c>
      <c r="H555" s="16">
        <v>7185000</v>
      </c>
      <c r="I555" s="16">
        <v>0</v>
      </c>
      <c r="J555" s="16">
        <v>0</v>
      </c>
      <c r="K555" s="16">
        <v>0</v>
      </c>
      <c r="L555" s="16">
        <v>0</v>
      </c>
      <c r="M555" s="16"/>
      <c r="N555" s="12">
        <f t="shared" si="16"/>
        <v>0</v>
      </c>
    </row>
    <row r="556" spans="2:14" x14ac:dyDescent="0.35">
      <c r="B556" s="4">
        <f t="shared" si="17"/>
        <v>546</v>
      </c>
      <c r="C556" s="3" t="s">
        <v>271</v>
      </c>
      <c r="D556" s="4" t="s">
        <v>751</v>
      </c>
      <c r="E556" s="9" t="s">
        <v>165</v>
      </c>
      <c r="F556" s="9" t="s">
        <v>22</v>
      </c>
      <c r="G556" s="16">
        <v>145</v>
      </c>
      <c r="H556" s="16">
        <v>17707000</v>
      </c>
      <c r="I556" s="16">
        <v>41</v>
      </c>
      <c r="J556" s="16">
        <v>3094000</v>
      </c>
      <c r="K556" s="16">
        <v>115</v>
      </c>
      <c r="L556" s="16">
        <v>27957000</v>
      </c>
      <c r="M556" s="16"/>
      <c r="N556" s="12">
        <f t="shared" si="16"/>
        <v>0</v>
      </c>
    </row>
    <row r="557" spans="2:14" x14ac:dyDescent="0.35">
      <c r="B557" s="4">
        <f t="shared" si="17"/>
        <v>547</v>
      </c>
      <c r="C557" s="3" t="s">
        <v>271</v>
      </c>
      <c r="D557" s="4" t="s">
        <v>751</v>
      </c>
      <c r="E557" s="9" t="s">
        <v>165</v>
      </c>
      <c r="F557" s="9" t="s">
        <v>190</v>
      </c>
      <c r="G557" s="16">
        <v>185</v>
      </c>
      <c r="H557" s="16">
        <v>25450000</v>
      </c>
      <c r="I557" s="16">
        <v>1</v>
      </c>
      <c r="J557" s="16">
        <v>125000</v>
      </c>
      <c r="K557" s="16">
        <v>0</v>
      </c>
      <c r="L557" s="16">
        <v>0</v>
      </c>
      <c r="M557" s="16"/>
      <c r="N557" s="12">
        <f t="shared" si="16"/>
        <v>0</v>
      </c>
    </row>
    <row r="558" spans="2:14" x14ac:dyDescent="0.35">
      <c r="B558" s="4">
        <f t="shared" si="17"/>
        <v>548</v>
      </c>
      <c r="C558" s="3" t="s">
        <v>345</v>
      </c>
      <c r="D558" s="4" t="s">
        <v>794</v>
      </c>
      <c r="E558" s="9" t="s">
        <v>165</v>
      </c>
      <c r="F558" s="9" t="s">
        <v>20</v>
      </c>
      <c r="G558" s="16">
        <v>60</v>
      </c>
      <c r="H558" s="16">
        <v>10425000</v>
      </c>
      <c r="I558" s="16">
        <v>3</v>
      </c>
      <c r="J558" s="16">
        <v>480000</v>
      </c>
      <c r="K558" s="16">
        <v>0</v>
      </c>
      <c r="L558" s="16">
        <v>0</v>
      </c>
      <c r="M558" s="16"/>
      <c r="N558" s="12">
        <f t="shared" si="16"/>
        <v>0</v>
      </c>
    </row>
    <row r="559" spans="2:14" x14ac:dyDescent="0.35">
      <c r="B559" s="4">
        <f t="shared" si="17"/>
        <v>549</v>
      </c>
      <c r="C559" s="3" t="s">
        <v>345</v>
      </c>
      <c r="D559" s="4" t="s">
        <v>794</v>
      </c>
      <c r="E559" s="9" t="s">
        <v>165</v>
      </c>
      <c r="F559" s="9" t="s">
        <v>21</v>
      </c>
      <c r="G559" s="16">
        <v>3</v>
      </c>
      <c r="H559" s="16">
        <v>3499000</v>
      </c>
      <c r="I559" s="16">
        <v>0</v>
      </c>
      <c r="J559" s="16">
        <v>0</v>
      </c>
      <c r="K559" s="16">
        <v>0</v>
      </c>
      <c r="L559" s="16">
        <v>0</v>
      </c>
      <c r="M559" s="16"/>
      <c r="N559" s="12">
        <f t="shared" si="16"/>
        <v>0</v>
      </c>
    </row>
    <row r="560" spans="2:14" x14ac:dyDescent="0.35">
      <c r="B560" s="4">
        <f t="shared" si="17"/>
        <v>550</v>
      </c>
      <c r="C560" s="3" t="s">
        <v>345</v>
      </c>
      <c r="D560" s="4" t="s">
        <v>794</v>
      </c>
      <c r="E560" s="9" t="s">
        <v>165</v>
      </c>
      <c r="F560" s="9" t="s">
        <v>22</v>
      </c>
      <c r="G560" s="16">
        <v>174</v>
      </c>
      <c r="H560" s="16">
        <v>19127000</v>
      </c>
      <c r="I560" s="16">
        <v>43</v>
      </c>
      <c r="J560" s="16">
        <v>3355000</v>
      </c>
      <c r="K560" s="16">
        <v>14</v>
      </c>
      <c r="L560" s="16">
        <v>3550000</v>
      </c>
      <c r="M560" s="16"/>
      <c r="N560" s="12">
        <f t="shared" si="16"/>
        <v>0</v>
      </c>
    </row>
    <row r="561" spans="2:14" x14ac:dyDescent="0.35">
      <c r="B561" s="4">
        <f t="shared" si="17"/>
        <v>551</v>
      </c>
      <c r="C561" s="3" t="s">
        <v>345</v>
      </c>
      <c r="D561" s="4" t="s">
        <v>794</v>
      </c>
      <c r="E561" s="9" t="s">
        <v>165</v>
      </c>
      <c r="F561" s="9" t="s">
        <v>190</v>
      </c>
      <c r="G561" s="16">
        <v>202</v>
      </c>
      <c r="H561" s="16">
        <v>28455000</v>
      </c>
      <c r="I561" s="16">
        <v>2</v>
      </c>
      <c r="J561" s="16">
        <v>250000</v>
      </c>
      <c r="K561" s="16">
        <v>0</v>
      </c>
      <c r="L561" s="16">
        <v>0</v>
      </c>
      <c r="M561" s="16"/>
      <c r="N561" s="12">
        <f t="shared" si="16"/>
        <v>0</v>
      </c>
    </row>
    <row r="562" spans="2:14" x14ac:dyDescent="0.35">
      <c r="B562" s="4">
        <f t="shared" si="17"/>
        <v>552</v>
      </c>
      <c r="C562" s="3" t="s">
        <v>346</v>
      </c>
      <c r="D562" s="4" t="s">
        <v>898</v>
      </c>
      <c r="E562" s="9" t="s">
        <v>165</v>
      </c>
      <c r="F562" s="9" t="s">
        <v>20</v>
      </c>
      <c r="G562" s="16">
        <v>62</v>
      </c>
      <c r="H562" s="16">
        <v>10730000</v>
      </c>
      <c r="I562" s="16">
        <v>31</v>
      </c>
      <c r="J562" s="16">
        <v>5425000</v>
      </c>
      <c r="K562" s="16">
        <v>0</v>
      </c>
      <c r="L562" s="16">
        <v>0</v>
      </c>
      <c r="M562" s="16"/>
      <c r="N562" s="12">
        <f t="shared" si="16"/>
        <v>0</v>
      </c>
    </row>
    <row r="563" spans="2:14" x14ac:dyDescent="0.35">
      <c r="B563" s="4">
        <f t="shared" si="17"/>
        <v>553</v>
      </c>
      <c r="C563" s="3" t="s">
        <v>346</v>
      </c>
      <c r="D563" s="4" t="s">
        <v>898</v>
      </c>
      <c r="E563" s="9" t="s">
        <v>165</v>
      </c>
      <c r="F563" s="9" t="s">
        <v>21</v>
      </c>
      <c r="G563" s="16">
        <v>3</v>
      </c>
      <c r="H563" s="16">
        <v>3499000</v>
      </c>
      <c r="I563" s="16">
        <v>0</v>
      </c>
      <c r="J563" s="16">
        <v>0</v>
      </c>
      <c r="K563" s="16">
        <v>0</v>
      </c>
      <c r="L563" s="16">
        <v>0</v>
      </c>
      <c r="M563" s="16"/>
      <c r="N563" s="12">
        <f t="shared" si="16"/>
        <v>0</v>
      </c>
    </row>
    <row r="564" spans="2:14" x14ac:dyDescent="0.35">
      <c r="B564" s="4">
        <f t="shared" si="17"/>
        <v>554</v>
      </c>
      <c r="C564" s="3" t="s">
        <v>346</v>
      </c>
      <c r="D564" s="4" t="s">
        <v>898</v>
      </c>
      <c r="E564" s="9" t="s">
        <v>165</v>
      </c>
      <c r="F564" s="9" t="s">
        <v>22</v>
      </c>
      <c r="G564" s="16">
        <v>135</v>
      </c>
      <c r="H564" s="16">
        <v>11600000</v>
      </c>
      <c r="I564" s="16">
        <v>70</v>
      </c>
      <c r="J564" s="16">
        <v>5250000</v>
      </c>
      <c r="K564" s="16">
        <v>17</v>
      </c>
      <c r="L564" s="16">
        <v>4250000</v>
      </c>
      <c r="M564" s="16"/>
      <c r="N564" s="12">
        <f t="shared" si="16"/>
        <v>0</v>
      </c>
    </row>
    <row r="565" spans="2:14" x14ac:dyDescent="0.35">
      <c r="B565" s="4">
        <f t="shared" si="17"/>
        <v>555</v>
      </c>
      <c r="C565" s="3" t="s">
        <v>346</v>
      </c>
      <c r="D565" s="4" t="s">
        <v>898</v>
      </c>
      <c r="E565" s="9" t="s">
        <v>165</v>
      </c>
      <c r="F565" s="9" t="s">
        <v>190</v>
      </c>
      <c r="G565" s="16">
        <v>218</v>
      </c>
      <c r="H565" s="16">
        <v>31785000</v>
      </c>
      <c r="I565" s="16">
        <v>22</v>
      </c>
      <c r="J565" s="16">
        <v>3240000</v>
      </c>
      <c r="K565" s="16">
        <v>0</v>
      </c>
      <c r="L565" s="16">
        <v>0</v>
      </c>
      <c r="M565" s="16"/>
      <c r="N565" s="12">
        <f t="shared" si="16"/>
        <v>0</v>
      </c>
    </row>
    <row r="566" spans="2:14" x14ac:dyDescent="0.35">
      <c r="B566" s="4">
        <f t="shared" si="17"/>
        <v>556</v>
      </c>
      <c r="C566" s="3" t="s">
        <v>347</v>
      </c>
      <c r="D566" s="4" t="s">
        <v>875</v>
      </c>
      <c r="E566" s="9" t="s">
        <v>165</v>
      </c>
      <c r="F566" s="9" t="s">
        <v>20</v>
      </c>
      <c r="G566" s="16">
        <v>99</v>
      </c>
      <c r="H566" s="16">
        <v>17630000</v>
      </c>
      <c r="I566" s="16">
        <v>2</v>
      </c>
      <c r="J566" s="16">
        <v>320000</v>
      </c>
      <c r="K566" s="16">
        <v>0</v>
      </c>
      <c r="L566" s="16">
        <v>0</v>
      </c>
      <c r="M566" s="16"/>
      <c r="N566" s="12">
        <f t="shared" si="16"/>
        <v>0</v>
      </c>
    </row>
    <row r="567" spans="2:14" x14ac:dyDescent="0.35">
      <c r="B567" s="4">
        <f t="shared" si="17"/>
        <v>557</v>
      </c>
      <c r="C567" s="3" t="s">
        <v>347</v>
      </c>
      <c r="D567" s="4" t="s">
        <v>875</v>
      </c>
      <c r="E567" s="9" t="s">
        <v>165</v>
      </c>
      <c r="F567" s="9" t="s">
        <v>21</v>
      </c>
      <c r="G567" s="16">
        <v>4</v>
      </c>
      <c r="H567" s="16">
        <v>5852000</v>
      </c>
      <c r="I567" s="16">
        <v>0</v>
      </c>
      <c r="J567" s="16">
        <v>0</v>
      </c>
      <c r="K567" s="16">
        <v>0</v>
      </c>
      <c r="L567" s="16">
        <v>0</v>
      </c>
      <c r="M567" s="16"/>
      <c r="N567" s="12">
        <f t="shared" si="16"/>
        <v>0</v>
      </c>
    </row>
    <row r="568" spans="2:14" x14ac:dyDescent="0.35">
      <c r="B568" s="4">
        <f t="shared" si="17"/>
        <v>558</v>
      </c>
      <c r="C568" s="3" t="s">
        <v>347</v>
      </c>
      <c r="D568" s="4" t="s">
        <v>875</v>
      </c>
      <c r="E568" s="9" t="s">
        <v>165</v>
      </c>
      <c r="F568" s="9" t="s">
        <v>22</v>
      </c>
      <c r="G568" s="16">
        <v>134</v>
      </c>
      <c r="H568" s="16">
        <v>11789000</v>
      </c>
      <c r="I568" s="16">
        <v>59</v>
      </c>
      <c r="J568" s="16">
        <v>4425000</v>
      </c>
      <c r="K568" s="16">
        <v>0</v>
      </c>
      <c r="L568" s="16">
        <v>0</v>
      </c>
      <c r="M568" s="16"/>
      <c r="N568" s="12">
        <f t="shared" si="16"/>
        <v>0</v>
      </c>
    </row>
    <row r="569" spans="2:14" x14ac:dyDescent="0.35">
      <c r="B569" s="4">
        <f t="shared" si="17"/>
        <v>559</v>
      </c>
      <c r="C569" s="3" t="s">
        <v>347</v>
      </c>
      <c r="D569" s="4" t="s">
        <v>875</v>
      </c>
      <c r="E569" s="9" t="s">
        <v>165</v>
      </c>
      <c r="F569" s="9" t="s">
        <v>19</v>
      </c>
      <c r="G569" s="16">
        <v>1</v>
      </c>
      <c r="H569" s="16">
        <v>8500000</v>
      </c>
      <c r="I569" s="16">
        <v>0</v>
      </c>
      <c r="J569" s="16">
        <v>0</v>
      </c>
      <c r="K569" s="16">
        <v>0</v>
      </c>
      <c r="L569" s="16">
        <v>0</v>
      </c>
      <c r="M569" s="16"/>
      <c r="N569" s="12">
        <f t="shared" si="16"/>
        <v>0</v>
      </c>
    </row>
    <row r="570" spans="2:14" x14ac:dyDescent="0.35">
      <c r="B570" s="4">
        <f t="shared" si="17"/>
        <v>560</v>
      </c>
      <c r="C570" s="3" t="s">
        <v>347</v>
      </c>
      <c r="D570" s="4" t="s">
        <v>875</v>
      </c>
      <c r="E570" s="9" t="s">
        <v>165</v>
      </c>
      <c r="F570" s="9" t="s">
        <v>190</v>
      </c>
      <c r="G570" s="16">
        <v>214</v>
      </c>
      <c r="H570" s="16">
        <v>30455000</v>
      </c>
      <c r="I570" s="16">
        <v>3</v>
      </c>
      <c r="J570" s="16">
        <v>420000</v>
      </c>
      <c r="K570" s="16">
        <v>0</v>
      </c>
      <c r="L570" s="16">
        <v>0</v>
      </c>
      <c r="M570" s="16"/>
      <c r="N570" s="12">
        <f t="shared" si="16"/>
        <v>0</v>
      </c>
    </row>
    <row r="571" spans="2:14" x14ac:dyDescent="0.35">
      <c r="B571" s="4">
        <f t="shared" si="17"/>
        <v>561</v>
      </c>
      <c r="C571" s="3" t="s">
        <v>320</v>
      </c>
      <c r="D571" s="4" t="s">
        <v>735</v>
      </c>
      <c r="E571" s="9" t="s">
        <v>166</v>
      </c>
      <c r="F571" s="9" t="s">
        <v>22</v>
      </c>
      <c r="G571" s="16">
        <v>0</v>
      </c>
      <c r="H571" s="16">
        <v>0</v>
      </c>
      <c r="I571" s="16">
        <v>339</v>
      </c>
      <c r="J571" s="16">
        <v>170497700</v>
      </c>
      <c r="K571" s="16">
        <v>1</v>
      </c>
      <c r="L571" s="16">
        <v>250000</v>
      </c>
      <c r="M571" s="16"/>
      <c r="N571" s="12">
        <f t="shared" si="16"/>
        <v>0</v>
      </c>
    </row>
    <row r="572" spans="2:14" x14ac:dyDescent="0.35">
      <c r="B572" s="4">
        <f t="shared" si="17"/>
        <v>562</v>
      </c>
      <c r="C572" s="3" t="s">
        <v>351</v>
      </c>
      <c r="D572" s="4" t="s">
        <v>776</v>
      </c>
      <c r="E572" s="9" t="s">
        <v>153</v>
      </c>
      <c r="F572" s="9" t="s">
        <v>21</v>
      </c>
      <c r="G572" s="16">
        <v>170</v>
      </c>
      <c r="H572" s="16">
        <v>107480000</v>
      </c>
      <c r="I572" s="16">
        <v>11</v>
      </c>
      <c r="J572" s="16">
        <v>5386000</v>
      </c>
      <c r="K572" s="16">
        <v>11</v>
      </c>
      <c r="L572" s="16">
        <v>12325000</v>
      </c>
      <c r="M572" s="16"/>
      <c r="N572" s="12">
        <f t="shared" si="16"/>
        <v>0</v>
      </c>
    </row>
    <row r="573" spans="2:14" x14ac:dyDescent="0.35">
      <c r="B573" s="4">
        <f t="shared" si="17"/>
        <v>563</v>
      </c>
      <c r="C573" s="3" t="s">
        <v>381</v>
      </c>
      <c r="D573" s="4" t="s">
        <v>825</v>
      </c>
      <c r="E573" s="9" t="s">
        <v>153</v>
      </c>
      <c r="F573" s="9" t="s">
        <v>21</v>
      </c>
      <c r="G573" s="16">
        <v>130</v>
      </c>
      <c r="H573" s="16">
        <v>80826500</v>
      </c>
      <c r="I573" s="16">
        <v>8</v>
      </c>
      <c r="J573" s="16">
        <v>3789000</v>
      </c>
      <c r="K573" s="16">
        <v>8</v>
      </c>
      <c r="L573" s="16">
        <v>10020000</v>
      </c>
      <c r="M573" s="16"/>
      <c r="N573" s="12">
        <f t="shared" si="16"/>
        <v>0</v>
      </c>
    </row>
    <row r="574" spans="2:14" x14ac:dyDescent="0.35">
      <c r="B574" s="4">
        <f t="shared" si="17"/>
        <v>564</v>
      </c>
      <c r="C574" s="3" t="s">
        <v>425</v>
      </c>
      <c r="D574" s="4" t="s">
        <v>914</v>
      </c>
      <c r="E574" s="9" t="s">
        <v>153</v>
      </c>
      <c r="F574" s="9" t="s">
        <v>21</v>
      </c>
      <c r="G574" s="16">
        <v>132</v>
      </c>
      <c r="H574" s="16">
        <v>68542000</v>
      </c>
      <c r="I574" s="16">
        <v>15</v>
      </c>
      <c r="J574" s="16">
        <v>7135000</v>
      </c>
      <c r="K574" s="16">
        <v>12</v>
      </c>
      <c r="L574" s="16">
        <v>13180000</v>
      </c>
      <c r="M574" s="16"/>
      <c r="N574" s="12">
        <f t="shared" si="16"/>
        <v>0</v>
      </c>
    </row>
    <row r="575" spans="2:14" x14ac:dyDescent="0.35">
      <c r="B575" s="4">
        <f t="shared" si="17"/>
        <v>565</v>
      </c>
      <c r="C575" s="3" t="s">
        <v>372</v>
      </c>
      <c r="D575" s="4" t="s">
        <v>873</v>
      </c>
      <c r="E575" s="9" t="s">
        <v>166</v>
      </c>
      <c r="F575" s="9" t="s">
        <v>22</v>
      </c>
      <c r="G575" s="16">
        <v>0</v>
      </c>
      <c r="H575" s="16">
        <v>0</v>
      </c>
      <c r="I575" s="16">
        <v>319</v>
      </c>
      <c r="J575" s="16">
        <v>155784300</v>
      </c>
      <c r="K575" s="16">
        <v>0</v>
      </c>
      <c r="L575" s="16">
        <v>0</v>
      </c>
      <c r="M575" s="16"/>
      <c r="N575" s="12">
        <f t="shared" si="16"/>
        <v>0</v>
      </c>
    </row>
    <row r="576" spans="2:14" x14ac:dyDescent="0.35">
      <c r="B576" s="4">
        <f t="shared" si="17"/>
        <v>566</v>
      </c>
      <c r="C576" s="3" t="s">
        <v>382</v>
      </c>
      <c r="D576" s="4" t="s">
        <v>841</v>
      </c>
      <c r="E576" s="9" t="s">
        <v>153</v>
      </c>
      <c r="F576" s="9" t="s">
        <v>21</v>
      </c>
      <c r="G576" s="16">
        <v>178</v>
      </c>
      <c r="H576" s="16">
        <v>83752500</v>
      </c>
      <c r="I576" s="16">
        <v>13</v>
      </c>
      <c r="J576" s="16">
        <v>7926500</v>
      </c>
      <c r="K576" s="16">
        <v>14</v>
      </c>
      <c r="L576" s="16">
        <v>13095000</v>
      </c>
      <c r="M576" s="16"/>
      <c r="N576" s="12">
        <f t="shared" si="16"/>
        <v>0</v>
      </c>
    </row>
    <row r="577" spans="2:14" x14ac:dyDescent="0.35">
      <c r="B577" s="4">
        <f t="shared" si="17"/>
        <v>567</v>
      </c>
      <c r="C577" s="3" t="s">
        <v>327</v>
      </c>
      <c r="D577" s="4" t="s">
        <v>720</v>
      </c>
      <c r="E577" s="9" t="s">
        <v>152</v>
      </c>
      <c r="F577" s="9" t="s">
        <v>21</v>
      </c>
      <c r="G577" s="16">
        <v>14788</v>
      </c>
      <c r="H577" s="16">
        <v>1214527500</v>
      </c>
      <c r="I577" s="16">
        <v>908</v>
      </c>
      <c r="J577" s="16">
        <v>75103000</v>
      </c>
      <c r="K577" s="16">
        <v>51</v>
      </c>
      <c r="L577" s="16">
        <v>7343000</v>
      </c>
      <c r="M577" s="16"/>
      <c r="N577" s="12">
        <f t="shared" si="16"/>
        <v>0</v>
      </c>
    </row>
    <row r="578" spans="2:14" x14ac:dyDescent="0.35">
      <c r="B578" s="4">
        <f t="shared" si="17"/>
        <v>568</v>
      </c>
      <c r="C578" s="3" t="s">
        <v>327</v>
      </c>
      <c r="D578" s="4" t="s">
        <v>720</v>
      </c>
      <c r="E578" s="9" t="s">
        <v>152</v>
      </c>
      <c r="F578" s="9" t="s">
        <v>22</v>
      </c>
      <c r="G578" s="16">
        <v>19</v>
      </c>
      <c r="H578" s="16">
        <v>2770000</v>
      </c>
      <c r="I578" s="16">
        <v>0</v>
      </c>
      <c r="J578" s="16">
        <v>0</v>
      </c>
      <c r="K578" s="16">
        <v>0</v>
      </c>
      <c r="L578" s="16">
        <v>0</v>
      </c>
      <c r="M578" s="16"/>
      <c r="N578" s="12">
        <f t="shared" si="16"/>
        <v>0</v>
      </c>
    </row>
    <row r="579" spans="2:14" x14ac:dyDescent="0.35">
      <c r="B579" s="4">
        <f t="shared" si="17"/>
        <v>569</v>
      </c>
      <c r="C579" s="3" t="s">
        <v>928</v>
      </c>
      <c r="D579" s="4" t="s">
        <v>921</v>
      </c>
      <c r="E579" s="9" t="s">
        <v>152</v>
      </c>
      <c r="F579" s="9" t="s">
        <v>21</v>
      </c>
      <c r="G579" s="16">
        <v>15488</v>
      </c>
      <c r="H579" s="16">
        <v>1161826500</v>
      </c>
      <c r="I579" s="16">
        <v>1109</v>
      </c>
      <c r="J579" s="16">
        <v>90153500</v>
      </c>
      <c r="K579" s="16">
        <v>109</v>
      </c>
      <c r="L579" s="16">
        <v>10758000</v>
      </c>
      <c r="M579" s="16"/>
      <c r="N579" s="12">
        <f t="shared" si="16"/>
        <v>0</v>
      </c>
    </row>
    <row r="580" spans="2:14" x14ac:dyDescent="0.35">
      <c r="B580" s="4">
        <f t="shared" si="17"/>
        <v>570</v>
      </c>
      <c r="C580" s="3" t="s">
        <v>929</v>
      </c>
      <c r="D580" s="4" t="s">
        <v>922</v>
      </c>
      <c r="E580" s="9" t="s">
        <v>152</v>
      </c>
      <c r="F580" s="9" t="s">
        <v>21</v>
      </c>
      <c r="G580" s="16">
        <v>12193</v>
      </c>
      <c r="H580" s="16">
        <v>930966000</v>
      </c>
      <c r="I580" s="16">
        <v>909</v>
      </c>
      <c r="J580" s="16">
        <v>73959000</v>
      </c>
      <c r="K580" s="16">
        <v>34</v>
      </c>
      <c r="L580" s="16">
        <v>3223000</v>
      </c>
      <c r="M580" s="16"/>
      <c r="N580" s="12">
        <f t="shared" si="16"/>
        <v>0</v>
      </c>
    </row>
    <row r="581" spans="2:14" x14ac:dyDescent="0.35">
      <c r="B581" s="4">
        <f t="shared" si="17"/>
        <v>571</v>
      </c>
      <c r="C581" s="3" t="s">
        <v>930</v>
      </c>
      <c r="D581" s="4" t="s">
        <v>923</v>
      </c>
      <c r="E581" s="9" t="s">
        <v>152</v>
      </c>
      <c r="F581" s="9" t="s">
        <v>21</v>
      </c>
      <c r="G581" s="16">
        <v>11841</v>
      </c>
      <c r="H581" s="16">
        <v>928420500</v>
      </c>
      <c r="I581" s="16">
        <v>944</v>
      </c>
      <c r="J581" s="16">
        <v>81248000</v>
      </c>
      <c r="K581" s="16">
        <v>70</v>
      </c>
      <c r="L581" s="16">
        <v>7105000</v>
      </c>
      <c r="M581" s="16"/>
      <c r="N581" s="12">
        <f t="shared" si="16"/>
        <v>0</v>
      </c>
    </row>
    <row r="582" spans="2:14" x14ac:dyDescent="0.35">
      <c r="B582" s="4">
        <f t="shared" si="17"/>
        <v>572</v>
      </c>
      <c r="C582" s="3" t="s">
        <v>383</v>
      </c>
      <c r="D582" s="4" t="s">
        <v>890</v>
      </c>
      <c r="E582" s="9" t="s">
        <v>152</v>
      </c>
      <c r="F582" s="9" t="s">
        <v>21</v>
      </c>
      <c r="G582" s="16">
        <v>858</v>
      </c>
      <c r="H582" s="16">
        <v>323771000</v>
      </c>
      <c r="I582" s="16">
        <v>180</v>
      </c>
      <c r="J582" s="16">
        <v>15325000</v>
      </c>
      <c r="K582" s="16">
        <v>6</v>
      </c>
      <c r="L582" s="16">
        <v>1953000</v>
      </c>
      <c r="M582" s="16"/>
      <c r="N582" s="12">
        <f t="shared" si="16"/>
        <v>0</v>
      </c>
    </row>
    <row r="583" spans="2:14" x14ac:dyDescent="0.35">
      <c r="B583" s="4">
        <f t="shared" si="17"/>
        <v>573</v>
      </c>
      <c r="C583" s="3" t="s">
        <v>383</v>
      </c>
      <c r="D583" s="4" t="s">
        <v>890</v>
      </c>
      <c r="E583" s="9" t="s">
        <v>152</v>
      </c>
      <c r="F583" s="9" t="s">
        <v>22</v>
      </c>
      <c r="G583" s="16">
        <v>12</v>
      </c>
      <c r="H583" s="16">
        <v>1680000</v>
      </c>
      <c r="I583" s="16">
        <v>0</v>
      </c>
      <c r="J583" s="16">
        <v>0</v>
      </c>
      <c r="K583" s="16">
        <v>0</v>
      </c>
      <c r="L583" s="16">
        <v>0</v>
      </c>
      <c r="M583" s="16"/>
      <c r="N583" s="12">
        <f t="shared" si="16"/>
        <v>0</v>
      </c>
    </row>
    <row r="584" spans="2:14" x14ac:dyDescent="0.35">
      <c r="B584" s="4">
        <f t="shared" si="17"/>
        <v>574</v>
      </c>
      <c r="C584" s="3" t="s">
        <v>931</v>
      </c>
      <c r="D584" s="4" t="s">
        <v>924</v>
      </c>
      <c r="E584" s="9" t="s">
        <v>152</v>
      </c>
      <c r="F584" s="9" t="s">
        <v>21</v>
      </c>
      <c r="G584" s="16">
        <v>4</v>
      </c>
      <c r="H584" s="16">
        <v>1252000</v>
      </c>
      <c r="I584" s="16">
        <v>0</v>
      </c>
      <c r="J584" s="16">
        <v>0</v>
      </c>
      <c r="K584" s="16">
        <v>0</v>
      </c>
      <c r="L584" s="16">
        <v>0</v>
      </c>
      <c r="M584" s="16"/>
      <c r="N584" s="12">
        <f t="shared" si="16"/>
        <v>0</v>
      </c>
    </row>
    <row r="585" spans="2:14" x14ac:dyDescent="0.35">
      <c r="B585" s="4">
        <f t="shared" si="17"/>
        <v>575</v>
      </c>
      <c r="C585" s="3" t="s">
        <v>389</v>
      </c>
      <c r="D585" s="4" t="s">
        <v>907</v>
      </c>
      <c r="E585" s="9" t="s">
        <v>146</v>
      </c>
      <c r="F585" s="9" t="s">
        <v>20</v>
      </c>
      <c r="G585" s="16">
        <v>23</v>
      </c>
      <c r="H585" s="16">
        <v>3965000</v>
      </c>
      <c r="I585" s="16">
        <v>0</v>
      </c>
      <c r="J585" s="16">
        <v>0</v>
      </c>
      <c r="K585" s="16">
        <v>0</v>
      </c>
      <c r="L585" s="16">
        <v>0</v>
      </c>
      <c r="M585" s="16"/>
      <c r="N585" s="12">
        <f t="shared" si="16"/>
        <v>0</v>
      </c>
    </row>
    <row r="586" spans="2:14" x14ac:dyDescent="0.35">
      <c r="B586" s="4">
        <f t="shared" si="17"/>
        <v>576</v>
      </c>
      <c r="C586" s="3" t="s">
        <v>389</v>
      </c>
      <c r="D586" s="4" t="s">
        <v>907</v>
      </c>
      <c r="E586" s="9" t="s">
        <v>146</v>
      </c>
      <c r="F586" s="9" t="s">
        <v>22</v>
      </c>
      <c r="G586" s="16">
        <v>308</v>
      </c>
      <c r="H586" s="16">
        <v>24161000</v>
      </c>
      <c r="I586" s="16">
        <v>9</v>
      </c>
      <c r="J586" s="16">
        <v>740000</v>
      </c>
      <c r="K586" s="16">
        <v>0</v>
      </c>
      <c r="L586" s="16">
        <v>0</v>
      </c>
      <c r="M586" s="16"/>
      <c r="N586" s="12">
        <f t="shared" si="16"/>
        <v>0</v>
      </c>
    </row>
    <row r="587" spans="2:14" x14ac:dyDescent="0.35">
      <c r="B587" s="4">
        <f t="shared" si="17"/>
        <v>577</v>
      </c>
      <c r="C587" s="3" t="s">
        <v>389</v>
      </c>
      <c r="D587" s="4" t="s">
        <v>907</v>
      </c>
      <c r="E587" s="9" t="s">
        <v>146</v>
      </c>
      <c r="F587" s="9" t="s">
        <v>190</v>
      </c>
      <c r="G587" s="16">
        <v>148</v>
      </c>
      <c r="H587" s="16">
        <v>22595000</v>
      </c>
      <c r="I587" s="16">
        <v>3</v>
      </c>
      <c r="J587" s="16">
        <v>500000</v>
      </c>
      <c r="K587" s="16">
        <v>0</v>
      </c>
      <c r="L587" s="16">
        <v>0</v>
      </c>
      <c r="M587" s="16"/>
      <c r="N587" s="12">
        <f t="shared" ref="N587:N650" si="18">IFERROR((G587/M587)*100%, 0)</f>
        <v>0</v>
      </c>
    </row>
    <row r="588" spans="2:14" x14ac:dyDescent="0.35">
      <c r="B588" s="4">
        <f t="shared" si="17"/>
        <v>578</v>
      </c>
      <c r="C588" s="3" t="s">
        <v>365</v>
      </c>
      <c r="D588" s="4" t="s">
        <v>861</v>
      </c>
      <c r="E588" s="9" t="s">
        <v>146</v>
      </c>
      <c r="F588" s="9" t="s">
        <v>20</v>
      </c>
      <c r="G588" s="16">
        <v>4</v>
      </c>
      <c r="H588" s="16">
        <v>5350000</v>
      </c>
      <c r="I588" s="16">
        <v>0</v>
      </c>
      <c r="J588" s="16">
        <v>0</v>
      </c>
      <c r="K588" s="16">
        <v>0</v>
      </c>
      <c r="L588" s="16">
        <v>0</v>
      </c>
      <c r="M588" s="16"/>
      <c r="N588" s="12">
        <f t="shared" si="18"/>
        <v>0</v>
      </c>
    </row>
    <row r="589" spans="2:14" x14ac:dyDescent="0.35">
      <c r="B589" s="4">
        <f t="shared" ref="B589:B652" si="19">B588+1</f>
        <v>579</v>
      </c>
      <c r="C589" s="3" t="s">
        <v>365</v>
      </c>
      <c r="D589" s="4" t="s">
        <v>861</v>
      </c>
      <c r="E589" s="9" t="s">
        <v>146</v>
      </c>
      <c r="F589" s="9" t="s">
        <v>22</v>
      </c>
      <c r="G589" s="16">
        <v>407</v>
      </c>
      <c r="H589" s="16">
        <v>385590000</v>
      </c>
      <c r="I589" s="16">
        <v>5</v>
      </c>
      <c r="J589" s="16">
        <v>4845000</v>
      </c>
      <c r="K589" s="16">
        <v>1</v>
      </c>
      <c r="L589" s="16">
        <v>1000000</v>
      </c>
      <c r="M589" s="16"/>
      <c r="N589" s="12">
        <f t="shared" si="18"/>
        <v>0</v>
      </c>
    </row>
    <row r="590" spans="2:14" x14ac:dyDescent="0.35">
      <c r="B590" s="4">
        <f t="shared" si="19"/>
        <v>580</v>
      </c>
      <c r="C590" s="3" t="s">
        <v>365</v>
      </c>
      <c r="D590" s="4" t="s">
        <v>861</v>
      </c>
      <c r="E590" s="9" t="s">
        <v>146</v>
      </c>
      <c r="F590" s="9" t="s">
        <v>190</v>
      </c>
      <c r="G590" s="16">
        <v>183</v>
      </c>
      <c r="H590" s="16">
        <v>28895000</v>
      </c>
      <c r="I590" s="16">
        <v>0</v>
      </c>
      <c r="J590" s="16">
        <v>0</v>
      </c>
      <c r="K590" s="16">
        <v>0</v>
      </c>
      <c r="L590" s="16">
        <v>0</v>
      </c>
      <c r="M590" s="16"/>
      <c r="N590" s="12">
        <f t="shared" si="18"/>
        <v>0</v>
      </c>
    </row>
    <row r="591" spans="2:14" x14ac:dyDescent="0.35">
      <c r="B591" s="4">
        <f t="shared" si="19"/>
        <v>581</v>
      </c>
      <c r="C591" s="3" t="s">
        <v>936</v>
      </c>
      <c r="D591" s="4" t="s">
        <v>933</v>
      </c>
      <c r="E591" s="9" t="s">
        <v>146</v>
      </c>
      <c r="F591" s="9" t="s">
        <v>21</v>
      </c>
      <c r="G591" s="16">
        <v>0</v>
      </c>
      <c r="H591" s="16">
        <v>0</v>
      </c>
      <c r="I591" s="16">
        <v>0</v>
      </c>
      <c r="J591" s="16">
        <v>0</v>
      </c>
      <c r="K591" s="16">
        <v>0</v>
      </c>
      <c r="L591" s="16">
        <v>0</v>
      </c>
      <c r="M591" s="16"/>
      <c r="N591" s="12">
        <f t="shared" si="18"/>
        <v>0</v>
      </c>
    </row>
    <row r="592" spans="2:14" x14ac:dyDescent="0.35">
      <c r="B592" s="4">
        <f t="shared" si="19"/>
        <v>582</v>
      </c>
      <c r="C592" s="3" t="s">
        <v>366</v>
      </c>
      <c r="D592" s="4" t="s">
        <v>886</v>
      </c>
      <c r="E592" s="9" t="s">
        <v>146</v>
      </c>
      <c r="F592" s="9" t="s">
        <v>20</v>
      </c>
      <c r="G592" s="16">
        <v>9</v>
      </c>
      <c r="H592" s="16">
        <v>1490000</v>
      </c>
      <c r="I592" s="16">
        <v>2</v>
      </c>
      <c r="J592" s="16">
        <v>350000</v>
      </c>
      <c r="K592" s="16">
        <v>0</v>
      </c>
      <c r="L592" s="16">
        <v>0</v>
      </c>
      <c r="M592" s="16"/>
      <c r="N592" s="12">
        <f t="shared" si="18"/>
        <v>0</v>
      </c>
    </row>
    <row r="593" spans="2:14" x14ac:dyDescent="0.35">
      <c r="B593" s="4">
        <f t="shared" si="19"/>
        <v>583</v>
      </c>
      <c r="C593" s="3" t="s">
        <v>366</v>
      </c>
      <c r="D593" s="4" t="s">
        <v>886</v>
      </c>
      <c r="E593" s="9" t="s">
        <v>146</v>
      </c>
      <c r="F593" s="9" t="s">
        <v>22</v>
      </c>
      <c r="G593" s="16">
        <v>733</v>
      </c>
      <c r="H593" s="16">
        <v>556135000</v>
      </c>
      <c r="I593" s="16">
        <v>8</v>
      </c>
      <c r="J593" s="16">
        <v>6005000</v>
      </c>
      <c r="K593" s="16">
        <v>3</v>
      </c>
      <c r="L593" s="16">
        <v>750000</v>
      </c>
      <c r="M593" s="16"/>
      <c r="N593" s="12">
        <f t="shared" si="18"/>
        <v>0</v>
      </c>
    </row>
    <row r="594" spans="2:14" x14ac:dyDescent="0.35">
      <c r="B594" s="4">
        <f t="shared" si="19"/>
        <v>584</v>
      </c>
      <c r="C594" s="3" t="s">
        <v>366</v>
      </c>
      <c r="D594" s="4" t="s">
        <v>886</v>
      </c>
      <c r="E594" s="9" t="s">
        <v>146</v>
      </c>
      <c r="F594" s="9" t="s">
        <v>190</v>
      </c>
      <c r="G594" s="16">
        <v>80</v>
      </c>
      <c r="H594" s="16">
        <v>12325000</v>
      </c>
      <c r="I594" s="16">
        <v>9</v>
      </c>
      <c r="J594" s="16">
        <v>1300000</v>
      </c>
      <c r="K594" s="16">
        <v>0</v>
      </c>
      <c r="L594" s="16">
        <v>0</v>
      </c>
      <c r="M594" s="16"/>
      <c r="N594" s="12">
        <f t="shared" si="18"/>
        <v>0</v>
      </c>
    </row>
    <row r="595" spans="2:14" x14ac:dyDescent="0.35">
      <c r="B595" s="4">
        <f t="shared" si="19"/>
        <v>585</v>
      </c>
      <c r="C595" s="3" t="s">
        <v>392</v>
      </c>
      <c r="D595" s="4" t="s">
        <v>918</v>
      </c>
      <c r="E595" s="9" t="s">
        <v>146</v>
      </c>
      <c r="F595" s="9" t="s">
        <v>20</v>
      </c>
      <c r="G595" s="16">
        <v>1</v>
      </c>
      <c r="H595" s="16">
        <v>175000</v>
      </c>
      <c r="I595" s="16">
        <v>0</v>
      </c>
      <c r="J595" s="16">
        <v>0</v>
      </c>
      <c r="K595" s="16">
        <v>0</v>
      </c>
      <c r="L595" s="16">
        <v>0</v>
      </c>
      <c r="M595" s="16"/>
      <c r="N595" s="12">
        <f t="shared" si="18"/>
        <v>0</v>
      </c>
    </row>
    <row r="596" spans="2:14" x14ac:dyDescent="0.35">
      <c r="B596" s="4">
        <f t="shared" si="19"/>
        <v>586</v>
      </c>
      <c r="C596" s="3" t="s">
        <v>392</v>
      </c>
      <c r="D596" s="4" t="s">
        <v>918</v>
      </c>
      <c r="E596" s="9" t="s">
        <v>146</v>
      </c>
      <c r="F596" s="9" t="s">
        <v>22</v>
      </c>
      <c r="G596" s="16">
        <v>216</v>
      </c>
      <c r="H596" s="16">
        <v>17240000</v>
      </c>
      <c r="I596" s="16">
        <v>9</v>
      </c>
      <c r="J596" s="16">
        <v>675000</v>
      </c>
      <c r="K596" s="16">
        <v>0</v>
      </c>
      <c r="L596" s="16">
        <v>0</v>
      </c>
      <c r="M596" s="16"/>
      <c r="N596" s="12">
        <f t="shared" si="18"/>
        <v>0</v>
      </c>
    </row>
    <row r="597" spans="2:14" x14ac:dyDescent="0.35">
      <c r="B597" s="4">
        <f t="shared" si="19"/>
        <v>587</v>
      </c>
      <c r="C597" s="3" t="s">
        <v>392</v>
      </c>
      <c r="D597" s="4" t="s">
        <v>918</v>
      </c>
      <c r="E597" s="9" t="s">
        <v>146</v>
      </c>
      <c r="F597" s="9" t="s">
        <v>190</v>
      </c>
      <c r="G597" s="16">
        <v>230</v>
      </c>
      <c r="H597" s="16">
        <v>32825000</v>
      </c>
      <c r="I597" s="16">
        <v>6</v>
      </c>
      <c r="J597" s="16">
        <v>810000</v>
      </c>
      <c r="K597" s="16">
        <v>0</v>
      </c>
      <c r="L597" s="16">
        <v>0</v>
      </c>
      <c r="M597" s="16"/>
      <c r="N597" s="12">
        <f t="shared" si="18"/>
        <v>0</v>
      </c>
    </row>
    <row r="598" spans="2:14" x14ac:dyDescent="0.35">
      <c r="B598" s="4">
        <f t="shared" si="19"/>
        <v>588</v>
      </c>
      <c r="C598" s="3" t="s">
        <v>314</v>
      </c>
      <c r="D598" s="4" t="s">
        <v>803</v>
      </c>
      <c r="E598" s="9" t="s">
        <v>146</v>
      </c>
      <c r="F598" s="9" t="s">
        <v>20</v>
      </c>
      <c r="G598" s="16">
        <v>12</v>
      </c>
      <c r="H598" s="16">
        <v>1925000</v>
      </c>
      <c r="I598" s="16">
        <v>0</v>
      </c>
      <c r="J598" s="16">
        <v>0</v>
      </c>
      <c r="K598" s="16">
        <v>0</v>
      </c>
      <c r="L598" s="16">
        <v>0</v>
      </c>
      <c r="M598" s="16"/>
      <c r="N598" s="12">
        <f t="shared" si="18"/>
        <v>0</v>
      </c>
    </row>
    <row r="599" spans="2:14" x14ac:dyDescent="0.35">
      <c r="B599" s="4">
        <f t="shared" si="19"/>
        <v>589</v>
      </c>
      <c r="C599" s="3" t="s">
        <v>314</v>
      </c>
      <c r="D599" s="4" t="s">
        <v>803</v>
      </c>
      <c r="E599" s="9" t="s">
        <v>146</v>
      </c>
      <c r="F599" s="9" t="s">
        <v>21</v>
      </c>
      <c r="G599" s="16">
        <v>0</v>
      </c>
      <c r="H599" s="16">
        <v>0</v>
      </c>
      <c r="I599" s="16">
        <v>0</v>
      </c>
      <c r="J599" s="16">
        <v>0</v>
      </c>
      <c r="K599" s="16">
        <v>0</v>
      </c>
      <c r="L599" s="16">
        <v>0</v>
      </c>
      <c r="M599" s="16"/>
      <c r="N599" s="12">
        <f t="shared" si="18"/>
        <v>0</v>
      </c>
    </row>
    <row r="600" spans="2:14" x14ac:dyDescent="0.35">
      <c r="B600" s="4">
        <f t="shared" si="19"/>
        <v>590</v>
      </c>
      <c r="C600" s="3" t="s">
        <v>314</v>
      </c>
      <c r="D600" s="4" t="s">
        <v>803</v>
      </c>
      <c r="E600" s="9" t="s">
        <v>146</v>
      </c>
      <c r="F600" s="9" t="s">
        <v>22</v>
      </c>
      <c r="G600" s="16">
        <v>387</v>
      </c>
      <c r="H600" s="16">
        <v>55851000</v>
      </c>
      <c r="I600" s="16">
        <v>1</v>
      </c>
      <c r="J600" s="16">
        <v>75000</v>
      </c>
      <c r="K600" s="16">
        <v>14</v>
      </c>
      <c r="L600" s="16">
        <v>4200000</v>
      </c>
      <c r="M600" s="16"/>
      <c r="N600" s="12">
        <f t="shared" si="18"/>
        <v>0</v>
      </c>
    </row>
    <row r="601" spans="2:14" x14ac:dyDescent="0.35">
      <c r="B601" s="4">
        <f t="shared" si="19"/>
        <v>591</v>
      </c>
      <c r="C601" s="3" t="s">
        <v>314</v>
      </c>
      <c r="D601" s="4" t="s">
        <v>803</v>
      </c>
      <c r="E601" s="9" t="s">
        <v>146</v>
      </c>
      <c r="F601" s="9" t="s">
        <v>190</v>
      </c>
      <c r="G601" s="16">
        <v>34</v>
      </c>
      <c r="H601" s="16">
        <v>4285000</v>
      </c>
      <c r="I601" s="16">
        <v>0</v>
      </c>
      <c r="J601" s="16">
        <v>0</v>
      </c>
      <c r="K601" s="16">
        <v>0</v>
      </c>
      <c r="L601" s="16">
        <v>0</v>
      </c>
      <c r="M601" s="16"/>
      <c r="N601" s="12">
        <f t="shared" si="18"/>
        <v>0</v>
      </c>
    </row>
    <row r="602" spans="2:14" x14ac:dyDescent="0.35">
      <c r="B602" s="4">
        <f t="shared" si="19"/>
        <v>592</v>
      </c>
      <c r="C602" s="3" t="s">
        <v>252</v>
      </c>
      <c r="D602" s="4" t="s">
        <v>754</v>
      </c>
      <c r="E602" s="9" t="s">
        <v>146</v>
      </c>
      <c r="F602" s="9" t="s">
        <v>21</v>
      </c>
      <c r="G602" s="16">
        <v>0</v>
      </c>
      <c r="H602" s="16">
        <v>0</v>
      </c>
      <c r="I602" s="16">
        <v>0</v>
      </c>
      <c r="J602" s="16">
        <v>0</v>
      </c>
      <c r="K602" s="16">
        <v>0</v>
      </c>
      <c r="L602" s="16">
        <v>0</v>
      </c>
      <c r="M602" s="16"/>
      <c r="N602" s="12">
        <f t="shared" si="18"/>
        <v>0</v>
      </c>
    </row>
    <row r="603" spans="2:14" x14ac:dyDescent="0.35">
      <c r="B603" s="4">
        <f t="shared" si="19"/>
        <v>593</v>
      </c>
      <c r="C603" s="3" t="s">
        <v>252</v>
      </c>
      <c r="D603" s="4" t="s">
        <v>754</v>
      </c>
      <c r="E603" s="9" t="s">
        <v>146</v>
      </c>
      <c r="F603" s="9" t="s">
        <v>22</v>
      </c>
      <c r="G603" s="16">
        <v>161</v>
      </c>
      <c r="H603" s="16">
        <v>44950000</v>
      </c>
      <c r="I603" s="16">
        <v>0</v>
      </c>
      <c r="J603" s="16">
        <v>0</v>
      </c>
      <c r="K603" s="16">
        <v>49</v>
      </c>
      <c r="L603" s="16">
        <v>14700000</v>
      </c>
      <c r="M603" s="16"/>
      <c r="N603" s="12">
        <f t="shared" si="18"/>
        <v>0</v>
      </c>
    </row>
    <row r="604" spans="2:14" x14ac:dyDescent="0.35">
      <c r="B604" s="4">
        <f t="shared" si="19"/>
        <v>594</v>
      </c>
      <c r="C604" s="3" t="s">
        <v>252</v>
      </c>
      <c r="D604" s="4" t="s">
        <v>754</v>
      </c>
      <c r="E604" s="9" t="s">
        <v>146</v>
      </c>
      <c r="F604" s="9" t="s">
        <v>19</v>
      </c>
      <c r="G604" s="16">
        <v>1</v>
      </c>
      <c r="H604" s="16">
        <v>8500000</v>
      </c>
      <c r="I604" s="16">
        <v>0</v>
      </c>
      <c r="J604" s="16">
        <v>0</v>
      </c>
      <c r="K604" s="16">
        <v>0</v>
      </c>
      <c r="L604" s="16">
        <v>0</v>
      </c>
      <c r="M604" s="16"/>
      <c r="N604" s="12">
        <f t="shared" si="18"/>
        <v>0</v>
      </c>
    </row>
    <row r="605" spans="2:14" x14ac:dyDescent="0.35">
      <c r="B605" s="4">
        <f t="shared" si="19"/>
        <v>595</v>
      </c>
      <c r="C605" s="3" t="s">
        <v>252</v>
      </c>
      <c r="D605" s="4" t="s">
        <v>754</v>
      </c>
      <c r="E605" s="9" t="s">
        <v>146</v>
      </c>
      <c r="F605" s="9" t="s">
        <v>190</v>
      </c>
      <c r="G605" s="16">
        <v>160</v>
      </c>
      <c r="H605" s="16">
        <v>20000000</v>
      </c>
      <c r="I605" s="16">
        <v>0</v>
      </c>
      <c r="J605" s="16">
        <v>0</v>
      </c>
      <c r="K605" s="16">
        <v>0</v>
      </c>
      <c r="L605" s="16">
        <v>0</v>
      </c>
      <c r="M605" s="16"/>
      <c r="N605" s="12">
        <f t="shared" si="18"/>
        <v>0</v>
      </c>
    </row>
    <row r="606" spans="2:14" x14ac:dyDescent="0.35">
      <c r="B606" s="4">
        <f t="shared" si="19"/>
        <v>596</v>
      </c>
      <c r="C606" s="3" t="s">
        <v>315</v>
      </c>
      <c r="D606" s="4" t="s">
        <v>862</v>
      </c>
      <c r="E606" s="9" t="s">
        <v>146</v>
      </c>
      <c r="F606" s="9" t="s">
        <v>20</v>
      </c>
      <c r="G606" s="16">
        <v>9</v>
      </c>
      <c r="H606" s="16">
        <v>1560000</v>
      </c>
      <c r="I606" s="16">
        <v>0</v>
      </c>
      <c r="J606" s="16">
        <v>0</v>
      </c>
      <c r="K606" s="16">
        <v>0</v>
      </c>
      <c r="L606" s="16">
        <v>0</v>
      </c>
      <c r="M606" s="16"/>
      <c r="N606" s="12">
        <f t="shared" si="18"/>
        <v>0</v>
      </c>
    </row>
    <row r="607" spans="2:14" x14ac:dyDescent="0.35">
      <c r="B607" s="4">
        <f t="shared" si="19"/>
        <v>597</v>
      </c>
      <c r="C607" s="3" t="s">
        <v>315</v>
      </c>
      <c r="D607" s="4" t="s">
        <v>862</v>
      </c>
      <c r="E607" s="9" t="s">
        <v>146</v>
      </c>
      <c r="F607" s="9" t="s">
        <v>22</v>
      </c>
      <c r="G607" s="16">
        <v>1271</v>
      </c>
      <c r="H607" s="16">
        <v>981501000</v>
      </c>
      <c r="I607" s="16">
        <v>11</v>
      </c>
      <c r="J607" s="16">
        <v>7310000</v>
      </c>
      <c r="K607" s="16">
        <v>39</v>
      </c>
      <c r="L607" s="16">
        <v>10860000</v>
      </c>
      <c r="M607" s="16"/>
      <c r="N607" s="12">
        <f t="shared" si="18"/>
        <v>0</v>
      </c>
    </row>
    <row r="608" spans="2:14" x14ac:dyDescent="0.35">
      <c r="B608" s="4">
        <f t="shared" si="19"/>
        <v>598</v>
      </c>
      <c r="C608" s="3" t="s">
        <v>315</v>
      </c>
      <c r="D608" s="4" t="s">
        <v>862</v>
      </c>
      <c r="E608" s="9" t="s">
        <v>146</v>
      </c>
      <c r="F608" s="9" t="s">
        <v>190</v>
      </c>
      <c r="G608" s="16">
        <v>49</v>
      </c>
      <c r="H608" s="16">
        <v>6960000</v>
      </c>
      <c r="I608" s="16">
        <v>0</v>
      </c>
      <c r="J608" s="16">
        <v>0</v>
      </c>
      <c r="K608" s="16">
        <v>1</v>
      </c>
      <c r="L608" s="16">
        <v>160000</v>
      </c>
      <c r="M608" s="16"/>
      <c r="N608" s="12">
        <f t="shared" si="18"/>
        <v>0</v>
      </c>
    </row>
    <row r="609" spans="2:14" x14ac:dyDescent="0.35">
      <c r="B609" s="4">
        <f t="shared" si="19"/>
        <v>599</v>
      </c>
      <c r="C609" s="3" t="s">
        <v>316</v>
      </c>
      <c r="D609" s="4" t="s">
        <v>731</v>
      </c>
      <c r="E609" s="9" t="s">
        <v>146</v>
      </c>
      <c r="F609" s="9" t="s">
        <v>22</v>
      </c>
      <c r="G609" s="16">
        <v>171</v>
      </c>
      <c r="H609" s="16">
        <v>17510000</v>
      </c>
      <c r="I609" s="16">
        <v>3</v>
      </c>
      <c r="J609" s="16">
        <v>225000</v>
      </c>
      <c r="K609" s="16">
        <v>30</v>
      </c>
      <c r="L609" s="16">
        <v>9000000</v>
      </c>
      <c r="M609" s="16"/>
      <c r="N609" s="12">
        <f t="shared" si="18"/>
        <v>0</v>
      </c>
    </row>
    <row r="610" spans="2:14" x14ac:dyDescent="0.35">
      <c r="B610" s="4">
        <f t="shared" si="19"/>
        <v>600</v>
      </c>
      <c r="C610" s="3" t="s">
        <v>316</v>
      </c>
      <c r="D610" s="4" t="s">
        <v>731</v>
      </c>
      <c r="E610" s="9" t="s">
        <v>146</v>
      </c>
      <c r="F610" s="9" t="s">
        <v>190</v>
      </c>
      <c r="G610" s="16">
        <v>189</v>
      </c>
      <c r="H610" s="16">
        <v>23625000</v>
      </c>
      <c r="I610" s="16">
        <v>0</v>
      </c>
      <c r="J610" s="16">
        <v>0</v>
      </c>
      <c r="K610" s="16">
        <v>0</v>
      </c>
      <c r="L610" s="16">
        <v>0</v>
      </c>
      <c r="M610" s="16"/>
      <c r="N610" s="12">
        <f t="shared" si="18"/>
        <v>0</v>
      </c>
    </row>
    <row r="611" spans="2:14" x14ac:dyDescent="0.35">
      <c r="B611" s="4">
        <f t="shared" si="19"/>
        <v>601</v>
      </c>
      <c r="C611" s="3" t="s">
        <v>403</v>
      </c>
      <c r="D611" s="4" t="s">
        <v>910</v>
      </c>
      <c r="E611" s="9" t="s">
        <v>146</v>
      </c>
      <c r="F611" s="9" t="s">
        <v>20</v>
      </c>
      <c r="G611" s="16">
        <v>40</v>
      </c>
      <c r="H611" s="16">
        <v>6380000</v>
      </c>
      <c r="I611" s="16">
        <v>1</v>
      </c>
      <c r="J611" s="16">
        <v>160000</v>
      </c>
      <c r="K611" s="16">
        <v>0</v>
      </c>
      <c r="L611" s="16">
        <v>0</v>
      </c>
      <c r="M611" s="16"/>
      <c r="N611" s="12">
        <f t="shared" si="18"/>
        <v>0</v>
      </c>
    </row>
    <row r="612" spans="2:14" x14ac:dyDescent="0.35">
      <c r="B612" s="4">
        <f t="shared" si="19"/>
        <v>602</v>
      </c>
      <c r="C612" s="3" t="s">
        <v>403</v>
      </c>
      <c r="D612" s="4" t="s">
        <v>910</v>
      </c>
      <c r="E612" s="9" t="s">
        <v>146</v>
      </c>
      <c r="F612" s="9" t="s">
        <v>22</v>
      </c>
      <c r="G612" s="16">
        <v>186</v>
      </c>
      <c r="H612" s="16">
        <v>14665000</v>
      </c>
      <c r="I612" s="16">
        <v>6</v>
      </c>
      <c r="J612" s="16">
        <v>515000</v>
      </c>
      <c r="K612" s="16">
        <v>0</v>
      </c>
      <c r="L612" s="16">
        <v>0</v>
      </c>
      <c r="M612" s="16"/>
      <c r="N612" s="12">
        <f t="shared" si="18"/>
        <v>0</v>
      </c>
    </row>
    <row r="613" spans="2:14" x14ac:dyDescent="0.35">
      <c r="B613" s="4">
        <f t="shared" si="19"/>
        <v>603</v>
      </c>
      <c r="C613" s="3" t="s">
        <v>403</v>
      </c>
      <c r="D613" s="4" t="s">
        <v>910</v>
      </c>
      <c r="E613" s="9" t="s">
        <v>146</v>
      </c>
      <c r="F613" s="9" t="s">
        <v>190</v>
      </c>
      <c r="G613" s="16">
        <v>255</v>
      </c>
      <c r="H613" s="16">
        <v>37090000</v>
      </c>
      <c r="I613" s="16">
        <v>1</v>
      </c>
      <c r="J613" s="16">
        <v>125000</v>
      </c>
      <c r="K613" s="16">
        <v>0</v>
      </c>
      <c r="L613" s="16">
        <v>0</v>
      </c>
      <c r="M613" s="16"/>
      <c r="N613" s="12">
        <f t="shared" si="18"/>
        <v>0</v>
      </c>
    </row>
    <row r="614" spans="2:14" x14ac:dyDescent="0.35">
      <c r="B614" s="4">
        <f t="shared" si="19"/>
        <v>604</v>
      </c>
      <c r="C614" s="3" t="s">
        <v>342</v>
      </c>
      <c r="D614" s="4" t="s">
        <v>845</v>
      </c>
      <c r="E614" s="9" t="s">
        <v>146</v>
      </c>
      <c r="F614" s="9" t="s">
        <v>22</v>
      </c>
      <c r="G614" s="16">
        <v>105</v>
      </c>
      <c r="H614" s="16">
        <v>9565000</v>
      </c>
      <c r="I614" s="16">
        <v>6</v>
      </c>
      <c r="J614" s="16">
        <v>710000</v>
      </c>
      <c r="K614" s="16">
        <v>0</v>
      </c>
      <c r="L614" s="16">
        <v>0</v>
      </c>
      <c r="M614" s="16"/>
      <c r="N614" s="12">
        <f t="shared" si="18"/>
        <v>0</v>
      </c>
    </row>
    <row r="615" spans="2:14" x14ac:dyDescent="0.35">
      <c r="B615" s="4">
        <f t="shared" si="19"/>
        <v>605</v>
      </c>
      <c r="C615" s="3" t="s">
        <v>342</v>
      </c>
      <c r="D615" s="4" t="s">
        <v>845</v>
      </c>
      <c r="E615" s="9" t="s">
        <v>146</v>
      </c>
      <c r="F615" s="9" t="s">
        <v>190</v>
      </c>
      <c r="G615" s="16">
        <v>156</v>
      </c>
      <c r="H615" s="16">
        <v>24750000</v>
      </c>
      <c r="I615" s="16">
        <v>0</v>
      </c>
      <c r="J615" s="16">
        <v>0</v>
      </c>
      <c r="K615" s="16">
        <v>0</v>
      </c>
      <c r="L615" s="16">
        <v>0</v>
      </c>
      <c r="M615" s="16"/>
      <c r="N615" s="12">
        <f t="shared" si="18"/>
        <v>0</v>
      </c>
    </row>
    <row r="616" spans="2:14" x14ac:dyDescent="0.35">
      <c r="B616" s="4">
        <f t="shared" si="19"/>
        <v>606</v>
      </c>
      <c r="C616" s="3" t="s">
        <v>253</v>
      </c>
      <c r="D616" s="4" t="s">
        <v>712</v>
      </c>
      <c r="E616" s="9" t="s">
        <v>146</v>
      </c>
      <c r="F616" s="9" t="s">
        <v>20</v>
      </c>
      <c r="G616" s="16">
        <v>78</v>
      </c>
      <c r="H616" s="16">
        <v>13650000</v>
      </c>
      <c r="I616" s="16">
        <v>0</v>
      </c>
      <c r="J616" s="16">
        <v>0</v>
      </c>
      <c r="K616" s="16">
        <v>0</v>
      </c>
      <c r="L616" s="16">
        <v>0</v>
      </c>
      <c r="M616" s="16"/>
      <c r="N616" s="12">
        <f t="shared" si="18"/>
        <v>0</v>
      </c>
    </row>
    <row r="617" spans="2:14" x14ac:dyDescent="0.35">
      <c r="B617" s="4">
        <f t="shared" si="19"/>
        <v>607</v>
      </c>
      <c r="C617" s="3" t="s">
        <v>253</v>
      </c>
      <c r="D617" s="4" t="s">
        <v>712</v>
      </c>
      <c r="E617" s="9" t="s">
        <v>146</v>
      </c>
      <c r="F617" s="9" t="s">
        <v>22</v>
      </c>
      <c r="G617" s="16">
        <v>223</v>
      </c>
      <c r="H617" s="16">
        <v>46294000</v>
      </c>
      <c r="I617" s="16">
        <v>10</v>
      </c>
      <c r="J617" s="16">
        <v>1101000</v>
      </c>
      <c r="K617" s="16">
        <v>19</v>
      </c>
      <c r="L617" s="16">
        <v>5700000</v>
      </c>
      <c r="M617" s="16"/>
      <c r="N617" s="12">
        <f t="shared" si="18"/>
        <v>0</v>
      </c>
    </row>
    <row r="618" spans="2:14" x14ac:dyDescent="0.35">
      <c r="B618" s="4">
        <f t="shared" si="19"/>
        <v>608</v>
      </c>
      <c r="C618" s="3" t="s">
        <v>253</v>
      </c>
      <c r="D618" s="4" t="s">
        <v>712</v>
      </c>
      <c r="E618" s="9" t="s">
        <v>146</v>
      </c>
      <c r="F618" s="9" t="s">
        <v>190</v>
      </c>
      <c r="G618" s="16">
        <v>127</v>
      </c>
      <c r="H618" s="16">
        <v>15875000</v>
      </c>
      <c r="I618" s="16">
        <v>3</v>
      </c>
      <c r="J618" s="16">
        <v>485000</v>
      </c>
      <c r="K618" s="16">
        <v>2</v>
      </c>
      <c r="L618" s="16">
        <v>360000</v>
      </c>
      <c r="M618" s="16"/>
      <c r="N618" s="12">
        <f t="shared" si="18"/>
        <v>0</v>
      </c>
    </row>
    <row r="619" spans="2:14" x14ac:dyDescent="0.35">
      <c r="B619" s="4">
        <f t="shared" si="19"/>
        <v>609</v>
      </c>
      <c r="C619" s="3" t="s">
        <v>254</v>
      </c>
      <c r="D619" s="4" t="s">
        <v>758</v>
      </c>
      <c r="E619" s="9" t="s">
        <v>146</v>
      </c>
      <c r="F619" s="9" t="s">
        <v>20</v>
      </c>
      <c r="G619" s="16">
        <v>1</v>
      </c>
      <c r="H619" s="16">
        <v>140000</v>
      </c>
      <c r="I619" s="16">
        <v>0</v>
      </c>
      <c r="J619" s="16">
        <v>0</v>
      </c>
      <c r="K619" s="16">
        <v>0</v>
      </c>
      <c r="L619" s="16">
        <v>0</v>
      </c>
      <c r="M619" s="16"/>
      <c r="N619" s="12">
        <f t="shared" si="18"/>
        <v>0</v>
      </c>
    </row>
    <row r="620" spans="2:14" x14ac:dyDescent="0.35">
      <c r="B620" s="4">
        <f t="shared" si="19"/>
        <v>610</v>
      </c>
      <c r="C620" s="3" t="s">
        <v>254</v>
      </c>
      <c r="D620" s="4" t="s">
        <v>758</v>
      </c>
      <c r="E620" s="9" t="s">
        <v>146</v>
      </c>
      <c r="F620" s="9" t="s">
        <v>22</v>
      </c>
      <c r="G620" s="16">
        <v>259</v>
      </c>
      <c r="H620" s="16">
        <v>54275000</v>
      </c>
      <c r="I620" s="16">
        <v>6</v>
      </c>
      <c r="J620" s="16">
        <v>1125000</v>
      </c>
      <c r="K620" s="16">
        <v>35</v>
      </c>
      <c r="L620" s="16">
        <v>10500000</v>
      </c>
      <c r="M620" s="16"/>
      <c r="N620" s="12">
        <f t="shared" si="18"/>
        <v>0</v>
      </c>
    </row>
    <row r="621" spans="2:14" x14ac:dyDescent="0.35">
      <c r="B621" s="4">
        <f t="shared" si="19"/>
        <v>611</v>
      </c>
      <c r="C621" s="3" t="s">
        <v>254</v>
      </c>
      <c r="D621" s="4" t="s">
        <v>758</v>
      </c>
      <c r="E621" s="9" t="s">
        <v>146</v>
      </c>
      <c r="F621" s="9" t="s">
        <v>190</v>
      </c>
      <c r="G621" s="16">
        <v>192</v>
      </c>
      <c r="H621" s="16">
        <v>25015000</v>
      </c>
      <c r="I621" s="16">
        <v>0</v>
      </c>
      <c r="J621" s="16">
        <v>0</v>
      </c>
      <c r="K621" s="16">
        <v>0</v>
      </c>
      <c r="L621" s="16">
        <v>0</v>
      </c>
      <c r="M621" s="16"/>
      <c r="N621" s="12">
        <f t="shared" si="18"/>
        <v>0</v>
      </c>
    </row>
    <row r="622" spans="2:14" x14ac:dyDescent="0.35">
      <c r="B622" s="4">
        <f t="shared" si="19"/>
        <v>612</v>
      </c>
      <c r="C622" s="3" t="s">
        <v>367</v>
      </c>
      <c r="D622" s="4" t="s">
        <v>881</v>
      </c>
      <c r="E622" s="9" t="s">
        <v>146</v>
      </c>
      <c r="F622" s="9" t="s">
        <v>20</v>
      </c>
      <c r="G622" s="16">
        <v>4</v>
      </c>
      <c r="H622" s="16">
        <v>700000</v>
      </c>
      <c r="I622" s="16">
        <v>9</v>
      </c>
      <c r="J622" s="16">
        <v>1575000</v>
      </c>
      <c r="K622" s="16">
        <v>0</v>
      </c>
      <c r="L622" s="16">
        <v>0</v>
      </c>
      <c r="M622" s="16"/>
      <c r="N622" s="12">
        <f t="shared" si="18"/>
        <v>0</v>
      </c>
    </row>
    <row r="623" spans="2:14" x14ac:dyDescent="0.35">
      <c r="B623" s="4">
        <f t="shared" si="19"/>
        <v>613</v>
      </c>
      <c r="C623" s="3" t="s">
        <v>367</v>
      </c>
      <c r="D623" s="4" t="s">
        <v>881</v>
      </c>
      <c r="E623" s="9" t="s">
        <v>146</v>
      </c>
      <c r="F623" s="9" t="s">
        <v>22</v>
      </c>
      <c r="G623" s="16">
        <v>23</v>
      </c>
      <c r="H623" s="16">
        <v>3295000</v>
      </c>
      <c r="I623" s="16">
        <v>0</v>
      </c>
      <c r="J623" s="16">
        <v>0</v>
      </c>
      <c r="K623" s="16">
        <v>2</v>
      </c>
      <c r="L623" s="16">
        <v>390000</v>
      </c>
      <c r="M623" s="16"/>
      <c r="N623" s="12">
        <f t="shared" si="18"/>
        <v>0</v>
      </c>
    </row>
    <row r="624" spans="2:14" x14ac:dyDescent="0.35">
      <c r="B624" s="4">
        <f t="shared" si="19"/>
        <v>614</v>
      </c>
      <c r="C624" s="3" t="s">
        <v>367</v>
      </c>
      <c r="D624" s="4" t="s">
        <v>881</v>
      </c>
      <c r="E624" s="9" t="s">
        <v>146</v>
      </c>
      <c r="F624" s="9" t="s">
        <v>190</v>
      </c>
      <c r="G624" s="16">
        <v>344</v>
      </c>
      <c r="H624" s="16">
        <v>45960000</v>
      </c>
      <c r="I624" s="16">
        <v>5</v>
      </c>
      <c r="J624" s="16">
        <v>820000</v>
      </c>
      <c r="K624" s="16">
        <v>5</v>
      </c>
      <c r="L624" s="16">
        <v>900000</v>
      </c>
      <c r="M624" s="16"/>
      <c r="N624" s="12">
        <f t="shared" si="18"/>
        <v>0</v>
      </c>
    </row>
    <row r="625" spans="2:14" x14ac:dyDescent="0.35">
      <c r="B625" s="4">
        <f t="shared" si="19"/>
        <v>615</v>
      </c>
      <c r="C625" s="3" t="s">
        <v>368</v>
      </c>
      <c r="D625" s="4" t="s">
        <v>892</v>
      </c>
      <c r="E625" s="9" t="s">
        <v>146</v>
      </c>
      <c r="F625" s="9" t="s">
        <v>20</v>
      </c>
      <c r="G625" s="16">
        <v>34</v>
      </c>
      <c r="H625" s="16">
        <v>5950000</v>
      </c>
      <c r="I625" s="16">
        <v>0</v>
      </c>
      <c r="J625" s="16">
        <v>0</v>
      </c>
      <c r="K625" s="16">
        <v>0</v>
      </c>
      <c r="L625" s="16">
        <v>0</v>
      </c>
      <c r="M625" s="16"/>
      <c r="N625" s="12">
        <f t="shared" si="18"/>
        <v>0</v>
      </c>
    </row>
    <row r="626" spans="2:14" x14ac:dyDescent="0.35">
      <c r="B626" s="4">
        <f t="shared" si="19"/>
        <v>616</v>
      </c>
      <c r="C626" s="3" t="s">
        <v>368</v>
      </c>
      <c r="D626" s="4" t="s">
        <v>892</v>
      </c>
      <c r="E626" s="9" t="s">
        <v>146</v>
      </c>
      <c r="F626" s="9" t="s">
        <v>22</v>
      </c>
      <c r="G626" s="16">
        <v>322</v>
      </c>
      <c r="H626" s="16">
        <v>24626000</v>
      </c>
      <c r="I626" s="16">
        <v>12</v>
      </c>
      <c r="J626" s="16">
        <v>900000</v>
      </c>
      <c r="K626" s="16">
        <v>0</v>
      </c>
      <c r="L626" s="16">
        <v>0</v>
      </c>
      <c r="M626" s="16"/>
      <c r="N626" s="12">
        <f t="shared" si="18"/>
        <v>0</v>
      </c>
    </row>
    <row r="627" spans="2:14" x14ac:dyDescent="0.35">
      <c r="B627" s="4">
        <f t="shared" si="19"/>
        <v>617</v>
      </c>
      <c r="C627" s="3" t="s">
        <v>368</v>
      </c>
      <c r="D627" s="4" t="s">
        <v>892</v>
      </c>
      <c r="E627" s="9" t="s">
        <v>146</v>
      </c>
      <c r="F627" s="9" t="s">
        <v>190</v>
      </c>
      <c r="G627" s="16">
        <v>264</v>
      </c>
      <c r="H627" s="16">
        <v>39425000</v>
      </c>
      <c r="I627" s="16">
        <v>2</v>
      </c>
      <c r="J627" s="16">
        <v>250000</v>
      </c>
      <c r="K627" s="16">
        <v>0</v>
      </c>
      <c r="L627" s="16">
        <v>0</v>
      </c>
      <c r="M627" s="16"/>
      <c r="N627" s="12">
        <f t="shared" si="18"/>
        <v>0</v>
      </c>
    </row>
    <row r="628" spans="2:14" x14ac:dyDescent="0.35">
      <c r="B628" s="4">
        <f t="shared" si="19"/>
        <v>618</v>
      </c>
      <c r="C628" s="3" t="s">
        <v>196</v>
      </c>
      <c r="D628" s="4" t="s">
        <v>934</v>
      </c>
      <c r="E628" s="9" t="s">
        <v>146</v>
      </c>
      <c r="F628" s="9" t="s">
        <v>22</v>
      </c>
      <c r="G628" s="16">
        <v>261</v>
      </c>
      <c r="H628" s="16">
        <v>19644000</v>
      </c>
      <c r="I628" s="16">
        <v>0</v>
      </c>
      <c r="J628" s="16">
        <v>0</v>
      </c>
      <c r="K628" s="16">
        <v>0</v>
      </c>
      <c r="L628" s="16">
        <v>0</v>
      </c>
      <c r="M628" s="16"/>
      <c r="N628" s="12">
        <f t="shared" si="18"/>
        <v>0</v>
      </c>
    </row>
    <row r="629" spans="2:14" x14ac:dyDescent="0.35">
      <c r="B629" s="4">
        <f t="shared" si="19"/>
        <v>619</v>
      </c>
      <c r="C629" s="3" t="s">
        <v>196</v>
      </c>
      <c r="D629" s="4" t="s">
        <v>934</v>
      </c>
      <c r="E629" s="9" t="s">
        <v>146</v>
      </c>
      <c r="F629" s="9" t="s">
        <v>190</v>
      </c>
      <c r="G629" s="16">
        <v>75</v>
      </c>
      <c r="H629" s="16">
        <v>9375000</v>
      </c>
      <c r="I629" s="16">
        <v>0</v>
      </c>
      <c r="J629" s="16">
        <v>0</v>
      </c>
      <c r="K629" s="16">
        <v>0</v>
      </c>
      <c r="L629" s="16">
        <v>0</v>
      </c>
      <c r="M629" s="16"/>
      <c r="N629" s="12">
        <f t="shared" si="18"/>
        <v>0</v>
      </c>
    </row>
    <row r="630" spans="2:14" x14ac:dyDescent="0.35">
      <c r="B630" s="4">
        <f t="shared" si="19"/>
        <v>620</v>
      </c>
      <c r="C630" s="3" t="s">
        <v>317</v>
      </c>
      <c r="D630" s="4" t="s">
        <v>844</v>
      </c>
      <c r="E630" s="9" t="s">
        <v>146</v>
      </c>
      <c r="F630" s="9" t="s">
        <v>20</v>
      </c>
      <c r="G630" s="16">
        <v>14</v>
      </c>
      <c r="H630" s="16">
        <v>2450000</v>
      </c>
      <c r="I630" s="16">
        <v>40</v>
      </c>
      <c r="J630" s="16">
        <v>7000000</v>
      </c>
      <c r="K630" s="16">
        <v>0</v>
      </c>
      <c r="L630" s="16">
        <v>0</v>
      </c>
      <c r="M630" s="16"/>
      <c r="N630" s="12">
        <f t="shared" si="18"/>
        <v>0</v>
      </c>
    </row>
    <row r="631" spans="2:14" x14ac:dyDescent="0.35">
      <c r="B631" s="4">
        <f t="shared" si="19"/>
        <v>621</v>
      </c>
      <c r="C631" s="3" t="s">
        <v>317</v>
      </c>
      <c r="D631" s="4" t="s">
        <v>844</v>
      </c>
      <c r="E631" s="9" t="s">
        <v>146</v>
      </c>
      <c r="F631" s="9" t="s">
        <v>21</v>
      </c>
      <c r="G631" s="16">
        <v>0</v>
      </c>
      <c r="H631" s="16">
        <v>0</v>
      </c>
      <c r="I631" s="16">
        <v>0</v>
      </c>
      <c r="J631" s="16">
        <v>0</v>
      </c>
      <c r="K631" s="16">
        <v>0</v>
      </c>
      <c r="L631" s="16">
        <v>0</v>
      </c>
      <c r="M631" s="16"/>
      <c r="N631" s="12">
        <f t="shared" si="18"/>
        <v>0</v>
      </c>
    </row>
    <row r="632" spans="2:14" x14ac:dyDescent="0.35">
      <c r="B632" s="4">
        <f t="shared" si="19"/>
        <v>622</v>
      </c>
      <c r="C632" s="3" t="s">
        <v>317</v>
      </c>
      <c r="D632" s="4" t="s">
        <v>844</v>
      </c>
      <c r="E632" s="9" t="s">
        <v>146</v>
      </c>
      <c r="F632" s="9" t="s">
        <v>22</v>
      </c>
      <c r="G632" s="16">
        <v>161</v>
      </c>
      <c r="H632" s="16">
        <v>21689000</v>
      </c>
      <c r="I632" s="16">
        <v>3</v>
      </c>
      <c r="J632" s="16">
        <v>225000</v>
      </c>
      <c r="K632" s="16">
        <v>31</v>
      </c>
      <c r="L632" s="16">
        <v>9300000</v>
      </c>
      <c r="M632" s="16"/>
      <c r="N632" s="12">
        <f t="shared" si="18"/>
        <v>0</v>
      </c>
    </row>
    <row r="633" spans="2:14" x14ac:dyDescent="0.35">
      <c r="B633" s="4">
        <f t="shared" si="19"/>
        <v>623</v>
      </c>
      <c r="C633" s="3" t="s">
        <v>317</v>
      </c>
      <c r="D633" s="4" t="s">
        <v>844</v>
      </c>
      <c r="E633" s="9" t="s">
        <v>146</v>
      </c>
      <c r="F633" s="9" t="s">
        <v>190</v>
      </c>
      <c r="G633" s="16">
        <v>149</v>
      </c>
      <c r="H633" s="16">
        <v>19435000</v>
      </c>
      <c r="I633" s="16">
        <v>37</v>
      </c>
      <c r="J633" s="16">
        <v>5150000</v>
      </c>
      <c r="K633" s="16">
        <v>0</v>
      </c>
      <c r="L633" s="16">
        <v>0</v>
      </c>
      <c r="M633" s="16"/>
      <c r="N633" s="12">
        <f t="shared" si="18"/>
        <v>0</v>
      </c>
    </row>
    <row r="634" spans="2:14" x14ac:dyDescent="0.35">
      <c r="B634" s="4">
        <f t="shared" si="19"/>
        <v>624</v>
      </c>
      <c r="C634" s="3" t="s">
        <v>318</v>
      </c>
      <c r="D634" s="4" t="s">
        <v>842</v>
      </c>
      <c r="E634" s="9" t="s">
        <v>146</v>
      </c>
      <c r="F634" s="9" t="s">
        <v>20</v>
      </c>
      <c r="G634" s="16">
        <v>0</v>
      </c>
      <c r="H634" s="16">
        <v>0</v>
      </c>
      <c r="I634" s="16">
        <v>1</v>
      </c>
      <c r="J634" s="16">
        <v>175000</v>
      </c>
      <c r="K634" s="16">
        <v>0</v>
      </c>
      <c r="L634" s="16">
        <v>0</v>
      </c>
      <c r="M634" s="16"/>
      <c r="N634" s="12">
        <f t="shared" si="18"/>
        <v>0</v>
      </c>
    </row>
    <row r="635" spans="2:14" x14ac:dyDescent="0.35">
      <c r="B635" s="4">
        <f t="shared" si="19"/>
        <v>625</v>
      </c>
      <c r="C635" s="3" t="s">
        <v>318</v>
      </c>
      <c r="D635" s="4" t="s">
        <v>842</v>
      </c>
      <c r="E635" s="9" t="s">
        <v>146</v>
      </c>
      <c r="F635" s="9" t="s">
        <v>21</v>
      </c>
      <c r="G635" s="16">
        <v>0</v>
      </c>
      <c r="H635" s="16">
        <v>0</v>
      </c>
      <c r="I635" s="16">
        <v>0</v>
      </c>
      <c r="J635" s="16">
        <v>0</v>
      </c>
      <c r="K635" s="16">
        <v>0</v>
      </c>
      <c r="L635" s="16">
        <v>0</v>
      </c>
      <c r="M635" s="16"/>
      <c r="N635" s="12">
        <f t="shared" si="18"/>
        <v>0</v>
      </c>
    </row>
    <row r="636" spans="2:14" x14ac:dyDescent="0.35">
      <c r="B636" s="4">
        <f t="shared" si="19"/>
        <v>626</v>
      </c>
      <c r="C636" s="4" t="s">
        <v>318</v>
      </c>
      <c r="D636" s="4" t="s">
        <v>842</v>
      </c>
      <c r="E636" s="9" t="s">
        <v>146</v>
      </c>
      <c r="F636" s="9" t="s">
        <v>22</v>
      </c>
      <c r="G636" s="16">
        <v>195</v>
      </c>
      <c r="H636" s="16">
        <v>47314000</v>
      </c>
      <c r="I636" s="16">
        <v>1</v>
      </c>
      <c r="J636" s="16">
        <v>75000</v>
      </c>
      <c r="K636" s="16">
        <v>1</v>
      </c>
      <c r="L636" s="16">
        <v>140000</v>
      </c>
      <c r="M636" s="16"/>
      <c r="N636" s="12">
        <f t="shared" si="18"/>
        <v>0</v>
      </c>
    </row>
    <row r="637" spans="2:14" x14ac:dyDescent="0.35">
      <c r="B637" s="4">
        <f t="shared" si="19"/>
        <v>627</v>
      </c>
      <c r="C637" s="3" t="s">
        <v>318</v>
      </c>
      <c r="D637" s="4" t="s">
        <v>842</v>
      </c>
      <c r="E637" s="9" t="s">
        <v>146</v>
      </c>
      <c r="F637" s="9" t="s">
        <v>190</v>
      </c>
      <c r="G637" s="16">
        <v>28</v>
      </c>
      <c r="H637" s="16">
        <v>3570000</v>
      </c>
      <c r="I637" s="16">
        <v>0</v>
      </c>
      <c r="J637" s="16">
        <v>0</v>
      </c>
      <c r="K637" s="16">
        <v>0</v>
      </c>
      <c r="L637" s="16">
        <v>0</v>
      </c>
      <c r="M637" s="16"/>
      <c r="N637" s="12">
        <f t="shared" si="18"/>
        <v>0</v>
      </c>
    </row>
    <row r="638" spans="2:14" x14ac:dyDescent="0.35">
      <c r="B638" s="4">
        <f t="shared" si="19"/>
        <v>628</v>
      </c>
      <c r="C638" s="3" t="s">
        <v>319</v>
      </c>
      <c r="D638" s="4" t="s">
        <v>894</v>
      </c>
      <c r="E638" s="9" t="s">
        <v>146</v>
      </c>
      <c r="F638" s="9" t="s">
        <v>20</v>
      </c>
      <c r="G638" s="16">
        <v>74</v>
      </c>
      <c r="H638" s="16">
        <v>12840000</v>
      </c>
      <c r="I638" s="16">
        <v>1</v>
      </c>
      <c r="J638" s="16">
        <v>175000</v>
      </c>
      <c r="K638" s="16">
        <v>1</v>
      </c>
      <c r="L638" s="16">
        <v>175000</v>
      </c>
      <c r="M638" s="16"/>
      <c r="N638" s="12">
        <f t="shared" si="18"/>
        <v>0</v>
      </c>
    </row>
    <row r="639" spans="2:14" x14ac:dyDescent="0.35">
      <c r="B639" s="4">
        <f t="shared" si="19"/>
        <v>629</v>
      </c>
      <c r="C639" s="3" t="s">
        <v>319</v>
      </c>
      <c r="D639" s="4" t="s">
        <v>894</v>
      </c>
      <c r="E639" s="9" t="s">
        <v>146</v>
      </c>
      <c r="F639" s="9" t="s">
        <v>21</v>
      </c>
      <c r="G639" s="16">
        <v>0</v>
      </c>
      <c r="H639" s="16">
        <v>0</v>
      </c>
      <c r="I639" s="16">
        <v>0</v>
      </c>
      <c r="J639" s="16">
        <v>0</v>
      </c>
      <c r="K639" s="16">
        <v>0</v>
      </c>
      <c r="L639" s="16">
        <v>0</v>
      </c>
      <c r="M639" s="16"/>
      <c r="N639" s="12">
        <f t="shared" si="18"/>
        <v>0</v>
      </c>
    </row>
    <row r="640" spans="2:14" x14ac:dyDescent="0.35">
      <c r="B640" s="4">
        <f t="shared" si="19"/>
        <v>630</v>
      </c>
      <c r="C640" s="3" t="s">
        <v>319</v>
      </c>
      <c r="D640" s="4" t="s">
        <v>894</v>
      </c>
      <c r="E640" s="9" t="s">
        <v>146</v>
      </c>
      <c r="F640" s="9" t="s">
        <v>22</v>
      </c>
      <c r="G640" s="16">
        <v>139</v>
      </c>
      <c r="H640" s="16">
        <v>28553000</v>
      </c>
      <c r="I640" s="16">
        <v>4</v>
      </c>
      <c r="J640" s="16">
        <v>250000</v>
      </c>
      <c r="K640" s="16">
        <v>9</v>
      </c>
      <c r="L640" s="16">
        <v>2700000</v>
      </c>
      <c r="M640" s="16"/>
      <c r="N640" s="12">
        <f t="shared" si="18"/>
        <v>0</v>
      </c>
    </row>
    <row r="641" spans="2:14" x14ac:dyDescent="0.35">
      <c r="B641" s="4">
        <f t="shared" si="19"/>
        <v>631</v>
      </c>
      <c r="C641" s="3" t="s">
        <v>319</v>
      </c>
      <c r="D641" s="4" t="s">
        <v>894</v>
      </c>
      <c r="E641" s="9" t="s">
        <v>146</v>
      </c>
      <c r="F641" s="9" t="s">
        <v>190</v>
      </c>
      <c r="G641" s="16">
        <v>201</v>
      </c>
      <c r="H641" s="16">
        <v>26910000</v>
      </c>
      <c r="I641" s="16">
        <v>0</v>
      </c>
      <c r="J641" s="16">
        <v>0</v>
      </c>
      <c r="K641" s="16">
        <v>0</v>
      </c>
      <c r="L641" s="16">
        <v>0</v>
      </c>
      <c r="M641" s="16"/>
      <c r="N641" s="12">
        <f t="shared" si="18"/>
        <v>0</v>
      </c>
    </row>
    <row r="642" spans="2:14" x14ac:dyDescent="0.35">
      <c r="B642" s="4">
        <f t="shared" si="19"/>
        <v>632</v>
      </c>
      <c r="C642" s="3" t="s">
        <v>369</v>
      </c>
      <c r="D642" s="4" t="s">
        <v>868</v>
      </c>
      <c r="E642" s="9" t="s">
        <v>146</v>
      </c>
      <c r="F642" s="9" t="s">
        <v>20</v>
      </c>
      <c r="G642" s="16">
        <v>6</v>
      </c>
      <c r="H642" s="16">
        <v>1050000</v>
      </c>
      <c r="I642" s="16">
        <v>0</v>
      </c>
      <c r="J642" s="16">
        <v>0</v>
      </c>
      <c r="K642" s="16">
        <v>0</v>
      </c>
      <c r="L642" s="16">
        <v>0</v>
      </c>
      <c r="M642" s="16"/>
      <c r="N642" s="12">
        <f t="shared" si="18"/>
        <v>0</v>
      </c>
    </row>
    <row r="643" spans="2:14" x14ac:dyDescent="0.35">
      <c r="B643" s="4">
        <f t="shared" si="19"/>
        <v>633</v>
      </c>
      <c r="C643" s="3" t="s">
        <v>369</v>
      </c>
      <c r="D643" s="4" t="s">
        <v>868</v>
      </c>
      <c r="E643" s="9" t="s">
        <v>146</v>
      </c>
      <c r="F643" s="9" t="s">
        <v>21</v>
      </c>
      <c r="G643" s="16">
        <v>0</v>
      </c>
      <c r="H643" s="16">
        <v>0</v>
      </c>
      <c r="I643" s="16">
        <v>0</v>
      </c>
      <c r="J643" s="16">
        <v>0</v>
      </c>
      <c r="K643" s="16">
        <v>0</v>
      </c>
      <c r="L643" s="16">
        <v>0</v>
      </c>
      <c r="M643" s="16"/>
      <c r="N643" s="12">
        <f t="shared" si="18"/>
        <v>0</v>
      </c>
    </row>
    <row r="644" spans="2:14" x14ac:dyDescent="0.35">
      <c r="B644" s="4">
        <f t="shared" si="19"/>
        <v>634</v>
      </c>
      <c r="C644" s="3" t="s">
        <v>369</v>
      </c>
      <c r="D644" s="4" t="s">
        <v>868</v>
      </c>
      <c r="E644" s="9" t="s">
        <v>146</v>
      </c>
      <c r="F644" s="9" t="s">
        <v>22</v>
      </c>
      <c r="G644" s="16">
        <v>71</v>
      </c>
      <c r="H644" s="16">
        <v>19585000</v>
      </c>
      <c r="I644" s="16">
        <v>0</v>
      </c>
      <c r="J644" s="16">
        <v>0</v>
      </c>
      <c r="K644" s="16">
        <v>30</v>
      </c>
      <c r="L644" s="16">
        <v>7500000</v>
      </c>
      <c r="M644" s="16"/>
      <c r="N644" s="12">
        <f t="shared" si="18"/>
        <v>0</v>
      </c>
    </row>
    <row r="645" spans="2:14" x14ac:dyDescent="0.35">
      <c r="B645" s="4">
        <f t="shared" si="19"/>
        <v>635</v>
      </c>
      <c r="C645" s="3" t="s">
        <v>369</v>
      </c>
      <c r="D645" s="4" t="s">
        <v>868</v>
      </c>
      <c r="E645" s="9" t="s">
        <v>146</v>
      </c>
      <c r="F645" s="9" t="s">
        <v>190</v>
      </c>
      <c r="G645" s="16">
        <v>42</v>
      </c>
      <c r="H645" s="16">
        <v>6010000</v>
      </c>
      <c r="I645" s="16">
        <v>3</v>
      </c>
      <c r="J645" s="16">
        <v>465000</v>
      </c>
      <c r="K645" s="16">
        <v>0</v>
      </c>
      <c r="L645" s="16">
        <v>0</v>
      </c>
      <c r="M645" s="16"/>
      <c r="N645" s="12">
        <f t="shared" si="18"/>
        <v>0</v>
      </c>
    </row>
    <row r="646" spans="2:14" x14ac:dyDescent="0.35">
      <c r="B646" s="4">
        <f t="shared" si="19"/>
        <v>636</v>
      </c>
      <c r="C646" s="3" t="s">
        <v>370</v>
      </c>
      <c r="D646" s="4" t="s">
        <v>880</v>
      </c>
      <c r="E646" s="9" t="s">
        <v>146</v>
      </c>
      <c r="F646" s="9" t="s">
        <v>22</v>
      </c>
      <c r="G646" s="16">
        <v>208</v>
      </c>
      <c r="H646" s="16">
        <v>15932000</v>
      </c>
      <c r="I646" s="16">
        <v>7</v>
      </c>
      <c r="J646" s="16">
        <v>590000</v>
      </c>
      <c r="K646" s="16">
        <v>0</v>
      </c>
      <c r="L646" s="16">
        <v>0</v>
      </c>
      <c r="M646" s="16"/>
      <c r="N646" s="12">
        <f t="shared" si="18"/>
        <v>0</v>
      </c>
    </row>
    <row r="647" spans="2:14" x14ac:dyDescent="0.35">
      <c r="B647" s="4">
        <f t="shared" si="19"/>
        <v>637</v>
      </c>
      <c r="C647" s="3" t="s">
        <v>370</v>
      </c>
      <c r="D647" s="4" t="s">
        <v>880</v>
      </c>
      <c r="E647" s="9" t="s">
        <v>146</v>
      </c>
      <c r="F647" s="9" t="s">
        <v>190</v>
      </c>
      <c r="G647" s="16">
        <v>191</v>
      </c>
      <c r="H647" s="16">
        <v>24665000</v>
      </c>
      <c r="I647" s="16">
        <v>1</v>
      </c>
      <c r="J647" s="16">
        <v>125000</v>
      </c>
      <c r="K647" s="16">
        <v>0</v>
      </c>
      <c r="L647" s="16">
        <v>0</v>
      </c>
      <c r="M647" s="16"/>
      <c r="N647" s="12">
        <f t="shared" si="18"/>
        <v>0</v>
      </c>
    </row>
    <row r="648" spans="2:14" x14ac:dyDescent="0.35">
      <c r="B648" s="4">
        <f t="shared" si="19"/>
        <v>638</v>
      </c>
      <c r="C648" s="3" t="s">
        <v>371</v>
      </c>
      <c r="D648" s="4" t="s">
        <v>895</v>
      </c>
      <c r="E648" s="9" t="s">
        <v>146</v>
      </c>
      <c r="F648" s="9" t="s">
        <v>20</v>
      </c>
      <c r="G648" s="16">
        <v>12</v>
      </c>
      <c r="H648" s="16">
        <v>2370000</v>
      </c>
      <c r="I648" s="16">
        <v>0</v>
      </c>
      <c r="J648" s="16">
        <v>0</v>
      </c>
      <c r="K648" s="16">
        <v>0</v>
      </c>
      <c r="L648" s="16">
        <v>0</v>
      </c>
      <c r="M648" s="16"/>
      <c r="N648" s="12">
        <f t="shared" si="18"/>
        <v>0</v>
      </c>
    </row>
    <row r="649" spans="2:14" x14ac:dyDescent="0.35">
      <c r="B649" s="4">
        <f t="shared" si="19"/>
        <v>639</v>
      </c>
      <c r="C649" s="3" t="s">
        <v>371</v>
      </c>
      <c r="D649" s="4" t="s">
        <v>895</v>
      </c>
      <c r="E649" s="9" t="s">
        <v>146</v>
      </c>
      <c r="F649" s="9" t="s">
        <v>22</v>
      </c>
      <c r="G649" s="16">
        <v>119</v>
      </c>
      <c r="H649" s="16">
        <v>6166000</v>
      </c>
      <c r="I649" s="16">
        <v>2</v>
      </c>
      <c r="J649" s="16">
        <v>84000</v>
      </c>
      <c r="K649" s="16">
        <v>0</v>
      </c>
      <c r="L649" s="16">
        <v>0</v>
      </c>
      <c r="M649" s="16"/>
      <c r="N649" s="12">
        <f t="shared" si="18"/>
        <v>0</v>
      </c>
    </row>
    <row r="650" spans="2:14" x14ac:dyDescent="0.35">
      <c r="B650" s="4">
        <f t="shared" si="19"/>
        <v>640</v>
      </c>
      <c r="C650" s="3" t="s">
        <v>371</v>
      </c>
      <c r="D650" s="4" t="s">
        <v>895</v>
      </c>
      <c r="E650" s="9" t="s">
        <v>146</v>
      </c>
      <c r="F650" s="9" t="s">
        <v>190</v>
      </c>
      <c r="G650" s="16">
        <v>146</v>
      </c>
      <c r="H650" s="16">
        <v>18425000</v>
      </c>
      <c r="I650" s="16">
        <v>0</v>
      </c>
      <c r="J650" s="16">
        <v>0</v>
      </c>
      <c r="K650" s="16">
        <v>0</v>
      </c>
      <c r="L650" s="16">
        <v>0</v>
      </c>
      <c r="M650" s="16"/>
      <c r="N650" s="12">
        <f t="shared" si="18"/>
        <v>0</v>
      </c>
    </row>
    <row r="651" spans="2:14" x14ac:dyDescent="0.35">
      <c r="B651" s="4">
        <f t="shared" si="19"/>
        <v>641</v>
      </c>
      <c r="C651" s="3" t="s">
        <v>343</v>
      </c>
      <c r="D651" s="4" t="s">
        <v>781</v>
      </c>
      <c r="E651" s="9" t="s">
        <v>146</v>
      </c>
      <c r="F651" s="9" t="s">
        <v>20</v>
      </c>
      <c r="G651" s="16">
        <v>6</v>
      </c>
      <c r="H651" s="16">
        <v>903000</v>
      </c>
      <c r="I651" s="16">
        <v>0</v>
      </c>
      <c r="J651" s="16">
        <v>0</v>
      </c>
      <c r="K651" s="16">
        <v>0</v>
      </c>
      <c r="L651" s="16">
        <v>0</v>
      </c>
      <c r="M651" s="16"/>
      <c r="N651" s="12">
        <f t="shared" ref="N651:N673" si="20">IFERROR((G651/M651)*100%, 0)</f>
        <v>0</v>
      </c>
    </row>
    <row r="652" spans="2:14" x14ac:dyDescent="0.35">
      <c r="B652" s="4">
        <f t="shared" si="19"/>
        <v>642</v>
      </c>
      <c r="C652" s="3" t="s">
        <v>343</v>
      </c>
      <c r="D652" s="4" t="s">
        <v>781</v>
      </c>
      <c r="E652" s="9" t="s">
        <v>146</v>
      </c>
      <c r="F652" s="9" t="s">
        <v>22</v>
      </c>
      <c r="G652" s="16">
        <v>254</v>
      </c>
      <c r="H652" s="16">
        <v>59415000</v>
      </c>
      <c r="I652" s="16">
        <v>6</v>
      </c>
      <c r="J652" s="16">
        <v>1350000</v>
      </c>
      <c r="K652" s="16">
        <v>22</v>
      </c>
      <c r="L652" s="16">
        <v>6600000</v>
      </c>
      <c r="M652" s="16"/>
      <c r="N652" s="12">
        <f t="shared" si="20"/>
        <v>0</v>
      </c>
    </row>
    <row r="653" spans="2:14" x14ac:dyDescent="0.35">
      <c r="B653" s="4">
        <f t="shared" ref="B653:B693" si="21">B652+1</f>
        <v>643</v>
      </c>
      <c r="C653" s="3" t="s">
        <v>343</v>
      </c>
      <c r="D653" s="4" t="s">
        <v>781</v>
      </c>
      <c r="E653" s="9" t="s">
        <v>146</v>
      </c>
      <c r="F653" s="9" t="s">
        <v>190</v>
      </c>
      <c r="G653" s="16">
        <v>272</v>
      </c>
      <c r="H653" s="16">
        <v>35470000</v>
      </c>
      <c r="I653" s="16">
        <v>4</v>
      </c>
      <c r="J653" s="16">
        <v>500000</v>
      </c>
      <c r="K653" s="16">
        <v>0</v>
      </c>
      <c r="L653" s="16">
        <v>0</v>
      </c>
      <c r="M653" s="16"/>
      <c r="N653" s="12">
        <f t="shared" si="20"/>
        <v>0</v>
      </c>
    </row>
    <row r="654" spans="2:14" x14ac:dyDescent="0.35">
      <c r="B654" s="4">
        <f t="shared" si="21"/>
        <v>644</v>
      </c>
      <c r="C654" s="3" t="s">
        <v>336</v>
      </c>
      <c r="D654" s="4" t="s">
        <v>897</v>
      </c>
      <c r="E654" s="9" t="s">
        <v>150</v>
      </c>
      <c r="F654" s="9" t="s">
        <v>21</v>
      </c>
      <c r="G654" s="16">
        <v>353</v>
      </c>
      <c r="H654" s="16">
        <v>327396000</v>
      </c>
      <c r="I654" s="16">
        <v>31</v>
      </c>
      <c r="J654" s="16">
        <v>25400000</v>
      </c>
      <c r="K654" s="16">
        <v>2</v>
      </c>
      <c r="L654" s="16">
        <v>5330000</v>
      </c>
      <c r="M654" s="16"/>
      <c r="N654" s="12">
        <f t="shared" si="20"/>
        <v>0</v>
      </c>
    </row>
    <row r="655" spans="2:14" x14ac:dyDescent="0.35">
      <c r="B655" s="4">
        <f t="shared" si="21"/>
        <v>645</v>
      </c>
      <c r="C655" s="3" t="s">
        <v>336</v>
      </c>
      <c r="D655" s="4" t="s">
        <v>897</v>
      </c>
      <c r="E655" s="9" t="s">
        <v>150</v>
      </c>
      <c r="F655" s="9" t="s">
        <v>22</v>
      </c>
      <c r="G655" s="16">
        <v>4</v>
      </c>
      <c r="H655" s="16">
        <v>152986000</v>
      </c>
      <c r="I655" s="16">
        <v>0</v>
      </c>
      <c r="J655" s="16">
        <v>0</v>
      </c>
      <c r="K655" s="16">
        <v>0</v>
      </c>
      <c r="L655" s="16">
        <v>0</v>
      </c>
      <c r="M655" s="16"/>
      <c r="N655" s="12">
        <f t="shared" si="20"/>
        <v>0</v>
      </c>
    </row>
    <row r="656" spans="2:14" x14ac:dyDescent="0.35">
      <c r="B656" s="4">
        <f t="shared" si="21"/>
        <v>646</v>
      </c>
      <c r="C656" s="3" t="s">
        <v>336</v>
      </c>
      <c r="D656" s="4" t="s">
        <v>897</v>
      </c>
      <c r="E656" s="9" t="s">
        <v>150</v>
      </c>
      <c r="F656" s="9" t="s">
        <v>190</v>
      </c>
      <c r="G656" s="16">
        <v>3</v>
      </c>
      <c r="H656" s="16">
        <v>430000</v>
      </c>
      <c r="I656" s="16">
        <v>0</v>
      </c>
      <c r="J656" s="16">
        <v>0</v>
      </c>
      <c r="K656" s="16">
        <v>0</v>
      </c>
      <c r="L656" s="16">
        <v>0</v>
      </c>
      <c r="M656" s="16"/>
      <c r="N656" s="12">
        <f t="shared" si="20"/>
        <v>0</v>
      </c>
    </row>
    <row r="657" spans="2:14" x14ac:dyDescent="0.35">
      <c r="B657" s="4">
        <f t="shared" si="21"/>
        <v>647</v>
      </c>
      <c r="C657" s="3" t="s">
        <v>266</v>
      </c>
      <c r="D657" s="4" t="s">
        <v>713</v>
      </c>
      <c r="E657" s="9" t="s">
        <v>150</v>
      </c>
      <c r="F657" s="9" t="s">
        <v>21</v>
      </c>
      <c r="G657" s="16">
        <v>318</v>
      </c>
      <c r="H657" s="16">
        <v>170813000</v>
      </c>
      <c r="I657" s="16">
        <v>37</v>
      </c>
      <c r="J657" s="16">
        <v>12360000</v>
      </c>
      <c r="K657" s="16">
        <v>1</v>
      </c>
      <c r="L657" s="16">
        <v>180000</v>
      </c>
      <c r="M657" s="16"/>
      <c r="N657" s="12">
        <f t="shared" si="20"/>
        <v>0</v>
      </c>
    </row>
    <row r="658" spans="2:14" x14ac:dyDescent="0.35">
      <c r="B658" s="4">
        <f t="shared" si="21"/>
        <v>648</v>
      </c>
      <c r="C658" s="3" t="s">
        <v>358</v>
      </c>
      <c r="D658" s="4" t="s">
        <v>847</v>
      </c>
      <c r="E658" s="9" t="s">
        <v>150</v>
      </c>
      <c r="F658" s="9" t="s">
        <v>21</v>
      </c>
      <c r="G658" s="16">
        <v>355</v>
      </c>
      <c r="H658" s="16">
        <v>310203600</v>
      </c>
      <c r="I658" s="16">
        <v>71</v>
      </c>
      <c r="J658" s="16">
        <v>32926000</v>
      </c>
      <c r="K658" s="16">
        <v>1</v>
      </c>
      <c r="L658" s="16">
        <v>180000</v>
      </c>
      <c r="M658" s="16"/>
      <c r="N658" s="12">
        <f t="shared" si="20"/>
        <v>0</v>
      </c>
    </row>
    <row r="659" spans="2:14" x14ac:dyDescent="0.35">
      <c r="B659" s="4">
        <f t="shared" si="21"/>
        <v>649</v>
      </c>
      <c r="C659" s="3" t="s">
        <v>419</v>
      </c>
      <c r="D659" s="4" t="s">
        <v>905</v>
      </c>
      <c r="E659" s="9" t="s">
        <v>150</v>
      </c>
      <c r="F659" s="9" t="s">
        <v>21</v>
      </c>
      <c r="G659" s="16">
        <v>69</v>
      </c>
      <c r="H659" s="16">
        <v>177819000</v>
      </c>
      <c r="I659" s="16">
        <v>1</v>
      </c>
      <c r="J659" s="16">
        <v>4000000</v>
      </c>
      <c r="K659" s="16">
        <v>0</v>
      </c>
      <c r="L659" s="16">
        <v>0</v>
      </c>
      <c r="M659" s="16"/>
      <c r="N659" s="12">
        <f t="shared" si="20"/>
        <v>0</v>
      </c>
    </row>
    <row r="660" spans="2:14" x14ac:dyDescent="0.35">
      <c r="B660" s="4">
        <f t="shared" si="21"/>
        <v>650</v>
      </c>
      <c r="C660" s="3" t="s">
        <v>267</v>
      </c>
      <c r="D660" s="4" t="s">
        <v>741</v>
      </c>
      <c r="E660" s="9" t="s">
        <v>150</v>
      </c>
      <c r="F660" s="9" t="s">
        <v>21</v>
      </c>
      <c r="G660" s="16">
        <v>175</v>
      </c>
      <c r="H660" s="16">
        <v>168419000</v>
      </c>
      <c r="I660" s="16">
        <v>7</v>
      </c>
      <c r="J660" s="16">
        <v>7900000</v>
      </c>
      <c r="K660" s="16">
        <v>0</v>
      </c>
      <c r="L660" s="16">
        <v>0</v>
      </c>
      <c r="M660" s="16"/>
      <c r="N660" s="12">
        <f t="shared" si="20"/>
        <v>0</v>
      </c>
    </row>
    <row r="661" spans="2:14" x14ac:dyDescent="0.35">
      <c r="B661" s="4">
        <f t="shared" si="21"/>
        <v>651</v>
      </c>
      <c r="C661" s="3" t="s">
        <v>268</v>
      </c>
      <c r="D661" s="4" t="s">
        <v>717</v>
      </c>
      <c r="E661" s="9" t="s">
        <v>150</v>
      </c>
      <c r="F661" s="9" t="s">
        <v>21</v>
      </c>
      <c r="G661" s="16">
        <v>157</v>
      </c>
      <c r="H661" s="16">
        <v>82891600</v>
      </c>
      <c r="I661" s="16">
        <v>12</v>
      </c>
      <c r="J661" s="16">
        <v>3097000</v>
      </c>
      <c r="K661" s="16">
        <v>0</v>
      </c>
      <c r="L661" s="16">
        <v>0</v>
      </c>
      <c r="M661" s="16"/>
      <c r="N661" s="12">
        <f t="shared" si="20"/>
        <v>0</v>
      </c>
    </row>
    <row r="662" spans="2:14" x14ac:dyDescent="0.35">
      <c r="B662" s="4">
        <f t="shared" si="21"/>
        <v>652</v>
      </c>
      <c r="C662" s="3" t="s">
        <v>269</v>
      </c>
      <c r="D662" s="4" t="s">
        <v>710</v>
      </c>
      <c r="E662" s="9" t="s">
        <v>150</v>
      </c>
      <c r="F662" s="9" t="s">
        <v>21</v>
      </c>
      <c r="G662" s="16">
        <v>514</v>
      </c>
      <c r="H662" s="16">
        <v>741055300</v>
      </c>
      <c r="I662" s="16">
        <v>43</v>
      </c>
      <c r="J662" s="16">
        <v>32610000</v>
      </c>
      <c r="K662" s="16">
        <v>3</v>
      </c>
      <c r="L662" s="16">
        <v>981000</v>
      </c>
      <c r="M662" s="16"/>
      <c r="N662" s="12">
        <f t="shared" si="20"/>
        <v>0</v>
      </c>
    </row>
    <row r="663" spans="2:14" x14ac:dyDescent="0.35">
      <c r="B663" s="4">
        <f t="shared" si="21"/>
        <v>653</v>
      </c>
      <c r="C663" s="3" t="s">
        <v>270</v>
      </c>
      <c r="D663" s="4" t="s">
        <v>766</v>
      </c>
      <c r="E663" s="9" t="s">
        <v>150</v>
      </c>
      <c r="F663" s="9" t="s">
        <v>21</v>
      </c>
      <c r="G663" s="16">
        <v>213</v>
      </c>
      <c r="H663" s="16">
        <v>98786000</v>
      </c>
      <c r="I663" s="16">
        <v>21</v>
      </c>
      <c r="J663" s="16">
        <v>11153000</v>
      </c>
      <c r="K663" s="16">
        <v>0</v>
      </c>
      <c r="L663" s="16">
        <v>0</v>
      </c>
      <c r="M663" s="16"/>
      <c r="N663" s="12">
        <f t="shared" si="20"/>
        <v>0</v>
      </c>
    </row>
    <row r="664" spans="2:14" x14ac:dyDescent="0.35">
      <c r="B664" s="4">
        <f t="shared" si="21"/>
        <v>654</v>
      </c>
      <c r="C664" s="3" t="s">
        <v>337</v>
      </c>
      <c r="D664" s="4" t="s">
        <v>884</v>
      </c>
      <c r="E664" s="9" t="s">
        <v>150</v>
      </c>
      <c r="F664" s="9" t="s">
        <v>21</v>
      </c>
      <c r="G664" s="16">
        <v>87</v>
      </c>
      <c r="H664" s="16">
        <v>120742400</v>
      </c>
      <c r="I664" s="16">
        <v>3</v>
      </c>
      <c r="J664" s="16">
        <v>5692000</v>
      </c>
      <c r="K664" s="16">
        <v>0</v>
      </c>
      <c r="L664" s="16">
        <v>0</v>
      </c>
      <c r="M664" s="16"/>
      <c r="N664" s="12">
        <f t="shared" si="20"/>
        <v>0</v>
      </c>
    </row>
    <row r="665" spans="2:14" x14ac:dyDescent="0.35">
      <c r="B665" s="4">
        <f t="shared" si="21"/>
        <v>655</v>
      </c>
      <c r="C665" s="3" t="s">
        <v>243</v>
      </c>
      <c r="D665" s="4" t="s">
        <v>818</v>
      </c>
      <c r="E665" s="9" t="s">
        <v>174</v>
      </c>
      <c r="F665" s="9" t="s">
        <v>20</v>
      </c>
      <c r="G665" s="16">
        <v>7</v>
      </c>
      <c r="H665" s="16">
        <v>1225000</v>
      </c>
      <c r="I665" s="16">
        <v>0</v>
      </c>
      <c r="J665" s="16">
        <v>0</v>
      </c>
      <c r="K665" s="16">
        <v>0</v>
      </c>
      <c r="L665" s="16">
        <v>0</v>
      </c>
      <c r="M665" s="16"/>
      <c r="N665" s="12">
        <f t="shared" si="20"/>
        <v>0</v>
      </c>
    </row>
    <row r="666" spans="2:14" x14ac:dyDescent="0.35">
      <c r="B666" s="4">
        <f t="shared" si="21"/>
        <v>656</v>
      </c>
      <c r="C666" s="3" t="s">
        <v>243</v>
      </c>
      <c r="D666" s="4" t="s">
        <v>818</v>
      </c>
      <c r="E666" s="9" t="s">
        <v>174</v>
      </c>
      <c r="F666" s="9" t="s">
        <v>22</v>
      </c>
      <c r="G666" s="16">
        <v>136</v>
      </c>
      <c r="H666" s="16">
        <v>15061000</v>
      </c>
      <c r="I666" s="16">
        <v>3</v>
      </c>
      <c r="J666" s="16">
        <v>225000</v>
      </c>
      <c r="K666" s="16">
        <v>4</v>
      </c>
      <c r="L666" s="16">
        <v>1000000</v>
      </c>
      <c r="M666" s="16"/>
      <c r="N666" s="12">
        <f t="shared" si="20"/>
        <v>0</v>
      </c>
    </row>
    <row r="667" spans="2:14" x14ac:dyDescent="0.35">
      <c r="B667" s="4">
        <f t="shared" si="21"/>
        <v>657</v>
      </c>
      <c r="C667" s="3" t="s">
        <v>243</v>
      </c>
      <c r="D667" s="4" t="s">
        <v>818</v>
      </c>
      <c r="E667" s="9" t="s">
        <v>174</v>
      </c>
      <c r="F667" s="9" t="s">
        <v>19</v>
      </c>
      <c r="G667" s="16">
        <v>6</v>
      </c>
      <c r="H667" s="16">
        <v>51000000</v>
      </c>
      <c r="I667" s="16">
        <v>0</v>
      </c>
      <c r="J667" s="16">
        <v>0</v>
      </c>
      <c r="K667" s="16">
        <v>1</v>
      </c>
      <c r="L667" s="16">
        <v>25390000</v>
      </c>
      <c r="M667" s="16"/>
      <c r="N667" s="12">
        <f t="shared" si="20"/>
        <v>0</v>
      </c>
    </row>
    <row r="668" spans="2:14" x14ac:dyDescent="0.35">
      <c r="B668" s="4">
        <f t="shared" si="21"/>
        <v>658</v>
      </c>
      <c r="C668" s="3" t="s">
        <v>243</v>
      </c>
      <c r="D668" s="4" t="s">
        <v>818</v>
      </c>
      <c r="E668" s="9" t="s">
        <v>174</v>
      </c>
      <c r="F668" s="9" t="s">
        <v>190</v>
      </c>
      <c r="G668" s="16">
        <v>11</v>
      </c>
      <c r="H668" s="16">
        <v>1515000</v>
      </c>
      <c r="I668" s="16">
        <v>0</v>
      </c>
      <c r="J668" s="16">
        <v>0</v>
      </c>
      <c r="K668" s="16">
        <v>0</v>
      </c>
      <c r="L668" s="16">
        <v>0</v>
      </c>
      <c r="M668" s="16"/>
      <c r="N668" s="12">
        <f t="shared" si="20"/>
        <v>0</v>
      </c>
    </row>
    <row r="669" spans="2:14" x14ac:dyDescent="0.35">
      <c r="B669" s="4">
        <f t="shared" si="21"/>
        <v>659</v>
      </c>
      <c r="C669" s="3" t="s">
        <v>307</v>
      </c>
      <c r="D669" s="4" t="s">
        <v>902</v>
      </c>
      <c r="E669" s="9" t="s">
        <v>174</v>
      </c>
      <c r="F669" s="9" t="s">
        <v>20</v>
      </c>
      <c r="G669" s="16">
        <v>9</v>
      </c>
      <c r="H669" s="16">
        <v>1450000</v>
      </c>
      <c r="I669" s="16">
        <v>1</v>
      </c>
      <c r="J669" s="16">
        <v>175000</v>
      </c>
      <c r="K669" s="16">
        <v>0</v>
      </c>
      <c r="L669" s="16">
        <v>0</v>
      </c>
      <c r="M669" s="16"/>
      <c r="N669" s="12">
        <f t="shared" si="20"/>
        <v>0</v>
      </c>
    </row>
    <row r="670" spans="2:14" x14ac:dyDescent="0.35">
      <c r="B670" s="4">
        <f t="shared" si="21"/>
        <v>660</v>
      </c>
      <c r="C670" s="3" t="s">
        <v>307</v>
      </c>
      <c r="D670" s="4" t="s">
        <v>902</v>
      </c>
      <c r="E670" s="9" t="s">
        <v>174</v>
      </c>
      <c r="F670" s="9" t="s">
        <v>22</v>
      </c>
      <c r="G670" s="16">
        <v>291</v>
      </c>
      <c r="H670" s="16">
        <v>34256000</v>
      </c>
      <c r="I670" s="16">
        <v>31</v>
      </c>
      <c r="J670" s="16">
        <v>3163000</v>
      </c>
      <c r="K670" s="16">
        <v>5</v>
      </c>
      <c r="L670" s="16">
        <v>1160000</v>
      </c>
      <c r="M670" s="16"/>
      <c r="N670" s="12">
        <f t="shared" si="20"/>
        <v>0</v>
      </c>
    </row>
    <row r="671" spans="2:14" x14ac:dyDescent="0.35">
      <c r="B671" s="4">
        <f t="shared" si="21"/>
        <v>661</v>
      </c>
      <c r="C671" s="3" t="s">
        <v>307</v>
      </c>
      <c r="D671" s="4" t="s">
        <v>902</v>
      </c>
      <c r="E671" s="9" t="s">
        <v>174</v>
      </c>
      <c r="F671" s="9" t="s">
        <v>19</v>
      </c>
      <c r="G671" s="16">
        <v>18</v>
      </c>
      <c r="H671" s="16">
        <v>153000000</v>
      </c>
      <c r="I671" s="16">
        <v>1</v>
      </c>
      <c r="J671" s="16">
        <v>8500000</v>
      </c>
      <c r="K671" s="16">
        <v>0</v>
      </c>
      <c r="L671" s="16">
        <v>0</v>
      </c>
      <c r="M671" s="16"/>
      <c r="N671" s="12">
        <f t="shared" si="20"/>
        <v>0</v>
      </c>
    </row>
    <row r="672" spans="2:14" x14ac:dyDescent="0.35">
      <c r="B672" s="4">
        <f t="shared" si="21"/>
        <v>662</v>
      </c>
      <c r="C672" s="3" t="s">
        <v>307</v>
      </c>
      <c r="D672" s="4" t="s">
        <v>902</v>
      </c>
      <c r="E672" s="9" t="s">
        <v>174</v>
      </c>
      <c r="F672" s="9" t="s">
        <v>190</v>
      </c>
      <c r="G672" s="16">
        <v>57</v>
      </c>
      <c r="H672" s="16">
        <v>7245000</v>
      </c>
      <c r="I672" s="16">
        <v>1</v>
      </c>
      <c r="J672" s="16">
        <v>180000</v>
      </c>
      <c r="K672" s="16">
        <v>0</v>
      </c>
      <c r="L672" s="16">
        <v>0</v>
      </c>
      <c r="M672" s="16"/>
      <c r="N672" s="12">
        <f t="shared" si="20"/>
        <v>0</v>
      </c>
    </row>
    <row r="673" spans="2:14" x14ac:dyDescent="0.35">
      <c r="B673" s="4">
        <f t="shared" si="21"/>
        <v>663</v>
      </c>
      <c r="C673" s="3" t="s">
        <v>262</v>
      </c>
      <c r="D673" s="4" t="s">
        <v>785</v>
      </c>
      <c r="E673" s="9" t="s">
        <v>174</v>
      </c>
      <c r="F673" s="9" t="s">
        <v>21</v>
      </c>
      <c r="G673" s="16">
        <v>0</v>
      </c>
      <c r="H673" s="16">
        <v>0</v>
      </c>
      <c r="I673" s="16">
        <v>0</v>
      </c>
      <c r="J673" s="16">
        <v>0</v>
      </c>
      <c r="K673" s="16">
        <v>0</v>
      </c>
      <c r="L673" s="16">
        <v>0</v>
      </c>
      <c r="M673" s="16"/>
      <c r="N673" s="12">
        <f t="shared" si="20"/>
        <v>0</v>
      </c>
    </row>
    <row r="674" spans="2:14" x14ac:dyDescent="0.35">
      <c r="B674" s="4">
        <f t="shared" si="21"/>
        <v>664</v>
      </c>
      <c r="C674" s="4" t="s">
        <v>262</v>
      </c>
      <c r="D674" s="4" t="s">
        <v>785</v>
      </c>
      <c r="E674" s="9" t="s">
        <v>174</v>
      </c>
      <c r="F674" s="9" t="s">
        <v>22</v>
      </c>
      <c r="G674" s="16">
        <v>105</v>
      </c>
      <c r="H674" s="16">
        <v>11760000</v>
      </c>
      <c r="I674" s="16">
        <v>40</v>
      </c>
      <c r="J674" s="16">
        <v>3849000</v>
      </c>
      <c r="K674" s="16">
        <v>0</v>
      </c>
      <c r="L674" s="16">
        <v>0</v>
      </c>
      <c r="M674" s="16"/>
      <c r="N674" s="12">
        <f t="shared" ref="N674:N693" si="22">IFERROR((G674/M674)*100%, 0)</f>
        <v>0</v>
      </c>
    </row>
    <row r="675" spans="2:14" x14ac:dyDescent="0.35">
      <c r="B675" s="4">
        <f t="shared" si="21"/>
        <v>665</v>
      </c>
      <c r="C675" s="4" t="s">
        <v>262</v>
      </c>
      <c r="D675" s="4" t="s">
        <v>785</v>
      </c>
      <c r="E675" s="9" t="s">
        <v>174</v>
      </c>
      <c r="F675" s="9" t="s">
        <v>19</v>
      </c>
      <c r="G675" s="16">
        <v>1</v>
      </c>
      <c r="H675" s="16">
        <v>8500000</v>
      </c>
      <c r="I675" s="16">
        <v>0</v>
      </c>
      <c r="J675" s="16">
        <v>0</v>
      </c>
      <c r="K675" s="16">
        <v>0</v>
      </c>
      <c r="L675" s="16">
        <v>0</v>
      </c>
      <c r="M675" s="16"/>
      <c r="N675" s="12">
        <f t="shared" si="22"/>
        <v>0</v>
      </c>
    </row>
    <row r="676" spans="2:14" x14ac:dyDescent="0.35">
      <c r="B676" s="4">
        <f t="shared" si="21"/>
        <v>666</v>
      </c>
      <c r="C676" s="4" t="s">
        <v>263</v>
      </c>
      <c r="D676" s="4" t="s">
        <v>725</v>
      </c>
      <c r="E676" s="9" t="s">
        <v>174</v>
      </c>
      <c r="F676" s="9" t="s">
        <v>20</v>
      </c>
      <c r="G676" s="16">
        <v>3</v>
      </c>
      <c r="H676" s="16">
        <v>510000</v>
      </c>
      <c r="I676" s="16">
        <v>0</v>
      </c>
      <c r="J676" s="16">
        <v>0</v>
      </c>
      <c r="K676" s="16">
        <v>0</v>
      </c>
      <c r="L676" s="16">
        <v>0</v>
      </c>
      <c r="M676" s="16"/>
      <c r="N676" s="12">
        <f t="shared" si="22"/>
        <v>0</v>
      </c>
    </row>
    <row r="677" spans="2:14" x14ac:dyDescent="0.35">
      <c r="B677" s="4">
        <f t="shared" si="21"/>
        <v>667</v>
      </c>
      <c r="C677" s="4" t="s">
        <v>263</v>
      </c>
      <c r="D677" s="4" t="s">
        <v>725</v>
      </c>
      <c r="E677" s="9" t="s">
        <v>174</v>
      </c>
      <c r="F677" s="9" t="s">
        <v>22</v>
      </c>
      <c r="G677" s="16">
        <v>147</v>
      </c>
      <c r="H677" s="16">
        <v>17417000</v>
      </c>
      <c r="I677" s="16">
        <v>23</v>
      </c>
      <c r="J677" s="16">
        <v>2310000</v>
      </c>
      <c r="K677" s="16">
        <v>16</v>
      </c>
      <c r="L677" s="16">
        <v>2880000</v>
      </c>
      <c r="M677" s="16"/>
      <c r="N677" s="12">
        <f t="shared" si="22"/>
        <v>0</v>
      </c>
    </row>
    <row r="678" spans="2:14" x14ac:dyDescent="0.35">
      <c r="B678" s="4">
        <f t="shared" si="21"/>
        <v>668</v>
      </c>
      <c r="C678" s="4" t="s">
        <v>263</v>
      </c>
      <c r="D678" s="4" t="s">
        <v>725</v>
      </c>
      <c r="E678" s="9" t="s">
        <v>174</v>
      </c>
      <c r="F678" s="9" t="s">
        <v>19</v>
      </c>
      <c r="G678" s="16">
        <v>22</v>
      </c>
      <c r="H678" s="16">
        <v>169500000</v>
      </c>
      <c r="I678" s="16">
        <v>0</v>
      </c>
      <c r="J678" s="16">
        <v>0</v>
      </c>
      <c r="K678" s="16">
        <v>1</v>
      </c>
      <c r="L678" s="16">
        <v>10900000</v>
      </c>
      <c r="M678" s="16"/>
      <c r="N678" s="12">
        <f t="shared" si="22"/>
        <v>0</v>
      </c>
    </row>
    <row r="679" spans="2:14" x14ac:dyDescent="0.35">
      <c r="B679" s="4">
        <f t="shared" si="21"/>
        <v>669</v>
      </c>
      <c r="C679" s="4" t="s">
        <v>263</v>
      </c>
      <c r="D679" s="4" t="s">
        <v>725</v>
      </c>
      <c r="E679" s="9" t="s">
        <v>174</v>
      </c>
      <c r="F679" s="9" t="s">
        <v>190</v>
      </c>
      <c r="G679" s="16">
        <v>23</v>
      </c>
      <c r="H679" s="16">
        <v>2905000</v>
      </c>
      <c r="I679" s="16">
        <v>0</v>
      </c>
      <c r="J679" s="16">
        <v>0</v>
      </c>
      <c r="K679" s="16">
        <v>1</v>
      </c>
      <c r="L679" s="16">
        <v>125000</v>
      </c>
      <c r="M679" s="16"/>
      <c r="N679" s="12">
        <f t="shared" si="22"/>
        <v>0</v>
      </c>
    </row>
    <row r="680" spans="2:14" x14ac:dyDescent="0.35">
      <c r="B680" s="4">
        <f t="shared" si="21"/>
        <v>670</v>
      </c>
      <c r="C680" s="4" t="s">
        <v>264</v>
      </c>
      <c r="D680" s="4" t="s">
        <v>834</v>
      </c>
      <c r="E680" s="9" t="s">
        <v>174</v>
      </c>
      <c r="F680" s="9" t="s">
        <v>21</v>
      </c>
      <c r="G680" s="16">
        <v>0</v>
      </c>
      <c r="H680" s="16">
        <v>0</v>
      </c>
      <c r="I680" s="16">
        <v>0</v>
      </c>
      <c r="J680" s="16">
        <v>0</v>
      </c>
      <c r="K680" s="16">
        <v>0</v>
      </c>
      <c r="L680" s="16">
        <v>0</v>
      </c>
      <c r="M680" s="16"/>
      <c r="N680" s="12">
        <f t="shared" si="22"/>
        <v>0</v>
      </c>
    </row>
    <row r="681" spans="2:14" x14ac:dyDescent="0.35">
      <c r="B681" s="4">
        <f t="shared" si="21"/>
        <v>671</v>
      </c>
      <c r="C681" s="4" t="s">
        <v>264</v>
      </c>
      <c r="D681" s="4" t="s">
        <v>834</v>
      </c>
      <c r="E681" s="9" t="s">
        <v>174</v>
      </c>
      <c r="F681" s="9" t="s">
        <v>22</v>
      </c>
      <c r="G681" s="16">
        <v>169</v>
      </c>
      <c r="H681" s="16">
        <v>21140000</v>
      </c>
      <c r="I681" s="16">
        <v>18</v>
      </c>
      <c r="J681" s="16">
        <v>1885000</v>
      </c>
      <c r="K681" s="16">
        <v>0</v>
      </c>
      <c r="L681" s="16">
        <v>0</v>
      </c>
      <c r="M681" s="16"/>
      <c r="N681" s="12">
        <f t="shared" si="22"/>
        <v>0</v>
      </c>
    </row>
    <row r="682" spans="2:14" x14ac:dyDescent="0.35">
      <c r="B682" s="4">
        <f t="shared" si="21"/>
        <v>672</v>
      </c>
      <c r="C682" s="4" t="s">
        <v>430</v>
      </c>
      <c r="D682" s="4" t="s">
        <v>903</v>
      </c>
      <c r="E682" s="9" t="s">
        <v>174</v>
      </c>
      <c r="F682" s="9" t="s">
        <v>20</v>
      </c>
      <c r="G682" s="16">
        <v>6</v>
      </c>
      <c r="H682" s="16">
        <v>1050000</v>
      </c>
      <c r="I682" s="16">
        <v>0</v>
      </c>
      <c r="J682" s="16">
        <v>0</v>
      </c>
      <c r="K682" s="16">
        <v>0</v>
      </c>
      <c r="L682" s="16">
        <v>0</v>
      </c>
      <c r="M682" s="16"/>
      <c r="N682" s="12">
        <f t="shared" si="22"/>
        <v>0</v>
      </c>
    </row>
    <row r="683" spans="2:14" x14ac:dyDescent="0.35">
      <c r="B683" s="4">
        <f t="shared" si="21"/>
        <v>673</v>
      </c>
      <c r="C683" s="4" t="s">
        <v>430</v>
      </c>
      <c r="D683" s="4" t="s">
        <v>903</v>
      </c>
      <c r="E683" s="9" t="s">
        <v>174</v>
      </c>
      <c r="F683" s="9" t="s">
        <v>22</v>
      </c>
      <c r="G683" s="16">
        <v>292</v>
      </c>
      <c r="H683" s="16">
        <v>39781000</v>
      </c>
      <c r="I683" s="16">
        <v>32</v>
      </c>
      <c r="J683" s="16">
        <v>3650000</v>
      </c>
      <c r="K683" s="16">
        <v>40</v>
      </c>
      <c r="L683" s="16">
        <v>11570000</v>
      </c>
      <c r="M683" s="16"/>
      <c r="N683" s="12">
        <f t="shared" si="22"/>
        <v>0</v>
      </c>
    </row>
    <row r="684" spans="2:14" x14ac:dyDescent="0.35">
      <c r="B684" s="4">
        <f t="shared" si="21"/>
        <v>674</v>
      </c>
      <c r="C684" s="4" t="s">
        <v>430</v>
      </c>
      <c r="D684" s="4" t="s">
        <v>903</v>
      </c>
      <c r="E684" s="9" t="s">
        <v>174</v>
      </c>
      <c r="F684" s="9" t="s">
        <v>19</v>
      </c>
      <c r="G684" s="16">
        <v>38</v>
      </c>
      <c r="H684" s="16">
        <v>288000000</v>
      </c>
      <c r="I684" s="16">
        <v>0</v>
      </c>
      <c r="J684" s="16">
        <v>0</v>
      </c>
      <c r="K684" s="16">
        <v>5</v>
      </c>
      <c r="L684" s="16">
        <v>77240000</v>
      </c>
      <c r="M684" s="16"/>
      <c r="N684" s="12">
        <f t="shared" si="22"/>
        <v>0</v>
      </c>
    </row>
    <row r="685" spans="2:14" x14ac:dyDescent="0.35">
      <c r="B685" s="4">
        <f t="shared" si="21"/>
        <v>675</v>
      </c>
      <c r="C685" s="4" t="s">
        <v>430</v>
      </c>
      <c r="D685" s="4" t="s">
        <v>903</v>
      </c>
      <c r="E685" s="9" t="s">
        <v>174</v>
      </c>
      <c r="F685" s="9" t="s">
        <v>190</v>
      </c>
      <c r="G685" s="16">
        <v>20</v>
      </c>
      <c r="H685" s="16">
        <v>2640000</v>
      </c>
      <c r="I685" s="16">
        <v>5</v>
      </c>
      <c r="J685" s="16">
        <v>900000</v>
      </c>
      <c r="K685" s="16">
        <v>7</v>
      </c>
      <c r="L685" s="16">
        <v>1095000</v>
      </c>
      <c r="M685" s="16"/>
      <c r="N685" s="12">
        <f t="shared" si="22"/>
        <v>0</v>
      </c>
    </row>
    <row r="686" spans="2:14" x14ac:dyDescent="0.35">
      <c r="B686" s="4">
        <f t="shared" si="21"/>
        <v>676</v>
      </c>
      <c r="C686" s="4" t="s">
        <v>265</v>
      </c>
      <c r="D686" s="4" t="s">
        <v>786</v>
      </c>
      <c r="E686" s="9" t="s">
        <v>174</v>
      </c>
      <c r="F686" s="9" t="s">
        <v>20</v>
      </c>
      <c r="G686" s="16">
        <v>13</v>
      </c>
      <c r="H686" s="16">
        <v>2176000</v>
      </c>
      <c r="I686" s="16">
        <v>0</v>
      </c>
      <c r="J686" s="16">
        <v>0</v>
      </c>
      <c r="K686" s="16">
        <v>0</v>
      </c>
      <c r="L686" s="16">
        <v>0</v>
      </c>
      <c r="M686" s="16"/>
      <c r="N686" s="12">
        <f t="shared" si="22"/>
        <v>0</v>
      </c>
    </row>
    <row r="687" spans="2:14" x14ac:dyDescent="0.35">
      <c r="B687" s="4">
        <f t="shared" si="21"/>
        <v>677</v>
      </c>
      <c r="C687" s="4" t="s">
        <v>265</v>
      </c>
      <c r="D687" s="4" t="s">
        <v>786</v>
      </c>
      <c r="E687" s="9" t="s">
        <v>174</v>
      </c>
      <c r="F687" s="9" t="s">
        <v>22</v>
      </c>
      <c r="G687" s="16">
        <v>115</v>
      </c>
      <c r="H687" s="16">
        <v>13836000</v>
      </c>
      <c r="I687" s="16">
        <v>2</v>
      </c>
      <c r="J687" s="16">
        <v>215000</v>
      </c>
      <c r="K687" s="16">
        <v>16</v>
      </c>
      <c r="L687" s="16">
        <v>4510000</v>
      </c>
      <c r="M687" s="16"/>
      <c r="N687" s="12">
        <f t="shared" si="22"/>
        <v>0</v>
      </c>
    </row>
    <row r="688" spans="2:14" x14ac:dyDescent="0.35">
      <c r="B688" s="4">
        <f t="shared" si="21"/>
        <v>678</v>
      </c>
      <c r="C688" s="4" t="s">
        <v>265</v>
      </c>
      <c r="D688" s="4" t="s">
        <v>786</v>
      </c>
      <c r="E688" s="9" t="s">
        <v>174</v>
      </c>
      <c r="F688" s="9" t="s">
        <v>19</v>
      </c>
      <c r="G688" s="16">
        <v>13</v>
      </c>
      <c r="H688" s="16">
        <v>103500000</v>
      </c>
      <c r="I688" s="16">
        <v>0</v>
      </c>
      <c r="J688" s="16">
        <v>0</v>
      </c>
      <c r="K688" s="16">
        <v>2</v>
      </c>
      <c r="L688" s="16">
        <v>34175000</v>
      </c>
      <c r="M688" s="16"/>
      <c r="N688" s="12">
        <f t="shared" si="22"/>
        <v>0</v>
      </c>
    </row>
    <row r="689" spans="2:14" x14ac:dyDescent="0.35">
      <c r="B689" s="4">
        <f t="shared" si="21"/>
        <v>679</v>
      </c>
      <c r="C689" s="4" t="s">
        <v>265</v>
      </c>
      <c r="D689" s="4" t="s">
        <v>786</v>
      </c>
      <c r="E689" s="9" t="s">
        <v>174</v>
      </c>
      <c r="F689" s="9" t="s">
        <v>190</v>
      </c>
      <c r="G689" s="16">
        <v>8</v>
      </c>
      <c r="H689" s="16">
        <v>1035000</v>
      </c>
      <c r="I689" s="16">
        <v>0</v>
      </c>
      <c r="J689" s="16">
        <v>0</v>
      </c>
      <c r="K689" s="16">
        <v>3</v>
      </c>
      <c r="L689" s="16">
        <v>540000</v>
      </c>
      <c r="M689" s="16"/>
      <c r="N689" s="12">
        <f t="shared" si="22"/>
        <v>0</v>
      </c>
    </row>
    <row r="690" spans="2:14" x14ac:dyDescent="0.35">
      <c r="B690" s="4">
        <f t="shared" si="21"/>
        <v>680</v>
      </c>
      <c r="C690" s="4" t="s">
        <v>244</v>
      </c>
      <c r="D690" s="4" t="s">
        <v>784</v>
      </c>
      <c r="E690" s="9" t="s">
        <v>174</v>
      </c>
      <c r="F690" s="9" t="s">
        <v>20</v>
      </c>
      <c r="G690" s="16">
        <v>9</v>
      </c>
      <c r="H690" s="16">
        <v>1306000</v>
      </c>
      <c r="I690" s="16">
        <v>0</v>
      </c>
      <c r="J690" s="16">
        <v>0</v>
      </c>
      <c r="K690" s="16">
        <v>1</v>
      </c>
      <c r="L690" s="16">
        <v>160000</v>
      </c>
      <c r="M690" s="16"/>
      <c r="N690" s="12">
        <f t="shared" si="22"/>
        <v>0</v>
      </c>
    </row>
    <row r="691" spans="2:14" x14ac:dyDescent="0.35">
      <c r="B691" s="4">
        <f t="shared" si="21"/>
        <v>681</v>
      </c>
      <c r="C691" s="4" t="s">
        <v>244</v>
      </c>
      <c r="D691" s="4" t="s">
        <v>784</v>
      </c>
      <c r="E691" s="9" t="s">
        <v>174</v>
      </c>
      <c r="F691" s="9" t="s">
        <v>22</v>
      </c>
      <c r="G691" s="16">
        <v>209</v>
      </c>
      <c r="H691" s="16">
        <v>31340000</v>
      </c>
      <c r="I691" s="16">
        <v>15</v>
      </c>
      <c r="J691" s="16">
        <v>1980000</v>
      </c>
      <c r="K691" s="16">
        <v>50</v>
      </c>
      <c r="L691" s="16">
        <v>13100000</v>
      </c>
      <c r="M691" s="16"/>
      <c r="N691" s="12">
        <f t="shared" si="22"/>
        <v>0</v>
      </c>
    </row>
    <row r="692" spans="2:14" x14ac:dyDescent="0.35">
      <c r="B692" s="4">
        <f t="shared" si="21"/>
        <v>682</v>
      </c>
      <c r="C692" s="4" t="s">
        <v>244</v>
      </c>
      <c r="D692" s="4" t="s">
        <v>784</v>
      </c>
      <c r="E692" s="9" t="s">
        <v>174</v>
      </c>
      <c r="F692" s="9" t="s">
        <v>19</v>
      </c>
      <c r="G692" s="16">
        <v>22</v>
      </c>
      <c r="H692" s="16">
        <v>149750000</v>
      </c>
      <c r="I692" s="16">
        <v>1</v>
      </c>
      <c r="J692" s="16">
        <v>25390000</v>
      </c>
      <c r="K692" s="16">
        <v>3</v>
      </c>
      <c r="L692" s="16">
        <v>50580000</v>
      </c>
      <c r="M692" s="16"/>
      <c r="N692" s="12">
        <f t="shared" si="22"/>
        <v>0</v>
      </c>
    </row>
    <row r="693" spans="2:14" x14ac:dyDescent="0.35">
      <c r="B693" s="4">
        <f t="shared" si="21"/>
        <v>683</v>
      </c>
      <c r="C693" s="4" t="s">
        <v>244</v>
      </c>
      <c r="D693" s="4" t="s">
        <v>784</v>
      </c>
      <c r="E693" s="9" t="s">
        <v>174</v>
      </c>
      <c r="F693" s="9" t="s">
        <v>190</v>
      </c>
      <c r="G693" s="16">
        <v>66</v>
      </c>
      <c r="H693" s="16">
        <v>8385000</v>
      </c>
      <c r="I693" s="16">
        <v>2</v>
      </c>
      <c r="J693" s="16">
        <v>360000</v>
      </c>
      <c r="K693" s="16">
        <v>3</v>
      </c>
      <c r="L693" s="16">
        <v>430000</v>
      </c>
      <c r="M693" s="16"/>
      <c r="N693" s="12">
        <f t="shared" si="22"/>
        <v>0</v>
      </c>
    </row>
  </sheetData>
  <autoFilter ref="A10:N819" xr:uid="{D47603B4-A21A-40CF-9F05-4553DE94AF71}"/>
  <sortState xmlns:xlrd2="http://schemas.microsoft.com/office/spreadsheetml/2017/richdata2" ref="C11:N673">
    <sortCondition ref="D11:D673"/>
    <sortCondition ref="F11:F673"/>
  </sortState>
  <mergeCells count="3">
    <mergeCell ref="G9:H9"/>
    <mergeCell ref="I9:J9"/>
    <mergeCell ref="K9:L9"/>
  </mergeCells>
  <conditionalFormatting sqref="A11:A666">
    <cfRule type="duplicateValues" dxfId="0" priority="2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C969758-8DAA-4186-BD3D-F43FFE1D0AAC}">
          <x14:formula1>
            <xm:f>Lookup!$B$5:$B$17</xm:f>
          </x14:formula1>
          <xm:sqref>F3</xm:sqref>
        </x14:dataValidation>
        <x14:dataValidation type="list" allowBlank="1" showInputMessage="1" showErrorMessage="1" xr:uid="{5A5EFAFE-F8E7-4AEF-B260-DE6E170AC76C}">
          <x14:formula1>
            <xm:f>Lookup!$J$5:$J$48</xm:f>
          </x14:formula1>
          <xm:sqref>F5</xm:sqref>
        </x14:dataValidation>
        <x14:dataValidation type="list" allowBlank="1" showInputMessage="1" showErrorMessage="1" xr:uid="{CAD3A3F9-E3E3-4580-91E3-A2EF4EF64D02}">
          <x14:formula1>
            <xm:f>Lookup!$D$5:$D$50</xm:f>
          </x14:formula1>
          <xm:sqref>E11:E693</xm:sqref>
        </x14:dataValidation>
        <x14:dataValidation type="list" allowBlank="1" showInputMessage="1" showErrorMessage="1" xr:uid="{F078655F-698F-4D55-BB47-4C5434545C88}">
          <x14:formula1>
            <xm:f>Lookup!$F$5:$F$10</xm:f>
          </x14:formula1>
          <xm:sqref>F11:F693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DB5A-2258-4E0A-A5C0-0C84EBD97F72}">
  <dimension ref="B2:N50"/>
  <sheetViews>
    <sheetView showGridLines="0" topLeftCell="A3" workbookViewId="0">
      <selection activeCell="F8" sqref="F8"/>
    </sheetView>
  </sheetViews>
  <sheetFormatPr defaultRowHeight="14.5" x14ac:dyDescent="0.35"/>
  <cols>
    <col min="1" max="1" width="1.81640625" customWidth="1"/>
    <col min="2" max="2" width="15.54296875" bestFit="1" customWidth="1"/>
    <col min="3" max="3" width="6.26953125" customWidth="1"/>
    <col min="4" max="4" width="58.26953125" bestFit="1" customWidth="1"/>
    <col min="6" max="6" width="33" bestFit="1" customWidth="1"/>
    <col min="8" max="8" width="18" bestFit="1" customWidth="1"/>
    <col min="10" max="10" width="66.81640625" customWidth="1"/>
    <col min="12" max="12" width="17" bestFit="1" customWidth="1"/>
    <col min="14" max="14" width="42" customWidth="1"/>
    <col min="15" max="15" width="15.7265625" customWidth="1"/>
  </cols>
  <sheetData>
    <row r="2" spans="2:14" x14ac:dyDescent="0.35">
      <c r="B2" s="1" t="s">
        <v>1</v>
      </c>
      <c r="C2" s="1"/>
      <c r="D2" s="1"/>
    </row>
    <row r="4" spans="2:14" x14ac:dyDescent="0.35">
      <c r="B4" s="2" t="s">
        <v>2</v>
      </c>
      <c r="C4" s="1"/>
      <c r="D4" s="2" t="s">
        <v>143</v>
      </c>
      <c r="F4" s="2" t="s">
        <v>18</v>
      </c>
      <c r="H4" s="2" t="s">
        <v>23</v>
      </c>
      <c r="J4" s="2" t="s">
        <v>34</v>
      </c>
      <c r="L4" s="2" t="s">
        <v>77</v>
      </c>
      <c r="N4" s="2" t="s">
        <v>121</v>
      </c>
    </row>
    <row r="5" spans="2:14" x14ac:dyDescent="0.35">
      <c r="B5" s="3" t="s">
        <v>3</v>
      </c>
      <c r="C5" s="13"/>
      <c r="D5" s="3" t="s">
        <v>144</v>
      </c>
      <c r="F5" s="4" t="s">
        <v>19</v>
      </c>
      <c r="H5" s="4" t="s">
        <v>24</v>
      </c>
      <c r="J5" s="6" t="s">
        <v>35</v>
      </c>
      <c r="L5" s="6" t="s">
        <v>78</v>
      </c>
      <c r="N5" s="6" t="s">
        <v>122</v>
      </c>
    </row>
    <row r="6" spans="2:14" x14ac:dyDescent="0.35">
      <c r="B6" s="3" t="s">
        <v>4</v>
      </c>
      <c r="C6" s="13"/>
      <c r="D6" s="3" t="s">
        <v>145</v>
      </c>
      <c r="F6" s="4" t="s">
        <v>20</v>
      </c>
      <c r="H6" s="4" t="s">
        <v>25</v>
      </c>
      <c r="J6" s="6" t="s">
        <v>36</v>
      </c>
      <c r="L6" s="6" t="s">
        <v>79</v>
      </c>
      <c r="N6" s="6" t="s">
        <v>122</v>
      </c>
    </row>
    <row r="7" spans="2:14" x14ac:dyDescent="0.35">
      <c r="B7" s="3" t="s">
        <v>5</v>
      </c>
      <c r="C7" s="13"/>
      <c r="D7" s="3" t="s">
        <v>146</v>
      </c>
      <c r="F7" s="4" t="s">
        <v>21</v>
      </c>
      <c r="H7" s="4" t="s">
        <v>26</v>
      </c>
      <c r="J7" s="6" t="s">
        <v>37</v>
      </c>
      <c r="L7" s="6" t="s">
        <v>80</v>
      </c>
      <c r="N7" s="6" t="s">
        <v>123</v>
      </c>
    </row>
    <row r="8" spans="2:14" x14ac:dyDescent="0.35">
      <c r="B8" s="3"/>
      <c r="C8" s="13"/>
      <c r="D8" s="3"/>
      <c r="F8" s="4" t="s">
        <v>191</v>
      </c>
      <c r="J8" s="6"/>
      <c r="L8" s="6"/>
      <c r="N8" s="6"/>
    </row>
    <row r="9" spans="2:14" x14ac:dyDescent="0.35">
      <c r="B9" s="3" t="s">
        <v>6</v>
      </c>
      <c r="C9" s="13"/>
      <c r="D9" s="3" t="s">
        <v>147</v>
      </c>
      <c r="F9" s="4" t="s">
        <v>190</v>
      </c>
      <c r="J9" s="6" t="s">
        <v>38</v>
      </c>
      <c r="L9" s="6" t="s">
        <v>81</v>
      </c>
      <c r="N9" s="6" t="s">
        <v>122</v>
      </c>
    </row>
    <row r="10" spans="2:14" x14ac:dyDescent="0.35">
      <c r="B10" s="3" t="s">
        <v>7</v>
      </c>
      <c r="C10" s="13"/>
      <c r="D10" s="3" t="s">
        <v>148</v>
      </c>
      <c r="F10" s="4" t="s">
        <v>22</v>
      </c>
      <c r="J10" s="6" t="s">
        <v>39</v>
      </c>
      <c r="L10" s="6" t="s">
        <v>82</v>
      </c>
      <c r="N10" s="6" t="s">
        <v>122</v>
      </c>
    </row>
    <row r="11" spans="2:14" x14ac:dyDescent="0.35">
      <c r="B11" s="3" t="s">
        <v>8</v>
      </c>
      <c r="C11" s="13"/>
      <c r="D11" s="3" t="s">
        <v>149</v>
      </c>
      <c r="J11" s="6" t="s">
        <v>40</v>
      </c>
      <c r="L11" s="6" t="s">
        <v>83</v>
      </c>
      <c r="N11" s="6" t="s">
        <v>122</v>
      </c>
    </row>
    <row r="12" spans="2:14" x14ac:dyDescent="0.35">
      <c r="B12" s="3" t="s">
        <v>9</v>
      </c>
      <c r="C12" s="13"/>
      <c r="D12" s="3" t="s">
        <v>150</v>
      </c>
      <c r="J12" s="6" t="s">
        <v>41</v>
      </c>
      <c r="L12" s="6" t="s">
        <v>84</v>
      </c>
      <c r="N12" s="6" t="s">
        <v>122</v>
      </c>
    </row>
    <row r="13" spans="2:14" x14ac:dyDescent="0.35">
      <c r="B13" s="3" t="s">
        <v>10</v>
      </c>
      <c r="C13" s="13"/>
      <c r="D13" s="3" t="s">
        <v>151</v>
      </c>
      <c r="J13" s="6" t="s">
        <v>42</v>
      </c>
      <c r="L13" s="6" t="s">
        <v>85</v>
      </c>
      <c r="N13" s="6" t="s">
        <v>124</v>
      </c>
    </row>
    <row r="14" spans="2:14" x14ac:dyDescent="0.35">
      <c r="B14" s="3" t="s">
        <v>11</v>
      </c>
      <c r="C14" s="13"/>
      <c r="D14" s="3" t="s">
        <v>152</v>
      </c>
      <c r="J14" s="6" t="s">
        <v>43</v>
      </c>
      <c r="L14" s="6" t="s">
        <v>86</v>
      </c>
      <c r="N14" s="6" t="s">
        <v>125</v>
      </c>
    </row>
    <row r="15" spans="2:14" x14ac:dyDescent="0.35">
      <c r="B15" s="3" t="s">
        <v>12</v>
      </c>
      <c r="C15" s="13"/>
      <c r="D15" s="3" t="s">
        <v>153</v>
      </c>
      <c r="J15" s="6" t="s">
        <v>44</v>
      </c>
      <c r="L15" s="6" t="s">
        <v>87</v>
      </c>
      <c r="N15" s="6" t="s">
        <v>126</v>
      </c>
    </row>
    <row r="16" spans="2:14" x14ac:dyDescent="0.35">
      <c r="B16" s="3" t="s">
        <v>13</v>
      </c>
      <c r="C16" s="13"/>
      <c r="D16" s="3" t="s">
        <v>154</v>
      </c>
      <c r="J16" s="6" t="s">
        <v>45</v>
      </c>
      <c r="L16" s="6" t="s">
        <v>88</v>
      </c>
      <c r="N16" s="6" t="s">
        <v>125</v>
      </c>
    </row>
    <row r="17" spans="2:14" x14ac:dyDescent="0.35">
      <c r="B17" s="3" t="s">
        <v>14</v>
      </c>
      <c r="C17" s="13"/>
      <c r="D17" s="3" t="s">
        <v>155</v>
      </c>
      <c r="J17" s="6" t="s">
        <v>46</v>
      </c>
      <c r="L17" s="6" t="s">
        <v>89</v>
      </c>
      <c r="N17" s="6" t="s">
        <v>125</v>
      </c>
    </row>
    <row r="18" spans="2:14" x14ac:dyDescent="0.35">
      <c r="D18" s="4" t="s">
        <v>156</v>
      </c>
      <c r="J18" s="6" t="s">
        <v>47</v>
      </c>
      <c r="L18" s="6" t="s">
        <v>90</v>
      </c>
      <c r="N18" s="6" t="s">
        <v>125</v>
      </c>
    </row>
    <row r="19" spans="2:14" x14ac:dyDescent="0.35">
      <c r="D19" s="4" t="s">
        <v>157</v>
      </c>
      <c r="J19" s="6" t="s">
        <v>48</v>
      </c>
      <c r="L19" s="6" t="s">
        <v>91</v>
      </c>
      <c r="N19" s="6" t="s">
        <v>122</v>
      </c>
    </row>
    <row r="20" spans="2:14" x14ac:dyDescent="0.35">
      <c r="D20" s="4" t="s">
        <v>158</v>
      </c>
      <c r="J20" s="6" t="s">
        <v>49</v>
      </c>
      <c r="L20" s="6" t="s">
        <v>92</v>
      </c>
      <c r="N20" s="6" t="s">
        <v>127</v>
      </c>
    </row>
    <row r="21" spans="2:14" x14ac:dyDescent="0.35">
      <c r="D21" s="4" t="s">
        <v>159</v>
      </c>
      <c r="J21" s="6" t="s">
        <v>50</v>
      </c>
      <c r="L21" s="6" t="s">
        <v>93</v>
      </c>
      <c r="N21" s="6" t="s">
        <v>128</v>
      </c>
    </row>
    <row r="22" spans="2:14" x14ac:dyDescent="0.35">
      <c r="D22" s="4" t="s">
        <v>160</v>
      </c>
      <c r="J22" s="6" t="s">
        <v>51</v>
      </c>
      <c r="L22" s="6" t="s">
        <v>94</v>
      </c>
      <c r="N22" s="6" t="s">
        <v>129</v>
      </c>
    </row>
    <row r="23" spans="2:14" x14ac:dyDescent="0.35">
      <c r="D23" s="4" t="s">
        <v>161</v>
      </c>
      <c r="J23" s="6" t="s">
        <v>52</v>
      </c>
      <c r="L23" s="6" t="s">
        <v>95</v>
      </c>
      <c r="N23" s="6" t="s">
        <v>130</v>
      </c>
    </row>
    <row r="24" spans="2:14" x14ac:dyDescent="0.35">
      <c r="D24" s="4" t="s">
        <v>162</v>
      </c>
      <c r="J24" s="6" t="s">
        <v>53</v>
      </c>
      <c r="L24" s="6" t="s">
        <v>96</v>
      </c>
      <c r="N24" s="6" t="s">
        <v>131</v>
      </c>
    </row>
    <row r="25" spans="2:14" x14ac:dyDescent="0.35">
      <c r="D25" s="4" t="s">
        <v>163</v>
      </c>
      <c r="J25" s="6" t="s">
        <v>54</v>
      </c>
      <c r="L25" s="6" t="s">
        <v>97</v>
      </c>
      <c r="N25" s="6" t="s">
        <v>132</v>
      </c>
    </row>
    <row r="26" spans="2:14" x14ac:dyDescent="0.35">
      <c r="D26" s="4" t="s">
        <v>164</v>
      </c>
      <c r="J26" s="6" t="s">
        <v>55</v>
      </c>
      <c r="L26" s="6" t="s">
        <v>98</v>
      </c>
      <c r="N26" s="6" t="s">
        <v>127</v>
      </c>
    </row>
    <row r="27" spans="2:14" x14ac:dyDescent="0.35">
      <c r="D27" s="4" t="s">
        <v>165</v>
      </c>
      <c r="J27" s="6" t="s">
        <v>56</v>
      </c>
      <c r="L27" s="6" t="s">
        <v>99</v>
      </c>
      <c r="N27" s="6" t="s">
        <v>122</v>
      </c>
    </row>
    <row r="28" spans="2:14" x14ac:dyDescent="0.35">
      <c r="D28" s="4" t="s">
        <v>166</v>
      </c>
      <c r="J28" s="6" t="s">
        <v>57</v>
      </c>
      <c r="L28" s="6" t="s">
        <v>100</v>
      </c>
      <c r="N28" s="6" t="s">
        <v>133</v>
      </c>
    </row>
    <row r="29" spans="2:14" x14ac:dyDescent="0.35">
      <c r="D29" s="4" t="s">
        <v>167</v>
      </c>
      <c r="J29" s="6" t="s">
        <v>58</v>
      </c>
      <c r="L29" s="6" t="s">
        <v>101</v>
      </c>
      <c r="N29" s="6" t="s">
        <v>132</v>
      </c>
    </row>
    <row r="30" spans="2:14" x14ac:dyDescent="0.35">
      <c r="D30" s="4" t="s">
        <v>168</v>
      </c>
      <c r="J30" s="6" t="s">
        <v>59</v>
      </c>
      <c r="L30" s="6" t="s">
        <v>102</v>
      </c>
      <c r="N30" s="6" t="s">
        <v>122</v>
      </c>
    </row>
    <row r="31" spans="2:14" x14ac:dyDescent="0.35">
      <c r="D31" s="4" t="s">
        <v>169</v>
      </c>
      <c r="J31" s="6" t="s">
        <v>60</v>
      </c>
      <c r="L31" s="6" t="s">
        <v>103</v>
      </c>
      <c r="N31" s="6" t="s">
        <v>134</v>
      </c>
    </row>
    <row r="32" spans="2:14" x14ac:dyDescent="0.35">
      <c r="D32" s="4" t="s">
        <v>170</v>
      </c>
      <c r="J32" s="6" t="s">
        <v>61</v>
      </c>
      <c r="L32" s="6" t="s">
        <v>104</v>
      </c>
      <c r="N32" s="6" t="s">
        <v>127</v>
      </c>
    </row>
    <row r="33" spans="4:14" x14ac:dyDescent="0.35">
      <c r="D33" s="4" t="s">
        <v>171</v>
      </c>
      <c r="J33" s="6" t="s">
        <v>62</v>
      </c>
      <c r="L33" s="6" t="s">
        <v>105</v>
      </c>
      <c r="N33" s="6" t="s">
        <v>122</v>
      </c>
    </row>
    <row r="34" spans="4:14" x14ac:dyDescent="0.35">
      <c r="D34" s="4" t="s">
        <v>172</v>
      </c>
      <c r="J34" s="6" t="s">
        <v>63</v>
      </c>
      <c r="L34" s="6" t="s">
        <v>106</v>
      </c>
      <c r="N34" s="6" t="s">
        <v>132</v>
      </c>
    </row>
    <row r="35" spans="4:14" x14ac:dyDescent="0.35">
      <c r="D35" s="4" t="s">
        <v>173</v>
      </c>
      <c r="J35" s="6" t="s">
        <v>64</v>
      </c>
      <c r="L35" s="6" t="s">
        <v>107</v>
      </c>
      <c r="N35" s="6" t="s">
        <v>122</v>
      </c>
    </row>
    <row r="36" spans="4:14" x14ac:dyDescent="0.35">
      <c r="D36" s="4" t="s">
        <v>174</v>
      </c>
      <c r="J36" s="6" t="s">
        <v>65</v>
      </c>
      <c r="L36" s="6" t="s">
        <v>108</v>
      </c>
      <c r="N36" s="6" t="s">
        <v>122</v>
      </c>
    </row>
    <row r="37" spans="4:14" x14ac:dyDescent="0.35">
      <c r="D37" s="4" t="s">
        <v>175</v>
      </c>
      <c r="J37" s="6" t="s">
        <v>66</v>
      </c>
      <c r="L37" s="6" t="s">
        <v>109</v>
      </c>
      <c r="N37" s="6" t="s">
        <v>127</v>
      </c>
    </row>
    <row r="38" spans="4:14" x14ac:dyDescent="0.35">
      <c r="D38" s="4" t="s">
        <v>176</v>
      </c>
      <c r="J38" s="6" t="s">
        <v>67</v>
      </c>
      <c r="L38" s="6" t="s">
        <v>110</v>
      </c>
      <c r="N38" s="6" t="s">
        <v>122</v>
      </c>
    </row>
    <row r="39" spans="4:14" x14ac:dyDescent="0.35">
      <c r="D39" s="4" t="s">
        <v>177</v>
      </c>
      <c r="J39" s="6" t="s">
        <v>68</v>
      </c>
      <c r="L39" s="6" t="s">
        <v>111</v>
      </c>
      <c r="N39" s="6" t="s">
        <v>122</v>
      </c>
    </row>
    <row r="40" spans="4:14" x14ac:dyDescent="0.35">
      <c r="D40" s="4" t="s">
        <v>178</v>
      </c>
      <c r="J40" s="6" t="s">
        <v>69</v>
      </c>
      <c r="L40" s="6" t="s">
        <v>112</v>
      </c>
      <c r="N40" s="6" t="s">
        <v>122</v>
      </c>
    </row>
    <row r="41" spans="4:14" x14ac:dyDescent="0.35">
      <c r="D41" s="4" t="s">
        <v>179</v>
      </c>
      <c r="J41" s="6" t="s">
        <v>70</v>
      </c>
      <c r="L41" s="6" t="s">
        <v>113</v>
      </c>
      <c r="N41" s="6" t="s">
        <v>122</v>
      </c>
    </row>
    <row r="42" spans="4:14" x14ac:dyDescent="0.35">
      <c r="D42" s="4" t="s">
        <v>180</v>
      </c>
      <c r="J42" s="6" t="s">
        <v>71</v>
      </c>
      <c r="L42" s="6" t="s">
        <v>114</v>
      </c>
      <c r="N42" s="6" t="s">
        <v>122</v>
      </c>
    </row>
    <row r="43" spans="4:14" x14ac:dyDescent="0.35">
      <c r="D43" s="4" t="s">
        <v>181</v>
      </c>
      <c r="J43" s="6" t="s">
        <v>72</v>
      </c>
      <c r="L43" s="6" t="s">
        <v>115</v>
      </c>
      <c r="N43" s="6" t="s">
        <v>133</v>
      </c>
    </row>
    <row r="44" spans="4:14" x14ac:dyDescent="0.35">
      <c r="D44" s="4" t="s">
        <v>182</v>
      </c>
      <c r="J44" s="6" t="s">
        <v>73</v>
      </c>
      <c r="L44" s="6" t="s">
        <v>116</v>
      </c>
      <c r="N44" s="6" t="s">
        <v>122</v>
      </c>
    </row>
    <row r="45" spans="4:14" x14ac:dyDescent="0.35">
      <c r="D45" s="4" t="s">
        <v>183</v>
      </c>
      <c r="J45" s="6" t="s">
        <v>74</v>
      </c>
      <c r="L45" s="6" t="s">
        <v>117</v>
      </c>
      <c r="N45" s="6" t="s">
        <v>132</v>
      </c>
    </row>
    <row r="46" spans="4:14" x14ac:dyDescent="0.35">
      <c r="D46" s="4" t="s">
        <v>184</v>
      </c>
      <c r="J46" s="6" t="s">
        <v>75</v>
      </c>
      <c r="L46" s="6" t="s">
        <v>118</v>
      </c>
      <c r="N46" s="6" t="s">
        <v>122</v>
      </c>
    </row>
    <row r="47" spans="4:14" x14ac:dyDescent="0.35">
      <c r="D47" s="4" t="s">
        <v>185</v>
      </c>
      <c r="J47" s="6" t="s">
        <v>74</v>
      </c>
      <c r="L47" s="6" t="s">
        <v>119</v>
      </c>
      <c r="N47" s="6" t="s">
        <v>132</v>
      </c>
    </row>
    <row r="48" spans="4:14" x14ac:dyDescent="0.35">
      <c r="D48" s="4" t="s">
        <v>186</v>
      </c>
      <c r="J48" s="6" t="s">
        <v>76</v>
      </c>
      <c r="L48" s="6" t="s">
        <v>120</v>
      </c>
      <c r="N48" s="6" t="s">
        <v>122</v>
      </c>
    </row>
    <row r="49" spans="4:4" x14ac:dyDescent="0.35">
      <c r="D49" s="4" t="s">
        <v>187</v>
      </c>
    </row>
    <row r="50" spans="4:4" x14ac:dyDescent="0.35">
      <c r="D50" s="4" t="s">
        <v>188</v>
      </c>
    </row>
  </sheetData>
  <autoFilter ref="B4:N50" xr:uid="{D8BDDB5A-2258-4E0A-A5C0-0C84EBD97F72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Pelaporan Data (2)</vt:lpstr>
      <vt:lpstr>Pelaporan Data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Rickent Putra Haki</dc:creator>
  <cp:lastModifiedBy>MyBook PRO K7</cp:lastModifiedBy>
  <dcterms:created xsi:type="dcterms:W3CDTF">2023-04-28T07:01:46Z</dcterms:created>
  <dcterms:modified xsi:type="dcterms:W3CDTF">2023-05-17T02:23:56Z</dcterms:modified>
</cp:coreProperties>
</file>