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</sheets>
  <definedNames>
    <definedName name="_SELECT_simgos_katalog_kode_grp_sakti_qty_akhir_simgos_jumlah_ak_202302211633" localSheetId="0">Sheet1!$A$1:$R$356</definedName>
  </definedNames>
  <calcPr calcId="124519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2"/>
  <c r="C358"/>
  <c r="C357"/>
  <c r="B357"/>
</calcChain>
</file>

<file path=xl/connections.xml><?xml version="1.0" encoding="utf-8"?>
<connections xmlns="http://schemas.openxmlformats.org/spreadsheetml/2006/main">
  <connection id="1" name="_SELECT_simgos_katalog_kode_grp_sakti_qty_akhir_simgos_jumlah_ak_202302211633" type="6" refreshedVersion="3" background="1" saveData="1">
    <textPr codePage="437" sourceFile="C:\data\simrsgos\simgos2_add\TempDataExtrac\_SELECT_simgos_katalog_kode_grp_sakti_qty_akhir_simgos_jumlah_ak_202302211633.csv" tab="0" comma="1">
      <textFields count="17">
        <textField type="text"/>
        <textField/>
        <textField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<sst xmlns="http://schemas.openxmlformats.org/spreadsheetml/2006/main" count="2463" uniqueCount="1073">
  <si>
    <t>katalog_kode_grp</t>
  </si>
  <si>
    <t>qty_akhir</t>
  </si>
  <si>
    <t>jumlah_akhir</t>
  </si>
  <si>
    <t>katalog_kode</t>
  </si>
  <si>
    <t>sakti_nama</t>
  </si>
  <si>
    <t>sakti_nama_klp</t>
  </si>
  <si>
    <t>sakti_kode</t>
  </si>
  <si>
    <t>qty_awal</t>
  </si>
  <si>
    <t>qty_masuk</t>
  </si>
  <si>
    <t>qty_keluar</t>
  </si>
  <si>
    <t>jumlah_awal</t>
  </si>
  <si>
    <t>jumlah_masuk</t>
  </si>
  <si>
    <t>jumlah_keluar</t>
  </si>
  <si>
    <t>10A191</t>
  </si>
  <si>
    <t>10A096</t>
  </si>
  <si>
    <t>ATORVASTATIN TAB 20MG</t>
  </si>
  <si>
    <t>OBAT PADAT (PERSEDIAAN LAINNYA)</t>
  </si>
  <si>
    <t>000572</t>
  </si>
  <si>
    <t>10A310</t>
  </si>
  <si>
    <t>ATORVASTATIN TABLET 20MG</t>
  </si>
  <si>
    <t>OBAT LAINNYA (PERSEDIAAN LAINNYA)</t>
  </si>
  <si>
    <t>000469</t>
  </si>
  <si>
    <t>10A257</t>
  </si>
  <si>
    <t>ATORVASTATIN TABLET 20 MG</t>
  </si>
  <si>
    <t>000455</t>
  </si>
  <si>
    <t>10A201</t>
  </si>
  <si>
    <t>ARIPIPRAZOLE TAB DISPERSIBEL 10MG</t>
  </si>
  <si>
    <t>000571</t>
  </si>
  <si>
    <t>10A260</t>
  </si>
  <si>
    <t>ALLOPURINOL TAB 100 MG</t>
  </si>
  <si>
    <t>000452</t>
  </si>
  <si>
    <t>10A275</t>
  </si>
  <si>
    <t>ALPRAZOLAM TABLET 0,5 MG</t>
  </si>
  <si>
    <t>000449</t>
  </si>
  <si>
    <t>10A282</t>
  </si>
  <si>
    <t>10A020</t>
  </si>
  <si>
    <t>ACYCLOVIR TAB 400 MG</t>
  </si>
  <si>
    <t>000559</t>
  </si>
  <si>
    <t>ACYCLOVIR 400 MG TAB</t>
  </si>
  <si>
    <t>000446</t>
  </si>
  <si>
    <t>10A306</t>
  </si>
  <si>
    <t>ALPRAZOLAM TAB 1MG</t>
  </si>
  <si>
    <t>001260</t>
  </si>
  <si>
    <t>10A311</t>
  </si>
  <si>
    <t>ARIPIPRAZOLE TAB DISPERSIBEL 15MG</t>
  </si>
  <si>
    <t>001167</t>
  </si>
  <si>
    <t>10B132</t>
  </si>
  <si>
    <t>BISOPROLOL TABLET 5 MG</t>
  </si>
  <si>
    <t>001068</t>
  </si>
  <si>
    <t>10B129</t>
  </si>
  <si>
    <t>BISOPROLOL 5 MG TAB</t>
  </si>
  <si>
    <t>000435</t>
  </si>
  <si>
    <t>10B135</t>
  </si>
  <si>
    <t>10B128</t>
  </si>
  <si>
    <t>BETAHISTIN TABLET 6 MG</t>
  </si>
  <si>
    <t>000532</t>
  </si>
  <si>
    <t>10B141</t>
  </si>
  <si>
    <t>BISOPROLOL TABLET 2,5MG</t>
  </si>
  <si>
    <t>001166</t>
  </si>
  <si>
    <t>10C001.01</t>
  </si>
  <si>
    <t>10C001.099</t>
  </si>
  <si>
    <t>CEFADROXIL KAP 500 MG</t>
  </si>
  <si>
    <t>000490</t>
  </si>
  <si>
    <t>10C001.02</t>
  </si>
  <si>
    <t>10C001.064</t>
  </si>
  <si>
    <t>CLOPIDOGREL TAB 75 MG</t>
  </si>
  <si>
    <t>000124</t>
  </si>
  <si>
    <t>CLOPIDOGREL TAB 75MG</t>
  </si>
  <si>
    <t>001040</t>
  </si>
  <si>
    <t>10C001.026</t>
  </si>
  <si>
    <t>CEFSPAN 200 MG</t>
  </si>
  <si>
    <t>000433</t>
  </si>
  <si>
    <t>10C001.187</t>
  </si>
  <si>
    <t>CONCOR TAB 1,25 MG</t>
  </si>
  <si>
    <t>003549</t>
  </si>
  <si>
    <t>10C001.8</t>
  </si>
  <si>
    <t>CEFIXIME SYR 100 MG 5 ML, 30 ML</t>
  </si>
  <si>
    <t>OBAT CAIR (PERSEDIAAN LAINNYA)</t>
  </si>
  <si>
    <t>000528</t>
  </si>
  <si>
    <t>10C018</t>
  </si>
  <si>
    <t>CAPTOPRIL TAB 12.5  MG</t>
  </si>
  <si>
    <t>000418</t>
  </si>
  <si>
    <t>10K092</t>
  </si>
  <si>
    <t>CAPTOPRIL TAB 12,5 MG</t>
  </si>
  <si>
    <t>000095</t>
  </si>
  <si>
    <t>10C103</t>
  </si>
  <si>
    <t>CODIPRONT   CAPSUL</t>
  </si>
  <si>
    <t>000409</t>
  </si>
  <si>
    <t>10C125</t>
  </si>
  <si>
    <t>OSELTAMIVIR TABLET (COVID-19)</t>
  </si>
  <si>
    <t>003543</t>
  </si>
  <si>
    <t>10D071</t>
  </si>
  <si>
    <t>DILTIAZEM TAB 30 MG</t>
  </si>
  <si>
    <t>000041</t>
  </si>
  <si>
    <t>10D192</t>
  </si>
  <si>
    <t>DONEPEZIL HCL TAB 5MG</t>
  </si>
  <si>
    <t>003542</t>
  </si>
  <si>
    <t>10D193</t>
  </si>
  <si>
    <t>DIAZEPAM TABLET 2 MG</t>
  </si>
  <si>
    <t>000991</t>
  </si>
  <si>
    <t>10D199.1</t>
  </si>
  <si>
    <t>DOMPERIDON SUSP 5 MG 5 ML, 60 ML</t>
  </si>
  <si>
    <t>000527</t>
  </si>
  <si>
    <t>10F043</t>
  </si>
  <si>
    <t>FLUIMUCIL CAPSUL 200 mg</t>
  </si>
  <si>
    <t>000557</t>
  </si>
  <si>
    <t>10F059</t>
  </si>
  <si>
    <t>FUROSEMID TAB 40 MG</t>
  </si>
  <si>
    <t>000374</t>
  </si>
  <si>
    <t>10H070</t>
  </si>
  <si>
    <t>HERBESSER CD KAPSUL SR 200 MG</t>
  </si>
  <si>
    <t>000347</t>
  </si>
  <si>
    <t>10K109</t>
  </si>
  <si>
    <t>KALOBA CAPSUL</t>
  </si>
  <si>
    <t>003513</t>
  </si>
  <si>
    <t>10K133</t>
  </si>
  <si>
    <t>10K103</t>
  </si>
  <si>
    <t>KETOKONAZOLE TABLET 200 MG</t>
  </si>
  <si>
    <t>000316</t>
  </si>
  <si>
    <t>KETOKONAZOLE 200 MG TABLET</t>
  </si>
  <si>
    <t>000664</t>
  </si>
  <si>
    <t>10L168</t>
  </si>
  <si>
    <t>LEVOFLOXACIN TAB 500 MG</t>
  </si>
  <si>
    <t>004246</t>
  </si>
  <si>
    <t>LEVOFLOXACIN  TAB 500 MG</t>
  </si>
  <si>
    <t>000309</t>
  </si>
  <si>
    <t>10L181</t>
  </si>
  <si>
    <t>LISINOPRIL 5 MG TAB</t>
  </si>
  <si>
    <t>000305</t>
  </si>
  <si>
    <t>10M041.2</t>
  </si>
  <si>
    <t>MELOXICAM TAB 7.5 MG</t>
  </si>
  <si>
    <t>000302</t>
  </si>
  <si>
    <t>10N074</t>
  </si>
  <si>
    <t>NIFEDIPIN TABLET SALUT FILM 10 MG</t>
  </si>
  <si>
    <t>000277</t>
  </si>
  <si>
    <t>10N166</t>
  </si>
  <si>
    <t>NIFEDIPINE TABLET 10 MG</t>
  </si>
  <si>
    <t>000547</t>
  </si>
  <si>
    <t>10O079</t>
  </si>
  <si>
    <t>OXYNORM 20MG/2ML INJ</t>
  </si>
  <si>
    <t>003307</t>
  </si>
  <si>
    <t>10P050</t>
  </si>
  <si>
    <t>PIROXICAM KAPSUL 10 MG</t>
  </si>
  <si>
    <t>000071</t>
  </si>
  <si>
    <t>10P216</t>
  </si>
  <si>
    <t>PHENYTOIN SODIUM 100 MG KAPSUL</t>
  </si>
  <si>
    <t>000113</t>
  </si>
  <si>
    <t>PHENITOIN KAPSUL 100 MG</t>
  </si>
  <si>
    <t>000254</t>
  </si>
  <si>
    <t>10P227</t>
  </si>
  <si>
    <t>10P115</t>
  </si>
  <si>
    <t>PROPANOLOL TAB 10 MG</t>
  </si>
  <si>
    <t>000047</t>
  </si>
  <si>
    <t>PROPRANOLOL TAB 10 MG TAB</t>
  </si>
  <si>
    <t>000236</t>
  </si>
  <si>
    <t>10T119</t>
  </si>
  <si>
    <t>TIZACOM TABLET 2 MG</t>
  </si>
  <si>
    <t>000563</t>
  </si>
  <si>
    <t>10T149</t>
  </si>
  <si>
    <t>TOPAMAX TABLET 25MG</t>
  </si>
  <si>
    <t>003466</t>
  </si>
  <si>
    <t>10T154</t>
  </si>
  <si>
    <t>TRIAMCINOLON 4 MG TABLET</t>
  </si>
  <si>
    <t>003465</t>
  </si>
  <si>
    <t>10T167</t>
  </si>
  <si>
    <t>TRIZEDON OD 80MG TABLET</t>
  </si>
  <si>
    <t>000554</t>
  </si>
  <si>
    <t>10V133</t>
  </si>
  <si>
    <t>VITAMIN B6 10MG TABLET</t>
  </si>
  <si>
    <t>000590</t>
  </si>
  <si>
    <t>12C038</t>
  </si>
  <si>
    <t>CYCLOPHOSPAMIDE INJ 1000MG</t>
  </si>
  <si>
    <t>OBAT SERBUK/TEPUNG (PERSEDIAAN LAINNYA)</t>
  </si>
  <si>
    <t>000035</t>
  </si>
  <si>
    <t>12D056</t>
  </si>
  <si>
    <t>DEFERIPRON ORAL SOL 250ML</t>
  </si>
  <si>
    <t>000697</t>
  </si>
  <si>
    <t>12F010</t>
  </si>
  <si>
    <t>FLUDARA ORAL TAB 10 MG</t>
  </si>
  <si>
    <t>000165</t>
  </si>
  <si>
    <t>12F016</t>
  </si>
  <si>
    <t>FRAIZERON INJ 150MG</t>
  </si>
  <si>
    <t>000085</t>
  </si>
  <si>
    <t>12V017</t>
  </si>
  <si>
    <t>VOTRIENT TAB 200MG</t>
  </si>
  <si>
    <t>000515</t>
  </si>
  <si>
    <t>12V018</t>
  </si>
  <si>
    <t>VOTRIENT TAB 400MG</t>
  </si>
  <si>
    <t>000516</t>
  </si>
  <si>
    <t>14B003.2</t>
  </si>
  <si>
    <t>BEDAQUILINE 20MG</t>
  </si>
  <si>
    <t>000587</t>
  </si>
  <si>
    <t>14P003</t>
  </si>
  <si>
    <t>PROCLEIX ULTRIO ELITE ASSAY KIT (5K)</t>
  </si>
  <si>
    <t>000170</t>
  </si>
  <si>
    <t>NAT (PROCLEIX ELITEASSAY KIT)</t>
  </si>
  <si>
    <t>004316</t>
  </si>
  <si>
    <t>14P016</t>
  </si>
  <si>
    <t>PROCLEIX ULTRIO ELITE ASSAY KIT (1K)</t>
  </si>
  <si>
    <t>000727</t>
  </si>
  <si>
    <t>157001</t>
  </si>
  <si>
    <t>7ML ER BOND RTU PRIMARY PA0151</t>
  </si>
  <si>
    <t>000293</t>
  </si>
  <si>
    <t>15A100</t>
  </si>
  <si>
    <t>AST-GN93 (44985)</t>
  </si>
  <si>
    <t>002209</t>
  </si>
  <si>
    <t>15B057</t>
  </si>
  <si>
    <t>BD BACTEC PLUS AEROBIC F CULTURE VIALS (PLASTIC) -</t>
  </si>
  <si>
    <t>000884</t>
  </si>
  <si>
    <t>15D005</t>
  </si>
  <si>
    <t>DENGUE BLOOD ( IGM GG CARD)</t>
  </si>
  <si>
    <t>002443</t>
  </si>
  <si>
    <t>15F023</t>
  </si>
  <si>
    <t>FREND RAPID SYSTEM COV-19 IGG/IGM</t>
  </si>
  <si>
    <t>002430</t>
  </si>
  <si>
    <t>15I041</t>
  </si>
  <si>
    <t>I-ISE CLEANING SOLUTION SYS CLEAN 5X100ML 11298500</t>
  </si>
  <si>
    <t>002404</t>
  </si>
  <si>
    <t>15K149</t>
  </si>
  <si>
    <t>K-CHLORIDE ELECTRODE 3246353001</t>
  </si>
  <si>
    <t>002325</t>
  </si>
  <si>
    <t>15M076</t>
  </si>
  <si>
    <t>METHYLENE BLUE CRYSTAL (1.15943.0100)</t>
  </si>
  <si>
    <t>000681</t>
  </si>
  <si>
    <t>15P112</t>
  </si>
  <si>
    <t>PCO2 MEMBRANE CAP KIT, 3/BOX 25048</t>
  </si>
  <si>
    <t>000018</t>
  </si>
  <si>
    <t>15V017</t>
  </si>
  <si>
    <t>VACUTAINER EDTA K3 3 ML</t>
  </si>
  <si>
    <t>002256</t>
  </si>
  <si>
    <t>16C010</t>
  </si>
  <si>
    <t>COMPOSITE A3 (Z250-1370)</t>
  </si>
  <si>
    <t>002139</t>
  </si>
  <si>
    <t>16F007</t>
  </si>
  <si>
    <t>FUJI IX</t>
  </si>
  <si>
    <t>002126</t>
  </si>
  <si>
    <t>16K008.6</t>
  </si>
  <si>
    <t>K.FILE  L 21 NO.80</t>
  </si>
  <si>
    <t>003346</t>
  </si>
  <si>
    <t>16K011</t>
  </si>
  <si>
    <t>K.FILE L 25 NO.25</t>
  </si>
  <si>
    <t>003819</t>
  </si>
  <si>
    <t>16K023</t>
  </si>
  <si>
    <t>K.FILE L 21 NO. 8</t>
  </si>
  <si>
    <t>003800</t>
  </si>
  <si>
    <t>16K025</t>
  </si>
  <si>
    <t>K.FILE L 21 NO.15</t>
  </si>
  <si>
    <t>003874</t>
  </si>
  <si>
    <t>18A017.01</t>
  </si>
  <si>
    <t>ARTISAN APHAKIA P - P</t>
  </si>
  <si>
    <t>004200</t>
  </si>
  <si>
    <t>18A018</t>
  </si>
  <si>
    <t>ARCAD GAZ 30ML (C3F8)</t>
  </si>
  <si>
    <t>002233</t>
  </si>
  <si>
    <t>18I004</t>
  </si>
  <si>
    <t>ILM BLUE</t>
  </si>
  <si>
    <t>001746</t>
  </si>
  <si>
    <t>18M015</t>
  </si>
  <si>
    <t>MICROCRYL 6125 AS  P 0 S/D 30 + VISCOJET ECO 2.7</t>
  </si>
  <si>
    <t>001428</t>
  </si>
  <si>
    <t>18R092</t>
  </si>
  <si>
    <t>REVOLUTION DSP 23GA CVD SCS</t>
  </si>
  <si>
    <t>002227</t>
  </si>
  <si>
    <t>20I017.11</t>
  </si>
  <si>
    <t>IMBOOST FORCE SYR 60 ML</t>
  </si>
  <si>
    <t>000586</t>
  </si>
  <si>
    <t>20V022</t>
  </si>
  <si>
    <t>VALPROAT SYR 250MG 5ML</t>
  </si>
  <si>
    <t>001145</t>
  </si>
  <si>
    <t>22C010</t>
  </si>
  <si>
    <t>22C017</t>
  </si>
  <si>
    <t>COROLENE 3/0 20S20C</t>
  </si>
  <si>
    <t>003181</t>
  </si>
  <si>
    <t>COROLENE 3/0 20S20A</t>
  </si>
  <si>
    <t>004196</t>
  </si>
  <si>
    <t>22C120</t>
  </si>
  <si>
    <t>SILK 1 HR 75CM ROUND BODIED</t>
  </si>
  <si>
    <t>000135</t>
  </si>
  <si>
    <t>22E017</t>
  </si>
  <si>
    <t>ETHIBOND 2 MX69G TAPERCUT</t>
  </si>
  <si>
    <t>ALAT/ OBAT KONTRASEPSI KELUARGA BERENCANA (PERSEDIAAN  LAINNYA)</t>
  </si>
  <si>
    <t>001029</t>
  </si>
  <si>
    <t>22E048</t>
  </si>
  <si>
    <t>ETHIBOND 4/0 X551</t>
  </si>
  <si>
    <t>003170</t>
  </si>
  <si>
    <t>22O004.1</t>
  </si>
  <si>
    <t>OPTILENE 5/0 2X HR 10 CV 75CM</t>
  </si>
  <si>
    <t>001106</t>
  </si>
  <si>
    <t>22O010.1</t>
  </si>
  <si>
    <t>OPTILENE 4/0 2XHR26 90CM</t>
  </si>
  <si>
    <t>000267</t>
  </si>
  <si>
    <t>22O016</t>
  </si>
  <si>
    <t>OPTILENE 7/0 2XDRC10 75CM</t>
  </si>
  <si>
    <t>003152</t>
  </si>
  <si>
    <t>22P001</t>
  </si>
  <si>
    <t>PDS II W 9237T RB/ TAPER POINT</t>
  </si>
  <si>
    <t>004090</t>
  </si>
  <si>
    <t>22P018</t>
  </si>
  <si>
    <t>PROLENE 3/0 W538 SB CURVED CUTTING</t>
  </si>
  <si>
    <t>003932</t>
  </si>
  <si>
    <t>22P036</t>
  </si>
  <si>
    <t>PROLENE 10/0 W2794 13 CM ROUND BODIED</t>
  </si>
  <si>
    <t>001003</t>
  </si>
  <si>
    <t>22P054</t>
  </si>
  <si>
    <t>PROLENE 7/0 W8702 RB / TP</t>
  </si>
  <si>
    <t>000996</t>
  </si>
  <si>
    <t>22P062.1</t>
  </si>
  <si>
    <t>PROLENE 2/0 8623H CUTTING</t>
  </si>
  <si>
    <t>000942</t>
  </si>
  <si>
    <t>22P081</t>
  </si>
  <si>
    <t>PROLENE 4/0 W8521</t>
  </si>
  <si>
    <t>000992</t>
  </si>
  <si>
    <t>22P154</t>
  </si>
  <si>
    <t>PROLENE 8 0 8741H</t>
  </si>
  <si>
    <t>002711</t>
  </si>
  <si>
    <t>22P162.1</t>
  </si>
  <si>
    <t>PREMICRON 3/0 2XHR26 G.90</t>
  </si>
  <si>
    <t>000484</t>
  </si>
  <si>
    <t>22P165</t>
  </si>
  <si>
    <t>CONCIERGE SBS 3.5   6 F GUIDING CATH</t>
  </si>
  <si>
    <t>000133</t>
  </si>
  <si>
    <t>22S002</t>
  </si>
  <si>
    <t>SURGICEL 5X7.5 W 1913</t>
  </si>
  <si>
    <t>004138</t>
  </si>
  <si>
    <t>22S059</t>
  </si>
  <si>
    <t>SAFIL 2/0 HS 26 70 CM REV CUTTING</t>
  </si>
  <si>
    <t>000960</t>
  </si>
  <si>
    <t>22S064</t>
  </si>
  <si>
    <t>SAFIL 4/0 DS 16 45 CM REV CUTTING</t>
  </si>
  <si>
    <t>000957</t>
  </si>
  <si>
    <t>22S066</t>
  </si>
  <si>
    <t>SAFIL 5/0 DS 16 45CM VIOLET</t>
  </si>
  <si>
    <t>003130</t>
  </si>
  <si>
    <t>22S070</t>
  </si>
  <si>
    <t>SURGIPRO II 7-0 75CM 2XCV1 TVP713X</t>
  </si>
  <si>
    <t>003126</t>
  </si>
  <si>
    <t>22S071</t>
  </si>
  <si>
    <t>SURGIPRO II 5-0 75CM 2XCV22 TVP710X</t>
  </si>
  <si>
    <t>003125</t>
  </si>
  <si>
    <t>22S076</t>
  </si>
  <si>
    <t>SURGICAL S.STEEL SUTURE NO.6  M654 G</t>
  </si>
  <si>
    <t>003120</t>
  </si>
  <si>
    <t>22S077</t>
  </si>
  <si>
    <t>SURGICAL S.STEEL SUTURE NO.5  M653 G</t>
  </si>
  <si>
    <t>000251</t>
  </si>
  <si>
    <t>22S094</t>
  </si>
  <si>
    <t>CHROMA CATHETER 2 WAY CH 16</t>
  </si>
  <si>
    <t>000131</t>
  </si>
  <si>
    <t>25F031</t>
  </si>
  <si>
    <t>FILM 28 X 35 CM (DVE) EP</t>
  </si>
  <si>
    <t>002479</t>
  </si>
  <si>
    <t>30C011</t>
  </si>
  <si>
    <t>CENDO FENICOL ZM 3.5 gr</t>
  </si>
  <si>
    <t>OBAT GEL/SALEP (PERSEDIAAN LAINNYA)</t>
  </si>
  <si>
    <t>000086</t>
  </si>
  <si>
    <t>40A057.1</t>
  </si>
  <si>
    <t>40A057</t>
  </si>
  <si>
    <t>AQUADEST 1000 ML STERIL</t>
  </si>
  <si>
    <t>000640</t>
  </si>
  <si>
    <t>40A115</t>
  </si>
  <si>
    <t>AQUADEST STERIL 1000 ML</t>
  </si>
  <si>
    <t>000682</t>
  </si>
  <si>
    <t>40A111</t>
  </si>
  <si>
    <t>40A128</t>
  </si>
  <si>
    <t>AMIKACIN INJ 250 MG/ML - 2 ML</t>
  </si>
  <si>
    <t>000595</t>
  </si>
  <si>
    <t>40A131</t>
  </si>
  <si>
    <t>AMINOPHYLLIN INJ</t>
  </si>
  <si>
    <t>001821</t>
  </si>
  <si>
    <t>40A040</t>
  </si>
  <si>
    <t>AMINOPHILIN INJ</t>
  </si>
  <si>
    <t>000504</t>
  </si>
  <si>
    <t>40A137</t>
  </si>
  <si>
    <t>40A129</t>
  </si>
  <si>
    <t>ATRACURIUM BESYLATE INJ 10MG/ML</t>
  </si>
  <si>
    <t>003302</t>
  </si>
  <si>
    <t>40B007</t>
  </si>
  <si>
    <t>BISOLVON  AMP 4 MG / 2 ML (INJ)</t>
  </si>
  <si>
    <t>000489</t>
  </si>
  <si>
    <t>40B014</t>
  </si>
  <si>
    <t>BENZATIN BENZIL PENICILLIN  VIAL 1,2 JUTA IU/ML 20 ML</t>
  </si>
  <si>
    <t>000027</t>
  </si>
  <si>
    <t>40C001</t>
  </si>
  <si>
    <t>CALCII GLUCONAS 10 ml</t>
  </si>
  <si>
    <t>000485</t>
  </si>
  <si>
    <t>40C037</t>
  </si>
  <si>
    <t>COMAFUSIN HEPAR 500 ml</t>
  </si>
  <si>
    <t>000599</t>
  </si>
  <si>
    <t>40C095</t>
  </si>
  <si>
    <t>40C123</t>
  </si>
  <si>
    <t>CEFOPERAZON INJ 1 G</t>
  </si>
  <si>
    <t>003294</t>
  </si>
  <si>
    <t>40C134</t>
  </si>
  <si>
    <t>CEFOPERAZONE INJ</t>
  </si>
  <si>
    <t>000744</t>
  </si>
  <si>
    <t>40C133</t>
  </si>
  <si>
    <t>CALCII GLUCONAS 10ML INJ</t>
  </si>
  <si>
    <t>000715</t>
  </si>
  <si>
    <t>40D027</t>
  </si>
  <si>
    <t>DEXTROSE   5 % INFUS 500 ml.</t>
  </si>
  <si>
    <t>000462</t>
  </si>
  <si>
    <t>40D104</t>
  </si>
  <si>
    <t>DEXTROSE 5% INFUS 500ML</t>
  </si>
  <si>
    <t>003284</t>
  </si>
  <si>
    <t>40D037</t>
  </si>
  <si>
    <t>DIBEKACINE INJ. 100 MG / 2 ML</t>
  </si>
  <si>
    <t>000033</t>
  </si>
  <si>
    <t>40D091</t>
  </si>
  <si>
    <t>40E023</t>
  </si>
  <si>
    <t>ECOSOL GLUCOSE 5% 500ML</t>
  </si>
  <si>
    <t>000445</t>
  </si>
  <si>
    <t>40D099</t>
  </si>
  <si>
    <t>40D108</t>
  </si>
  <si>
    <t>DOBUTAMINE HCL 250MG/5ML INJ</t>
  </si>
  <si>
    <t>000623</t>
  </si>
  <si>
    <t>DOBUTAMINE HCL INJ 50MG/ML 5ML</t>
  </si>
  <si>
    <t>003289</t>
  </si>
  <si>
    <t>40D100</t>
  </si>
  <si>
    <t>DOTAREM INJ 10ML</t>
  </si>
  <si>
    <t>001372</t>
  </si>
  <si>
    <t>000665</t>
  </si>
  <si>
    <t>40E029.1</t>
  </si>
  <si>
    <t>EPINEPHRIN INJ 0,1%</t>
  </si>
  <si>
    <t>000543</t>
  </si>
  <si>
    <t>40E036</t>
  </si>
  <si>
    <t>EZELIN 100IU/ML 3ML</t>
  </si>
  <si>
    <t>003283</t>
  </si>
  <si>
    <t>40H046</t>
  </si>
  <si>
    <t>HEPARIN SODIUM INJ</t>
  </si>
  <si>
    <t>001465</t>
  </si>
  <si>
    <t>40I094</t>
  </si>
  <si>
    <t>IOHEXOL 350MG/100ML</t>
  </si>
  <si>
    <t>003269</t>
  </si>
  <si>
    <t>40I098</t>
  </si>
  <si>
    <t>INFIMYCIN 0.5GR SERB INJ</t>
  </si>
  <si>
    <t>001687</t>
  </si>
  <si>
    <t>40K046.1</t>
  </si>
  <si>
    <t>KETAMINE HYDROCHLORIDE INJ 50MG/ML</t>
  </si>
  <si>
    <t>001064</t>
  </si>
  <si>
    <t>40M080</t>
  </si>
  <si>
    <t>40M065</t>
  </si>
  <si>
    <t>MEROPENEM 1 GR INJ</t>
  </si>
  <si>
    <t>000382</t>
  </si>
  <si>
    <t>MEROPENEM 1GR INJ</t>
  </si>
  <si>
    <t>001658</t>
  </si>
  <si>
    <t>40M101</t>
  </si>
  <si>
    <t>MEROPENEM 1 GR INJ INTERBAT</t>
  </si>
  <si>
    <t>000042</t>
  </si>
  <si>
    <t>40M092</t>
  </si>
  <si>
    <t>40M071</t>
  </si>
  <si>
    <t>METHYL ERGOMETRIN AMP 0,2 MG  1 ML</t>
  </si>
  <si>
    <t>000380</t>
  </si>
  <si>
    <t>METHYL ERGOMETRIN AMP 0.2MG, 1ML</t>
  </si>
  <si>
    <t>001157</t>
  </si>
  <si>
    <t>40M098</t>
  </si>
  <si>
    <t>40M015.1</t>
  </si>
  <si>
    <t>METOKLOPRAMID AMPUL 5 MG/ML 2 ML</t>
  </si>
  <si>
    <t>000169</t>
  </si>
  <si>
    <t>METOCLOPRAMIDE HCL INJ 5MG/ML</t>
  </si>
  <si>
    <t>000706</t>
  </si>
  <si>
    <t>40M096</t>
  </si>
  <si>
    <t>METOCLOPRAMIDE HCL 10MG/2ML INJ</t>
  </si>
  <si>
    <t>000628</t>
  </si>
  <si>
    <t>40N005</t>
  </si>
  <si>
    <t>40N076</t>
  </si>
  <si>
    <t>NACL 0.9% 500ML</t>
  </si>
  <si>
    <t>003242</t>
  </si>
  <si>
    <t>NACL 0,9% 500 ML</t>
  </si>
  <si>
    <t>000377</t>
  </si>
  <si>
    <t>40N065</t>
  </si>
  <si>
    <t>14N006.01</t>
  </si>
  <si>
    <t>NACL 0,9% 10ML (COVID-19)</t>
  </si>
  <si>
    <t>000475</t>
  </si>
  <si>
    <t>40N083</t>
  </si>
  <si>
    <t>NACL 0.9% 100ML</t>
  </si>
  <si>
    <t>000539</t>
  </si>
  <si>
    <t>40N074</t>
  </si>
  <si>
    <t>NACL 0.9%  1000  ML  ( OGB )</t>
  </si>
  <si>
    <t>000467</t>
  </si>
  <si>
    <t>NACL 0.9% 100 CC</t>
  </si>
  <si>
    <t>000367</t>
  </si>
  <si>
    <t>40N090</t>
  </si>
  <si>
    <t>NACL 0,9% 100ML TWIN PORT</t>
  </si>
  <si>
    <t>000707</t>
  </si>
  <si>
    <t>40N067</t>
  </si>
  <si>
    <t>NIKARDIPIN INJ 10 MG / 10 ML, 10 ML</t>
  </si>
  <si>
    <t>003247</t>
  </si>
  <si>
    <t>40N063</t>
  </si>
  <si>
    <t>NIKARDIPIN INJ 10 MG/ML</t>
  </si>
  <si>
    <t>000593</t>
  </si>
  <si>
    <t>40N086.1</t>
  </si>
  <si>
    <t>NICARDIPINE HCL 10MG/10ML INJ</t>
  </si>
  <si>
    <t>000626</t>
  </si>
  <si>
    <t>40N084</t>
  </si>
  <si>
    <t>NICARDIPINE INJ 10MG/ 10ML</t>
  </si>
  <si>
    <t>000596</t>
  </si>
  <si>
    <t>40N079</t>
  </si>
  <si>
    <t>40N088</t>
  </si>
  <si>
    <t>NOREPINEPHRINE 1MG/ML INJ</t>
  </si>
  <si>
    <t>003245</t>
  </si>
  <si>
    <t>40N071</t>
  </si>
  <si>
    <t>NOREPINEPHRINE INJ 1MG/ML</t>
  </si>
  <si>
    <t>001818</t>
  </si>
  <si>
    <t>NOREPINEFRIN INJ 1MG/ML</t>
  </si>
  <si>
    <t>001069</t>
  </si>
  <si>
    <t>40O044</t>
  </si>
  <si>
    <t>40O052</t>
  </si>
  <si>
    <t>ONDANSETRON INJ 4MG/ 2 ML</t>
  </si>
  <si>
    <t>000600</t>
  </si>
  <si>
    <t>40O056</t>
  </si>
  <si>
    <t>ONDANSETRON INJ 4MG/2ML BERNO</t>
  </si>
  <si>
    <t>000713</t>
  </si>
  <si>
    <t>ONDANSETRON INJ 2 MG/ML 2ML</t>
  </si>
  <si>
    <t>003240</t>
  </si>
  <si>
    <t>40O051</t>
  </si>
  <si>
    <t>ONDANSETRON INJEKSI 4MG/2ML</t>
  </si>
  <si>
    <t>003805</t>
  </si>
  <si>
    <t>40O049</t>
  </si>
  <si>
    <t>OMEPRAZOLE INJ 40 MG</t>
  </si>
  <si>
    <t>000929</t>
  </si>
  <si>
    <t>40P012.031</t>
  </si>
  <si>
    <t>PHYTOMENADION INJ 10 MG/ ML 1 ML</t>
  </si>
  <si>
    <t>000671</t>
  </si>
  <si>
    <t>PHYTOMENADION INJ 10 MG/ML 1 ML</t>
  </si>
  <si>
    <t>000356</t>
  </si>
  <si>
    <t>40P026</t>
  </si>
  <si>
    <t>PHYTOMENADION INJ</t>
  </si>
  <si>
    <t>000128</t>
  </si>
  <si>
    <t>40P012.034</t>
  </si>
  <si>
    <t>PHENYTOIN SODIUM INJ 100 MG/ 2 ML</t>
  </si>
  <si>
    <t>000355</t>
  </si>
  <si>
    <t>40P012.13</t>
  </si>
  <si>
    <t>PHENYTOIN INJ 50MG/ML, 2ML</t>
  </si>
  <si>
    <t>000161</t>
  </si>
  <si>
    <t>40P025.1</t>
  </si>
  <si>
    <t>PHENITOIN NA INJEKSI 100MG/2 ML,AMPUL @ 2ML</t>
  </si>
  <si>
    <t>000350</t>
  </si>
  <si>
    <t>40P012.16</t>
  </si>
  <si>
    <t>PHADILON 500 MG INJ</t>
  </si>
  <si>
    <t>000658</t>
  </si>
  <si>
    <t>40P012.7</t>
  </si>
  <si>
    <t>40P012.71</t>
  </si>
  <si>
    <t>PROPOFOL INJEKSI 1%</t>
  </si>
  <si>
    <t>000677</t>
  </si>
  <si>
    <t>40R004</t>
  </si>
  <si>
    <t>40R060.1</t>
  </si>
  <si>
    <t>RANITIDIN 25 mg/ml 2 ml</t>
  </si>
  <si>
    <t>000070</t>
  </si>
  <si>
    <t>40R065</t>
  </si>
  <si>
    <t>RYZODEG FLEXTOUCH (100 IU ML)</t>
  </si>
  <si>
    <t>001682</t>
  </si>
  <si>
    <t>40S065</t>
  </si>
  <si>
    <t>SOMATOSTATIN LYOMARK INJ 3G</t>
  </si>
  <si>
    <t>000324</t>
  </si>
  <si>
    <t>40T073</t>
  </si>
  <si>
    <t>TRAMADOL INJ 50 MG/ML, AMP 2 ML</t>
  </si>
  <si>
    <t>003222</t>
  </si>
  <si>
    <t>40U006</t>
  </si>
  <si>
    <t>ULTRAVIST-300 100 ml</t>
  </si>
  <si>
    <t>40V005</t>
  </si>
  <si>
    <t>VENTOLIN NEBULESER 2,5 MG</t>
  </si>
  <si>
    <t>000598</t>
  </si>
  <si>
    <t>40V055</t>
  </si>
  <si>
    <t>VITKA INFANT INJ 2MG/ML 1ML</t>
  </si>
  <si>
    <t>000655</t>
  </si>
  <si>
    <t>42A072</t>
  </si>
  <si>
    <t>ARTHROSCOPY TUBE 10K150</t>
  </si>
  <si>
    <t>004095</t>
  </si>
  <si>
    <t>42B104</t>
  </si>
  <si>
    <t>BLADE TRICUT 4MM X 13CM M4 ROT 1884080HR)</t>
  </si>
  <si>
    <t>000933</t>
  </si>
  <si>
    <t>42B105</t>
  </si>
  <si>
    <t>BLADE TRICUT 5PK M4 3,5MM ROT (1883504HR)</t>
  </si>
  <si>
    <t>000932</t>
  </si>
  <si>
    <t>42B106</t>
  </si>
  <si>
    <t>BLADE RAD40 5PK M4 4MM ROT (1884006HR)</t>
  </si>
  <si>
    <t>000931</t>
  </si>
  <si>
    <t>42B107</t>
  </si>
  <si>
    <t>BLADE RAD90 3PK M4 3,5MM ROT (1883519HR)</t>
  </si>
  <si>
    <t>000930</t>
  </si>
  <si>
    <t>42C016</t>
  </si>
  <si>
    <t>CARBIDE BUR ├ÿ6.0X70 ST PM2 80K</t>
  </si>
  <si>
    <t>004184</t>
  </si>
  <si>
    <t>42C018</t>
  </si>
  <si>
    <t>CARBIDE BUR ├ÿ4.0X70 ST PM2 80K</t>
  </si>
  <si>
    <t>004183</t>
  </si>
  <si>
    <t>42C022</t>
  </si>
  <si>
    <t>CARBIDE BUR ├ÿ2.3X70 ST PM2 80K</t>
  </si>
  <si>
    <t>004180</t>
  </si>
  <si>
    <t>42C1000.27</t>
  </si>
  <si>
    <t>CORTEX SCREW 1.5 8-16MM SELF TAPING TITANIUM</t>
  </si>
  <si>
    <t>003063</t>
  </si>
  <si>
    <t>42C1000.59</t>
  </si>
  <si>
    <t>CARBIDE BUR ├ÿ3,1X70 PM2 50K</t>
  </si>
  <si>
    <t>004181</t>
  </si>
  <si>
    <t>42C1000.9</t>
  </si>
  <si>
    <t>CANCELLOUS SCREW LOCKING FULLY ├â╦£6,5 40- 120MM TI</t>
  </si>
  <si>
    <t>001195</t>
  </si>
  <si>
    <t>42C164</t>
  </si>
  <si>
    <t>CORTEX SCREW 4.5 MM 214.048</t>
  </si>
  <si>
    <t>000914</t>
  </si>
  <si>
    <t>42C988</t>
  </si>
  <si>
    <t>CRANIOTOME BLADE, MEDIUM (PDS-CRA-M)</t>
  </si>
  <si>
    <t>003060</t>
  </si>
  <si>
    <t>42D117</t>
  </si>
  <si>
    <t>DIAMOND BUR ├ÿ5.0X70 ST PM2 80K</t>
  </si>
  <si>
    <t>004189</t>
  </si>
  <si>
    <t>42D125</t>
  </si>
  <si>
    <t>DIAMOND BUR ├ÿ1.0X70 ST PM2 80K</t>
  </si>
  <si>
    <t>004185</t>
  </si>
  <si>
    <t>42D126</t>
  </si>
  <si>
    <t>DIAMOND BUR ├ÿ2.7X70 ST PM2 80K</t>
  </si>
  <si>
    <t>004186</t>
  </si>
  <si>
    <t>42D127</t>
  </si>
  <si>
    <t>DIAMOND BUR ├ÿ4X70 ST PM2 80K</t>
  </si>
  <si>
    <t>004188</t>
  </si>
  <si>
    <t>42D201</t>
  </si>
  <si>
    <t>DIAMOND BUR ├ÿ4X70 PM2 50K</t>
  </si>
  <si>
    <t>004187</t>
  </si>
  <si>
    <t>42E054</t>
  </si>
  <si>
    <t>ECHELON ECR 45 B</t>
  </si>
  <si>
    <t>003053</t>
  </si>
  <si>
    <t>42F095</t>
  </si>
  <si>
    <t>FULLY THREADED SCREW 1.6X8MM (331.1608)</t>
  </si>
  <si>
    <t>003046</t>
  </si>
  <si>
    <t>42H040</t>
  </si>
  <si>
    <t>HI-LINE XS ROSEN BURR III D3.1MM</t>
  </si>
  <si>
    <t>000904</t>
  </si>
  <si>
    <t>42H088</t>
  </si>
  <si>
    <t>HERBERT COMPRESSION SCREW ├â╦£3,0 4I-(14MM- 40MM),TI</t>
  </si>
  <si>
    <t>001508</t>
  </si>
  <si>
    <t>42L741</t>
  </si>
  <si>
    <t>LONG ARM MONOAXIAL (GSS MEDICAL)</t>
  </si>
  <si>
    <t>003022</t>
  </si>
  <si>
    <t>42M234</t>
  </si>
  <si>
    <t>MESH ULTRAPRO UMN3 10 X 15</t>
  </si>
  <si>
    <t>000110</t>
  </si>
  <si>
    <t>42M245</t>
  </si>
  <si>
    <t>MATA BOR CUTTING ULTRA 5PK 4MM LONG (31314068U)</t>
  </si>
  <si>
    <t>000885</t>
  </si>
  <si>
    <t>42M246</t>
  </si>
  <si>
    <t>MATA BOR CUTTING ULTRA 5PK 6MM MED (31316058U)</t>
  </si>
  <si>
    <t>42M317.01</t>
  </si>
  <si>
    <t>MATA BOR DIAMOND 15CM X 5 MM 15D(1885076HSE)</t>
  </si>
  <si>
    <t>003005</t>
  </si>
  <si>
    <t>42M319.01</t>
  </si>
  <si>
    <t>MATA BOR RAD 55D (1883670HS)</t>
  </si>
  <si>
    <t>003003</t>
  </si>
  <si>
    <t>42O036</t>
  </si>
  <si>
    <t>CHIRASORB BRAIDED 2 0 DS 75CM REV CUTTING</t>
  </si>
  <si>
    <t>000141</t>
  </si>
  <si>
    <t>42P322</t>
  </si>
  <si>
    <t>PROCEED MESH VENTRAL HERNIA 15X15 CM PCDMI</t>
  </si>
  <si>
    <t>001403</t>
  </si>
  <si>
    <t>42P338</t>
  </si>
  <si>
    <t>PROXIMAL HUMERAL LCP ├ÿ 3.5/ ├ÿ 4.0 2-12 H,TI</t>
  </si>
  <si>
    <t>003729</t>
  </si>
  <si>
    <t>42R269</t>
  </si>
  <si>
    <t>RECONSTRUCTION LOCKING PLATE 3.5 X 5-10 H, TI</t>
  </si>
  <si>
    <t>001871</t>
  </si>
  <si>
    <t>42S140</t>
  </si>
  <si>
    <t>CORTEX SCREW 2.4X12 MM 206.2412</t>
  </si>
  <si>
    <t>000872</t>
  </si>
  <si>
    <t>42S257</t>
  </si>
  <si>
    <t>SINGLE USE RELOADABLE (GIA 6038 S)</t>
  </si>
  <si>
    <t>002961</t>
  </si>
  <si>
    <t>42S327</t>
  </si>
  <si>
    <t>SILICONE OIL 5500 ARCIOLANE</t>
  </si>
  <si>
    <t>004127</t>
  </si>
  <si>
    <t>50A009</t>
  </si>
  <si>
    <t>ACID SALICYLIC PULV</t>
  </si>
  <si>
    <t>000023</t>
  </si>
  <si>
    <t>50C014</t>
  </si>
  <si>
    <t>COFFEIN PULV</t>
  </si>
  <si>
    <t>000038</t>
  </si>
  <si>
    <t>50C038</t>
  </si>
  <si>
    <t>CAPSUL NO. 1</t>
  </si>
  <si>
    <t>003209</t>
  </si>
  <si>
    <t>50D006</t>
  </si>
  <si>
    <t>DEXTROSE MONOHYDRATE 25KG</t>
  </si>
  <si>
    <t>001149</t>
  </si>
  <si>
    <t>50G005</t>
  </si>
  <si>
    <t>GLYSERINE DOW</t>
  </si>
  <si>
    <t>000034</t>
  </si>
  <si>
    <t>50G019</t>
  </si>
  <si>
    <t>GLYSERINE PH</t>
  </si>
  <si>
    <t>003205</t>
  </si>
  <si>
    <t>50M004.1</t>
  </si>
  <si>
    <t>MENTHOL CRYSTAL 1 KG</t>
  </si>
  <si>
    <t>000016</t>
  </si>
  <si>
    <t>50N014.1</t>
  </si>
  <si>
    <t>NATRIUM CHLORIDE USP @ 1 KG</t>
  </si>
  <si>
    <t>004030</t>
  </si>
  <si>
    <t>50S001.1</t>
  </si>
  <si>
    <t>SACHARUM LACTIS (LACTOSA) 25KG</t>
  </si>
  <si>
    <t>001083</t>
  </si>
  <si>
    <t>50S037</t>
  </si>
  <si>
    <t>STERICIDE 5 L</t>
  </si>
  <si>
    <t>003198</t>
  </si>
  <si>
    <t>60B021</t>
  </si>
  <si>
    <t>BIOFUR LIQUID SOAP 100 ML</t>
  </si>
  <si>
    <t>001704</t>
  </si>
  <si>
    <t>70B012</t>
  </si>
  <si>
    <t>BISOLVON SOLUTION 2 MG   ML 50 ML (DROPS)</t>
  </si>
  <si>
    <t>000271</t>
  </si>
  <si>
    <t>70C034</t>
  </si>
  <si>
    <t>CENDO MYDRIATYL  1%  5ml</t>
  </si>
  <si>
    <t>000264</t>
  </si>
  <si>
    <t>CENDO MYDRIATYL 1% 5ml</t>
  </si>
  <si>
    <t>000187</t>
  </si>
  <si>
    <t>70C038</t>
  </si>
  <si>
    <t>CENDO PANTOCAIN 0.5% 5 ML</t>
  </si>
  <si>
    <t>000262</t>
  </si>
  <si>
    <t>70C047.17</t>
  </si>
  <si>
    <t>CRAVIT EYE DROP 5 ML</t>
  </si>
  <si>
    <t>000257</t>
  </si>
  <si>
    <t>70N016</t>
  </si>
  <si>
    <t>NYSTATIN DROP 100.000 IU/ML 12 ML</t>
  </si>
  <si>
    <t>000678</t>
  </si>
  <si>
    <t>80A114</t>
  </si>
  <si>
    <t>ANGIOTECH SUPERCORE BIOPSY INSTRUMENT 14GA X 15CM</t>
  </si>
  <si>
    <t>002929</t>
  </si>
  <si>
    <t>80B112</t>
  </si>
  <si>
    <t>80B120</t>
  </si>
  <si>
    <t>BACTERIAL FILTER HMEF</t>
  </si>
  <si>
    <t>002911</t>
  </si>
  <si>
    <t>80B119.1</t>
  </si>
  <si>
    <t>BREATHING CIRCUIT FOR ADULT (MRI)</t>
  </si>
  <si>
    <t>001458</t>
  </si>
  <si>
    <t>80B120.1</t>
  </si>
  <si>
    <t>BREATHING CIRCUIT FOR ADULT (NON MRI)</t>
  </si>
  <si>
    <t>001457</t>
  </si>
  <si>
    <t>80C001.02</t>
  </si>
  <si>
    <t>CONDOM CATHETER  L</t>
  </si>
  <si>
    <t>002908</t>
  </si>
  <si>
    <t>80C001.088</t>
  </si>
  <si>
    <t>COIL OF WIRE D 1.25 MM, L 10 M (291.060)</t>
  </si>
  <si>
    <t>000814</t>
  </si>
  <si>
    <t>80C001.113</t>
  </si>
  <si>
    <t>CVS ANTPAK 0.9 W/O PROBE-PHACOPAK</t>
  </si>
  <si>
    <t>002906</t>
  </si>
  <si>
    <t>80C001.120</t>
  </si>
  <si>
    <t>CASSETTE WITH FEMALE LUER 100 ML (21-7002-24)</t>
  </si>
  <si>
    <t>000806</t>
  </si>
  <si>
    <t>80C001.124</t>
  </si>
  <si>
    <t>CVC 2 LUMEN 7FR X 20CM AGB-27702</t>
  </si>
  <si>
    <t>000804</t>
  </si>
  <si>
    <t>80C001.132</t>
  </si>
  <si>
    <t>CELL WASHING BAG 250 ML W 8 SPIKES (JMS)</t>
  </si>
  <si>
    <t>002904</t>
  </si>
  <si>
    <t>80C001.19</t>
  </si>
  <si>
    <t>CHROMA BALLOON CATHETER  3 WAY FR24</t>
  </si>
  <si>
    <t>80C001.24</t>
  </si>
  <si>
    <t>CHROMA CATHETER 3 WAY CH 22</t>
  </si>
  <si>
    <t>000228</t>
  </si>
  <si>
    <t>80C001.9</t>
  </si>
  <si>
    <t>CATHETER KIT DOUBLE LUMEN 12FR 16CM STRAIGHT(FR225</t>
  </si>
  <si>
    <t>001073</t>
  </si>
  <si>
    <t>80C032</t>
  </si>
  <si>
    <t>CYTO-SET INFUSOMAT SPACE W.5 NF VALVES</t>
  </si>
  <si>
    <t>004207</t>
  </si>
  <si>
    <t>80D172</t>
  </si>
  <si>
    <t>DISP. SYRINGE 20CC LL</t>
  </si>
  <si>
    <t>004024</t>
  </si>
  <si>
    <t>80E016</t>
  </si>
  <si>
    <t>ENDOTRACHEAL CLEAR PROF S.S  5 CUFF</t>
  </si>
  <si>
    <t>000777</t>
  </si>
  <si>
    <t>ENDOTRACHEAL CLEAR PROF S.S 5 CUFF</t>
  </si>
  <si>
    <t>004005</t>
  </si>
  <si>
    <t>80E017</t>
  </si>
  <si>
    <t>ENDOTRACHEAL CLEAR PROF S.S  6 CUFF</t>
  </si>
  <si>
    <t>000776</t>
  </si>
  <si>
    <t>80E020</t>
  </si>
  <si>
    <t>ENDOTRACHEAL CLEAR PROF S.S  8 CUFF</t>
  </si>
  <si>
    <t>000773</t>
  </si>
  <si>
    <t>80E058</t>
  </si>
  <si>
    <t>ENDOTRACHEAL CLEAR PROF S.S  6,5 CUFF</t>
  </si>
  <si>
    <t>000768</t>
  </si>
  <si>
    <t>ENDOTRACHEAL CLEAR PROF S.S 6,5 CUFF</t>
  </si>
  <si>
    <t>004008</t>
  </si>
  <si>
    <t>80E129</t>
  </si>
  <si>
    <t>EXTENSION SET WITH MALE / MALE LUER 152CM / 60INCI (21-706-224)</t>
  </si>
  <si>
    <t>000756</t>
  </si>
  <si>
    <t>80E150</t>
  </si>
  <si>
    <t>EQUICEL POWDER 1 GR</t>
  </si>
  <si>
    <t>002866</t>
  </si>
  <si>
    <t>80E158.1</t>
  </si>
  <si>
    <t>ENDOTRACHEAL TUBE NO. 6 CUFF</t>
  </si>
  <si>
    <t>000643</t>
  </si>
  <si>
    <t>80E161</t>
  </si>
  <si>
    <t>80E144</t>
  </si>
  <si>
    <t>ENDOTRACHEAL TUBE NO. 5.0 CUFF</t>
  </si>
  <si>
    <t>002870</t>
  </si>
  <si>
    <t>ENDOTRACHEAL TUBE NO.5 CUFF</t>
  </si>
  <si>
    <t>000149</t>
  </si>
  <si>
    <t>80E162</t>
  </si>
  <si>
    <t>80E142</t>
  </si>
  <si>
    <t>ENDOTRACHEAL TUBE NO. 4.0 CUFF</t>
  </si>
  <si>
    <t>002872</t>
  </si>
  <si>
    <t>ENDOTRACHEAL TUBE NO.4 CUFF</t>
  </si>
  <si>
    <t>000148</t>
  </si>
  <si>
    <t>80E163</t>
  </si>
  <si>
    <t>80E143</t>
  </si>
  <si>
    <t>ENDOTRACHEAL TUBE NO. 4.5 CUFF</t>
  </si>
  <si>
    <t>002871</t>
  </si>
  <si>
    <t>ENDOTRACHEAL TUBE NO.4,5 CUFF</t>
  </si>
  <si>
    <t>000147</t>
  </si>
  <si>
    <t>80F123.1</t>
  </si>
  <si>
    <t>FINEGLIDE PEN NEEDLE 31G X 5MM</t>
  </si>
  <si>
    <t>000686</t>
  </si>
  <si>
    <t>80P129</t>
  </si>
  <si>
    <t>PEN NEEDLE 31 G (320632)</t>
  </si>
  <si>
    <t>80F125.1</t>
  </si>
  <si>
    <t>FOLEY CATHETER SILICONE 18FR</t>
  </si>
  <si>
    <t>000723</t>
  </si>
  <si>
    <t>80F151</t>
  </si>
  <si>
    <t>FOLEY CATH SILICONE 10FR</t>
  </si>
  <si>
    <t>004082</t>
  </si>
  <si>
    <t>80I021</t>
  </si>
  <si>
    <t>I.V CATHETER NO.18 (INTROCAN SAFETY)</t>
  </si>
  <si>
    <t>000702</t>
  </si>
  <si>
    <t>80I022</t>
  </si>
  <si>
    <t>I.V CATHETER NO.20 (INTROCAN SAFETY)</t>
  </si>
  <si>
    <t>002813</t>
  </si>
  <si>
    <t>80I100</t>
  </si>
  <si>
    <t>INNOQ ECG ROLL PAPER 63X30M</t>
  </si>
  <si>
    <t>002808</t>
  </si>
  <si>
    <t>80J001.024</t>
  </si>
  <si>
    <t>JOLINE CTL 175MM   PKTL12P175C 21 (ST)</t>
  </si>
  <si>
    <t>000155</t>
  </si>
  <si>
    <t>80J040</t>
  </si>
  <si>
    <t>JARUM SPINAL 27G X 120 MM(SPROTTE)</t>
  </si>
  <si>
    <t>004018</t>
  </si>
  <si>
    <t>80K103</t>
  </si>
  <si>
    <t>SLIT ANGLED 2.75 MM KNIFE</t>
  </si>
  <si>
    <t>80K106</t>
  </si>
  <si>
    <t>KERTAS THERMAL RECORDING AS 507 (58x48)</t>
  </si>
  <si>
    <t>001063</t>
  </si>
  <si>
    <t>KERTAS THERMAL RECORDING AS 507</t>
  </si>
  <si>
    <t>000656</t>
  </si>
  <si>
    <t>80K116</t>
  </si>
  <si>
    <t>KERTAS THERMAL 58X48</t>
  </si>
  <si>
    <t>003979</t>
  </si>
  <si>
    <t>80L046</t>
  </si>
  <si>
    <t>LINEAR CUTTER 75MM BLUE RELOAD PROXIMATE (TCR75)</t>
  </si>
  <si>
    <t>000646</t>
  </si>
  <si>
    <t>80L094</t>
  </si>
  <si>
    <t>LMA UNIQUE SIZE 4</t>
  </si>
  <si>
    <t>004230</t>
  </si>
  <si>
    <t>80L095</t>
  </si>
  <si>
    <t>LMA UNIQUE SIZE 1,5</t>
  </si>
  <si>
    <t>004227</t>
  </si>
  <si>
    <t>80L100.1</t>
  </si>
  <si>
    <t>LIGASURE MARYLAND JAW LAPAROSCOPIC 5MM- 37CM/LF1937</t>
  </si>
  <si>
    <t>004003</t>
  </si>
  <si>
    <t>80M189</t>
  </si>
  <si>
    <t>MASKER N95 (1860) MEDICAL GRADE (S)</t>
  </si>
  <si>
    <t>000625</t>
  </si>
  <si>
    <t>80M220</t>
  </si>
  <si>
    <t>ASSY SHIP TIP MINI FL 45 K (P20MMK45)</t>
  </si>
  <si>
    <t>002765</t>
  </si>
  <si>
    <t>80M229</t>
  </si>
  <si>
    <t>MERSILK 1 W338H</t>
  </si>
  <si>
    <t>002764</t>
  </si>
  <si>
    <t>80M246.1</t>
  </si>
  <si>
    <t>MASK OXIGEN NON REBREATHING ADULT</t>
  </si>
  <si>
    <t>001137</t>
  </si>
  <si>
    <t>80O016.13</t>
  </si>
  <si>
    <t>OXIGEN MASK NON REBRETHING TUBING ADULT (INRME-A)</t>
  </si>
  <si>
    <t>002736</t>
  </si>
  <si>
    <t>80S344</t>
  </si>
  <si>
    <t>SUCTION CATHETER FINGER CH 10</t>
  </si>
  <si>
    <t>000100</t>
  </si>
  <si>
    <t>80M247.1</t>
  </si>
  <si>
    <t>MASK OXIGEN REBREATHING ADULT</t>
  </si>
  <si>
    <t>001179</t>
  </si>
  <si>
    <t>80N010</t>
  </si>
  <si>
    <t>NEBULIZER REBREATHING MASK ADULT (8120)</t>
  </si>
  <si>
    <t>000619</t>
  </si>
  <si>
    <t>80M248.1</t>
  </si>
  <si>
    <t>MASK OXIGEN REBREATHING CHILD</t>
  </si>
  <si>
    <t>001178</t>
  </si>
  <si>
    <t>80N102</t>
  </si>
  <si>
    <t>NEEDLE NO. 30G</t>
  </si>
  <si>
    <t>000603</t>
  </si>
  <si>
    <t>80N147</t>
  </si>
  <si>
    <t>80N092</t>
  </si>
  <si>
    <t>NASAL CANNULA ADULT</t>
  </si>
  <si>
    <t>000606</t>
  </si>
  <si>
    <t>NASAL CANULA ADULT</t>
  </si>
  <si>
    <t>004080</t>
  </si>
  <si>
    <t>80O026</t>
  </si>
  <si>
    <t>OPTIFLOW NASAL CANNULA PED OPT318</t>
  </si>
  <si>
    <t>002726</t>
  </si>
  <si>
    <t>80O032</t>
  </si>
  <si>
    <t>OI NUTRI LINE</t>
  </si>
  <si>
    <t>000651</t>
  </si>
  <si>
    <t>80P145</t>
  </si>
  <si>
    <t>PLAIN TRACHEOSTOMY TUBE 3</t>
  </si>
  <si>
    <t>80P184</t>
  </si>
  <si>
    <t>PVC UMBILICAL CATHETHER 5 FR, 40 CM</t>
  </si>
  <si>
    <t>000576</t>
  </si>
  <si>
    <t>80P230</t>
  </si>
  <si>
    <t>PERITONEAL DIALYSIS CATH STRAIGHT SET CUFF 46CM</t>
  </si>
  <si>
    <t>000346</t>
  </si>
  <si>
    <t>80R066</t>
  </si>
  <si>
    <t>REINFORCED ETT W  INTUBATING STYLET NO. 7.5</t>
  </si>
  <si>
    <t>002704</t>
  </si>
  <si>
    <t>80R067</t>
  </si>
  <si>
    <t>REINFORCED ETT W  INTUBATING STYLET NO. 3.0</t>
  </si>
  <si>
    <t>002703</t>
  </si>
  <si>
    <t>80R078</t>
  </si>
  <si>
    <t>REINFORCED ETT W/ INTUBATING STYLET SIZE 4.5</t>
  </si>
  <si>
    <t>001730</t>
  </si>
  <si>
    <t>80S020</t>
  </si>
  <si>
    <t>SPINOCAN NO27</t>
  </si>
  <si>
    <t>003994</t>
  </si>
  <si>
    <t>80S021</t>
  </si>
  <si>
    <t>SPINAL NEEDLE 27GA</t>
  </si>
  <si>
    <t>002696</t>
  </si>
  <si>
    <t>80S023</t>
  </si>
  <si>
    <t>SPINAL NEEDLE QUENCKE 27G</t>
  </si>
  <si>
    <t>004031</t>
  </si>
  <si>
    <t>80S040</t>
  </si>
  <si>
    <t>STOMACH TUBE  14 FR</t>
  </si>
  <si>
    <t>000551</t>
  </si>
  <si>
    <t>80S045</t>
  </si>
  <si>
    <t>STOMACH TUBE 16 FR</t>
  </si>
  <si>
    <t>000549</t>
  </si>
  <si>
    <t>80S058.9</t>
  </si>
  <si>
    <t>SPALK INFUS ANAK 5 CM X 20 CM</t>
  </si>
  <si>
    <t>001104</t>
  </si>
  <si>
    <t>80S213</t>
  </si>
  <si>
    <t>SUCTION CLOSE SYSTEM FOR ETT 12 FR</t>
  </si>
  <si>
    <t>000235</t>
  </si>
  <si>
    <t>80S221</t>
  </si>
  <si>
    <t>SURGICAL FIBER CORE 200 MICRON</t>
  </si>
  <si>
    <t>004112</t>
  </si>
  <si>
    <t>80S222</t>
  </si>
  <si>
    <t>SURGICAL FIBER CORE 272 MICRON</t>
  </si>
  <si>
    <t>004113</t>
  </si>
  <si>
    <t>80S301</t>
  </si>
  <si>
    <t>SURGEON CAP</t>
  </si>
  <si>
    <t>002674</t>
  </si>
  <si>
    <t>80S336</t>
  </si>
  <si>
    <t>SHOE COVER ONEMED</t>
  </si>
  <si>
    <t>80S343</t>
  </si>
  <si>
    <t>SUCTION CATHETER FINGER CH 8</t>
  </si>
  <si>
    <t>000200</t>
  </si>
  <si>
    <t>80S349.1</t>
  </si>
  <si>
    <t>STOMACH TUBE NO 14 FR</t>
  </si>
  <si>
    <t>004077</t>
  </si>
  <si>
    <t>80S351</t>
  </si>
  <si>
    <t>SARUNG TANGAN NS PF SIZE L</t>
  </si>
  <si>
    <t>003957</t>
  </si>
  <si>
    <t>80T084</t>
  </si>
  <si>
    <t>T-SKINSTAPLER 35W</t>
  </si>
  <si>
    <t>004061</t>
  </si>
  <si>
    <t>80T086</t>
  </si>
  <si>
    <t>TEGADERM CHG 8,5CM X 11.5CM (1657R)</t>
  </si>
  <si>
    <t>003999</t>
  </si>
  <si>
    <t>80T088.1</t>
  </si>
  <si>
    <t>THERMOVENT T2 HME</t>
  </si>
  <si>
    <t>001080</t>
  </si>
  <si>
    <t>80T146</t>
  </si>
  <si>
    <t>ET TUBE SMALL 2 CHANNEL LARYNGEAL LSE500DCS</t>
  </si>
  <si>
    <t>002643</t>
  </si>
  <si>
    <t>80T185</t>
  </si>
  <si>
    <t>THORACIC CATHETER CH 28</t>
  </si>
  <si>
    <t>000109</t>
  </si>
  <si>
    <t>80V010</t>
  </si>
  <si>
    <t>VASOFIX SAFETY G 24</t>
  </si>
  <si>
    <t>80V033</t>
  </si>
  <si>
    <t>VISCOELASTIC SOD.HYALURONATE 1,5% (BBT VISC)</t>
  </si>
  <si>
    <t>000481</t>
  </si>
  <si>
    <t>81C144</t>
  </si>
  <si>
    <t>CHROMA CATHETER 2 WAY CH 18</t>
  </si>
  <si>
    <t>000130</t>
  </si>
  <si>
    <t>81D023</t>
  </si>
  <si>
    <t>DISP. PRESSURE TRANDUCER SINGLE BAIHE-ABLE</t>
  </si>
  <si>
    <t>002606</t>
  </si>
  <si>
    <t>81F058</t>
  </si>
  <si>
    <t>FIELDER XT-R</t>
  </si>
  <si>
    <t>002603</t>
  </si>
  <si>
    <t>81G025</t>
  </si>
  <si>
    <t>GUIDE WIRE 0.038 J TIP FIXED CORE 150 CM (IQ38F150</t>
  </si>
  <si>
    <t>002602</t>
  </si>
  <si>
    <t>81I040</t>
  </si>
  <si>
    <t>INFINITI PIGTAIL 6 HOLE 6 FR (534-650S)</t>
  </si>
  <si>
    <t>003798</t>
  </si>
  <si>
    <t>81P040</t>
  </si>
  <si>
    <t>PCI WIRE RUNTHROUGH FLOOPY</t>
  </si>
  <si>
    <t>002576</t>
  </si>
  <si>
    <t>81P045</t>
  </si>
  <si>
    <t>PERFORMA JR 3.5 / 5 FR (7523-13)</t>
  </si>
  <si>
    <t>002575</t>
  </si>
  <si>
    <t>81P056</t>
  </si>
  <si>
    <t>PERFORMA JL 3.5   5 FR</t>
  </si>
  <si>
    <t>001668</t>
  </si>
  <si>
    <t>81P129</t>
  </si>
  <si>
    <t>PROGREAT WITH WIRE 2.7 FR 130 CM</t>
  </si>
  <si>
    <t>003928</t>
  </si>
  <si>
    <t>81P155</t>
  </si>
  <si>
    <t>PAKET CATH LAB EMERGENCY KIT (2 COVER STENT CORONARY &amp; 1 SNARE)</t>
  </si>
  <si>
    <t>004257</t>
  </si>
  <si>
    <t>PAKET CATH LAB EMERGENCY KIT (2 COVER STENT &amp; 1 SN</t>
  </si>
  <si>
    <t>001486</t>
  </si>
  <si>
    <t>81R083</t>
  </si>
  <si>
    <t>RADIFOCUS GUIDE WIRE M 0.035  260CM ANGLED</t>
  </si>
  <si>
    <t>002565</t>
  </si>
  <si>
    <t>81S190</t>
  </si>
  <si>
    <t>SAPHIRE II PRO / SAPHIRE II NC</t>
  </si>
  <si>
    <t>003914</t>
  </si>
  <si>
    <t>81T001</t>
  </si>
  <si>
    <t>THREE WAY STOPCOCK M3RLC</t>
  </si>
  <si>
    <t>002562</t>
  </si>
  <si>
    <t>81U041</t>
  </si>
  <si>
    <t>ULTIMASTER</t>
  </si>
  <si>
    <t>001854</t>
  </si>
  <si>
    <t>85O008</t>
  </si>
  <si>
    <t>O2 GAS BTL 1 M3</t>
  </si>
  <si>
    <t>OBAT GAS (PERSEDIAAN LAINNYA)</t>
  </si>
  <si>
    <t>000010</t>
  </si>
  <si>
    <t>90B005</t>
  </si>
  <si>
    <t>BOTOL KOSONG + TUTUP  20 ML</t>
  </si>
  <si>
    <t>90B007</t>
  </si>
  <si>
    <t>BOTOL KOSONG + TUTUP  60 ML</t>
  </si>
  <si>
    <t>000466</t>
  </si>
  <si>
    <t>BOTOL KOSONG + TUTUP 60 ML</t>
  </si>
  <si>
    <t>001085</t>
  </si>
  <si>
    <t>90K052</t>
  </si>
  <si>
    <t>90I003</t>
  </si>
  <si>
    <t>KASA 20 X 20 CM</t>
  </si>
  <si>
    <t>002520</t>
  </si>
  <si>
    <t>90L017</t>
  </si>
  <si>
    <t>LEUKOPOR 1,25 CM X 9,2 M  (72367-05)</t>
  </si>
  <si>
    <t>90L018</t>
  </si>
  <si>
    <t>90L022</t>
  </si>
  <si>
    <t>LEUKOMED IV 6X8 CM  (72389-00)</t>
  </si>
  <si>
    <t>000199</t>
  </si>
  <si>
    <t>LEUKOMED IV FILM 6 X 8 CM (72390-00)</t>
  </si>
  <si>
    <t>000441</t>
  </si>
  <si>
    <t>90L024</t>
  </si>
  <si>
    <t>LEUKOMED T PLUS 10 X 25 CM (72382-03)</t>
  </si>
  <si>
    <t>000438</t>
  </si>
  <si>
    <t>90O011</t>
  </si>
  <si>
    <t>ONEMED KAPAS BOLA BESAR, NON STERIL</t>
  </si>
  <si>
    <t>001611</t>
  </si>
  <si>
    <t>90P091</t>
  </si>
  <si>
    <t>PHARMAFIX 10CM X 5M</t>
  </si>
  <si>
    <t>002500</t>
  </si>
  <si>
    <t>90P095</t>
  </si>
  <si>
    <t>90S005</t>
  </si>
  <si>
    <t>SOFBAND   3 (2,7 M X 7,5 CM)</t>
  </si>
  <si>
    <t>000424</t>
  </si>
  <si>
    <t>90P097</t>
  </si>
  <si>
    <t>90S007</t>
  </si>
  <si>
    <t>SOFBAND   6 (2,7 M X 15 CM)</t>
  </si>
  <si>
    <t>000422</t>
  </si>
  <si>
    <t>POLIBAN 6  15CM X 2.7M</t>
  </si>
  <si>
    <t>001111</t>
  </si>
  <si>
    <t>PF031</t>
  </si>
  <si>
    <t>GARAM INGGRIS 30 gr</t>
  </si>
  <si>
    <t>004144</t>
  </si>
  <si>
    <t>PFA047</t>
  </si>
  <si>
    <t>ALKOHOL 96% 100 ML</t>
  </si>
  <si>
    <t>001932</t>
  </si>
  <si>
    <t>PFH044</t>
  </si>
  <si>
    <t>HYPO CHLORIDE 0,5% L</t>
  </si>
  <si>
    <t>000166</t>
  </si>
  <si>
    <t>PFS015</t>
  </si>
  <si>
    <t>STABIMED 2 % 1 L</t>
  </si>
  <si>
    <t>000175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</si>
</sst>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11" fontId="0" fillId="0" borderId="0" xfId="0" applyNumberFormat="1"/>
    <xf numFmtId="49" fontId="2" fillId="0" borderId="0" xfId="0" applyNumberFormat="1" applyFont="1"/>
    <xf numFmtId="0" fontId="2" fillId="0" borderId="0" xfId="0" applyFon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simgos_katalog_kode_grp_sakti_qty_akhir_simgos_jumlah_ak_20230221163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58"/>
  <sheetViews>
    <sheetView tabSelected="1" workbookViewId="0">
      <selection activeCell="B1" sqref="B1"/>
    </sheetView>
  </sheetViews>
  <sheetFormatPr defaultRowHeight="14.5"/>
  <cols>
    <col min="1" max="1" width="18.81640625" customWidth="1"/>
    <col min="2" max="2" width="17" style="6" customWidth="1"/>
    <col min="3" max="4" width="17.54296875" style="6" customWidth="1"/>
    <col min="5" max="5" width="11.90625" bestFit="1" customWidth="1"/>
    <col min="6" max="6" width="33.453125" customWidth="1"/>
    <col min="7" max="7" width="37.90625" customWidth="1"/>
    <col min="8" max="8" width="9.7265625" bestFit="1" customWidth="1"/>
    <col min="9" max="9" width="8.36328125" bestFit="1" customWidth="1"/>
    <col min="10" max="10" width="9.90625" bestFit="1" customWidth="1"/>
    <col min="11" max="11" width="9.6328125" bestFit="1" customWidth="1"/>
    <col min="12" max="12" width="8.6328125" bestFit="1" customWidth="1"/>
    <col min="13" max="13" width="15.7265625" bestFit="1" customWidth="1"/>
    <col min="14" max="14" width="11.90625" bestFit="1" customWidth="1"/>
    <col min="15" max="15" width="11.453125" bestFit="1" customWidth="1"/>
    <col min="16" max="16" width="13.08984375" bestFit="1" customWidth="1"/>
    <col min="17" max="17" width="12.7265625" bestFit="1" customWidth="1"/>
    <col min="18" max="18" width="11.7265625" bestFit="1" customWidth="1"/>
  </cols>
  <sheetData>
    <row r="1" spans="1:18" s="4" customFormat="1">
      <c r="A1" s="3" t="s">
        <v>0</v>
      </c>
      <c r="B1" s="5" t="s">
        <v>1</v>
      </c>
      <c r="C1" s="5" t="s">
        <v>2</v>
      </c>
      <c r="D1" s="5"/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</v>
      </c>
      <c r="M1" s="4" t="s">
        <v>0</v>
      </c>
      <c r="N1" s="4" t="s">
        <v>3</v>
      </c>
      <c r="O1" s="4" t="s">
        <v>10</v>
      </c>
      <c r="P1" s="4" t="s">
        <v>11</v>
      </c>
      <c r="Q1" s="4" t="s">
        <v>12</v>
      </c>
      <c r="R1" s="4" t="s">
        <v>2</v>
      </c>
    </row>
    <row r="2" spans="1:18">
      <c r="A2" s="1" t="s">
        <v>13</v>
      </c>
      <c r="B2" s="6">
        <v>0</v>
      </c>
      <c r="C2" s="6">
        <v>19240</v>
      </c>
      <c r="D2" s="6">
        <f>C2-B2</f>
        <v>19240</v>
      </c>
      <c r="E2" s="1" t="s">
        <v>14</v>
      </c>
      <c r="F2" s="1" t="s">
        <v>15</v>
      </c>
      <c r="G2" s="1" t="s">
        <v>16</v>
      </c>
      <c r="H2" s="1" t="s">
        <v>17</v>
      </c>
      <c r="I2">
        <v>0</v>
      </c>
      <c r="J2">
        <v>60000</v>
      </c>
      <c r="K2">
        <v>60000</v>
      </c>
      <c r="L2">
        <v>0</v>
      </c>
      <c r="M2" t="s">
        <v>13</v>
      </c>
      <c r="N2" t="s">
        <v>14</v>
      </c>
      <c r="O2">
        <v>0</v>
      </c>
      <c r="P2">
        <v>60000</v>
      </c>
      <c r="Q2">
        <v>-40760</v>
      </c>
      <c r="R2">
        <v>19240</v>
      </c>
    </row>
    <row r="3" spans="1:18">
      <c r="A3" s="1" t="s">
        <v>13</v>
      </c>
      <c r="B3" s="6">
        <v>0</v>
      </c>
      <c r="C3" s="6">
        <v>685</v>
      </c>
      <c r="D3" s="6">
        <f t="shared" ref="D3:D66" si="0">C3-B3</f>
        <v>685</v>
      </c>
      <c r="E3" s="1" t="s">
        <v>18</v>
      </c>
      <c r="F3" s="1" t="s">
        <v>19</v>
      </c>
      <c r="G3" s="1" t="s">
        <v>20</v>
      </c>
      <c r="H3" s="1" t="s">
        <v>21</v>
      </c>
      <c r="I3">
        <v>0</v>
      </c>
      <c r="J3">
        <v>82800</v>
      </c>
      <c r="K3">
        <v>82800</v>
      </c>
      <c r="L3">
        <v>0</v>
      </c>
      <c r="M3" t="s">
        <v>13</v>
      </c>
      <c r="N3" t="s">
        <v>18</v>
      </c>
      <c r="O3">
        <v>0</v>
      </c>
      <c r="P3">
        <v>82800</v>
      </c>
      <c r="Q3">
        <v>-82115</v>
      </c>
      <c r="R3">
        <v>685</v>
      </c>
    </row>
    <row r="4" spans="1:18">
      <c r="A4" s="1" t="s">
        <v>13</v>
      </c>
      <c r="B4" s="6">
        <v>40485</v>
      </c>
      <c r="C4" s="6">
        <v>2</v>
      </c>
      <c r="D4" s="6">
        <f t="shared" si="0"/>
        <v>-40483</v>
      </c>
      <c r="E4" s="1" t="s">
        <v>22</v>
      </c>
      <c r="F4" s="1" t="s">
        <v>23</v>
      </c>
      <c r="G4" s="1" t="s">
        <v>16</v>
      </c>
      <c r="H4" s="1" t="s">
        <v>24</v>
      </c>
      <c r="I4">
        <v>72215</v>
      </c>
      <c r="J4">
        <v>231040</v>
      </c>
      <c r="K4">
        <v>262770</v>
      </c>
      <c r="L4">
        <v>40485</v>
      </c>
      <c r="M4" t="s">
        <v>13</v>
      </c>
      <c r="N4" t="s">
        <v>22</v>
      </c>
      <c r="O4">
        <v>87710</v>
      </c>
      <c r="P4">
        <v>88210</v>
      </c>
      <c r="Q4">
        <v>-160422</v>
      </c>
      <c r="R4">
        <v>2</v>
      </c>
    </row>
    <row r="5" spans="1:18">
      <c r="A5" s="1" t="s">
        <v>25</v>
      </c>
      <c r="B5" s="6">
        <v>20</v>
      </c>
      <c r="C5" s="6">
        <v>300</v>
      </c>
      <c r="D5" s="6">
        <f t="shared" si="0"/>
        <v>280</v>
      </c>
      <c r="E5" s="1" t="s">
        <v>25</v>
      </c>
      <c r="F5" s="1" t="s">
        <v>26</v>
      </c>
      <c r="G5" s="1" t="s">
        <v>16</v>
      </c>
      <c r="H5" s="1" t="s">
        <v>27</v>
      </c>
      <c r="I5">
        <v>0</v>
      </c>
      <c r="J5">
        <v>20</v>
      </c>
      <c r="K5">
        <v>0</v>
      </c>
      <c r="L5">
        <v>20</v>
      </c>
      <c r="M5" t="s">
        <v>25</v>
      </c>
      <c r="N5" t="s">
        <v>25</v>
      </c>
      <c r="O5">
        <v>0</v>
      </c>
      <c r="P5">
        <v>20</v>
      </c>
      <c r="Q5">
        <v>280</v>
      </c>
      <c r="R5">
        <v>300</v>
      </c>
    </row>
    <row r="6" spans="1:18">
      <c r="A6" s="1" t="s">
        <v>28</v>
      </c>
      <c r="B6" s="6">
        <v>5686</v>
      </c>
      <c r="C6" s="6">
        <v>5051</v>
      </c>
      <c r="D6" s="6">
        <f t="shared" si="0"/>
        <v>-635</v>
      </c>
      <c r="E6" s="1" t="s">
        <v>28</v>
      </c>
      <c r="F6" s="1" t="s">
        <v>29</v>
      </c>
      <c r="G6" s="1" t="s">
        <v>16</v>
      </c>
      <c r="H6" s="1" t="s">
        <v>30</v>
      </c>
      <c r="I6">
        <v>30738</v>
      </c>
      <c r="J6">
        <v>53000</v>
      </c>
      <c r="K6">
        <v>78052</v>
      </c>
      <c r="L6">
        <v>5686</v>
      </c>
      <c r="M6" t="s">
        <v>28</v>
      </c>
      <c r="N6" t="s">
        <v>28</v>
      </c>
      <c r="O6">
        <v>22951</v>
      </c>
      <c r="P6">
        <v>25000</v>
      </c>
      <c r="Q6">
        <v>-50687</v>
      </c>
      <c r="R6">
        <v>5051</v>
      </c>
    </row>
    <row r="7" spans="1:18">
      <c r="A7" s="1" t="s">
        <v>31</v>
      </c>
      <c r="B7" s="6">
        <v>92</v>
      </c>
      <c r="C7" s="6">
        <v>92.25</v>
      </c>
      <c r="D7" s="6">
        <f t="shared" si="0"/>
        <v>0.25</v>
      </c>
      <c r="E7" s="1" t="s">
        <v>31</v>
      </c>
      <c r="F7" s="1" t="s">
        <v>32</v>
      </c>
      <c r="G7" s="1" t="s">
        <v>16</v>
      </c>
      <c r="H7" s="1" t="s">
        <v>33</v>
      </c>
      <c r="I7">
        <v>1188</v>
      </c>
      <c r="J7">
        <v>7600</v>
      </c>
      <c r="K7">
        <v>8696</v>
      </c>
      <c r="L7">
        <v>92</v>
      </c>
      <c r="M7" t="s">
        <v>31</v>
      </c>
      <c r="N7" t="s">
        <v>31</v>
      </c>
      <c r="O7">
        <v>4851</v>
      </c>
      <c r="P7">
        <v>7600</v>
      </c>
      <c r="Q7">
        <v>-8694.25</v>
      </c>
      <c r="R7">
        <v>92.25</v>
      </c>
    </row>
    <row r="8" spans="1:18">
      <c r="A8" s="1" t="s">
        <v>34</v>
      </c>
      <c r="B8" s="6">
        <v>0</v>
      </c>
      <c r="C8" s="6">
        <v>675</v>
      </c>
      <c r="D8" s="6">
        <f t="shared" si="0"/>
        <v>675</v>
      </c>
      <c r="E8" s="1" t="s">
        <v>35</v>
      </c>
      <c r="F8" s="1" t="s">
        <v>36</v>
      </c>
      <c r="G8" s="1" t="s">
        <v>16</v>
      </c>
      <c r="H8" s="1" t="s">
        <v>37</v>
      </c>
      <c r="I8">
        <v>0</v>
      </c>
      <c r="J8">
        <v>200</v>
      </c>
      <c r="K8">
        <v>200</v>
      </c>
      <c r="L8">
        <v>0</v>
      </c>
      <c r="M8" t="s">
        <v>34</v>
      </c>
      <c r="N8" t="s">
        <v>35</v>
      </c>
      <c r="O8">
        <v>0</v>
      </c>
      <c r="P8">
        <v>200</v>
      </c>
      <c r="Q8">
        <v>475</v>
      </c>
      <c r="R8">
        <v>675</v>
      </c>
    </row>
    <row r="9" spans="1:18">
      <c r="A9" s="1" t="s">
        <v>34</v>
      </c>
      <c r="B9" s="6">
        <v>2012</v>
      </c>
      <c r="C9" s="6">
        <v>1337</v>
      </c>
      <c r="D9" s="6">
        <f t="shared" si="0"/>
        <v>-675</v>
      </c>
      <c r="E9" s="1" t="s">
        <v>34</v>
      </c>
      <c r="F9" s="1" t="s">
        <v>38</v>
      </c>
      <c r="G9" s="1" t="s">
        <v>16</v>
      </c>
      <c r="H9" s="1" t="s">
        <v>39</v>
      </c>
      <c r="I9">
        <v>188</v>
      </c>
      <c r="J9">
        <v>4200</v>
      </c>
      <c r="K9">
        <v>2376</v>
      </c>
      <c r="L9">
        <v>2012</v>
      </c>
      <c r="M9" t="s">
        <v>34</v>
      </c>
      <c r="N9" t="s">
        <v>34</v>
      </c>
      <c r="O9">
        <v>1516</v>
      </c>
      <c r="P9">
        <v>4000</v>
      </c>
      <c r="Q9">
        <v>-2851</v>
      </c>
      <c r="R9">
        <v>1337</v>
      </c>
    </row>
    <row r="10" spans="1:18">
      <c r="A10" s="1" t="s">
        <v>40</v>
      </c>
      <c r="B10" s="6">
        <v>148</v>
      </c>
      <c r="C10" s="6">
        <v>147.25</v>
      </c>
      <c r="D10" s="6">
        <f t="shared" si="0"/>
        <v>-0.75</v>
      </c>
      <c r="E10" s="1" t="s">
        <v>40</v>
      </c>
      <c r="F10" s="1" t="s">
        <v>41</v>
      </c>
      <c r="G10" s="1" t="s">
        <v>20</v>
      </c>
      <c r="H10" s="1" t="s">
        <v>42</v>
      </c>
      <c r="I10">
        <v>871</v>
      </c>
      <c r="J10">
        <v>0</v>
      </c>
      <c r="K10">
        <v>723</v>
      </c>
      <c r="L10">
        <v>148</v>
      </c>
      <c r="M10" t="s">
        <v>40</v>
      </c>
      <c r="N10" t="s">
        <v>40</v>
      </c>
      <c r="O10">
        <v>523.45000000000005</v>
      </c>
      <c r="P10">
        <v>0</v>
      </c>
      <c r="Q10">
        <v>-722.7</v>
      </c>
      <c r="R10">
        <v>147.25</v>
      </c>
    </row>
    <row r="11" spans="1:18">
      <c r="A11" s="1" t="s">
        <v>43</v>
      </c>
      <c r="B11" s="6">
        <v>0</v>
      </c>
      <c r="C11" s="6">
        <v>345</v>
      </c>
      <c r="D11" s="6">
        <f t="shared" si="0"/>
        <v>345</v>
      </c>
      <c r="E11" s="1" t="s">
        <v>43</v>
      </c>
      <c r="F11" s="1" t="s">
        <v>44</v>
      </c>
      <c r="G11" s="1" t="s">
        <v>20</v>
      </c>
      <c r="H11" s="1" t="s">
        <v>45</v>
      </c>
      <c r="I11">
        <v>101</v>
      </c>
      <c r="J11">
        <v>240</v>
      </c>
      <c r="K11">
        <v>341</v>
      </c>
      <c r="L11">
        <v>0</v>
      </c>
      <c r="M11" t="s">
        <v>43</v>
      </c>
      <c r="N11" t="s">
        <v>43</v>
      </c>
      <c r="O11">
        <v>149</v>
      </c>
      <c r="P11">
        <v>240</v>
      </c>
      <c r="Q11">
        <v>4</v>
      </c>
      <c r="R11">
        <v>345</v>
      </c>
    </row>
    <row r="12" spans="1:18">
      <c r="A12" s="1" t="s">
        <v>46</v>
      </c>
      <c r="B12" s="6">
        <v>23959</v>
      </c>
      <c r="C12" s="6">
        <v>18110</v>
      </c>
      <c r="D12" s="6">
        <f t="shared" si="0"/>
        <v>-5849</v>
      </c>
      <c r="E12" s="1" t="s">
        <v>46</v>
      </c>
      <c r="F12" s="1" t="s">
        <v>47</v>
      </c>
      <c r="G12" s="1" t="s">
        <v>20</v>
      </c>
      <c r="H12" s="1" t="s">
        <v>48</v>
      </c>
      <c r="I12">
        <v>36176</v>
      </c>
      <c r="J12">
        <v>140609</v>
      </c>
      <c r="K12">
        <v>152826</v>
      </c>
      <c r="L12">
        <v>23959</v>
      </c>
      <c r="M12" t="s">
        <v>46</v>
      </c>
      <c r="N12" t="s">
        <v>46</v>
      </c>
      <c r="O12">
        <v>67783</v>
      </c>
      <c r="P12">
        <v>120600</v>
      </c>
      <c r="Q12">
        <v>-138666</v>
      </c>
      <c r="R12">
        <v>18110</v>
      </c>
    </row>
    <row r="13" spans="1:18">
      <c r="A13" s="1" t="s">
        <v>46</v>
      </c>
      <c r="B13" s="6">
        <v>0</v>
      </c>
      <c r="C13" s="6">
        <v>10</v>
      </c>
      <c r="D13" s="6">
        <f t="shared" si="0"/>
        <v>10</v>
      </c>
      <c r="E13" s="1" t="s">
        <v>49</v>
      </c>
      <c r="F13" s="1" t="s">
        <v>50</v>
      </c>
      <c r="G13" s="1" t="s">
        <v>16</v>
      </c>
      <c r="H13" s="1" t="s">
        <v>51</v>
      </c>
      <c r="I13">
        <v>9</v>
      </c>
      <c r="J13">
        <v>0</v>
      </c>
      <c r="K13">
        <v>9</v>
      </c>
      <c r="L13">
        <v>0</v>
      </c>
      <c r="M13" t="s">
        <v>46</v>
      </c>
      <c r="N13" t="s">
        <v>49</v>
      </c>
      <c r="O13">
        <v>9</v>
      </c>
      <c r="P13">
        <v>0</v>
      </c>
      <c r="Q13">
        <v>1</v>
      </c>
      <c r="R13">
        <v>10</v>
      </c>
    </row>
    <row r="14" spans="1:18">
      <c r="A14" s="1" t="s">
        <v>52</v>
      </c>
      <c r="B14" s="6">
        <v>70</v>
      </c>
      <c r="C14" s="6">
        <v>150</v>
      </c>
      <c r="D14" s="6">
        <f t="shared" si="0"/>
        <v>80</v>
      </c>
      <c r="E14" s="1" t="s">
        <v>53</v>
      </c>
      <c r="F14" s="1" t="s">
        <v>54</v>
      </c>
      <c r="G14" s="1" t="s">
        <v>16</v>
      </c>
      <c r="H14" s="1" t="s">
        <v>55</v>
      </c>
      <c r="I14">
        <v>0</v>
      </c>
      <c r="J14">
        <v>70</v>
      </c>
      <c r="K14">
        <v>0</v>
      </c>
      <c r="L14">
        <v>70</v>
      </c>
      <c r="M14" t="s">
        <v>52</v>
      </c>
      <c r="N14" t="s">
        <v>53</v>
      </c>
      <c r="O14">
        <v>0</v>
      </c>
      <c r="P14">
        <v>70</v>
      </c>
      <c r="Q14">
        <v>80</v>
      </c>
      <c r="R14">
        <v>150</v>
      </c>
    </row>
    <row r="15" spans="1:18">
      <c r="A15" s="1" t="s">
        <v>56</v>
      </c>
      <c r="B15" s="6">
        <v>7686</v>
      </c>
      <c r="C15" s="6">
        <v>6997</v>
      </c>
      <c r="D15" s="6">
        <f t="shared" si="0"/>
        <v>-689</v>
      </c>
      <c r="E15" s="1" t="s">
        <v>56</v>
      </c>
      <c r="F15" s="1" t="s">
        <v>57</v>
      </c>
      <c r="G15" s="1" t="s">
        <v>20</v>
      </c>
      <c r="H15" s="1" t="s">
        <v>58</v>
      </c>
      <c r="I15">
        <v>38149</v>
      </c>
      <c r="J15">
        <v>190500</v>
      </c>
      <c r="K15">
        <v>220963</v>
      </c>
      <c r="L15">
        <v>7686</v>
      </c>
      <c r="M15" t="s">
        <v>56</v>
      </c>
      <c r="N15" t="s">
        <v>56</v>
      </c>
      <c r="O15">
        <v>34321</v>
      </c>
      <c r="P15">
        <v>176400</v>
      </c>
      <c r="Q15">
        <v>-207552</v>
      </c>
      <c r="R15">
        <v>6997</v>
      </c>
    </row>
    <row r="16" spans="1:18">
      <c r="A16" s="1" t="s">
        <v>59</v>
      </c>
      <c r="B16" s="6">
        <v>15</v>
      </c>
      <c r="C16" s="6">
        <v>165</v>
      </c>
      <c r="D16" s="6">
        <f t="shared" si="0"/>
        <v>150</v>
      </c>
      <c r="E16" s="1" t="s">
        <v>60</v>
      </c>
      <c r="F16" s="1" t="s">
        <v>61</v>
      </c>
      <c r="G16" s="1" t="s">
        <v>16</v>
      </c>
      <c r="H16" s="1" t="s">
        <v>62</v>
      </c>
      <c r="I16">
        <v>0</v>
      </c>
      <c r="J16">
        <v>15</v>
      </c>
      <c r="K16">
        <v>0</v>
      </c>
      <c r="L16">
        <v>15</v>
      </c>
      <c r="M16" t="s">
        <v>59</v>
      </c>
      <c r="N16" t="s">
        <v>60</v>
      </c>
      <c r="O16">
        <v>0</v>
      </c>
      <c r="P16">
        <v>15</v>
      </c>
      <c r="Q16">
        <v>150</v>
      </c>
      <c r="R16">
        <v>165</v>
      </c>
    </row>
    <row r="17" spans="1:18">
      <c r="A17" s="1" t="s">
        <v>63</v>
      </c>
      <c r="B17" s="6">
        <v>0</v>
      </c>
      <c r="C17" s="6">
        <v>2069</v>
      </c>
      <c r="D17" s="6">
        <f t="shared" si="0"/>
        <v>2069</v>
      </c>
      <c r="E17" s="1" t="s">
        <v>64</v>
      </c>
      <c r="F17" s="1" t="s">
        <v>65</v>
      </c>
      <c r="G17" s="1" t="s">
        <v>16</v>
      </c>
      <c r="H17" s="1" t="s">
        <v>66</v>
      </c>
      <c r="I17">
        <v>0</v>
      </c>
      <c r="J17">
        <v>20002</v>
      </c>
      <c r="K17">
        <v>20002</v>
      </c>
      <c r="L17">
        <v>0</v>
      </c>
      <c r="M17" t="s">
        <v>63</v>
      </c>
      <c r="N17" t="s">
        <v>64</v>
      </c>
      <c r="O17">
        <v>0</v>
      </c>
      <c r="P17">
        <v>36050</v>
      </c>
      <c r="Q17">
        <v>-33981</v>
      </c>
      <c r="R17">
        <v>2069</v>
      </c>
    </row>
    <row r="18" spans="1:18">
      <c r="A18" s="1" t="s">
        <v>63</v>
      </c>
      <c r="B18" s="6">
        <v>28984</v>
      </c>
      <c r="C18" s="6">
        <v>26915</v>
      </c>
      <c r="D18" s="6">
        <f t="shared" si="0"/>
        <v>-2069</v>
      </c>
      <c r="E18" s="1" t="s">
        <v>63</v>
      </c>
      <c r="F18" s="1" t="s">
        <v>67</v>
      </c>
      <c r="G18" s="1" t="s">
        <v>20</v>
      </c>
      <c r="H18" s="1" t="s">
        <v>68</v>
      </c>
      <c r="I18">
        <v>83161</v>
      </c>
      <c r="J18">
        <v>137092</v>
      </c>
      <c r="K18">
        <v>191269</v>
      </c>
      <c r="L18">
        <v>28984</v>
      </c>
      <c r="M18" t="s">
        <v>63</v>
      </c>
      <c r="N18" t="s">
        <v>63</v>
      </c>
      <c r="O18">
        <v>29396</v>
      </c>
      <c r="P18">
        <v>117090</v>
      </c>
      <c r="Q18">
        <v>-173336</v>
      </c>
      <c r="R18">
        <v>26915</v>
      </c>
    </row>
    <row r="19" spans="1:18">
      <c r="A19" s="1" t="s">
        <v>69</v>
      </c>
      <c r="B19" s="6">
        <v>127</v>
      </c>
      <c r="C19" s="6">
        <v>4</v>
      </c>
      <c r="D19" s="6">
        <f t="shared" si="0"/>
        <v>-123</v>
      </c>
      <c r="E19" s="1" t="s">
        <v>69</v>
      </c>
      <c r="F19" s="1" t="s">
        <v>70</v>
      </c>
      <c r="G19" s="1" t="s">
        <v>16</v>
      </c>
      <c r="H19" s="1" t="s">
        <v>71</v>
      </c>
      <c r="I19">
        <v>27</v>
      </c>
      <c r="J19">
        <v>100</v>
      </c>
      <c r="K19">
        <v>0</v>
      </c>
      <c r="L19">
        <v>127</v>
      </c>
      <c r="M19" t="s">
        <v>69</v>
      </c>
      <c r="N19" t="s">
        <v>69</v>
      </c>
      <c r="O19">
        <v>76</v>
      </c>
      <c r="P19">
        <v>100</v>
      </c>
      <c r="Q19">
        <v>-123</v>
      </c>
      <c r="R19">
        <v>4</v>
      </c>
    </row>
    <row r="20" spans="1:18">
      <c r="A20" s="1" t="s">
        <v>72</v>
      </c>
      <c r="B20" s="6">
        <v>27865</v>
      </c>
      <c r="C20" s="6">
        <v>6485</v>
      </c>
      <c r="D20" s="6">
        <f t="shared" si="0"/>
        <v>-21380</v>
      </c>
      <c r="E20" s="1" t="s">
        <v>72</v>
      </c>
      <c r="F20" s="1" t="s">
        <v>73</v>
      </c>
      <c r="G20" s="1" t="s">
        <v>20</v>
      </c>
      <c r="H20" s="1" t="s">
        <v>74</v>
      </c>
      <c r="I20">
        <v>13465</v>
      </c>
      <c r="J20">
        <v>74400</v>
      </c>
      <c r="K20">
        <v>60000</v>
      </c>
      <c r="L20">
        <v>27865</v>
      </c>
      <c r="M20" t="s">
        <v>72</v>
      </c>
      <c r="N20" t="s">
        <v>72</v>
      </c>
      <c r="O20">
        <v>7183.5</v>
      </c>
      <c r="P20">
        <v>74400</v>
      </c>
      <c r="Q20">
        <v>-81379</v>
      </c>
      <c r="R20">
        <v>6485</v>
      </c>
    </row>
    <row r="21" spans="1:18">
      <c r="A21" s="1" t="s">
        <v>75</v>
      </c>
      <c r="B21" s="6">
        <v>0</v>
      </c>
      <c r="C21" s="6">
        <v>1</v>
      </c>
      <c r="D21" s="6">
        <f t="shared" si="0"/>
        <v>1</v>
      </c>
      <c r="E21" s="1" t="s">
        <v>75</v>
      </c>
      <c r="F21" s="1" t="s">
        <v>76</v>
      </c>
      <c r="G21" s="1" t="s">
        <v>77</v>
      </c>
      <c r="H21" s="1" t="s">
        <v>78</v>
      </c>
      <c r="I21">
        <v>0</v>
      </c>
      <c r="J21">
        <v>140</v>
      </c>
      <c r="K21">
        <v>140</v>
      </c>
      <c r="L21">
        <v>0</v>
      </c>
      <c r="M21" t="s">
        <v>75</v>
      </c>
      <c r="N21" t="s">
        <v>75</v>
      </c>
      <c r="O21">
        <v>12</v>
      </c>
      <c r="P21">
        <v>677</v>
      </c>
      <c r="Q21">
        <v>-676</v>
      </c>
      <c r="R21">
        <v>1</v>
      </c>
    </row>
    <row r="22" spans="1:18">
      <c r="A22" s="1" t="s">
        <v>79</v>
      </c>
      <c r="B22" s="6">
        <v>15146</v>
      </c>
      <c r="C22" s="6">
        <v>12000</v>
      </c>
      <c r="D22" s="6">
        <f t="shared" si="0"/>
        <v>-3146</v>
      </c>
      <c r="E22" s="1" t="s">
        <v>79</v>
      </c>
      <c r="F22" s="1" t="s">
        <v>80</v>
      </c>
      <c r="G22" s="1" t="s">
        <v>16</v>
      </c>
      <c r="H22" s="1" t="s">
        <v>81</v>
      </c>
      <c r="I22">
        <v>13484</v>
      </c>
      <c r="J22">
        <v>12000</v>
      </c>
      <c r="K22">
        <v>10338</v>
      </c>
      <c r="L22">
        <v>15146</v>
      </c>
      <c r="M22" t="s">
        <v>79</v>
      </c>
      <c r="N22" t="s">
        <v>79</v>
      </c>
      <c r="O22">
        <v>6757</v>
      </c>
      <c r="P22">
        <v>12000</v>
      </c>
      <c r="Q22">
        <v>-13484.7</v>
      </c>
      <c r="R22">
        <v>12000</v>
      </c>
    </row>
    <row r="23" spans="1:18">
      <c r="A23" s="1" t="s">
        <v>79</v>
      </c>
      <c r="B23" s="6">
        <v>6000</v>
      </c>
      <c r="C23" s="6">
        <v>3146</v>
      </c>
      <c r="D23" s="6">
        <f t="shared" si="0"/>
        <v>-2854</v>
      </c>
      <c r="E23" s="1" t="s">
        <v>82</v>
      </c>
      <c r="F23" s="1" t="s">
        <v>83</v>
      </c>
      <c r="G23" s="1" t="s">
        <v>16</v>
      </c>
      <c r="H23" s="1" t="s">
        <v>84</v>
      </c>
      <c r="I23">
        <v>0</v>
      </c>
      <c r="J23">
        <v>6000</v>
      </c>
      <c r="K23">
        <v>0</v>
      </c>
      <c r="L23">
        <v>6000</v>
      </c>
      <c r="M23" t="s">
        <v>79</v>
      </c>
      <c r="N23" t="s">
        <v>82</v>
      </c>
      <c r="O23">
        <v>0</v>
      </c>
      <c r="P23">
        <v>6000</v>
      </c>
      <c r="Q23">
        <v>-2854</v>
      </c>
      <c r="R23">
        <v>3146</v>
      </c>
    </row>
    <row r="24" spans="1:18">
      <c r="A24" s="1" t="s">
        <v>85</v>
      </c>
      <c r="B24" s="6">
        <v>492</v>
      </c>
      <c r="C24" s="6">
        <v>592</v>
      </c>
      <c r="D24" s="6">
        <f t="shared" si="0"/>
        <v>100</v>
      </c>
      <c r="E24" s="1" t="s">
        <v>85</v>
      </c>
      <c r="F24" s="1" t="s">
        <v>86</v>
      </c>
      <c r="G24" s="1" t="s">
        <v>16</v>
      </c>
      <c r="H24" s="1" t="s">
        <v>87</v>
      </c>
      <c r="I24">
        <v>232</v>
      </c>
      <c r="J24">
        <v>900</v>
      </c>
      <c r="K24">
        <v>640</v>
      </c>
      <c r="L24">
        <v>492</v>
      </c>
      <c r="M24" t="s">
        <v>85</v>
      </c>
      <c r="N24" t="s">
        <v>85</v>
      </c>
      <c r="O24">
        <v>978</v>
      </c>
      <c r="P24">
        <v>900</v>
      </c>
      <c r="Q24">
        <v>-540</v>
      </c>
      <c r="R24">
        <v>592</v>
      </c>
    </row>
    <row r="25" spans="1:18">
      <c r="A25" s="1" t="s">
        <v>88</v>
      </c>
      <c r="B25" s="6">
        <v>4913</v>
      </c>
      <c r="C25" s="6">
        <v>5024</v>
      </c>
      <c r="D25" s="6">
        <f t="shared" si="0"/>
        <v>111</v>
      </c>
      <c r="E25" s="1" t="s">
        <v>88</v>
      </c>
      <c r="F25" s="1" t="s">
        <v>89</v>
      </c>
      <c r="G25" s="1" t="s">
        <v>20</v>
      </c>
      <c r="H25" s="1" t="s">
        <v>90</v>
      </c>
      <c r="I25">
        <v>5208</v>
      </c>
      <c r="J25">
        <v>0</v>
      </c>
      <c r="K25">
        <v>295</v>
      </c>
      <c r="L25">
        <v>4913</v>
      </c>
      <c r="M25" t="s">
        <v>88</v>
      </c>
      <c r="N25" t="s">
        <v>88</v>
      </c>
      <c r="O25">
        <v>4913</v>
      </c>
      <c r="P25">
        <v>0</v>
      </c>
      <c r="Q25">
        <v>-184</v>
      </c>
      <c r="R25">
        <v>5024</v>
      </c>
    </row>
    <row r="26" spans="1:18">
      <c r="A26" s="1" t="s">
        <v>91</v>
      </c>
      <c r="B26" s="6">
        <v>19926</v>
      </c>
      <c r="C26" s="6">
        <v>9951</v>
      </c>
      <c r="D26" s="6">
        <f t="shared" si="0"/>
        <v>-9975</v>
      </c>
      <c r="E26" s="1" t="s">
        <v>91</v>
      </c>
      <c r="F26" s="1" t="s">
        <v>92</v>
      </c>
      <c r="G26" s="1" t="s">
        <v>16</v>
      </c>
      <c r="H26" s="1" t="s">
        <v>93</v>
      </c>
      <c r="I26">
        <v>10021</v>
      </c>
      <c r="J26">
        <v>38500</v>
      </c>
      <c r="K26">
        <v>28595</v>
      </c>
      <c r="L26">
        <v>19926</v>
      </c>
      <c r="M26" t="s">
        <v>91</v>
      </c>
      <c r="N26" t="s">
        <v>91</v>
      </c>
      <c r="O26">
        <v>13231</v>
      </c>
      <c r="P26">
        <v>38500</v>
      </c>
      <c r="Q26">
        <v>-38570</v>
      </c>
      <c r="R26">
        <v>9951</v>
      </c>
    </row>
    <row r="27" spans="1:18">
      <c r="A27" s="1" t="s">
        <v>94</v>
      </c>
      <c r="B27" s="6">
        <v>259</v>
      </c>
      <c r="C27" s="6">
        <v>137</v>
      </c>
      <c r="D27" s="6">
        <f t="shared" si="0"/>
        <v>-122</v>
      </c>
      <c r="E27" s="1" t="s">
        <v>94</v>
      </c>
      <c r="F27" s="1" t="s">
        <v>95</v>
      </c>
      <c r="G27" s="1" t="s">
        <v>20</v>
      </c>
      <c r="H27" s="1" t="s">
        <v>96</v>
      </c>
      <c r="I27">
        <v>259</v>
      </c>
      <c r="J27">
        <v>0</v>
      </c>
      <c r="K27">
        <v>0</v>
      </c>
      <c r="L27">
        <v>259</v>
      </c>
      <c r="M27" t="s">
        <v>94</v>
      </c>
      <c r="N27" t="s">
        <v>94</v>
      </c>
      <c r="O27">
        <v>292</v>
      </c>
      <c r="P27">
        <v>0</v>
      </c>
      <c r="Q27">
        <v>-122</v>
      </c>
      <c r="R27">
        <v>137</v>
      </c>
    </row>
    <row r="28" spans="1:18">
      <c r="A28" s="1" t="s">
        <v>97</v>
      </c>
      <c r="B28" s="6">
        <v>944</v>
      </c>
      <c r="C28" s="6">
        <v>943.25</v>
      </c>
      <c r="D28" s="6">
        <f t="shared" si="0"/>
        <v>-0.75</v>
      </c>
      <c r="E28" s="1" t="s">
        <v>97</v>
      </c>
      <c r="F28" s="1" t="s">
        <v>98</v>
      </c>
      <c r="G28" s="1" t="s">
        <v>20</v>
      </c>
      <c r="H28" s="1" t="s">
        <v>99</v>
      </c>
      <c r="I28">
        <v>1373</v>
      </c>
      <c r="J28">
        <v>10000</v>
      </c>
      <c r="K28">
        <v>10429</v>
      </c>
      <c r="L28">
        <v>944</v>
      </c>
      <c r="M28" t="s">
        <v>97</v>
      </c>
      <c r="N28" t="s">
        <v>97</v>
      </c>
      <c r="O28">
        <v>2013.15</v>
      </c>
      <c r="P28">
        <v>10000</v>
      </c>
      <c r="Q28">
        <v>-10429.74</v>
      </c>
      <c r="R28">
        <v>943.25</v>
      </c>
    </row>
    <row r="29" spans="1:18">
      <c r="A29" s="1" t="s">
        <v>100</v>
      </c>
      <c r="B29" s="6">
        <v>2</v>
      </c>
      <c r="C29" s="6">
        <v>1</v>
      </c>
      <c r="D29" s="6">
        <f t="shared" si="0"/>
        <v>-1</v>
      </c>
      <c r="E29" s="1" t="s">
        <v>100</v>
      </c>
      <c r="F29" s="1" t="s">
        <v>101</v>
      </c>
      <c r="G29" s="1" t="s">
        <v>77</v>
      </c>
      <c r="H29" s="1" t="s">
        <v>102</v>
      </c>
      <c r="I29">
        <v>0</v>
      </c>
      <c r="J29">
        <v>2</v>
      </c>
      <c r="K29">
        <v>0</v>
      </c>
      <c r="L29">
        <v>2</v>
      </c>
      <c r="M29" t="s">
        <v>100</v>
      </c>
      <c r="N29" t="s">
        <v>100</v>
      </c>
      <c r="O29">
        <v>187</v>
      </c>
      <c r="P29">
        <v>155</v>
      </c>
      <c r="Q29">
        <v>-280</v>
      </c>
      <c r="R29">
        <v>1</v>
      </c>
    </row>
    <row r="30" spans="1:18">
      <c r="A30" s="1" t="s">
        <v>103</v>
      </c>
      <c r="B30" s="6">
        <v>0</v>
      </c>
      <c r="C30" s="6">
        <v>33</v>
      </c>
      <c r="D30" s="6">
        <f t="shared" si="0"/>
        <v>33</v>
      </c>
      <c r="E30" s="1" t="s">
        <v>103</v>
      </c>
      <c r="F30" s="1" t="s">
        <v>104</v>
      </c>
      <c r="G30" s="1" t="s">
        <v>16</v>
      </c>
      <c r="H30" s="1" t="s">
        <v>105</v>
      </c>
      <c r="I30">
        <v>0</v>
      </c>
      <c r="J30">
        <v>30</v>
      </c>
      <c r="K30">
        <v>30</v>
      </c>
      <c r="L30">
        <v>0</v>
      </c>
      <c r="M30" t="s">
        <v>103</v>
      </c>
      <c r="N30" t="s">
        <v>103</v>
      </c>
      <c r="O30">
        <v>160</v>
      </c>
      <c r="P30">
        <v>30</v>
      </c>
      <c r="Q30">
        <v>-312</v>
      </c>
      <c r="R30">
        <v>33</v>
      </c>
    </row>
    <row r="31" spans="1:18">
      <c r="A31" s="1" t="s">
        <v>106</v>
      </c>
      <c r="B31" s="6">
        <v>0</v>
      </c>
      <c r="C31" s="6">
        <v>556</v>
      </c>
      <c r="D31" s="6">
        <f t="shared" si="0"/>
        <v>556</v>
      </c>
      <c r="E31" s="1" t="s">
        <v>106</v>
      </c>
      <c r="F31" s="1" t="s">
        <v>107</v>
      </c>
      <c r="G31" s="1" t="s">
        <v>16</v>
      </c>
      <c r="H31" s="1" t="s">
        <v>108</v>
      </c>
      <c r="I31">
        <v>338</v>
      </c>
      <c r="J31">
        <v>100800</v>
      </c>
      <c r="K31">
        <v>101138</v>
      </c>
      <c r="L31">
        <v>0</v>
      </c>
      <c r="M31" t="s">
        <v>106</v>
      </c>
      <c r="N31" t="s">
        <v>106</v>
      </c>
      <c r="O31">
        <v>44452</v>
      </c>
      <c r="P31">
        <v>100800</v>
      </c>
      <c r="Q31">
        <v>-100582</v>
      </c>
      <c r="R31">
        <v>556</v>
      </c>
    </row>
    <row r="32" spans="1:18">
      <c r="A32" s="1" t="s">
        <v>109</v>
      </c>
      <c r="B32" s="6">
        <v>4182</v>
      </c>
      <c r="C32" s="6">
        <v>4192</v>
      </c>
      <c r="D32" s="6">
        <f t="shared" si="0"/>
        <v>10</v>
      </c>
      <c r="E32" s="1" t="s">
        <v>109</v>
      </c>
      <c r="F32" s="1" t="s">
        <v>110</v>
      </c>
      <c r="G32" s="1" t="s">
        <v>16</v>
      </c>
      <c r="H32" s="1" t="s">
        <v>111</v>
      </c>
      <c r="I32">
        <v>622</v>
      </c>
      <c r="J32">
        <v>31700</v>
      </c>
      <c r="K32">
        <v>28140</v>
      </c>
      <c r="L32">
        <v>4182</v>
      </c>
      <c r="M32" t="s">
        <v>109</v>
      </c>
      <c r="N32" t="s">
        <v>109</v>
      </c>
      <c r="O32">
        <v>3866</v>
      </c>
      <c r="P32">
        <v>31700</v>
      </c>
      <c r="Q32">
        <v>-28130</v>
      </c>
      <c r="R32">
        <v>4192</v>
      </c>
    </row>
    <row r="33" spans="1:18">
      <c r="A33" s="1" t="s">
        <v>112</v>
      </c>
      <c r="B33" s="6">
        <v>126</v>
      </c>
      <c r="C33" s="6">
        <v>0</v>
      </c>
      <c r="D33" s="6">
        <f t="shared" si="0"/>
        <v>-126</v>
      </c>
      <c r="E33" s="1" t="s">
        <v>112</v>
      </c>
      <c r="F33" s="1" t="s">
        <v>113</v>
      </c>
      <c r="G33" s="1" t="s">
        <v>20</v>
      </c>
      <c r="H33" s="1" t="s">
        <v>114</v>
      </c>
      <c r="I33">
        <v>126</v>
      </c>
      <c r="J33">
        <v>0</v>
      </c>
      <c r="K33">
        <v>0</v>
      </c>
      <c r="L33">
        <v>126</v>
      </c>
      <c r="M33" t="s">
        <v>112</v>
      </c>
      <c r="N33" t="s">
        <v>112</v>
      </c>
      <c r="O33">
        <v>126</v>
      </c>
      <c r="P33">
        <v>0</v>
      </c>
      <c r="Q33">
        <v>-126</v>
      </c>
      <c r="R33">
        <v>0</v>
      </c>
    </row>
    <row r="34" spans="1:18">
      <c r="A34" s="1" t="s">
        <v>115</v>
      </c>
      <c r="B34" s="6">
        <v>1339</v>
      </c>
      <c r="C34" s="6">
        <v>130</v>
      </c>
      <c r="D34" s="6">
        <f t="shared" si="0"/>
        <v>-1209</v>
      </c>
      <c r="E34" s="1" t="s">
        <v>116</v>
      </c>
      <c r="F34" s="1" t="s">
        <v>117</v>
      </c>
      <c r="G34" s="1" t="s">
        <v>16</v>
      </c>
      <c r="H34" s="1" t="s">
        <v>118</v>
      </c>
      <c r="I34">
        <v>22</v>
      </c>
      <c r="J34">
        <v>1317</v>
      </c>
      <c r="K34">
        <v>0</v>
      </c>
      <c r="L34">
        <v>1339</v>
      </c>
      <c r="M34" t="s">
        <v>115</v>
      </c>
      <c r="N34" t="s">
        <v>116</v>
      </c>
      <c r="O34">
        <v>89</v>
      </c>
      <c r="P34">
        <v>0</v>
      </c>
      <c r="Q34">
        <v>108</v>
      </c>
      <c r="R34">
        <v>130</v>
      </c>
    </row>
    <row r="35" spans="1:18">
      <c r="A35" s="1" t="s">
        <v>115</v>
      </c>
      <c r="B35" s="6">
        <v>0</v>
      </c>
      <c r="C35" s="6">
        <v>445</v>
      </c>
      <c r="D35" s="6">
        <f t="shared" si="0"/>
        <v>445</v>
      </c>
      <c r="E35" s="1" t="s">
        <v>115</v>
      </c>
      <c r="F35" s="1" t="s">
        <v>119</v>
      </c>
      <c r="G35" s="1" t="s">
        <v>20</v>
      </c>
      <c r="H35" s="1" t="s">
        <v>120</v>
      </c>
      <c r="I35">
        <v>417</v>
      </c>
      <c r="J35">
        <v>900</v>
      </c>
      <c r="K35">
        <v>1317</v>
      </c>
      <c r="L35">
        <v>0</v>
      </c>
      <c r="M35" t="s">
        <v>115</v>
      </c>
      <c r="N35" t="s">
        <v>115</v>
      </c>
      <c r="O35">
        <v>18</v>
      </c>
      <c r="P35">
        <v>900</v>
      </c>
      <c r="Q35">
        <v>-872</v>
      </c>
      <c r="R35">
        <v>445</v>
      </c>
    </row>
    <row r="36" spans="1:18">
      <c r="A36" s="1" t="s">
        <v>121</v>
      </c>
      <c r="B36" s="6">
        <v>0</v>
      </c>
      <c r="C36" s="6">
        <v>1825</v>
      </c>
      <c r="D36" s="6">
        <f t="shared" si="0"/>
        <v>1825</v>
      </c>
      <c r="E36" s="1" t="s">
        <v>121</v>
      </c>
      <c r="F36" s="1" t="s">
        <v>122</v>
      </c>
      <c r="G36" s="1" t="s">
        <v>20</v>
      </c>
      <c r="H36" s="1" t="s">
        <v>123</v>
      </c>
      <c r="I36">
        <v>0</v>
      </c>
      <c r="J36">
        <v>2000</v>
      </c>
      <c r="K36">
        <v>2000</v>
      </c>
      <c r="L36">
        <v>0</v>
      </c>
      <c r="M36" t="s">
        <v>121</v>
      </c>
      <c r="N36" t="s">
        <v>121</v>
      </c>
      <c r="O36">
        <v>9536.5</v>
      </c>
      <c r="P36">
        <v>15000</v>
      </c>
      <c r="Q36">
        <v>-18341</v>
      </c>
      <c r="R36">
        <v>1825</v>
      </c>
    </row>
    <row r="37" spans="1:18">
      <c r="A37" s="1" t="s">
        <v>121</v>
      </c>
      <c r="B37" s="6">
        <v>3825</v>
      </c>
      <c r="C37" s="6">
        <v>1825</v>
      </c>
      <c r="D37" s="6">
        <f t="shared" si="0"/>
        <v>-2000</v>
      </c>
      <c r="E37" s="1" t="s">
        <v>121</v>
      </c>
      <c r="F37" s="1" t="s">
        <v>124</v>
      </c>
      <c r="G37" s="1" t="s">
        <v>16</v>
      </c>
      <c r="H37" s="1" t="s">
        <v>125</v>
      </c>
      <c r="I37">
        <v>5167</v>
      </c>
      <c r="J37">
        <v>16000</v>
      </c>
      <c r="K37">
        <v>17342</v>
      </c>
      <c r="L37">
        <v>3825</v>
      </c>
      <c r="M37" t="s">
        <v>121</v>
      </c>
      <c r="N37" t="s">
        <v>121</v>
      </c>
      <c r="O37">
        <v>9536.5</v>
      </c>
      <c r="P37">
        <v>15000</v>
      </c>
      <c r="Q37">
        <v>-18341</v>
      </c>
      <c r="R37">
        <v>1825</v>
      </c>
    </row>
    <row r="38" spans="1:18">
      <c r="A38" s="1" t="s">
        <v>126</v>
      </c>
      <c r="B38" s="6">
        <v>36668</v>
      </c>
      <c r="C38" s="6">
        <v>1620</v>
      </c>
      <c r="D38" s="6">
        <f t="shared" si="0"/>
        <v>-35048</v>
      </c>
      <c r="E38" s="1" t="s">
        <v>126</v>
      </c>
      <c r="F38" s="1" t="s">
        <v>127</v>
      </c>
      <c r="G38" s="1" t="s">
        <v>16</v>
      </c>
      <c r="H38" s="1" t="s">
        <v>128</v>
      </c>
      <c r="I38">
        <v>29868</v>
      </c>
      <c r="J38">
        <v>6800</v>
      </c>
      <c r="K38">
        <v>0</v>
      </c>
      <c r="L38">
        <v>36668</v>
      </c>
      <c r="M38" t="s">
        <v>126</v>
      </c>
      <c r="N38" t="s">
        <v>126</v>
      </c>
      <c r="O38">
        <v>26669</v>
      </c>
      <c r="P38">
        <v>6800</v>
      </c>
      <c r="Q38">
        <v>-35048</v>
      </c>
      <c r="R38">
        <v>1620</v>
      </c>
    </row>
    <row r="39" spans="1:18">
      <c r="A39" s="1" t="s">
        <v>129</v>
      </c>
      <c r="B39" s="6">
        <v>5301</v>
      </c>
      <c r="C39" s="6">
        <v>9301</v>
      </c>
      <c r="D39" s="6">
        <f t="shared" si="0"/>
        <v>4000</v>
      </c>
      <c r="E39" s="1" t="s">
        <v>129</v>
      </c>
      <c r="F39" s="1" t="s">
        <v>130</v>
      </c>
      <c r="G39" s="1" t="s">
        <v>16</v>
      </c>
      <c r="H39" s="1" t="s">
        <v>131</v>
      </c>
      <c r="I39">
        <v>24</v>
      </c>
      <c r="J39">
        <v>7500</v>
      </c>
      <c r="K39">
        <v>2223</v>
      </c>
      <c r="L39">
        <v>5301</v>
      </c>
      <c r="M39" t="s">
        <v>129</v>
      </c>
      <c r="N39" t="s">
        <v>129</v>
      </c>
      <c r="O39">
        <v>0</v>
      </c>
      <c r="P39">
        <v>7500</v>
      </c>
      <c r="Q39">
        <v>1777</v>
      </c>
      <c r="R39">
        <v>9301</v>
      </c>
    </row>
    <row r="40" spans="1:18">
      <c r="A40" s="1" t="s">
        <v>132</v>
      </c>
      <c r="B40" s="6">
        <v>12552</v>
      </c>
      <c r="C40" s="6">
        <v>148</v>
      </c>
      <c r="D40" s="6">
        <f t="shared" si="0"/>
        <v>-12404</v>
      </c>
      <c r="E40" s="1" t="s">
        <v>132</v>
      </c>
      <c r="F40" s="1" t="s">
        <v>133</v>
      </c>
      <c r="G40" s="1" t="s">
        <v>16</v>
      </c>
      <c r="H40" s="1" t="s">
        <v>134</v>
      </c>
      <c r="I40">
        <v>1052</v>
      </c>
      <c r="J40">
        <v>11500</v>
      </c>
      <c r="K40">
        <v>0</v>
      </c>
      <c r="L40">
        <v>12552</v>
      </c>
      <c r="M40" t="s">
        <v>132</v>
      </c>
      <c r="N40" t="s">
        <v>132</v>
      </c>
      <c r="O40">
        <v>7</v>
      </c>
      <c r="P40">
        <v>0</v>
      </c>
      <c r="Q40">
        <v>-904</v>
      </c>
      <c r="R40">
        <v>148</v>
      </c>
    </row>
    <row r="41" spans="1:18">
      <c r="A41" s="1" t="s">
        <v>132</v>
      </c>
      <c r="B41" s="6">
        <v>0</v>
      </c>
      <c r="C41" s="6">
        <v>2576</v>
      </c>
      <c r="D41" s="6">
        <f t="shared" si="0"/>
        <v>2576</v>
      </c>
      <c r="E41" s="1" t="s">
        <v>135</v>
      </c>
      <c r="F41" s="1" t="s">
        <v>136</v>
      </c>
      <c r="G41" s="1" t="s">
        <v>16</v>
      </c>
      <c r="H41" s="1" t="s">
        <v>137</v>
      </c>
      <c r="I41">
        <v>0</v>
      </c>
      <c r="J41">
        <v>1500</v>
      </c>
      <c r="K41">
        <v>1500</v>
      </c>
      <c r="L41">
        <v>0</v>
      </c>
      <c r="M41" t="s">
        <v>132</v>
      </c>
      <c r="N41" t="s">
        <v>135</v>
      </c>
      <c r="O41">
        <v>9730</v>
      </c>
      <c r="P41">
        <v>11500</v>
      </c>
      <c r="Q41">
        <v>-8924</v>
      </c>
      <c r="R41">
        <v>2576</v>
      </c>
    </row>
    <row r="42" spans="1:18">
      <c r="A42" s="1" t="s">
        <v>138</v>
      </c>
      <c r="B42" s="6">
        <v>128</v>
      </c>
      <c r="C42" s="6">
        <v>0</v>
      </c>
      <c r="D42" s="6">
        <f t="shared" si="0"/>
        <v>-128</v>
      </c>
      <c r="E42" s="1" t="s">
        <v>138</v>
      </c>
      <c r="F42" s="1" t="s">
        <v>139</v>
      </c>
      <c r="G42" s="1" t="s">
        <v>20</v>
      </c>
      <c r="H42" s="1" t="s">
        <v>140</v>
      </c>
      <c r="I42">
        <v>128</v>
      </c>
      <c r="J42">
        <v>0</v>
      </c>
      <c r="K42">
        <v>0</v>
      </c>
      <c r="L42">
        <v>128</v>
      </c>
      <c r="M42" t="s">
        <v>138</v>
      </c>
      <c r="N42" t="s">
        <v>138</v>
      </c>
      <c r="O42">
        <v>110</v>
      </c>
      <c r="P42">
        <v>0</v>
      </c>
      <c r="Q42">
        <v>-128</v>
      </c>
      <c r="R42">
        <v>0</v>
      </c>
    </row>
    <row r="43" spans="1:18">
      <c r="A43" s="1" t="s">
        <v>141</v>
      </c>
      <c r="B43" s="6">
        <v>80</v>
      </c>
      <c r="C43" s="6">
        <v>200</v>
      </c>
      <c r="D43" s="6">
        <f t="shared" si="0"/>
        <v>120</v>
      </c>
      <c r="E43" s="1" t="s">
        <v>141</v>
      </c>
      <c r="F43" s="1" t="s">
        <v>142</v>
      </c>
      <c r="G43" s="1" t="s">
        <v>16</v>
      </c>
      <c r="H43" s="1" t="s">
        <v>143</v>
      </c>
      <c r="I43">
        <v>200</v>
      </c>
      <c r="J43">
        <v>100</v>
      </c>
      <c r="K43">
        <v>220</v>
      </c>
      <c r="L43">
        <v>80</v>
      </c>
      <c r="M43" t="s">
        <v>141</v>
      </c>
      <c r="N43" t="s">
        <v>141</v>
      </c>
      <c r="O43">
        <v>25</v>
      </c>
      <c r="P43">
        <v>100</v>
      </c>
      <c r="Q43">
        <v>-100</v>
      </c>
      <c r="R43">
        <v>200</v>
      </c>
    </row>
    <row r="44" spans="1:18">
      <c r="A44" s="1" t="s">
        <v>144</v>
      </c>
      <c r="B44" s="6">
        <v>4000</v>
      </c>
      <c r="C44" s="6">
        <v>1200</v>
      </c>
      <c r="D44" s="6">
        <f t="shared" si="0"/>
        <v>-2800</v>
      </c>
      <c r="E44" s="1" t="s">
        <v>144</v>
      </c>
      <c r="F44" s="1" t="s">
        <v>145</v>
      </c>
      <c r="G44" s="1" t="s">
        <v>16</v>
      </c>
      <c r="H44" s="1" t="s">
        <v>146</v>
      </c>
      <c r="I44">
        <v>0</v>
      </c>
      <c r="J44">
        <v>4000</v>
      </c>
      <c r="K44">
        <v>0</v>
      </c>
      <c r="L44">
        <v>4000</v>
      </c>
      <c r="M44" t="s">
        <v>144</v>
      </c>
      <c r="N44" t="s">
        <v>144</v>
      </c>
      <c r="O44">
        <v>0</v>
      </c>
      <c r="P44">
        <v>4000</v>
      </c>
      <c r="Q44">
        <v>-2800</v>
      </c>
      <c r="R44">
        <v>1200</v>
      </c>
    </row>
    <row r="45" spans="1:18">
      <c r="A45" s="1" t="s">
        <v>144</v>
      </c>
      <c r="B45" s="6">
        <v>119193</v>
      </c>
      <c r="C45" s="6">
        <v>1200</v>
      </c>
      <c r="D45" s="6">
        <f t="shared" si="0"/>
        <v>-117993</v>
      </c>
      <c r="E45" s="1" t="s">
        <v>144</v>
      </c>
      <c r="F45" s="1" t="s">
        <v>147</v>
      </c>
      <c r="G45" s="1" t="s">
        <v>16</v>
      </c>
      <c r="H45" s="1" t="s">
        <v>148</v>
      </c>
      <c r="I45">
        <v>18163</v>
      </c>
      <c r="J45">
        <v>101030</v>
      </c>
      <c r="K45">
        <v>0</v>
      </c>
      <c r="L45">
        <v>119193</v>
      </c>
      <c r="M45" t="s">
        <v>144</v>
      </c>
      <c r="N45" t="s">
        <v>144</v>
      </c>
      <c r="O45">
        <v>0</v>
      </c>
      <c r="P45">
        <v>4000</v>
      </c>
      <c r="Q45">
        <v>-2800</v>
      </c>
      <c r="R45">
        <v>1200</v>
      </c>
    </row>
    <row r="46" spans="1:18">
      <c r="A46" s="1" t="s">
        <v>149</v>
      </c>
      <c r="B46" s="6">
        <v>7</v>
      </c>
      <c r="C46" s="6">
        <v>109</v>
      </c>
      <c r="D46" s="6">
        <f t="shared" si="0"/>
        <v>102</v>
      </c>
      <c r="E46" s="1" t="s">
        <v>150</v>
      </c>
      <c r="F46" s="1" t="s">
        <v>151</v>
      </c>
      <c r="G46" s="1" t="s">
        <v>16</v>
      </c>
      <c r="H46" s="1" t="s">
        <v>152</v>
      </c>
      <c r="I46">
        <v>7</v>
      </c>
      <c r="J46">
        <v>0</v>
      </c>
      <c r="K46">
        <v>0</v>
      </c>
      <c r="L46">
        <v>7</v>
      </c>
      <c r="M46" t="s">
        <v>149</v>
      </c>
      <c r="N46" t="s">
        <v>150</v>
      </c>
      <c r="O46">
        <v>77</v>
      </c>
      <c r="P46">
        <v>0</v>
      </c>
      <c r="Q46">
        <v>102</v>
      </c>
      <c r="R46">
        <v>109</v>
      </c>
    </row>
    <row r="47" spans="1:18">
      <c r="A47" s="1" t="s">
        <v>149</v>
      </c>
      <c r="B47" s="6">
        <v>66264</v>
      </c>
      <c r="C47" s="6">
        <v>6471</v>
      </c>
      <c r="D47" s="6">
        <f t="shared" si="0"/>
        <v>-59793</v>
      </c>
      <c r="E47" s="1" t="s">
        <v>149</v>
      </c>
      <c r="F47" s="1" t="s">
        <v>153</v>
      </c>
      <c r="G47" s="1" t="s">
        <v>16</v>
      </c>
      <c r="H47" s="1" t="s">
        <v>154</v>
      </c>
      <c r="I47">
        <v>12764</v>
      </c>
      <c r="J47">
        <v>53500</v>
      </c>
      <c r="K47">
        <v>0</v>
      </c>
      <c r="L47">
        <v>66264</v>
      </c>
      <c r="M47" t="s">
        <v>149</v>
      </c>
      <c r="N47" t="s">
        <v>149</v>
      </c>
      <c r="O47">
        <v>321</v>
      </c>
      <c r="P47">
        <v>53500</v>
      </c>
      <c r="Q47">
        <v>-59791</v>
      </c>
      <c r="R47">
        <v>6471</v>
      </c>
    </row>
    <row r="48" spans="1:18">
      <c r="A48" s="1" t="s">
        <v>155</v>
      </c>
      <c r="B48" s="6">
        <v>5</v>
      </c>
      <c r="C48" s="6">
        <v>106</v>
      </c>
      <c r="D48" s="6">
        <f t="shared" si="0"/>
        <v>101</v>
      </c>
      <c r="E48" s="1" t="s">
        <v>155</v>
      </c>
      <c r="F48" s="1" t="s">
        <v>156</v>
      </c>
      <c r="G48" s="1" t="s">
        <v>16</v>
      </c>
      <c r="H48" s="1" t="s">
        <v>157</v>
      </c>
      <c r="I48">
        <v>0</v>
      </c>
      <c r="J48">
        <v>5</v>
      </c>
      <c r="K48">
        <v>0</v>
      </c>
      <c r="L48">
        <v>5</v>
      </c>
      <c r="M48" t="s">
        <v>155</v>
      </c>
      <c r="N48" t="s">
        <v>155</v>
      </c>
      <c r="O48">
        <v>610.5</v>
      </c>
      <c r="P48">
        <v>6605</v>
      </c>
      <c r="Q48">
        <v>-6542.5</v>
      </c>
      <c r="R48">
        <v>106</v>
      </c>
    </row>
    <row r="49" spans="1:18">
      <c r="A49" s="1" t="s">
        <v>158</v>
      </c>
      <c r="B49" s="6">
        <v>120</v>
      </c>
      <c r="C49" s="6">
        <v>0</v>
      </c>
      <c r="D49" s="6">
        <f t="shared" si="0"/>
        <v>-120</v>
      </c>
      <c r="E49" s="1" t="s">
        <v>158</v>
      </c>
      <c r="F49" s="1" t="s">
        <v>159</v>
      </c>
      <c r="G49" s="1" t="s">
        <v>20</v>
      </c>
      <c r="H49" s="1" t="s">
        <v>160</v>
      </c>
      <c r="I49">
        <v>120</v>
      </c>
      <c r="J49">
        <v>0</v>
      </c>
      <c r="K49">
        <v>0</v>
      </c>
      <c r="L49">
        <v>120</v>
      </c>
      <c r="M49" t="s">
        <v>158</v>
      </c>
      <c r="N49" t="s">
        <v>158</v>
      </c>
      <c r="O49">
        <v>120</v>
      </c>
      <c r="P49">
        <v>0</v>
      </c>
      <c r="Q49">
        <v>-120</v>
      </c>
      <c r="R49">
        <v>0</v>
      </c>
    </row>
    <row r="50" spans="1:18">
      <c r="A50" s="1" t="s">
        <v>161</v>
      </c>
      <c r="B50" s="6">
        <v>76</v>
      </c>
      <c r="C50" s="6">
        <v>40</v>
      </c>
      <c r="D50" s="6">
        <f t="shared" si="0"/>
        <v>-36</v>
      </c>
      <c r="E50" s="1" t="s">
        <v>161</v>
      </c>
      <c r="F50" s="1" t="s">
        <v>162</v>
      </c>
      <c r="G50" s="1" t="s">
        <v>20</v>
      </c>
      <c r="H50" s="1" t="s">
        <v>163</v>
      </c>
      <c r="I50">
        <v>103</v>
      </c>
      <c r="J50">
        <v>970</v>
      </c>
      <c r="K50">
        <v>997</v>
      </c>
      <c r="L50">
        <v>76</v>
      </c>
      <c r="M50" t="s">
        <v>161</v>
      </c>
      <c r="N50" t="s">
        <v>161</v>
      </c>
      <c r="O50">
        <v>0</v>
      </c>
      <c r="P50">
        <v>930</v>
      </c>
      <c r="Q50">
        <v>-992.4</v>
      </c>
      <c r="R50">
        <v>40</v>
      </c>
    </row>
    <row r="51" spans="1:18">
      <c r="A51" s="1" t="s">
        <v>164</v>
      </c>
      <c r="B51" s="6">
        <v>10</v>
      </c>
      <c r="C51" s="6">
        <v>20</v>
      </c>
      <c r="D51" s="6">
        <f t="shared" si="0"/>
        <v>10</v>
      </c>
      <c r="E51" s="1" t="s">
        <v>164</v>
      </c>
      <c r="F51" s="1" t="s">
        <v>165</v>
      </c>
      <c r="G51" s="1" t="s">
        <v>16</v>
      </c>
      <c r="H51" s="1" t="s">
        <v>166</v>
      </c>
      <c r="I51">
        <v>0</v>
      </c>
      <c r="J51">
        <v>10</v>
      </c>
      <c r="K51">
        <v>0</v>
      </c>
      <c r="L51">
        <v>10</v>
      </c>
      <c r="M51" t="s">
        <v>164</v>
      </c>
      <c r="N51" t="s">
        <v>164</v>
      </c>
      <c r="O51">
        <v>0</v>
      </c>
      <c r="P51">
        <v>70</v>
      </c>
      <c r="Q51">
        <v>-50</v>
      </c>
      <c r="R51">
        <v>20</v>
      </c>
    </row>
    <row r="52" spans="1:18">
      <c r="A52" s="1" t="s">
        <v>167</v>
      </c>
      <c r="B52" s="6">
        <v>1856</v>
      </c>
      <c r="C52" s="6">
        <v>1762</v>
      </c>
      <c r="D52" s="6">
        <f t="shared" si="0"/>
        <v>-94</v>
      </c>
      <c r="E52" s="1" t="s">
        <v>167</v>
      </c>
      <c r="F52" s="1" t="s">
        <v>168</v>
      </c>
      <c r="G52" s="1" t="s">
        <v>20</v>
      </c>
      <c r="H52" s="1" t="s">
        <v>169</v>
      </c>
      <c r="I52">
        <v>20666</v>
      </c>
      <c r="J52">
        <v>0</v>
      </c>
      <c r="K52">
        <v>18810</v>
      </c>
      <c r="L52">
        <v>1856</v>
      </c>
      <c r="M52" t="s">
        <v>167</v>
      </c>
      <c r="N52" t="s">
        <v>167</v>
      </c>
      <c r="O52">
        <v>12005</v>
      </c>
      <c r="P52">
        <v>0</v>
      </c>
      <c r="Q52">
        <v>-18904</v>
      </c>
      <c r="R52">
        <v>1762</v>
      </c>
    </row>
    <row r="53" spans="1:18">
      <c r="A53" s="1" t="s">
        <v>170</v>
      </c>
      <c r="B53" s="6">
        <v>120</v>
      </c>
      <c r="C53" s="6">
        <v>0</v>
      </c>
      <c r="D53" s="6">
        <f t="shared" si="0"/>
        <v>-120</v>
      </c>
      <c r="E53" s="1" t="s">
        <v>170</v>
      </c>
      <c r="F53" s="1" t="s">
        <v>171</v>
      </c>
      <c r="G53" s="1" t="s">
        <v>172</v>
      </c>
      <c r="H53" s="1" t="s">
        <v>173</v>
      </c>
      <c r="I53">
        <v>0</v>
      </c>
      <c r="J53">
        <v>120</v>
      </c>
      <c r="K53">
        <v>0</v>
      </c>
      <c r="L53">
        <v>120</v>
      </c>
      <c r="M53" t="s">
        <v>170</v>
      </c>
      <c r="N53" t="s">
        <v>170</v>
      </c>
      <c r="O53">
        <v>0</v>
      </c>
      <c r="P53">
        <v>120</v>
      </c>
      <c r="Q53">
        <v>-120</v>
      </c>
      <c r="R53">
        <v>0</v>
      </c>
    </row>
    <row r="54" spans="1:18">
      <c r="A54" s="1" t="s">
        <v>174</v>
      </c>
      <c r="B54" s="6">
        <v>100</v>
      </c>
      <c r="C54" s="6">
        <v>99.5</v>
      </c>
      <c r="D54" s="6">
        <f t="shared" si="0"/>
        <v>-0.5</v>
      </c>
      <c r="E54" s="1" t="s">
        <v>174</v>
      </c>
      <c r="F54" s="1" t="s">
        <v>175</v>
      </c>
      <c r="G54" s="1" t="s">
        <v>77</v>
      </c>
      <c r="H54" s="1" t="s">
        <v>176</v>
      </c>
      <c r="I54">
        <v>0</v>
      </c>
      <c r="J54">
        <v>105</v>
      </c>
      <c r="K54">
        <v>5</v>
      </c>
      <c r="L54">
        <v>100</v>
      </c>
      <c r="M54" t="s">
        <v>174</v>
      </c>
      <c r="N54" t="s">
        <v>174</v>
      </c>
      <c r="O54">
        <v>0</v>
      </c>
      <c r="P54">
        <v>105</v>
      </c>
      <c r="Q54">
        <v>-5.5</v>
      </c>
      <c r="R54">
        <v>99.5</v>
      </c>
    </row>
    <row r="55" spans="1:18">
      <c r="A55" s="1" t="s">
        <v>177</v>
      </c>
      <c r="B55" s="6">
        <v>120</v>
      </c>
      <c r="C55" s="6">
        <v>0</v>
      </c>
      <c r="D55" s="6">
        <f t="shared" si="0"/>
        <v>-120</v>
      </c>
      <c r="E55" s="1" t="s">
        <v>177</v>
      </c>
      <c r="F55" s="1" t="s">
        <v>178</v>
      </c>
      <c r="G55" s="1" t="s">
        <v>16</v>
      </c>
      <c r="H55" s="1" t="s">
        <v>179</v>
      </c>
      <c r="I55">
        <v>120</v>
      </c>
      <c r="J55">
        <v>0</v>
      </c>
      <c r="K55">
        <v>0</v>
      </c>
      <c r="L55">
        <v>120</v>
      </c>
      <c r="M55" t="s">
        <v>177</v>
      </c>
      <c r="N55" t="s">
        <v>177</v>
      </c>
      <c r="O55">
        <v>120</v>
      </c>
      <c r="P55">
        <v>0</v>
      </c>
      <c r="Q55">
        <v>-120</v>
      </c>
      <c r="R55">
        <v>0</v>
      </c>
    </row>
    <row r="56" spans="1:18">
      <c r="A56" s="1" t="s">
        <v>180</v>
      </c>
      <c r="B56" s="6">
        <v>17</v>
      </c>
      <c r="C56" s="6">
        <v>18</v>
      </c>
      <c r="D56" s="6">
        <f t="shared" si="0"/>
        <v>1</v>
      </c>
      <c r="E56" s="1" t="s">
        <v>180</v>
      </c>
      <c r="F56" s="1" t="s">
        <v>181</v>
      </c>
      <c r="G56" s="1" t="s">
        <v>20</v>
      </c>
      <c r="H56" s="1" t="s">
        <v>182</v>
      </c>
      <c r="I56">
        <v>1</v>
      </c>
      <c r="J56">
        <v>16</v>
      </c>
      <c r="K56">
        <v>0</v>
      </c>
      <c r="L56">
        <v>17</v>
      </c>
      <c r="M56" t="s">
        <v>180</v>
      </c>
      <c r="N56" t="s">
        <v>180</v>
      </c>
      <c r="O56">
        <v>1</v>
      </c>
      <c r="P56">
        <v>23</v>
      </c>
      <c r="Q56">
        <v>-6</v>
      </c>
      <c r="R56">
        <v>18</v>
      </c>
    </row>
    <row r="57" spans="1:18">
      <c r="A57" s="1" t="s">
        <v>183</v>
      </c>
      <c r="B57" s="6">
        <v>120</v>
      </c>
      <c r="C57" s="6">
        <v>0</v>
      </c>
      <c r="D57" s="6">
        <f t="shared" si="0"/>
        <v>-120</v>
      </c>
      <c r="E57" s="1" t="s">
        <v>183</v>
      </c>
      <c r="F57" s="1" t="s">
        <v>184</v>
      </c>
      <c r="G57" s="1" t="s">
        <v>16</v>
      </c>
      <c r="H57" s="1" t="s">
        <v>185</v>
      </c>
      <c r="I57">
        <v>0</v>
      </c>
      <c r="J57">
        <v>120</v>
      </c>
      <c r="K57">
        <v>0</v>
      </c>
      <c r="L57">
        <v>120</v>
      </c>
      <c r="M57" t="s">
        <v>183</v>
      </c>
      <c r="N57" t="s">
        <v>183</v>
      </c>
      <c r="O57">
        <v>0</v>
      </c>
      <c r="P57">
        <v>120</v>
      </c>
      <c r="Q57">
        <v>-120</v>
      </c>
      <c r="R57">
        <v>0</v>
      </c>
    </row>
    <row r="58" spans="1:18">
      <c r="A58" s="1" t="s">
        <v>186</v>
      </c>
      <c r="B58" s="6">
        <v>180</v>
      </c>
      <c r="C58" s="6">
        <v>60</v>
      </c>
      <c r="D58" s="6">
        <f t="shared" si="0"/>
        <v>-120</v>
      </c>
      <c r="E58" s="1" t="s">
        <v>186</v>
      </c>
      <c r="F58" s="1" t="s">
        <v>187</v>
      </c>
      <c r="G58" s="1" t="s">
        <v>16</v>
      </c>
      <c r="H58" s="1" t="s">
        <v>188</v>
      </c>
      <c r="I58">
        <v>0</v>
      </c>
      <c r="J58">
        <v>180</v>
      </c>
      <c r="K58">
        <v>0</v>
      </c>
      <c r="L58">
        <v>180</v>
      </c>
      <c r="M58" t="s">
        <v>186</v>
      </c>
      <c r="N58" t="s">
        <v>186</v>
      </c>
      <c r="O58">
        <v>0</v>
      </c>
      <c r="P58">
        <v>180</v>
      </c>
      <c r="Q58">
        <v>-120</v>
      </c>
      <c r="R58">
        <v>60</v>
      </c>
    </row>
    <row r="59" spans="1:18">
      <c r="A59" s="1" t="s">
        <v>189</v>
      </c>
      <c r="B59" s="6">
        <v>120</v>
      </c>
      <c r="C59" s="6">
        <v>0</v>
      </c>
      <c r="D59" s="6">
        <f t="shared" si="0"/>
        <v>-120</v>
      </c>
      <c r="E59" s="1" t="s">
        <v>189</v>
      </c>
      <c r="F59" s="1" t="s">
        <v>190</v>
      </c>
      <c r="G59" s="1" t="s">
        <v>16</v>
      </c>
      <c r="H59" s="1" t="s">
        <v>191</v>
      </c>
      <c r="I59">
        <v>0</v>
      </c>
      <c r="J59">
        <v>120</v>
      </c>
      <c r="K59">
        <v>0</v>
      </c>
      <c r="L59">
        <v>120</v>
      </c>
      <c r="M59" t="s">
        <v>189</v>
      </c>
      <c r="N59" t="s">
        <v>189</v>
      </c>
      <c r="O59">
        <v>90</v>
      </c>
      <c r="P59">
        <v>120</v>
      </c>
      <c r="Q59">
        <v>-120</v>
      </c>
      <c r="R59">
        <v>0</v>
      </c>
    </row>
    <row r="60" spans="1:18">
      <c r="A60" s="1" t="s">
        <v>192</v>
      </c>
      <c r="B60" s="6">
        <v>10000</v>
      </c>
      <c r="C60" s="6">
        <v>5000</v>
      </c>
      <c r="D60" s="6">
        <f t="shared" si="0"/>
        <v>-5000</v>
      </c>
      <c r="E60" s="1" t="s">
        <v>192</v>
      </c>
      <c r="F60" s="1" t="s">
        <v>193</v>
      </c>
      <c r="G60" s="1" t="s">
        <v>20</v>
      </c>
      <c r="H60" s="1" t="s">
        <v>194</v>
      </c>
      <c r="I60">
        <v>0</v>
      </c>
      <c r="J60">
        <v>10000</v>
      </c>
      <c r="K60">
        <v>0</v>
      </c>
      <c r="L60">
        <v>10000</v>
      </c>
      <c r="M60" t="s">
        <v>192</v>
      </c>
      <c r="N60" t="s">
        <v>192</v>
      </c>
      <c r="O60">
        <v>0</v>
      </c>
      <c r="P60">
        <v>5000</v>
      </c>
      <c r="Q60">
        <v>0</v>
      </c>
      <c r="R60">
        <v>5000</v>
      </c>
    </row>
    <row r="61" spans="1:18">
      <c r="A61" s="1" t="s">
        <v>192</v>
      </c>
      <c r="B61" s="6">
        <v>0</v>
      </c>
      <c r="C61" s="6">
        <v>5000</v>
      </c>
      <c r="D61" s="6">
        <f t="shared" si="0"/>
        <v>5000</v>
      </c>
      <c r="E61" s="1" t="s">
        <v>192</v>
      </c>
      <c r="F61" s="1" t="s">
        <v>195</v>
      </c>
      <c r="G61" s="1" t="s">
        <v>20</v>
      </c>
      <c r="H61" s="1" t="s">
        <v>196</v>
      </c>
      <c r="I61">
        <v>0</v>
      </c>
      <c r="J61">
        <v>6000</v>
      </c>
      <c r="K61">
        <v>6000</v>
      </c>
      <c r="L61">
        <v>0</v>
      </c>
      <c r="M61" t="s">
        <v>192</v>
      </c>
      <c r="N61" t="s">
        <v>192</v>
      </c>
      <c r="O61">
        <v>0</v>
      </c>
      <c r="P61">
        <v>5000</v>
      </c>
      <c r="Q61">
        <v>0</v>
      </c>
      <c r="R61">
        <v>5000</v>
      </c>
    </row>
    <row r="62" spans="1:18">
      <c r="A62" s="1" t="s">
        <v>197</v>
      </c>
      <c r="B62" s="6">
        <v>2000</v>
      </c>
      <c r="C62" s="6">
        <v>1000</v>
      </c>
      <c r="D62" s="6">
        <f t="shared" si="0"/>
        <v>-1000</v>
      </c>
      <c r="E62" s="1" t="s">
        <v>197</v>
      </c>
      <c r="F62" s="1" t="s">
        <v>198</v>
      </c>
      <c r="G62" s="1" t="s">
        <v>77</v>
      </c>
      <c r="H62" s="1" t="s">
        <v>199</v>
      </c>
      <c r="I62">
        <v>0</v>
      </c>
      <c r="J62">
        <v>2000</v>
      </c>
      <c r="K62">
        <v>0</v>
      </c>
      <c r="L62">
        <v>2000</v>
      </c>
      <c r="M62" t="s">
        <v>197</v>
      </c>
      <c r="N62" t="s">
        <v>197</v>
      </c>
      <c r="O62">
        <v>0</v>
      </c>
      <c r="P62">
        <v>1000</v>
      </c>
      <c r="Q62">
        <v>0</v>
      </c>
      <c r="R62">
        <v>1000</v>
      </c>
    </row>
    <row r="63" spans="1:18">
      <c r="A63" s="1" t="s">
        <v>200</v>
      </c>
      <c r="B63" s="6">
        <v>1</v>
      </c>
      <c r="C63" s="6">
        <v>0</v>
      </c>
      <c r="D63" s="6">
        <f t="shared" si="0"/>
        <v>-1</v>
      </c>
      <c r="E63" s="1" t="s">
        <v>200</v>
      </c>
      <c r="F63" s="1" t="s">
        <v>201</v>
      </c>
      <c r="G63" s="1" t="s">
        <v>20</v>
      </c>
      <c r="H63" s="1" t="s">
        <v>202</v>
      </c>
      <c r="I63">
        <v>0</v>
      </c>
      <c r="J63">
        <v>1</v>
      </c>
      <c r="K63">
        <v>0</v>
      </c>
      <c r="L63">
        <v>1</v>
      </c>
      <c r="M63">
        <v>157001</v>
      </c>
      <c r="N63">
        <v>157001</v>
      </c>
      <c r="O63">
        <v>0</v>
      </c>
      <c r="P63">
        <v>1</v>
      </c>
      <c r="Q63">
        <v>-1</v>
      </c>
      <c r="R63">
        <v>0</v>
      </c>
    </row>
    <row r="64" spans="1:18">
      <c r="A64" s="1" t="s">
        <v>203</v>
      </c>
      <c r="B64" s="6">
        <v>0</v>
      </c>
      <c r="C64" s="6">
        <v>8</v>
      </c>
      <c r="D64" s="6">
        <f t="shared" si="0"/>
        <v>8</v>
      </c>
      <c r="E64" s="1" t="s">
        <v>203</v>
      </c>
      <c r="F64" s="1" t="s">
        <v>204</v>
      </c>
      <c r="G64" s="1" t="s">
        <v>20</v>
      </c>
      <c r="H64" s="1" t="s">
        <v>205</v>
      </c>
      <c r="I64">
        <v>0</v>
      </c>
      <c r="J64">
        <v>67</v>
      </c>
      <c r="K64">
        <v>67</v>
      </c>
      <c r="L64">
        <v>0</v>
      </c>
      <c r="M64" t="s">
        <v>203</v>
      </c>
      <c r="N64" t="s">
        <v>203</v>
      </c>
      <c r="O64">
        <v>3</v>
      </c>
      <c r="P64">
        <v>88</v>
      </c>
      <c r="Q64">
        <v>-88</v>
      </c>
      <c r="R64">
        <v>8</v>
      </c>
    </row>
    <row r="65" spans="1:18">
      <c r="A65" s="1" t="s">
        <v>206</v>
      </c>
      <c r="B65" s="6">
        <v>200</v>
      </c>
      <c r="C65" s="6">
        <v>0</v>
      </c>
      <c r="D65" s="6">
        <f t="shared" si="0"/>
        <v>-200</v>
      </c>
      <c r="E65" s="1" t="s">
        <v>206</v>
      </c>
      <c r="F65" s="1" t="s">
        <v>207</v>
      </c>
      <c r="G65" s="1" t="s">
        <v>20</v>
      </c>
      <c r="H65" s="1" t="s">
        <v>208</v>
      </c>
      <c r="I65">
        <v>0</v>
      </c>
      <c r="J65">
        <v>200</v>
      </c>
      <c r="K65">
        <v>0</v>
      </c>
      <c r="L65">
        <v>200</v>
      </c>
      <c r="M65" t="s">
        <v>206</v>
      </c>
      <c r="N65" t="s">
        <v>206</v>
      </c>
      <c r="O65">
        <v>0</v>
      </c>
      <c r="P65">
        <v>2850</v>
      </c>
      <c r="Q65">
        <v>-2850</v>
      </c>
      <c r="R65">
        <v>0</v>
      </c>
    </row>
    <row r="66" spans="1:18">
      <c r="A66" s="1" t="s">
        <v>209</v>
      </c>
      <c r="B66" s="6">
        <v>0</v>
      </c>
      <c r="C66" s="6">
        <v>50</v>
      </c>
      <c r="D66" s="6">
        <f t="shared" si="0"/>
        <v>50</v>
      </c>
      <c r="E66" s="1" t="s">
        <v>209</v>
      </c>
      <c r="F66" s="1" t="s">
        <v>210</v>
      </c>
      <c r="G66" s="1" t="s">
        <v>20</v>
      </c>
      <c r="H66" s="1" t="s">
        <v>211</v>
      </c>
      <c r="I66">
        <v>250</v>
      </c>
      <c r="J66">
        <v>0</v>
      </c>
      <c r="K66">
        <v>250</v>
      </c>
      <c r="L66">
        <v>0</v>
      </c>
      <c r="M66" t="s">
        <v>209</v>
      </c>
      <c r="N66" t="s">
        <v>209</v>
      </c>
      <c r="O66">
        <v>550</v>
      </c>
      <c r="P66">
        <v>600</v>
      </c>
      <c r="Q66">
        <v>-800</v>
      </c>
      <c r="R66">
        <v>50</v>
      </c>
    </row>
    <row r="67" spans="1:18">
      <c r="A67" s="1" t="s">
        <v>212</v>
      </c>
      <c r="B67" s="6">
        <v>119</v>
      </c>
      <c r="C67" s="6">
        <v>0</v>
      </c>
      <c r="D67" s="6">
        <f t="shared" ref="D67:D130" si="1">C67-B67</f>
        <v>-119</v>
      </c>
      <c r="E67" s="1" t="s">
        <v>212</v>
      </c>
      <c r="F67" s="1" t="s">
        <v>213</v>
      </c>
      <c r="G67" s="1" t="s">
        <v>20</v>
      </c>
      <c r="H67" s="1" t="s">
        <v>214</v>
      </c>
      <c r="I67">
        <v>119</v>
      </c>
      <c r="J67">
        <v>0</v>
      </c>
      <c r="K67">
        <v>0</v>
      </c>
      <c r="L67">
        <v>119</v>
      </c>
      <c r="M67" t="s">
        <v>212</v>
      </c>
      <c r="N67" t="s">
        <v>212</v>
      </c>
      <c r="O67">
        <v>119</v>
      </c>
      <c r="P67">
        <v>0</v>
      </c>
      <c r="Q67">
        <v>-119</v>
      </c>
      <c r="R67">
        <v>0</v>
      </c>
    </row>
    <row r="68" spans="1:18">
      <c r="A68" s="1" t="s">
        <v>215</v>
      </c>
      <c r="B68" s="6">
        <v>3</v>
      </c>
      <c r="C68" s="6">
        <v>0</v>
      </c>
      <c r="D68" s="6">
        <f t="shared" si="1"/>
        <v>-3</v>
      </c>
      <c r="E68" s="1" t="s">
        <v>215</v>
      </c>
      <c r="F68" s="1" t="s">
        <v>216</v>
      </c>
      <c r="G68" s="1" t="s">
        <v>20</v>
      </c>
      <c r="H68" s="1" t="s">
        <v>217</v>
      </c>
      <c r="I68">
        <v>2</v>
      </c>
      <c r="J68">
        <v>1</v>
      </c>
      <c r="K68">
        <v>0</v>
      </c>
      <c r="L68">
        <v>3</v>
      </c>
      <c r="M68" t="s">
        <v>215</v>
      </c>
      <c r="N68" t="s">
        <v>215</v>
      </c>
      <c r="O68">
        <v>0</v>
      </c>
      <c r="P68">
        <v>1</v>
      </c>
      <c r="Q68">
        <v>-3</v>
      </c>
      <c r="R68">
        <v>0</v>
      </c>
    </row>
    <row r="69" spans="1:18">
      <c r="A69" s="1" t="s">
        <v>218</v>
      </c>
      <c r="B69" s="6">
        <v>1</v>
      </c>
      <c r="C69" s="6">
        <v>0</v>
      </c>
      <c r="D69" s="6">
        <f t="shared" si="1"/>
        <v>-1</v>
      </c>
      <c r="E69" s="1" t="s">
        <v>218</v>
      </c>
      <c r="F69" s="1" t="s">
        <v>219</v>
      </c>
      <c r="G69" s="1" t="s">
        <v>20</v>
      </c>
      <c r="H69" s="1" t="s">
        <v>220</v>
      </c>
      <c r="I69">
        <v>1</v>
      </c>
      <c r="J69">
        <v>0</v>
      </c>
      <c r="K69">
        <v>0</v>
      </c>
      <c r="L69">
        <v>1</v>
      </c>
      <c r="M69" t="s">
        <v>218</v>
      </c>
      <c r="N69" t="s">
        <v>218</v>
      </c>
      <c r="O69">
        <v>0</v>
      </c>
      <c r="P69">
        <v>4</v>
      </c>
      <c r="Q69">
        <v>-5</v>
      </c>
      <c r="R69">
        <v>0</v>
      </c>
    </row>
    <row r="70" spans="1:18">
      <c r="A70" s="1" t="s">
        <v>221</v>
      </c>
      <c r="B70" s="6">
        <v>1</v>
      </c>
      <c r="C70" s="6">
        <v>0.5</v>
      </c>
      <c r="D70" s="6">
        <f t="shared" si="1"/>
        <v>-0.5</v>
      </c>
      <c r="E70" s="1" t="s">
        <v>221</v>
      </c>
      <c r="F70" s="1" t="s">
        <v>222</v>
      </c>
      <c r="G70" s="1" t="s">
        <v>77</v>
      </c>
      <c r="H70" s="1" t="s">
        <v>223</v>
      </c>
      <c r="I70">
        <v>0</v>
      </c>
      <c r="J70">
        <v>1</v>
      </c>
      <c r="K70">
        <v>0</v>
      </c>
      <c r="L70">
        <v>1</v>
      </c>
      <c r="M70" t="s">
        <v>221</v>
      </c>
      <c r="N70" t="s">
        <v>221</v>
      </c>
      <c r="O70">
        <v>0</v>
      </c>
      <c r="P70">
        <v>1</v>
      </c>
      <c r="Q70">
        <v>-0.5</v>
      </c>
      <c r="R70">
        <v>0.5</v>
      </c>
    </row>
    <row r="71" spans="1:18">
      <c r="A71" s="1" t="s">
        <v>224</v>
      </c>
      <c r="B71" s="6">
        <v>0</v>
      </c>
      <c r="C71" s="6">
        <v>1</v>
      </c>
      <c r="D71" s="6">
        <f t="shared" si="1"/>
        <v>1</v>
      </c>
      <c r="E71" s="1" t="s">
        <v>224</v>
      </c>
      <c r="F71" s="1" t="s">
        <v>225</v>
      </c>
      <c r="G71" s="1" t="s">
        <v>20</v>
      </c>
      <c r="H71" s="1" t="s">
        <v>226</v>
      </c>
      <c r="I71">
        <v>0</v>
      </c>
      <c r="J71">
        <v>3</v>
      </c>
      <c r="K71">
        <v>3</v>
      </c>
      <c r="L71">
        <v>0</v>
      </c>
      <c r="M71" t="s">
        <v>224</v>
      </c>
      <c r="N71" t="s">
        <v>224</v>
      </c>
      <c r="O71">
        <v>1</v>
      </c>
      <c r="P71">
        <v>3</v>
      </c>
      <c r="Q71">
        <v>-3</v>
      </c>
      <c r="R71">
        <v>1</v>
      </c>
    </row>
    <row r="72" spans="1:18">
      <c r="A72" s="1" t="s">
        <v>227</v>
      </c>
      <c r="B72" s="6">
        <v>35700</v>
      </c>
      <c r="C72" s="6">
        <v>13000</v>
      </c>
      <c r="D72" s="6">
        <f t="shared" si="1"/>
        <v>-22700</v>
      </c>
      <c r="E72" s="1" t="s">
        <v>227</v>
      </c>
      <c r="F72" s="1" t="s">
        <v>228</v>
      </c>
      <c r="G72" s="1" t="s">
        <v>20</v>
      </c>
      <c r="H72" s="1" t="s">
        <v>229</v>
      </c>
      <c r="I72">
        <v>16700</v>
      </c>
      <c r="J72">
        <v>19000</v>
      </c>
      <c r="K72">
        <v>0</v>
      </c>
      <c r="L72">
        <v>35700</v>
      </c>
      <c r="M72" t="s">
        <v>227</v>
      </c>
      <c r="N72" t="s">
        <v>227</v>
      </c>
      <c r="O72">
        <v>0</v>
      </c>
      <c r="P72">
        <v>60000</v>
      </c>
      <c r="Q72">
        <v>-63700</v>
      </c>
      <c r="R72">
        <v>13000</v>
      </c>
    </row>
    <row r="73" spans="1:18">
      <c r="A73" s="1" t="s">
        <v>230</v>
      </c>
      <c r="B73" s="6">
        <v>5</v>
      </c>
      <c r="C73" s="6">
        <v>0</v>
      </c>
      <c r="D73" s="6">
        <f t="shared" si="1"/>
        <v>-5</v>
      </c>
      <c r="E73" s="1" t="s">
        <v>230</v>
      </c>
      <c r="F73" s="1" t="s">
        <v>231</v>
      </c>
      <c r="G73" s="1" t="s">
        <v>20</v>
      </c>
      <c r="H73" s="1" t="s">
        <v>232</v>
      </c>
      <c r="I73">
        <v>0</v>
      </c>
      <c r="J73">
        <v>5</v>
      </c>
      <c r="K73">
        <v>0</v>
      </c>
      <c r="L73">
        <v>5</v>
      </c>
      <c r="M73" t="s">
        <v>230</v>
      </c>
      <c r="N73" t="s">
        <v>230</v>
      </c>
      <c r="O73">
        <v>3</v>
      </c>
      <c r="P73">
        <v>5</v>
      </c>
      <c r="Q73">
        <v>-5</v>
      </c>
      <c r="R73">
        <v>0</v>
      </c>
    </row>
    <row r="74" spans="1:18">
      <c r="A74" s="1" t="s">
        <v>233</v>
      </c>
      <c r="B74" s="6">
        <v>19</v>
      </c>
      <c r="C74" s="6">
        <v>0</v>
      </c>
      <c r="D74" s="6">
        <f t="shared" si="1"/>
        <v>-19</v>
      </c>
      <c r="E74" s="1" t="s">
        <v>233</v>
      </c>
      <c r="F74" s="1" t="s">
        <v>234</v>
      </c>
      <c r="G74" s="1" t="s">
        <v>20</v>
      </c>
      <c r="H74" s="1" t="s">
        <v>235</v>
      </c>
      <c r="I74">
        <v>0</v>
      </c>
      <c r="J74">
        <v>19</v>
      </c>
      <c r="K74">
        <v>0</v>
      </c>
      <c r="L74">
        <v>19</v>
      </c>
      <c r="M74" t="s">
        <v>233</v>
      </c>
      <c r="N74" t="s">
        <v>233</v>
      </c>
      <c r="O74">
        <v>2</v>
      </c>
      <c r="P74">
        <v>26</v>
      </c>
      <c r="Q74">
        <v>-32</v>
      </c>
      <c r="R74">
        <v>0</v>
      </c>
    </row>
    <row r="75" spans="1:18">
      <c r="A75" s="1" t="s">
        <v>236</v>
      </c>
      <c r="B75" s="6">
        <v>0</v>
      </c>
      <c r="C75" s="6">
        <v>2</v>
      </c>
      <c r="D75" s="6">
        <f t="shared" si="1"/>
        <v>2</v>
      </c>
      <c r="E75" s="1" t="s">
        <v>236</v>
      </c>
      <c r="F75" s="1" t="s">
        <v>237</v>
      </c>
      <c r="G75" s="1" t="s">
        <v>20</v>
      </c>
      <c r="H75" s="1" t="s">
        <v>238</v>
      </c>
      <c r="I75">
        <v>2</v>
      </c>
      <c r="J75">
        <v>0</v>
      </c>
      <c r="K75">
        <v>2</v>
      </c>
      <c r="L75">
        <v>0</v>
      </c>
      <c r="M75" t="s">
        <v>236</v>
      </c>
      <c r="N75" t="s">
        <v>236</v>
      </c>
      <c r="O75">
        <v>2</v>
      </c>
      <c r="P75">
        <v>0</v>
      </c>
      <c r="Q75">
        <v>0</v>
      </c>
      <c r="R75">
        <v>2</v>
      </c>
    </row>
    <row r="76" spans="1:18">
      <c r="A76" s="1" t="s">
        <v>239</v>
      </c>
      <c r="B76" s="6">
        <v>5</v>
      </c>
      <c r="C76" s="6">
        <v>0</v>
      </c>
      <c r="D76" s="6">
        <f t="shared" si="1"/>
        <v>-5</v>
      </c>
      <c r="E76" s="1" t="s">
        <v>239</v>
      </c>
      <c r="F76" s="1" t="s">
        <v>240</v>
      </c>
      <c r="G76" s="1" t="s">
        <v>20</v>
      </c>
      <c r="H76" s="1" t="s">
        <v>241</v>
      </c>
      <c r="I76">
        <v>0</v>
      </c>
      <c r="J76">
        <v>5</v>
      </c>
      <c r="K76">
        <v>0</v>
      </c>
      <c r="L76">
        <v>5</v>
      </c>
      <c r="M76" t="s">
        <v>239</v>
      </c>
      <c r="N76" t="s">
        <v>239</v>
      </c>
      <c r="O76">
        <v>0</v>
      </c>
      <c r="P76">
        <v>5</v>
      </c>
      <c r="Q76">
        <v>-5</v>
      </c>
      <c r="R76">
        <v>0</v>
      </c>
    </row>
    <row r="77" spans="1:18">
      <c r="A77" s="1" t="s">
        <v>242</v>
      </c>
      <c r="B77" s="6">
        <v>2</v>
      </c>
      <c r="C77" s="6">
        <v>0</v>
      </c>
      <c r="D77" s="6">
        <f t="shared" si="1"/>
        <v>-2</v>
      </c>
      <c r="E77" s="1" t="s">
        <v>242</v>
      </c>
      <c r="F77" s="1" t="s">
        <v>243</v>
      </c>
      <c r="G77" s="1" t="s">
        <v>20</v>
      </c>
      <c r="H77" s="1" t="s">
        <v>244</v>
      </c>
      <c r="I77">
        <v>0</v>
      </c>
      <c r="J77">
        <v>2</v>
      </c>
      <c r="K77">
        <v>0</v>
      </c>
      <c r="L77">
        <v>2</v>
      </c>
      <c r="M77" t="s">
        <v>242</v>
      </c>
      <c r="N77" t="s">
        <v>242</v>
      </c>
      <c r="O77">
        <v>0</v>
      </c>
      <c r="P77">
        <v>2</v>
      </c>
      <c r="Q77">
        <v>-2</v>
      </c>
      <c r="R77">
        <v>0</v>
      </c>
    </row>
    <row r="78" spans="1:18">
      <c r="A78" s="1" t="s">
        <v>245</v>
      </c>
      <c r="B78" s="6">
        <v>3</v>
      </c>
      <c r="C78" s="6">
        <v>0</v>
      </c>
      <c r="D78" s="6">
        <f t="shared" si="1"/>
        <v>-3</v>
      </c>
      <c r="E78" s="1" t="s">
        <v>245</v>
      </c>
      <c r="F78" s="1" t="s">
        <v>246</v>
      </c>
      <c r="G78" s="1" t="s">
        <v>20</v>
      </c>
      <c r="H78" s="1" t="s">
        <v>247</v>
      </c>
      <c r="I78">
        <v>0</v>
      </c>
      <c r="J78">
        <v>3</v>
      </c>
      <c r="K78">
        <v>0</v>
      </c>
      <c r="L78">
        <v>3</v>
      </c>
      <c r="M78" t="s">
        <v>245</v>
      </c>
      <c r="N78" t="s">
        <v>245</v>
      </c>
      <c r="O78">
        <v>0</v>
      </c>
      <c r="P78">
        <v>6</v>
      </c>
      <c r="Q78">
        <v>-6</v>
      </c>
      <c r="R78">
        <v>0</v>
      </c>
    </row>
    <row r="79" spans="1:18">
      <c r="A79" s="1" t="s">
        <v>248</v>
      </c>
      <c r="B79" s="6">
        <v>2</v>
      </c>
      <c r="C79" s="6">
        <v>0</v>
      </c>
      <c r="D79" s="6">
        <f t="shared" si="1"/>
        <v>-2</v>
      </c>
      <c r="E79" s="1" t="s">
        <v>248</v>
      </c>
      <c r="F79" s="1" t="s">
        <v>249</v>
      </c>
      <c r="G79" s="1" t="s">
        <v>20</v>
      </c>
      <c r="H79" s="1" t="s">
        <v>250</v>
      </c>
      <c r="I79">
        <v>0</v>
      </c>
      <c r="J79">
        <v>2</v>
      </c>
      <c r="K79">
        <v>0</v>
      </c>
      <c r="L79">
        <v>2</v>
      </c>
      <c r="M79" t="s">
        <v>248</v>
      </c>
      <c r="N79" t="s">
        <v>248</v>
      </c>
      <c r="O79">
        <v>0</v>
      </c>
      <c r="P79">
        <v>4</v>
      </c>
      <c r="Q79">
        <v>-4</v>
      </c>
      <c r="R79">
        <v>0</v>
      </c>
    </row>
    <row r="80" spans="1:18">
      <c r="A80" s="1" t="s">
        <v>251</v>
      </c>
      <c r="B80" s="6">
        <v>4</v>
      </c>
      <c r="C80" s="6">
        <v>3.5</v>
      </c>
      <c r="D80" s="6">
        <f t="shared" si="1"/>
        <v>-0.5</v>
      </c>
      <c r="E80" s="1" t="s">
        <v>251</v>
      </c>
      <c r="F80" s="1" t="s">
        <v>252</v>
      </c>
      <c r="G80" s="1" t="s">
        <v>20</v>
      </c>
      <c r="H80" s="1" t="s">
        <v>253</v>
      </c>
      <c r="I80">
        <v>4</v>
      </c>
      <c r="J80">
        <v>8</v>
      </c>
      <c r="K80">
        <v>8</v>
      </c>
      <c r="L80">
        <v>4</v>
      </c>
      <c r="M80" t="s">
        <v>251</v>
      </c>
      <c r="N80" t="s">
        <v>251</v>
      </c>
      <c r="O80">
        <v>2</v>
      </c>
      <c r="P80">
        <v>8</v>
      </c>
      <c r="Q80">
        <v>-8</v>
      </c>
      <c r="R80">
        <v>3.5</v>
      </c>
    </row>
    <row r="81" spans="1:18">
      <c r="A81" s="1" t="s">
        <v>254</v>
      </c>
      <c r="B81" s="6">
        <v>1</v>
      </c>
      <c r="C81" s="6">
        <v>1.25</v>
      </c>
      <c r="D81" s="6">
        <f t="shared" si="1"/>
        <v>0.25</v>
      </c>
      <c r="E81" s="1" t="s">
        <v>254</v>
      </c>
      <c r="F81" s="1" t="s">
        <v>255</v>
      </c>
      <c r="G81" s="1" t="s">
        <v>20</v>
      </c>
      <c r="H81" s="1" t="s">
        <v>256</v>
      </c>
      <c r="I81">
        <v>4</v>
      </c>
      <c r="J81">
        <v>0</v>
      </c>
      <c r="K81">
        <v>3</v>
      </c>
      <c r="L81">
        <v>1</v>
      </c>
      <c r="M81" t="s">
        <v>254</v>
      </c>
      <c r="N81" t="s">
        <v>254</v>
      </c>
      <c r="O81">
        <v>2.5</v>
      </c>
      <c r="P81">
        <v>0</v>
      </c>
      <c r="Q81">
        <v>-2.75</v>
      </c>
      <c r="R81">
        <v>1.25</v>
      </c>
    </row>
    <row r="82" spans="1:18">
      <c r="A82" s="1" t="s">
        <v>257</v>
      </c>
      <c r="B82" s="6">
        <v>129</v>
      </c>
      <c r="C82" s="6">
        <v>7</v>
      </c>
      <c r="D82" s="6">
        <f t="shared" si="1"/>
        <v>-122</v>
      </c>
      <c r="E82" s="1" t="s">
        <v>257</v>
      </c>
      <c r="F82" s="1" t="s">
        <v>258</v>
      </c>
      <c r="G82" s="1" t="s">
        <v>20</v>
      </c>
      <c r="H82" s="1" t="s">
        <v>259</v>
      </c>
      <c r="I82">
        <v>0</v>
      </c>
      <c r="J82">
        <v>129</v>
      </c>
      <c r="K82">
        <v>0</v>
      </c>
      <c r="L82">
        <v>129</v>
      </c>
      <c r="M82" t="s">
        <v>257</v>
      </c>
      <c r="N82" t="s">
        <v>257</v>
      </c>
      <c r="O82">
        <v>0</v>
      </c>
      <c r="P82">
        <v>129</v>
      </c>
      <c r="Q82">
        <v>-122</v>
      </c>
      <c r="R82">
        <v>7</v>
      </c>
    </row>
    <row r="83" spans="1:18">
      <c r="A83" s="1" t="s">
        <v>260</v>
      </c>
      <c r="B83" s="6">
        <v>8</v>
      </c>
      <c r="C83" s="6">
        <v>10</v>
      </c>
      <c r="D83" s="6">
        <f t="shared" si="1"/>
        <v>2</v>
      </c>
      <c r="E83" s="1" t="s">
        <v>260</v>
      </c>
      <c r="F83" s="1" t="s">
        <v>261</v>
      </c>
      <c r="G83" s="1" t="s">
        <v>20</v>
      </c>
      <c r="H83" s="1" t="s">
        <v>262</v>
      </c>
      <c r="I83">
        <v>5</v>
      </c>
      <c r="J83">
        <v>4</v>
      </c>
      <c r="K83">
        <v>1</v>
      </c>
      <c r="L83">
        <v>8</v>
      </c>
      <c r="M83" t="s">
        <v>260</v>
      </c>
      <c r="N83" t="s">
        <v>260</v>
      </c>
      <c r="O83">
        <v>5</v>
      </c>
      <c r="P83">
        <v>4</v>
      </c>
      <c r="Q83">
        <v>1</v>
      </c>
      <c r="R83">
        <v>10</v>
      </c>
    </row>
    <row r="84" spans="1:18">
      <c r="A84" s="1" t="s">
        <v>263</v>
      </c>
      <c r="B84" s="6">
        <v>0</v>
      </c>
      <c r="C84" s="6">
        <v>1</v>
      </c>
      <c r="D84" s="6">
        <f t="shared" si="1"/>
        <v>1</v>
      </c>
      <c r="E84" s="1" t="s">
        <v>263</v>
      </c>
      <c r="F84" s="1" t="s">
        <v>264</v>
      </c>
      <c r="G84" s="1" t="s">
        <v>77</v>
      </c>
      <c r="H84" s="1" t="s">
        <v>265</v>
      </c>
      <c r="I84">
        <v>0</v>
      </c>
      <c r="J84">
        <v>5</v>
      </c>
      <c r="K84">
        <v>5</v>
      </c>
      <c r="L84">
        <v>0</v>
      </c>
      <c r="M84" t="s">
        <v>263</v>
      </c>
      <c r="N84" t="s">
        <v>263</v>
      </c>
      <c r="O84">
        <v>4</v>
      </c>
      <c r="P84">
        <v>5</v>
      </c>
      <c r="Q84">
        <v>-4</v>
      </c>
      <c r="R84">
        <v>1</v>
      </c>
    </row>
    <row r="85" spans="1:18">
      <c r="A85" s="1" t="s">
        <v>266</v>
      </c>
      <c r="B85" s="6">
        <v>20</v>
      </c>
      <c r="C85" s="6">
        <v>316</v>
      </c>
      <c r="D85" s="6">
        <f t="shared" si="1"/>
        <v>296</v>
      </c>
      <c r="E85" s="1" t="s">
        <v>266</v>
      </c>
      <c r="F85" s="1" t="s">
        <v>267</v>
      </c>
      <c r="G85" s="1" t="s">
        <v>20</v>
      </c>
      <c r="H85" s="1" t="s">
        <v>268</v>
      </c>
      <c r="I85">
        <v>20</v>
      </c>
      <c r="J85">
        <v>0</v>
      </c>
      <c r="K85">
        <v>0</v>
      </c>
      <c r="L85">
        <v>20</v>
      </c>
      <c r="M85" t="s">
        <v>266</v>
      </c>
      <c r="N85" t="s">
        <v>266</v>
      </c>
      <c r="O85">
        <v>946</v>
      </c>
      <c r="P85">
        <v>4065</v>
      </c>
      <c r="Q85">
        <v>-3769</v>
      </c>
      <c r="R85">
        <v>316</v>
      </c>
    </row>
    <row r="86" spans="1:18">
      <c r="A86" s="1" t="s">
        <v>269</v>
      </c>
      <c r="B86" s="6">
        <v>5</v>
      </c>
      <c r="C86" s="6">
        <v>30</v>
      </c>
      <c r="D86" s="6">
        <f t="shared" si="1"/>
        <v>25</v>
      </c>
      <c r="E86" s="1" t="s">
        <v>270</v>
      </c>
      <c r="F86" s="1" t="s">
        <v>271</v>
      </c>
      <c r="G86" s="1" t="s">
        <v>20</v>
      </c>
      <c r="H86" s="1" t="s">
        <v>272</v>
      </c>
      <c r="I86">
        <v>5</v>
      </c>
      <c r="J86">
        <v>0</v>
      </c>
      <c r="K86">
        <v>0</v>
      </c>
      <c r="L86">
        <v>5</v>
      </c>
      <c r="M86" t="s">
        <v>269</v>
      </c>
      <c r="N86" t="s">
        <v>270</v>
      </c>
      <c r="O86">
        <v>5</v>
      </c>
      <c r="P86">
        <v>0</v>
      </c>
      <c r="Q86">
        <v>25</v>
      </c>
      <c r="R86">
        <v>30</v>
      </c>
    </row>
    <row r="87" spans="1:18">
      <c r="A87" s="1" t="s">
        <v>269</v>
      </c>
      <c r="B87" s="6">
        <v>54</v>
      </c>
      <c r="C87" s="6">
        <v>107</v>
      </c>
      <c r="D87" s="6">
        <f t="shared" si="1"/>
        <v>53</v>
      </c>
      <c r="E87" s="1" t="s">
        <v>269</v>
      </c>
      <c r="F87" s="1" t="s">
        <v>273</v>
      </c>
      <c r="G87" s="1" t="s">
        <v>20</v>
      </c>
      <c r="H87" s="1" t="s">
        <v>274</v>
      </c>
      <c r="I87">
        <v>0</v>
      </c>
      <c r="J87">
        <v>108</v>
      </c>
      <c r="K87">
        <v>54</v>
      </c>
      <c r="L87">
        <v>54</v>
      </c>
      <c r="M87" t="s">
        <v>269</v>
      </c>
      <c r="N87" t="s">
        <v>269</v>
      </c>
      <c r="O87">
        <v>0</v>
      </c>
      <c r="P87">
        <v>108</v>
      </c>
      <c r="Q87">
        <v>-1</v>
      </c>
      <c r="R87">
        <v>107</v>
      </c>
    </row>
    <row r="88" spans="1:18">
      <c r="A88" s="1" t="s">
        <v>275</v>
      </c>
      <c r="B88" s="6">
        <v>24</v>
      </c>
      <c r="C88" s="6">
        <v>49</v>
      </c>
      <c r="D88" s="6">
        <f t="shared" si="1"/>
        <v>25</v>
      </c>
      <c r="E88" s="1" t="s">
        <v>275</v>
      </c>
      <c r="F88" s="1" t="s">
        <v>276</v>
      </c>
      <c r="G88" s="1" t="s">
        <v>20</v>
      </c>
      <c r="H88" s="1" t="s">
        <v>277</v>
      </c>
      <c r="I88">
        <v>24</v>
      </c>
      <c r="J88">
        <v>0</v>
      </c>
      <c r="K88">
        <v>0</v>
      </c>
      <c r="L88">
        <v>24</v>
      </c>
      <c r="M88" t="s">
        <v>275</v>
      </c>
      <c r="N88" t="s">
        <v>275</v>
      </c>
      <c r="O88">
        <v>36</v>
      </c>
      <c r="P88">
        <v>264</v>
      </c>
      <c r="Q88">
        <v>-231</v>
      </c>
      <c r="R88">
        <v>49</v>
      </c>
    </row>
    <row r="89" spans="1:18">
      <c r="A89" s="1" t="s">
        <v>278</v>
      </c>
      <c r="B89" s="6">
        <v>132</v>
      </c>
      <c r="C89" s="6">
        <v>13</v>
      </c>
      <c r="D89" s="6">
        <f t="shared" si="1"/>
        <v>-119</v>
      </c>
      <c r="E89" s="1" t="s">
        <v>278</v>
      </c>
      <c r="F89" s="1" t="s">
        <v>279</v>
      </c>
      <c r="G89" s="1" t="s">
        <v>280</v>
      </c>
      <c r="H89" s="1" t="s">
        <v>281</v>
      </c>
      <c r="I89">
        <v>72</v>
      </c>
      <c r="J89">
        <v>60</v>
      </c>
      <c r="K89">
        <v>0</v>
      </c>
      <c r="L89">
        <v>132</v>
      </c>
      <c r="M89" s="2">
        <v>2.2E+18</v>
      </c>
      <c r="N89" s="2">
        <v>2.2E+18</v>
      </c>
      <c r="O89">
        <v>55</v>
      </c>
      <c r="P89">
        <v>60</v>
      </c>
      <c r="Q89">
        <v>-119</v>
      </c>
      <c r="R89">
        <v>13</v>
      </c>
    </row>
    <row r="90" spans="1:18">
      <c r="A90" s="1" t="s">
        <v>282</v>
      </c>
      <c r="B90" s="6">
        <v>30</v>
      </c>
      <c r="C90" s="6">
        <v>32</v>
      </c>
      <c r="D90" s="6">
        <f t="shared" si="1"/>
        <v>2</v>
      </c>
      <c r="E90" s="1" t="s">
        <v>282</v>
      </c>
      <c r="F90" s="1" t="s">
        <v>283</v>
      </c>
      <c r="G90" s="1" t="s">
        <v>20</v>
      </c>
      <c r="H90" s="1" t="s">
        <v>284</v>
      </c>
      <c r="I90">
        <v>30</v>
      </c>
      <c r="J90">
        <v>0</v>
      </c>
      <c r="K90">
        <v>0</v>
      </c>
      <c r="L90">
        <v>30</v>
      </c>
      <c r="M90" s="2">
        <v>2.2000000000000001E+49</v>
      </c>
      <c r="N90" s="2">
        <v>2.2000000000000001E+49</v>
      </c>
      <c r="O90">
        <v>32</v>
      </c>
      <c r="P90">
        <v>0</v>
      </c>
      <c r="Q90">
        <v>2</v>
      </c>
      <c r="R90">
        <v>32</v>
      </c>
    </row>
    <row r="91" spans="1:18">
      <c r="A91" s="1" t="s">
        <v>285</v>
      </c>
      <c r="B91" s="6">
        <v>36</v>
      </c>
      <c r="C91" s="6">
        <v>38</v>
      </c>
      <c r="D91" s="6">
        <f t="shared" si="1"/>
        <v>2</v>
      </c>
      <c r="E91" s="1" t="s">
        <v>285</v>
      </c>
      <c r="F91" s="1" t="s">
        <v>286</v>
      </c>
      <c r="G91" s="1" t="s">
        <v>20</v>
      </c>
      <c r="H91" s="1" t="s">
        <v>287</v>
      </c>
      <c r="I91">
        <v>36</v>
      </c>
      <c r="J91">
        <v>0</v>
      </c>
      <c r="K91">
        <v>0</v>
      </c>
      <c r="L91">
        <v>36</v>
      </c>
      <c r="M91" t="s">
        <v>285</v>
      </c>
      <c r="N91" t="s">
        <v>285</v>
      </c>
      <c r="O91">
        <v>38</v>
      </c>
      <c r="P91">
        <v>0</v>
      </c>
      <c r="Q91">
        <v>2</v>
      </c>
      <c r="R91">
        <v>38</v>
      </c>
    </row>
    <row r="92" spans="1:18">
      <c r="A92" s="1" t="s">
        <v>288</v>
      </c>
      <c r="B92" s="6">
        <v>1</v>
      </c>
      <c r="C92" s="6">
        <v>3</v>
      </c>
      <c r="D92" s="6">
        <f t="shared" si="1"/>
        <v>2</v>
      </c>
      <c r="E92" s="1" t="s">
        <v>288</v>
      </c>
      <c r="F92" s="1" t="s">
        <v>289</v>
      </c>
      <c r="G92" s="1" t="s">
        <v>20</v>
      </c>
      <c r="H92" s="1" t="s">
        <v>290</v>
      </c>
      <c r="I92">
        <v>1</v>
      </c>
      <c r="J92">
        <v>0</v>
      </c>
      <c r="K92">
        <v>0</v>
      </c>
      <c r="L92">
        <v>1</v>
      </c>
      <c r="M92" t="s">
        <v>288</v>
      </c>
      <c r="N92" t="s">
        <v>288</v>
      </c>
      <c r="O92">
        <v>6</v>
      </c>
      <c r="P92">
        <v>0</v>
      </c>
      <c r="Q92">
        <v>2</v>
      </c>
      <c r="R92">
        <v>3</v>
      </c>
    </row>
    <row r="93" spans="1:18">
      <c r="A93" s="1" t="s">
        <v>291</v>
      </c>
      <c r="B93" s="6">
        <v>31</v>
      </c>
      <c r="C93" s="6">
        <v>37</v>
      </c>
      <c r="D93" s="6">
        <f t="shared" si="1"/>
        <v>6</v>
      </c>
      <c r="E93" s="1" t="s">
        <v>291</v>
      </c>
      <c r="F93" s="1" t="s">
        <v>292</v>
      </c>
      <c r="G93" s="1" t="s">
        <v>20</v>
      </c>
      <c r="H93" s="1" t="s">
        <v>293</v>
      </c>
      <c r="I93">
        <v>31</v>
      </c>
      <c r="J93">
        <v>0</v>
      </c>
      <c r="K93">
        <v>0</v>
      </c>
      <c r="L93">
        <v>31</v>
      </c>
      <c r="M93" t="s">
        <v>291</v>
      </c>
      <c r="N93" t="s">
        <v>291</v>
      </c>
      <c r="O93">
        <v>32</v>
      </c>
      <c r="P93">
        <v>0</v>
      </c>
      <c r="Q93">
        <v>6</v>
      </c>
      <c r="R93">
        <v>37</v>
      </c>
    </row>
    <row r="94" spans="1:18">
      <c r="A94" s="1" t="s">
        <v>294</v>
      </c>
      <c r="B94" s="6">
        <v>72</v>
      </c>
      <c r="C94" s="6">
        <v>239</v>
      </c>
      <c r="D94" s="6">
        <f t="shared" si="1"/>
        <v>167</v>
      </c>
      <c r="E94" s="1" t="s">
        <v>294</v>
      </c>
      <c r="F94" s="1" t="s">
        <v>295</v>
      </c>
      <c r="G94" s="1" t="s">
        <v>20</v>
      </c>
      <c r="H94" s="1" t="s">
        <v>296</v>
      </c>
      <c r="I94">
        <v>0</v>
      </c>
      <c r="J94">
        <v>72</v>
      </c>
      <c r="K94">
        <v>0</v>
      </c>
      <c r="L94">
        <v>72</v>
      </c>
      <c r="M94" t="s">
        <v>294</v>
      </c>
      <c r="N94" t="s">
        <v>294</v>
      </c>
      <c r="O94">
        <v>8</v>
      </c>
      <c r="P94">
        <v>792</v>
      </c>
      <c r="Q94">
        <v>-564</v>
      </c>
      <c r="R94">
        <v>239</v>
      </c>
    </row>
    <row r="95" spans="1:18">
      <c r="A95" s="1" t="s">
        <v>297</v>
      </c>
      <c r="B95" s="6">
        <v>240</v>
      </c>
      <c r="C95" s="6">
        <v>173</v>
      </c>
      <c r="D95" s="6">
        <f t="shared" si="1"/>
        <v>-67</v>
      </c>
      <c r="E95" s="1" t="s">
        <v>297</v>
      </c>
      <c r="F95" s="1" t="s">
        <v>298</v>
      </c>
      <c r="G95" s="1" t="s">
        <v>20</v>
      </c>
      <c r="H95" s="1" t="s">
        <v>299</v>
      </c>
      <c r="I95">
        <v>0</v>
      </c>
      <c r="J95">
        <v>240</v>
      </c>
      <c r="K95">
        <v>0</v>
      </c>
      <c r="L95">
        <v>240</v>
      </c>
      <c r="M95" t="s">
        <v>297</v>
      </c>
      <c r="N95" t="s">
        <v>297</v>
      </c>
      <c r="O95">
        <v>833</v>
      </c>
      <c r="P95">
        <v>1356</v>
      </c>
      <c r="Q95">
        <v>-2541</v>
      </c>
      <c r="R95">
        <v>173</v>
      </c>
    </row>
    <row r="96" spans="1:18">
      <c r="A96" s="1" t="s">
        <v>300</v>
      </c>
      <c r="B96" s="6">
        <v>19</v>
      </c>
      <c r="C96" s="6">
        <v>20</v>
      </c>
      <c r="D96" s="6">
        <f t="shared" si="1"/>
        <v>1</v>
      </c>
      <c r="E96" s="1" t="s">
        <v>300</v>
      </c>
      <c r="F96" s="1" t="s">
        <v>301</v>
      </c>
      <c r="G96" s="1" t="s">
        <v>280</v>
      </c>
      <c r="H96" s="1" t="s">
        <v>302</v>
      </c>
      <c r="I96">
        <v>19</v>
      </c>
      <c r="J96">
        <v>0</v>
      </c>
      <c r="K96">
        <v>0</v>
      </c>
      <c r="L96">
        <v>19</v>
      </c>
      <c r="M96" t="s">
        <v>300</v>
      </c>
      <c r="N96" t="s">
        <v>300</v>
      </c>
      <c r="O96">
        <v>24</v>
      </c>
      <c r="P96">
        <v>0</v>
      </c>
      <c r="Q96">
        <v>1</v>
      </c>
      <c r="R96">
        <v>20</v>
      </c>
    </row>
    <row r="97" spans="1:18">
      <c r="A97" s="1" t="s">
        <v>303</v>
      </c>
      <c r="B97" s="6">
        <v>55</v>
      </c>
      <c r="C97" s="6">
        <v>56</v>
      </c>
      <c r="D97" s="6">
        <f t="shared" si="1"/>
        <v>1</v>
      </c>
      <c r="E97" s="1" t="s">
        <v>303</v>
      </c>
      <c r="F97" s="1" t="s">
        <v>304</v>
      </c>
      <c r="G97" s="1" t="s">
        <v>280</v>
      </c>
      <c r="H97" s="1" t="s">
        <v>305</v>
      </c>
      <c r="I97">
        <v>7</v>
      </c>
      <c r="J97">
        <v>48</v>
      </c>
      <c r="K97">
        <v>0</v>
      </c>
      <c r="L97">
        <v>55</v>
      </c>
      <c r="M97" t="s">
        <v>303</v>
      </c>
      <c r="N97" t="s">
        <v>303</v>
      </c>
      <c r="O97">
        <v>57</v>
      </c>
      <c r="P97">
        <v>48</v>
      </c>
      <c r="Q97">
        <v>1</v>
      </c>
      <c r="R97">
        <v>56</v>
      </c>
    </row>
    <row r="98" spans="1:18">
      <c r="A98" s="1" t="s">
        <v>306</v>
      </c>
      <c r="B98" s="6">
        <v>249</v>
      </c>
      <c r="C98" s="6">
        <v>124</v>
      </c>
      <c r="D98" s="6">
        <f t="shared" si="1"/>
        <v>-125</v>
      </c>
      <c r="E98" s="1" t="s">
        <v>306</v>
      </c>
      <c r="F98" s="1" t="s">
        <v>307</v>
      </c>
      <c r="G98" s="1" t="s">
        <v>20</v>
      </c>
      <c r="H98" s="1" t="s">
        <v>308</v>
      </c>
      <c r="I98">
        <v>141</v>
      </c>
      <c r="J98">
        <v>108</v>
      </c>
      <c r="K98">
        <v>0</v>
      </c>
      <c r="L98">
        <v>249</v>
      </c>
      <c r="M98" t="s">
        <v>306</v>
      </c>
      <c r="N98" t="s">
        <v>306</v>
      </c>
      <c r="O98">
        <v>99</v>
      </c>
      <c r="P98">
        <v>108</v>
      </c>
      <c r="Q98">
        <v>-125</v>
      </c>
      <c r="R98">
        <v>124</v>
      </c>
    </row>
    <row r="99" spans="1:18">
      <c r="A99" s="1" t="s">
        <v>309</v>
      </c>
      <c r="B99" s="6">
        <v>0</v>
      </c>
      <c r="C99" s="6">
        <v>69</v>
      </c>
      <c r="D99" s="6">
        <f t="shared" si="1"/>
        <v>69</v>
      </c>
      <c r="E99" s="1" t="s">
        <v>309</v>
      </c>
      <c r="F99" s="1" t="s">
        <v>310</v>
      </c>
      <c r="G99" s="1" t="s">
        <v>280</v>
      </c>
      <c r="H99" s="1" t="s">
        <v>311</v>
      </c>
      <c r="I99">
        <v>76</v>
      </c>
      <c r="J99">
        <v>0</v>
      </c>
      <c r="K99">
        <v>76</v>
      </c>
      <c r="L99">
        <v>0</v>
      </c>
      <c r="M99" t="s">
        <v>309</v>
      </c>
      <c r="N99" t="s">
        <v>309</v>
      </c>
      <c r="O99">
        <v>62</v>
      </c>
      <c r="P99">
        <v>0</v>
      </c>
      <c r="Q99">
        <v>-7</v>
      </c>
      <c r="R99">
        <v>69</v>
      </c>
    </row>
    <row r="100" spans="1:18">
      <c r="A100" s="1" t="s">
        <v>312</v>
      </c>
      <c r="B100" s="6">
        <v>0</v>
      </c>
      <c r="C100" s="6">
        <v>132</v>
      </c>
      <c r="D100" s="6">
        <f t="shared" si="1"/>
        <v>132</v>
      </c>
      <c r="E100" s="1" t="s">
        <v>312</v>
      </c>
      <c r="F100" s="1" t="s">
        <v>313</v>
      </c>
      <c r="G100" s="1" t="s">
        <v>20</v>
      </c>
      <c r="H100" s="1" t="s">
        <v>314</v>
      </c>
      <c r="I100">
        <v>1</v>
      </c>
      <c r="J100">
        <v>0</v>
      </c>
      <c r="K100">
        <v>1</v>
      </c>
      <c r="L100">
        <v>0</v>
      </c>
      <c r="M100" t="s">
        <v>312</v>
      </c>
      <c r="N100" t="s">
        <v>312</v>
      </c>
      <c r="O100">
        <v>144</v>
      </c>
      <c r="P100">
        <v>0</v>
      </c>
      <c r="Q100">
        <v>-12</v>
      </c>
      <c r="R100">
        <v>132</v>
      </c>
    </row>
    <row r="101" spans="1:18">
      <c r="A101" s="1" t="s">
        <v>315</v>
      </c>
      <c r="B101" s="6">
        <v>12</v>
      </c>
      <c r="C101" s="6">
        <v>13</v>
      </c>
      <c r="D101" s="6">
        <f t="shared" si="1"/>
        <v>1</v>
      </c>
      <c r="E101" s="1" t="s">
        <v>315</v>
      </c>
      <c r="F101" s="1" t="s">
        <v>316</v>
      </c>
      <c r="G101" s="1" t="s">
        <v>20</v>
      </c>
      <c r="H101" s="1" t="s">
        <v>317</v>
      </c>
      <c r="I101">
        <v>12</v>
      </c>
      <c r="J101">
        <v>0</v>
      </c>
      <c r="K101">
        <v>0</v>
      </c>
      <c r="L101">
        <v>12</v>
      </c>
      <c r="M101" t="s">
        <v>315</v>
      </c>
      <c r="N101" t="s">
        <v>315</v>
      </c>
      <c r="O101">
        <v>13</v>
      </c>
      <c r="P101">
        <v>0</v>
      </c>
      <c r="Q101">
        <v>1</v>
      </c>
      <c r="R101">
        <v>13</v>
      </c>
    </row>
    <row r="102" spans="1:18">
      <c r="A102" s="1" t="s">
        <v>318</v>
      </c>
      <c r="B102" s="6">
        <v>0</v>
      </c>
      <c r="C102" s="6">
        <v>16</v>
      </c>
      <c r="D102" s="6">
        <f t="shared" si="1"/>
        <v>16</v>
      </c>
      <c r="E102" s="1" t="s">
        <v>318</v>
      </c>
      <c r="F102" s="1" t="s">
        <v>319</v>
      </c>
      <c r="G102" s="1" t="s">
        <v>20</v>
      </c>
      <c r="H102" s="1" t="s">
        <v>320</v>
      </c>
      <c r="I102">
        <v>0</v>
      </c>
      <c r="J102">
        <v>5</v>
      </c>
      <c r="K102">
        <v>5</v>
      </c>
      <c r="L102">
        <v>0</v>
      </c>
      <c r="M102" t="s">
        <v>318</v>
      </c>
      <c r="N102" t="s">
        <v>318</v>
      </c>
      <c r="O102">
        <v>19</v>
      </c>
      <c r="P102">
        <v>60</v>
      </c>
      <c r="Q102">
        <v>-56</v>
      </c>
      <c r="R102">
        <v>16</v>
      </c>
    </row>
    <row r="103" spans="1:18">
      <c r="A103" s="1" t="s">
        <v>321</v>
      </c>
      <c r="B103" s="6">
        <v>0</v>
      </c>
      <c r="C103" s="6">
        <v>214</v>
      </c>
      <c r="D103" s="6">
        <f t="shared" si="1"/>
        <v>214</v>
      </c>
      <c r="E103" s="1" t="s">
        <v>321</v>
      </c>
      <c r="F103" s="1" t="s">
        <v>322</v>
      </c>
      <c r="G103" s="1" t="s">
        <v>20</v>
      </c>
      <c r="H103" s="1" t="s">
        <v>323</v>
      </c>
      <c r="I103">
        <v>0</v>
      </c>
      <c r="J103">
        <v>72</v>
      </c>
      <c r="K103">
        <v>72</v>
      </c>
      <c r="L103">
        <v>0</v>
      </c>
      <c r="M103" t="s">
        <v>321</v>
      </c>
      <c r="N103" t="s">
        <v>321</v>
      </c>
      <c r="O103">
        <v>44</v>
      </c>
      <c r="P103">
        <v>840</v>
      </c>
      <c r="Q103">
        <v>-786</v>
      </c>
      <c r="R103">
        <v>214</v>
      </c>
    </row>
    <row r="104" spans="1:18">
      <c r="A104" s="1" t="s">
        <v>324</v>
      </c>
      <c r="B104" s="6">
        <v>91</v>
      </c>
      <c r="C104" s="6">
        <v>99</v>
      </c>
      <c r="D104" s="6">
        <f t="shared" si="1"/>
        <v>8</v>
      </c>
      <c r="E104" s="1" t="s">
        <v>324</v>
      </c>
      <c r="F104" s="1" t="s">
        <v>325</v>
      </c>
      <c r="G104" s="1" t="s">
        <v>280</v>
      </c>
      <c r="H104" s="1" t="s">
        <v>326</v>
      </c>
      <c r="I104">
        <v>91</v>
      </c>
      <c r="J104">
        <v>0</v>
      </c>
      <c r="K104">
        <v>0</v>
      </c>
      <c r="L104">
        <v>91</v>
      </c>
      <c r="M104" t="s">
        <v>324</v>
      </c>
      <c r="N104" t="s">
        <v>324</v>
      </c>
      <c r="O104">
        <v>108</v>
      </c>
      <c r="P104">
        <v>0</v>
      </c>
      <c r="Q104">
        <v>8</v>
      </c>
      <c r="R104">
        <v>99</v>
      </c>
    </row>
    <row r="105" spans="1:18">
      <c r="A105" s="1" t="s">
        <v>327</v>
      </c>
      <c r="B105" s="6">
        <v>8</v>
      </c>
      <c r="C105" s="6">
        <v>19</v>
      </c>
      <c r="D105" s="6">
        <f t="shared" si="1"/>
        <v>11</v>
      </c>
      <c r="E105" s="1" t="s">
        <v>327</v>
      </c>
      <c r="F105" s="1" t="s">
        <v>328</v>
      </c>
      <c r="G105" s="1" t="s">
        <v>280</v>
      </c>
      <c r="H105" s="1" t="s">
        <v>329</v>
      </c>
      <c r="I105">
        <v>16</v>
      </c>
      <c r="J105">
        <v>0</v>
      </c>
      <c r="K105">
        <v>8</v>
      </c>
      <c r="L105">
        <v>8</v>
      </c>
      <c r="M105" t="s">
        <v>327</v>
      </c>
      <c r="N105" t="s">
        <v>327</v>
      </c>
      <c r="O105">
        <v>16</v>
      </c>
      <c r="P105">
        <v>0</v>
      </c>
      <c r="Q105">
        <v>3</v>
      </c>
      <c r="R105">
        <v>19</v>
      </c>
    </row>
    <row r="106" spans="1:18">
      <c r="A106" s="1" t="s">
        <v>330</v>
      </c>
      <c r="B106" s="6">
        <v>119</v>
      </c>
      <c r="C106" s="6">
        <v>122</v>
      </c>
      <c r="D106" s="6">
        <f t="shared" si="1"/>
        <v>3</v>
      </c>
      <c r="E106" s="1" t="s">
        <v>330</v>
      </c>
      <c r="F106" s="1" t="s">
        <v>331</v>
      </c>
      <c r="G106" s="1" t="s">
        <v>20</v>
      </c>
      <c r="H106" s="1" t="s">
        <v>332</v>
      </c>
      <c r="I106">
        <v>119</v>
      </c>
      <c r="J106">
        <v>0</v>
      </c>
      <c r="K106">
        <v>0</v>
      </c>
      <c r="L106">
        <v>119</v>
      </c>
      <c r="M106" t="s">
        <v>330</v>
      </c>
      <c r="N106" t="s">
        <v>330</v>
      </c>
      <c r="O106">
        <v>134</v>
      </c>
      <c r="P106">
        <v>0</v>
      </c>
      <c r="Q106">
        <v>3</v>
      </c>
      <c r="R106">
        <v>122</v>
      </c>
    </row>
    <row r="107" spans="1:18">
      <c r="A107" s="1" t="s">
        <v>333</v>
      </c>
      <c r="B107" s="6">
        <v>0</v>
      </c>
      <c r="C107" s="6">
        <v>30</v>
      </c>
      <c r="D107" s="6">
        <f t="shared" si="1"/>
        <v>30</v>
      </c>
      <c r="E107" s="1" t="s">
        <v>333</v>
      </c>
      <c r="F107" s="1" t="s">
        <v>334</v>
      </c>
      <c r="G107" s="1" t="s">
        <v>20</v>
      </c>
      <c r="H107" s="1" t="s">
        <v>335</v>
      </c>
      <c r="I107">
        <v>31</v>
      </c>
      <c r="J107">
        <v>0</v>
      </c>
      <c r="K107">
        <v>31</v>
      </c>
      <c r="L107">
        <v>0</v>
      </c>
      <c r="M107" t="s">
        <v>333</v>
      </c>
      <c r="N107" t="s">
        <v>333</v>
      </c>
      <c r="O107">
        <v>29</v>
      </c>
      <c r="P107">
        <v>0</v>
      </c>
      <c r="Q107">
        <v>-1</v>
      </c>
      <c r="R107">
        <v>30</v>
      </c>
    </row>
    <row r="108" spans="1:18">
      <c r="A108" s="1" t="s">
        <v>336</v>
      </c>
      <c r="B108" s="6">
        <v>28</v>
      </c>
      <c r="C108" s="6">
        <v>30</v>
      </c>
      <c r="D108" s="6">
        <f t="shared" si="1"/>
        <v>2</v>
      </c>
      <c r="E108" s="1" t="s">
        <v>336</v>
      </c>
      <c r="F108" s="1" t="s">
        <v>337</v>
      </c>
      <c r="G108" s="1" t="s">
        <v>20</v>
      </c>
      <c r="H108" s="1" t="s">
        <v>338</v>
      </c>
      <c r="I108">
        <v>28</v>
      </c>
      <c r="J108">
        <v>0</v>
      </c>
      <c r="K108">
        <v>0</v>
      </c>
      <c r="L108">
        <v>28</v>
      </c>
      <c r="M108" t="s">
        <v>336</v>
      </c>
      <c r="N108" t="s">
        <v>336</v>
      </c>
      <c r="O108">
        <v>30</v>
      </c>
      <c r="P108">
        <v>0</v>
      </c>
      <c r="Q108">
        <v>2</v>
      </c>
      <c r="R108">
        <v>30</v>
      </c>
    </row>
    <row r="109" spans="1:18">
      <c r="A109" s="1" t="s">
        <v>339</v>
      </c>
      <c r="B109" s="6">
        <v>0</v>
      </c>
      <c r="C109" s="6">
        <v>13</v>
      </c>
      <c r="D109" s="6">
        <f t="shared" si="1"/>
        <v>13</v>
      </c>
      <c r="E109" s="1" t="s">
        <v>339</v>
      </c>
      <c r="F109" s="1" t="s">
        <v>340</v>
      </c>
      <c r="G109" s="1" t="s">
        <v>20</v>
      </c>
      <c r="H109" s="1" t="s">
        <v>341</v>
      </c>
      <c r="I109">
        <v>8</v>
      </c>
      <c r="J109">
        <v>0</v>
      </c>
      <c r="K109">
        <v>8</v>
      </c>
      <c r="L109">
        <v>0</v>
      </c>
      <c r="M109" t="s">
        <v>339</v>
      </c>
      <c r="N109" t="s">
        <v>339</v>
      </c>
      <c r="O109">
        <v>7</v>
      </c>
      <c r="P109">
        <v>0</v>
      </c>
      <c r="Q109">
        <v>5</v>
      </c>
      <c r="R109">
        <v>13</v>
      </c>
    </row>
    <row r="110" spans="1:18">
      <c r="A110" s="1" t="s">
        <v>342</v>
      </c>
      <c r="B110" s="6">
        <v>0</v>
      </c>
      <c r="C110" s="6">
        <v>9</v>
      </c>
      <c r="D110" s="6">
        <f t="shared" si="1"/>
        <v>9</v>
      </c>
      <c r="E110" s="1" t="s">
        <v>342</v>
      </c>
      <c r="F110" s="1" t="s">
        <v>343</v>
      </c>
      <c r="G110" s="1" t="s">
        <v>20</v>
      </c>
      <c r="H110" s="1" t="s">
        <v>344</v>
      </c>
      <c r="I110">
        <v>9</v>
      </c>
      <c r="J110">
        <v>0</v>
      </c>
      <c r="K110">
        <v>9</v>
      </c>
      <c r="L110">
        <v>0</v>
      </c>
      <c r="M110" t="s">
        <v>342</v>
      </c>
      <c r="N110" t="s">
        <v>342</v>
      </c>
      <c r="O110">
        <v>8</v>
      </c>
      <c r="P110">
        <v>0</v>
      </c>
      <c r="Q110">
        <v>0</v>
      </c>
      <c r="R110">
        <v>9</v>
      </c>
    </row>
    <row r="111" spans="1:18">
      <c r="A111" s="1" t="s">
        <v>345</v>
      </c>
      <c r="B111" s="6">
        <v>1000</v>
      </c>
      <c r="C111" s="6">
        <v>30</v>
      </c>
      <c r="D111" s="6">
        <f t="shared" si="1"/>
        <v>-970</v>
      </c>
      <c r="E111" s="1" t="s">
        <v>345</v>
      </c>
      <c r="F111" s="1" t="s">
        <v>346</v>
      </c>
      <c r="G111" s="1" t="s">
        <v>20</v>
      </c>
      <c r="H111" s="1" t="s">
        <v>347</v>
      </c>
      <c r="I111">
        <v>1000</v>
      </c>
      <c r="J111">
        <v>0</v>
      </c>
      <c r="K111">
        <v>0</v>
      </c>
      <c r="L111">
        <v>1000</v>
      </c>
      <c r="M111" t="s">
        <v>345</v>
      </c>
      <c r="N111" t="s">
        <v>345</v>
      </c>
      <c r="O111">
        <v>61</v>
      </c>
      <c r="P111">
        <v>96</v>
      </c>
      <c r="Q111">
        <v>-90</v>
      </c>
      <c r="R111">
        <v>30</v>
      </c>
    </row>
    <row r="112" spans="1:18">
      <c r="A112" s="1" t="s">
        <v>348</v>
      </c>
      <c r="B112" s="6">
        <v>133</v>
      </c>
      <c r="C112" s="6">
        <v>4</v>
      </c>
      <c r="D112" s="6">
        <f t="shared" si="1"/>
        <v>-129</v>
      </c>
      <c r="E112" s="1" t="s">
        <v>348</v>
      </c>
      <c r="F112" s="1" t="s">
        <v>349</v>
      </c>
      <c r="G112" s="1" t="s">
        <v>20</v>
      </c>
      <c r="H112" s="1" t="s">
        <v>350</v>
      </c>
      <c r="I112">
        <v>39</v>
      </c>
      <c r="J112">
        <v>94</v>
      </c>
      <c r="K112">
        <v>0</v>
      </c>
      <c r="L112">
        <v>133</v>
      </c>
      <c r="M112" t="s">
        <v>348</v>
      </c>
      <c r="N112" t="s">
        <v>348</v>
      </c>
      <c r="O112">
        <v>28</v>
      </c>
      <c r="P112">
        <v>94</v>
      </c>
      <c r="Q112">
        <v>-129</v>
      </c>
      <c r="R112">
        <v>4</v>
      </c>
    </row>
    <row r="113" spans="1:18">
      <c r="A113" s="1" t="s">
        <v>351</v>
      </c>
      <c r="B113" s="6">
        <v>58</v>
      </c>
      <c r="C113" s="6">
        <v>58.25</v>
      </c>
      <c r="D113" s="6">
        <f t="shared" si="1"/>
        <v>0.25</v>
      </c>
      <c r="E113" s="1" t="s">
        <v>351</v>
      </c>
      <c r="F113" s="1" t="s">
        <v>352</v>
      </c>
      <c r="G113" s="1" t="s">
        <v>353</v>
      </c>
      <c r="H113" s="1" t="s">
        <v>354</v>
      </c>
      <c r="I113">
        <v>1</v>
      </c>
      <c r="J113">
        <v>485</v>
      </c>
      <c r="K113">
        <v>428</v>
      </c>
      <c r="L113">
        <v>58</v>
      </c>
      <c r="M113" t="s">
        <v>351</v>
      </c>
      <c r="N113" t="s">
        <v>351</v>
      </c>
      <c r="O113">
        <v>38.75</v>
      </c>
      <c r="P113">
        <v>485</v>
      </c>
      <c r="Q113">
        <v>-427.5</v>
      </c>
      <c r="R113">
        <v>58.25</v>
      </c>
    </row>
    <row r="114" spans="1:18">
      <c r="A114" s="1" t="s">
        <v>355</v>
      </c>
      <c r="B114" s="6">
        <v>0</v>
      </c>
      <c r="C114" s="6">
        <v>12</v>
      </c>
      <c r="D114" s="6">
        <f t="shared" si="1"/>
        <v>12</v>
      </c>
      <c r="E114" s="1" t="s">
        <v>356</v>
      </c>
      <c r="F114" s="1" t="s">
        <v>357</v>
      </c>
      <c r="G114" s="1" t="s">
        <v>77</v>
      </c>
      <c r="H114" s="1" t="s">
        <v>358</v>
      </c>
      <c r="I114">
        <v>0</v>
      </c>
      <c r="J114">
        <v>8</v>
      </c>
      <c r="K114">
        <v>8</v>
      </c>
      <c r="L114">
        <v>0</v>
      </c>
      <c r="M114" t="s">
        <v>355</v>
      </c>
      <c r="N114" t="s">
        <v>356</v>
      </c>
      <c r="O114">
        <v>0</v>
      </c>
      <c r="P114">
        <v>8</v>
      </c>
      <c r="Q114">
        <v>4</v>
      </c>
      <c r="R114">
        <v>12</v>
      </c>
    </row>
    <row r="115" spans="1:18">
      <c r="A115" s="1" t="s">
        <v>355</v>
      </c>
      <c r="B115" s="6">
        <v>50</v>
      </c>
      <c r="C115" s="6">
        <v>38</v>
      </c>
      <c r="D115" s="6">
        <f t="shared" si="1"/>
        <v>-12</v>
      </c>
      <c r="E115" s="1" t="s">
        <v>359</v>
      </c>
      <c r="F115" s="1" t="s">
        <v>360</v>
      </c>
      <c r="G115" s="1" t="s">
        <v>77</v>
      </c>
      <c r="H115" s="1" t="s">
        <v>361</v>
      </c>
      <c r="I115">
        <v>0</v>
      </c>
      <c r="J115">
        <v>400</v>
      </c>
      <c r="K115">
        <v>350</v>
      </c>
      <c r="L115">
        <v>50</v>
      </c>
      <c r="M115" t="s">
        <v>355</v>
      </c>
      <c r="N115" t="s">
        <v>359</v>
      </c>
      <c r="O115">
        <v>0</v>
      </c>
      <c r="P115">
        <v>400</v>
      </c>
      <c r="Q115">
        <v>-362</v>
      </c>
      <c r="R115">
        <v>38</v>
      </c>
    </row>
    <row r="116" spans="1:18">
      <c r="A116" s="1" t="s">
        <v>362</v>
      </c>
      <c r="B116" s="6">
        <v>0</v>
      </c>
      <c r="C116" s="6">
        <v>10</v>
      </c>
      <c r="D116" s="6">
        <f t="shared" si="1"/>
        <v>10</v>
      </c>
      <c r="E116" s="1" t="s">
        <v>363</v>
      </c>
      <c r="F116" s="1" t="s">
        <v>364</v>
      </c>
      <c r="G116" s="1" t="s">
        <v>77</v>
      </c>
      <c r="H116" s="1" t="s">
        <v>365</v>
      </c>
      <c r="I116">
        <v>0</v>
      </c>
      <c r="J116">
        <v>1640</v>
      </c>
      <c r="K116">
        <v>1640</v>
      </c>
      <c r="L116">
        <v>0</v>
      </c>
      <c r="M116" t="s">
        <v>362</v>
      </c>
      <c r="N116" t="s">
        <v>363</v>
      </c>
      <c r="O116">
        <v>0</v>
      </c>
      <c r="P116">
        <v>600</v>
      </c>
      <c r="Q116">
        <v>-590</v>
      </c>
      <c r="R116">
        <v>10</v>
      </c>
    </row>
    <row r="117" spans="1:18">
      <c r="A117" s="1" t="s">
        <v>366</v>
      </c>
      <c r="B117" s="6">
        <v>0</v>
      </c>
      <c r="C117" s="6">
        <v>606</v>
      </c>
      <c r="D117" s="6">
        <f t="shared" si="1"/>
        <v>606</v>
      </c>
      <c r="E117" s="1" t="s">
        <v>366</v>
      </c>
      <c r="F117" s="1" t="s">
        <v>367</v>
      </c>
      <c r="G117" s="1" t="s">
        <v>20</v>
      </c>
      <c r="H117" s="1" t="s">
        <v>368</v>
      </c>
      <c r="I117">
        <v>0</v>
      </c>
      <c r="J117">
        <v>390</v>
      </c>
      <c r="K117">
        <v>390</v>
      </c>
      <c r="L117">
        <v>0</v>
      </c>
      <c r="M117" t="s">
        <v>366</v>
      </c>
      <c r="N117" t="s">
        <v>366</v>
      </c>
      <c r="O117">
        <v>0</v>
      </c>
      <c r="P117">
        <v>390</v>
      </c>
      <c r="Q117">
        <v>216</v>
      </c>
      <c r="R117">
        <v>606</v>
      </c>
    </row>
    <row r="118" spans="1:18">
      <c r="A118" s="1" t="s">
        <v>366</v>
      </c>
      <c r="B118" s="6">
        <v>732</v>
      </c>
      <c r="C118" s="6">
        <v>126</v>
      </c>
      <c r="D118" s="6">
        <f t="shared" si="1"/>
        <v>-606</v>
      </c>
      <c r="E118" s="1" t="s">
        <v>369</v>
      </c>
      <c r="F118" s="1" t="s">
        <v>370</v>
      </c>
      <c r="G118" s="1" t="s">
        <v>77</v>
      </c>
      <c r="H118" s="1" t="s">
        <v>371</v>
      </c>
      <c r="I118">
        <v>1483</v>
      </c>
      <c r="J118">
        <v>1590</v>
      </c>
      <c r="K118">
        <v>2341</v>
      </c>
      <c r="L118">
        <v>732</v>
      </c>
      <c r="M118" t="s">
        <v>366</v>
      </c>
      <c r="N118" t="s">
        <v>369</v>
      </c>
      <c r="O118">
        <v>2118</v>
      </c>
      <c r="P118">
        <v>1200</v>
      </c>
      <c r="Q118">
        <v>-2557</v>
      </c>
      <c r="R118">
        <v>126</v>
      </c>
    </row>
    <row r="119" spans="1:18">
      <c r="A119" s="1" t="s">
        <v>372</v>
      </c>
      <c r="B119" s="6">
        <v>213</v>
      </c>
      <c r="C119" s="6">
        <v>0</v>
      </c>
      <c r="D119" s="6">
        <f t="shared" si="1"/>
        <v>-213</v>
      </c>
      <c r="E119" s="1" t="s">
        <v>373</v>
      </c>
      <c r="F119" s="1" t="s">
        <v>374</v>
      </c>
      <c r="G119" s="1" t="s">
        <v>20</v>
      </c>
      <c r="H119" s="1" t="s">
        <v>375</v>
      </c>
      <c r="I119">
        <v>18</v>
      </c>
      <c r="J119">
        <v>201</v>
      </c>
      <c r="K119">
        <v>6</v>
      </c>
      <c r="L119">
        <v>213</v>
      </c>
      <c r="M119" t="s">
        <v>372</v>
      </c>
      <c r="N119" t="s">
        <v>373</v>
      </c>
      <c r="O119">
        <v>3</v>
      </c>
      <c r="P119">
        <v>0</v>
      </c>
      <c r="Q119">
        <v>-18</v>
      </c>
      <c r="R119">
        <v>0</v>
      </c>
    </row>
    <row r="120" spans="1:18">
      <c r="A120" s="1" t="s">
        <v>376</v>
      </c>
      <c r="B120" s="6">
        <v>54</v>
      </c>
      <c r="C120" s="6">
        <v>117</v>
      </c>
      <c r="D120" s="6">
        <f t="shared" si="1"/>
        <v>63</v>
      </c>
      <c r="E120" s="1" t="s">
        <v>376</v>
      </c>
      <c r="F120" s="1" t="s">
        <v>377</v>
      </c>
      <c r="G120" s="1" t="s">
        <v>77</v>
      </c>
      <c r="H120" s="1" t="s">
        <v>378</v>
      </c>
      <c r="I120">
        <v>99</v>
      </c>
      <c r="J120">
        <v>70</v>
      </c>
      <c r="K120">
        <v>115</v>
      </c>
      <c r="L120">
        <v>54</v>
      </c>
      <c r="M120" t="s">
        <v>376</v>
      </c>
      <c r="N120" t="s">
        <v>376</v>
      </c>
      <c r="O120">
        <v>42</v>
      </c>
      <c r="P120">
        <v>70</v>
      </c>
      <c r="Q120">
        <v>-52</v>
      </c>
      <c r="R120">
        <v>117</v>
      </c>
    </row>
    <row r="121" spans="1:18">
      <c r="A121" s="1" t="s">
        <v>379</v>
      </c>
      <c r="B121" s="6">
        <v>0</v>
      </c>
      <c r="C121" s="6">
        <v>16</v>
      </c>
      <c r="D121" s="6">
        <f t="shared" si="1"/>
        <v>16</v>
      </c>
      <c r="E121" s="1" t="s">
        <v>379</v>
      </c>
      <c r="F121" s="1" t="s">
        <v>380</v>
      </c>
      <c r="G121" s="1" t="s">
        <v>77</v>
      </c>
      <c r="H121" s="1" t="s">
        <v>381</v>
      </c>
      <c r="I121">
        <v>15</v>
      </c>
      <c r="J121">
        <v>0</v>
      </c>
      <c r="K121">
        <v>15</v>
      </c>
      <c r="L121">
        <v>0</v>
      </c>
      <c r="M121" t="s">
        <v>379</v>
      </c>
      <c r="N121" t="s">
        <v>379</v>
      </c>
      <c r="O121">
        <v>6</v>
      </c>
      <c r="P121">
        <v>20</v>
      </c>
      <c r="Q121">
        <v>-19</v>
      </c>
      <c r="R121">
        <v>16</v>
      </c>
    </row>
    <row r="122" spans="1:18">
      <c r="A122" s="1" t="s">
        <v>382</v>
      </c>
      <c r="B122" s="6">
        <v>0</v>
      </c>
      <c r="C122" s="6">
        <v>43</v>
      </c>
      <c r="D122" s="6">
        <f t="shared" si="1"/>
        <v>43</v>
      </c>
      <c r="E122" s="1" t="s">
        <v>382</v>
      </c>
      <c r="F122" s="1" t="s">
        <v>383</v>
      </c>
      <c r="G122" s="1" t="s">
        <v>77</v>
      </c>
      <c r="H122" s="1" t="s">
        <v>384</v>
      </c>
      <c r="I122">
        <v>21</v>
      </c>
      <c r="J122">
        <v>116</v>
      </c>
      <c r="K122">
        <v>137</v>
      </c>
      <c r="L122">
        <v>0</v>
      </c>
      <c r="M122" t="s">
        <v>382</v>
      </c>
      <c r="N122" t="s">
        <v>382</v>
      </c>
      <c r="O122">
        <v>14</v>
      </c>
      <c r="P122">
        <v>1316</v>
      </c>
      <c r="Q122">
        <v>-1294</v>
      </c>
      <c r="R122">
        <v>43</v>
      </c>
    </row>
    <row r="123" spans="1:18">
      <c r="A123" s="1" t="s">
        <v>385</v>
      </c>
      <c r="B123" s="6">
        <v>0</v>
      </c>
      <c r="C123" s="6">
        <v>97</v>
      </c>
      <c r="D123" s="6">
        <f t="shared" si="1"/>
        <v>97</v>
      </c>
      <c r="E123" s="1" t="s">
        <v>385</v>
      </c>
      <c r="F123" s="1" t="s">
        <v>386</v>
      </c>
      <c r="G123" s="1" t="s">
        <v>77</v>
      </c>
      <c r="H123" s="1" t="s">
        <v>387</v>
      </c>
      <c r="I123">
        <v>0</v>
      </c>
      <c r="J123">
        <v>60</v>
      </c>
      <c r="K123">
        <v>60</v>
      </c>
      <c r="L123">
        <v>0</v>
      </c>
      <c r="M123" t="s">
        <v>385</v>
      </c>
      <c r="N123" t="s">
        <v>385</v>
      </c>
      <c r="O123">
        <v>141</v>
      </c>
      <c r="P123">
        <v>1100</v>
      </c>
      <c r="Q123">
        <v>-1058</v>
      </c>
      <c r="R123">
        <v>97</v>
      </c>
    </row>
    <row r="124" spans="1:18">
      <c r="A124" s="1" t="s">
        <v>388</v>
      </c>
      <c r="B124" s="6">
        <v>1504</v>
      </c>
      <c r="C124" s="6">
        <v>0</v>
      </c>
      <c r="D124" s="6">
        <f t="shared" si="1"/>
        <v>-1504</v>
      </c>
      <c r="E124" s="1" t="s">
        <v>389</v>
      </c>
      <c r="F124" s="1" t="s">
        <v>390</v>
      </c>
      <c r="G124" s="1" t="s">
        <v>20</v>
      </c>
      <c r="H124" s="1" t="s">
        <v>391</v>
      </c>
      <c r="I124">
        <v>4</v>
      </c>
      <c r="J124">
        <v>1500</v>
      </c>
      <c r="K124">
        <v>0</v>
      </c>
      <c r="L124">
        <v>1504</v>
      </c>
      <c r="M124" t="s">
        <v>388</v>
      </c>
      <c r="N124" t="s">
        <v>389</v>
      </c>
      <c r="O124">
        <v>3</v>
      </c>
      <c r="P124">
        <v>0</v>
      </c>
      <c r="Q124">
        <v>-4</v>
      </c>
      <c r="R124">
        <v>0</v>
      </c>
    </row>
    <row r="125" spans="1:18">
      <c r="A125" s="1" t="s">
        <v>388</v>
      </c>
      <c r="B125" s="6">
        <v>15006</v>
      </c>
      <c r="C125" s="6">
        <v>889</v>
      </c>
      <c r="D125" s="6">
        <f t="shared" si="1"/>
        <v>-14117</v>
      </c>
      <c r="E125" s="1" t="s">
        <v>392</v>
      </c>
      <c r="F125" s="1" t="s">
        <v>393</v>
      </c>
      <c r="G125" s="1" t="s">
        <v>20</v>
      </c>
      <c r="H125" s="1" t="s">
        <v>394</v>
      </c>
      <c r="I125">
        <v>7666</v>
      </c>
      <c r="J125">
        <v>7340</v>
      </c>
      <c r="K125">
        <v>0</v>
      </c>
      <c r="L125">
        <v>15006</v>
      </c>
      <c r="M125" t="s">
        <v>388</v>
      </c>
      <c r="N125" t="s">
        <v>392</v>
      </c>
      <c r="O125">
        <v>4306</v>
      </c>
      <c r="P125">
        <v>7340</v>
      </c>
      <c r="Q125">
        <v>-14117</v>
      </c>
      <c r="R125">
        <v>889</v>
      </c>
    </row>
    <row r="126" spans="1:18">
      <c r="A126" s="1" t="s">
        <v>395</v>
      </c>
      <c r="B126" s="6">
        <v>43</v>
      </c>
      <c r="C126" s="6">
        <v>1099</v>
      </c>
      <c r="D126" s="6">
        <f t="shared" si="1"/>
        <v>1056</v>
      </c>
      <c r="E126" s="1" t="s">
        <v>395</v>
      </c>
      <c r="F126" s="1" t="s">
        <v>396</v>
      </c>
      <c r="G126" s="1" t="s">
        <v>20</v>
      </c>
      <c r="H126" s="1" t="s">
        <v>397</v>
      </c>
      <c r="I126">
        <v>4796</v>
      </c>
      <c r="J126">
        <v>3360</v>
      </c>
      <c r="K126">
        <v>8113</v>
      </c>
      <c r="L126">
        <v>43</v>
      </c>
      <c r="M126" t="s">
        <v>395</v>
      </c>
      <c r="N126" t="s">
        <v>395</v>
      </c>
      <c r="O126">
        <v>2560</v>
      </c>
      <c r="P126">
        <v>3360</v>
      </c>
      <c r="Q126">
        <v>-7057</v>
      </c>
      <c r="R126">
        <v>1099</v>
      </c>
    </row>
    <row r="127" spans="1:18">
      <c r="A127" s="1" t="s">
        <v>398</v>
      </c>
      <c r="B127" s="6">
        <v>0</v>
      </c>
      <c r="C127" s="6">
        <v>591</v>
      </c>
      <c r="D127" s="6">
        <f t="shared" si="1"/>
        <v>591</v>
      </c>
      <c r="E127" s="1" t="s">
        <v>398</v>
      </c>
      <c r="F127" s="1" t="s">
        <v>399</v>
      </c>
      <c r="G127" s="1" t="s">
        <v>77</v>
      </c>
      <c r="H127" s="1" t="s">
        <v>400</v>
      </c>
      <c r="I127">
        <v>0</v>
      </c>
      <c r="J127">
        <v>2200</v>
      </c>
      <c r="K127">
        <v>2200</v>
      </c>
      <c r="L127">
        <v>0</v>
      </c>
      <c r="M127" t="s">
        <v>398</v>
      </c>
      <c r="N127" t="s">
        <v>398</v>
      </c>
      <c r="O127">
        <v>0</v>
      </c>
      <c r="P127">
        <v>2200</v>
      </c>
      <c r="Q127">
        <v>-1609</v>
      </c>
      <c r="R127">
        <v>591</v>
      </c>
    </row>
    <row r="128" spans="1:18">
      <c r="A128" s="1" t="s">
        <v>398</v>
      </c>
      <c r="B128" s="6">
        <v>1382</v>
      </c>
      <c r="C128" s="6">
        <v>791</v>
      </c>
      <c r="D128" s="6">
        <f t="shared" si="1"/>
        <v>-591</v>
      </c>
      <c r="E128" s="1" t="s">
        <v>401</v>
      </c>
      <c r="F128" s="1" t="s">
        <v>402</v>
      </c>
      <c r="G128" s="1" t="s">
        <v>20</v>
      </c>
      <c r="H128" s="1" t="s">
        <v>403</v>
      </c>
      <c r="I128">
        <v>29</v>
      </c>
      <c r="J128">
        <v>2950</v>
      </c>
      <c r="K128">
        <v>1597</v>
      </c>
      <c r="L128">
        <v>1382</v>
      </c>
      <c r="M128" t="s">
        <v>398</v>
      </c>
      <c r="N128" t="s">
        <v>401</v>
      </c>
      <c r="O128">
        <v>2</v>
      </c>
      <c r="P128">
        <v>1075</v>
      </c>
      <c r="Q128">
        <v>-313</v>
      </c>
      <c r="R128">
        <v>791</v>
      </c>
    </row>
    <row r="129" spans="1:18">
      <c r="A129" s="1" t="s">
        <v>404</v>
      </c>
      <c r="B129" s="6">
        <v>10</v>
      </c>
      <c r="C129" s="6">
        <v>50</v>
      </c>
      <c r="D129" s="6">
        <f t="shared" si="1"/>
        <v>40</v>
      </c>
      <c r="E129" s="1" t="s">
        <v>404</v>
      </c>
      <c r="F129" s="1" t="s">
        <v>405</v>
      </c>
      <c r="G129" s="1" t="s">
        <v>172</v>
      </c>
      <c r="H129" s="1" t="s">
        <v>406</v>
      </c>
      <c r="I129">
        <v>0</v>
      </c>
      <c r="J129">
        <v>10</v>
      </c>
      <c r="K129">
        <v>0</v>
      </c>
      <c r="L129">
        <v>10</v>
      </c>
      <c r="M129" t="s">
        <v>404</v>
      </c>
      <c r="N129" t="s">
        <v>404</v>
      </c>
      <c r="O129">
        <v>38</v>
      </c>
      <c r="P129">
        <v>190</v>
      </c>
      <c r="Q129">
        <v>-178</v>
      </c>
      <c r="R129">
        <v>50</v>
      </c>
    </row>
    <row r="130" spans="1:18">
      <c r="A130" s="1" t="s">
        <v>407</v>
      </c>
      <c r="B130" s="6">
        <v>2</v>
      </c>
      <c r="C130" s="6">
        <v>40</v>
      </c>
      <c r="D130" s="6">
        <f t="shared" si="1"/>
        <v>38</v>
      </c>
      <c r="E130" s="1" t="s">
        <v>408</v>
      </c>
      <c r="F130" s="1" t="s">
        <v>409</v>
      </c>
      <c r="G130" s="1" t="s">
        <v>77</v>
      </c>
      <c r="H130" s="1" t="s">
        <v>410</v>
      </c>
      <c r="I130">
        <v>2</v>
      </c>
      <c r="J130">
        <v>0</v>
      </c>
      <c r="K130">
        <v>0</v>
      </c>
      <c r="L130">
        <v>2</v>
      </c>
      <c r="M130" t="s">
        <v>407</v>
      </c>
      <c r="N130" s="2">
        <v>3.9999999999999999E+24</v>
      </c>
      <c r="O130">
        <v>2</v>
      </c>
      <c r="P130">
        <v>0</v>
      </c>
      <c r="Q130">
        <v>38</v>
      </c>
      <c r="R130">
        <v>40</v>
      </c>
    </row>
    <row r="131" spans="1:18">
      <c r="A131" s="1" t="s">
        <v>411</v>
      </c>
      <c r="B131" s="6">
        <v>0</v>
      </c>
      <c r="C131" s="6">
        <v>101</v>
      </c>
      <c r="D131" s="6">
        <f t="shared" ref="D131:D194" si="2">C131-B131</f>
        <v>101</v>
      </c>
      <c r="E131" s="1" t="s">
        <v>412</v>
      </c>
      <c r="F131" s="1" t="s">
        <v>413</v>
      </c>
      <c r="G131" s="1" t="s">
        <v>77</v>
      </c>
      <c r="H131" s="1" t="s">
        <v>414</v>
      </c>
      <c r="I131">
        <v>0</v>
      </c>
      <c r="J131">
        <v>800</v>
      </c>
      <c r="K131">
        <v>800</v>
      </c>
      <c r="L131">
        <v>0</v>
      </c>
      <c r="M131" t="s">
        <v>411</v>
      </c>
      <c r="N131" t="s">
        <v>412</v>
      </c>
      <c r="O131">
        <v>0</v>
      </c>
      <c r="P131">
        <v>800</v>
      </c>
      <c r="Q131">
        <v>-699</v>
      </c>
      <c r="R131">
        <v>101</v>
      </c>
    </row>
    <row r="132" spans="1:18">
      <c r="A132" s="1" t="s">
        <v>411</v>
      </c>
      <c r="B132" s="6">
        <v>2608</v>
      </c>
      <c r="C132" s="6">
        <v>297</v>
      </c>
      <c r="D132" s="6">
        <f t="shared" si="2"/>
        <v>-2311</v>
      </c>
      <c r="E132" s="1" t="s">
        <v>411</v>
      </c>
      <c r="F132" s="1" t="s">
        <v>415</v>
      </c>
      <c r="G132" s="1" t="s">
        <v>20</v>
      </c>
      <c r="H132" s="1" t="s">
        <v>416</v>
      </c>
      <c r="I132">
        <v>1108</v>
      </c>
      <c r="J132">
        <v>1500</v>
      </c>
      <c r="K132">
        <v>0</v>
      </c>
      <c r="L132">
        <v>2608</v>
      </c>
      <c r="M132" t="s">
        <v>411</v>
      </c>
      <c r="N132" t="s">
        <v>411</v>
      </c>
      <c r="O132">
        <v>616</v>
      </c>
      <c r="P132">
        <v>1855</v>
      </c>
      <c r="Q132">
        <v>-2666</v>
      </c>
      <c r="R132">
        <v>297</v>
      </c>
    </row>
    <row r="133" spans="1:18">
      <c r="A133" s="1" t="s">
        <v>417</v>
      </c>
      <c r="B133" s="6">
        <v>0</v>
      </c>
      <c r="C133" s="6">
        <v>200</v>
      </c>
      <c r="D133" s="6">
        <f t="shared" si="2"/>
        <v>200</v>
      </c>
      <c r="E133" s="1" t="s">
        <v>417</v>
      </c>
      <c r="F133" s="1" t="s">
        <v>418</v>
      </c>
      <c r="G133" s="1" t="s">
        <v>20</v>
      </c>
      <c r="H133" s="1" t="s">
        <v>419</v>
      </c>
      <c r="I133">
        <v>0</v>
      </c>
      <c r="J133">
        <v>360</v>
      </c>
      <c r="K133">
        <v>360</v>
      </c>
      <c r="L133">
        <v>0</v>
      </c>
      <c r="M133" t="s">
        <v>417</v>
      </c>
      <c r="N133" t="s">
        <v>417</v>
      </c>
      <c r="O133">
        <v>100</v>
      </c>
      <c r="P133">
        <v>1110</v>
      </c>
      <c r="Q133">
        <v>-1085</v>
      </c>
      <c r="R133">
        <v>200</v>
      </c>
    </row>
    <row r="134" spans="1:18">
      <c r="A134" s="1" t="s">
        <v>417</v>
      </c>
      <c r="B134" s="6">
        <v>0</v>
      </c>
      <c r="C134" s="6">
        <v>200</v>
      </c>
      <c r="D134" s="6">
        <f t="shared" si="2"/>
        <v>200</v>
      </c>
      <c r="E134" s="1" t="s">
        <v>417</v>
      </c>
      <c r="F134" s="1" t="s">
        <v>418</v>
      </c>
      <c r="G134" s="1" t="s">
        <v>77</v>
      </c>
      <c r="H134" s="1" t="s">
        <v>420</v>
      </c>
      <c r="I134">
        <v>0</v>
      </c>
      <c r="J134">
        <v>600</v>
      </c>
      <c r="K134">
        <v>600</v>
      </c>
      <c r="L134">
        <v>0</v>
      </c>
      <c r="M134" t="s">
        <v>417</v>
      </c>
      <c r="N134" t="s">
        <v>417</v>
      </c>
      <c r="O134">
        <v>100</v>
      </c>
      <c r="P134">
        <v>1110</v>
      </c>
      <c r="Q134">
        <v>-1085</v>
      </c>
      <c r="R134">
        <v>200</v>
      </c>
    </row>
    <row r="135" spans="1:18">
      <c r="A135" s="1" t="s">
        <v>421</v>
      </c>
      <c r="B135" s="6">
        <v>1140</v>
      </c>
      <c r="C135" s="6">
        <v>1139.5</v>
      </c>
      <c r="D135" s="6">
        <f t="shared" si="2"/>
        <v>-0.5</v>
      </c>
      <c r="E135" s="1" t="s">
        <v>421</v>
      </c>
      <c r="F135" s="1" t="s">
        <v>422</v>
      </c>
      <c r="G135" s="1" t="s">
        <v>20</v>
      </c>
      <c r="H135" s="1" t="s">
        <v>423</v>
      </c>
      <c r="I135">
        <v>3090</v>
      </c>
      <c r="J135">
        <v>4200</v>
      </c>
      <c r="K135">
        <v>6150</v>
      </c>
      <c r="L135">
        <v>1140</v>
      </c>
      <c r="M135" t="s">
        <v>421</v>
      </c>
      <c r="N135" t="s">
        <v>421</v>
      </c>
      <c r="O135">
        <v>5338</v>
      </c>
      <c r="P135">
        <v>4200</v>
      </c>
      <c r="Q135">
        <v>-6169</v>
      </c>
      <c r="R135">
        <v>1139.5</v>
      </c>
    </row>
    <row r="136" spans="1:18">
      <c r="A136" s="1" t="s">
        <v>424</v>
      </c>
      <c r="B136" s="6">
        <v>253</v>
      </c>
      <c r="C136" s="6">
        <v>262</v>
      </c>
      <c r="D136" s="6">
        <f t="shared" si="2"/>
        <v>9</v>
      </c>
      <c r="E136" s="1" t="s">
        <v>424</v>
      </c>
      <c r="F136" s="1" t="s">
        <v>425</v>
      </c>
      <c r="G136" s="1" t="s">
        <v>20</v>
      </c>
      <c r="H136" s="1" t="s">
        <v>426</v>
      </c>
      <c r="I136">
        <v>48</v>
      </c>
      <c r="J136">
        <v>205</v>
      </c>
      <c r="K136">
        <v>0</v>
      </c>
      <c r="L136">
        <v>253</v>
      </c>
      <c r="M136" s="2">
        <v>3.9999999999999998E+37</v>
      </c>
      <c r="N136" s="2">
        <v>3.9999999999999998E+37</v>
      </c>
      <c r="O136">
        <v>86</v>
      </c>
      <c r="P136">
        <v>605</v>
      </c>
      <c r="Q136">
        <v>-391</v>
      </c>
      <c r="R136">
        <v>262</v>
      </c>
    </row>
    <row r="137" spans="1:18">
      <c r="A137" s="1" t="s">
        <v>427</v>
      </c>
      <c r="B137" s="6">
        <v>2627</v>
      </c>
      <c r="C137" s="6">
        <v>2626.5</v>
      </c>
      <c r="D137" s="6">
        <f t="shared" si="2"/>
        <v>-0.5</v>
      </c>
      <c r="E137" s="1" t="s">
        <v>427</v>
      </c>
      <c r="F137" s="1" t="s">
        <v>428</v>
      </c>
      <c r="G137" s="1" t="s">
        <v>20</v>
      </c>
      <c r="H137" s="1" t="s">
        <v>429</v>
      </c>
      <c r="I137">
        <v>6907</v>
      </c>
      <c r="J137">
        <v>0</v>
      </c>
      <c r="K137">
        <v>4280</v>
      </c>
      <c r="L137">
        <v>2627</v>
      </c>
      <c r="M137" t="s">
        <v>427</v>
      </c>
      <c r="N137" t="s">
        <v>427</v>
      </c>
      <c r="O137">
        <v>5665.95</v>
      </c>
      <c r="P137">
        <v>0</v>
      </c>
      <c r="Q137">
        <v>-4280.2</v>
      </c>
      <c r="R137">
        <v>2626.5</v>
      </c>
    </row>
    <row r="138" spans="1:18">
      <c r="A138" s="1" t="s">
        <v>430</v>
      </c>
      <c r="B138" s="6">
        <v>20</v>
      </c>
      <c r="C138" s="6">
        <v>20.7</v>
      </c>
      <c r="D138" s="6">
        <f t="shared" si="2"/>
        <v>0.69999999999999929</v>
      </c>
      <c r="E138" s="1" t="s">
        <v>430</v>
      </c>
      <c r="F138" s="1" t="s">
        <v>431</v>
      </c>
      <c r="G138" s="1" t="s">
        <v>20</v>
      </c>
      <c r="H138" s="1" t="s">
        <v>432</v>
      </c>
      <c r="I138">
        <v>180</v>
      </c>
      <c r="J138">
        <v>930</v>
      </c>
      <c r="K138">
        <v>1090</v>
      </c>
      <c r="L138">
        <v>20</v>
      </c>
      <c r="M138" t="s">
        <v>430</v>
      </c>
      <c r="N138" t="s">
        <v>430</v>
      </c>
      <c r="O138">
        <v>180</v>
      </c>
      <c r="P138">
        <v>930</v>
      </c>
      <c r="Q138">
        <v>-1089.3</v>
      </c>
      <c r="R138">
        <v>20.7</v>
      </c>
    </row>
    <row r="139" spans="1:18">
      <c r="A139" s="1" t="s">
        <v>433</v>
      </c>
      <c r="B139" s="6">
        <v>78</v>
      </c>
      <c r="C139" s="6">
        <v>109</v>
      </c>
      <c r="D139" s="6">
        <f t="shared" si="2"/>
        <v>31</v>
      </c>
      <c r="E139" s="1" t="s">
        <v>433</v>
      </c>
      <c r="F139" s="1" t="s">
        <v>434</v>
      </c>
      <c r="G139" s="1" t="s">
        <v>20</v>
      </c>
      <c r="H139" s="1" t="s">
        <v>435</v>
      </c>
      <c r="I139">
        <v>89</v>
      </c>
      <c r="J139">
        <v>0</v>
      </c>
      <c r="K139">
        <v>11</v>
      </c>
      <c r="L139">
        <v>78</v>
      </c>
      <c r="M139" t="s">
        <v>433</v>
      </c>
      <c r="N139" t="s">
        <v>433</v>
      </c>
      <c r="O139">
        <v>81</v>
      </c>
      <c r="P139">
        <v>0</v>
      </c>
      <c r="Q139">
        <v>20</v>
      </c>
      <c r="R139">
        <v>109</v>
      </c>
    </row>
    <row r="140" spans="1:18">
      <c r="A140" s="1" t="s">
        <v>436</v>
      </c>
      <c r="B140" s="6">
        <v>79</v>
      </c>
      <c r="C140" s="6">
        <v>78.8</v>
      </c>
      <c r="D140" s="6">
        <f t="shared" si="2"/>
        <v>-0.20000000000000284</v>
      </c>
      <c r="E140" s="1" t="s">
        <v>436</v>
      </c>
      <c r="F140" s="1" t="s">
        <v>437</v>
      </c>
      <c r="G140" s="1" t="s">
        <v>20</v>
      </c>
      <c r="H140" s="1" t="s">
        <v>438</v>
      </c>
      <c r="I140">
        <v>22</v>
      </c>
      <c r="J140">
        <v>480</v>
      </c>
      <c r="K140">
        <v>423</v>
      </c>
      <c r="L140">
        <v>79</v>
      </c>
      <c r="M140" t="s">
        <v>436</v>
      </c>
      <c r="N140" t="s">
        <v>436</v>
      </c>
      <c r="O140">
        <v>9.5</v>
      </c>
      <c r="P140">
        <v>480</v>
      </c>
      <c r="Q140">
        <v>-423</v>
      </c>
      <c r="R140">
        <v>78.8</v>
      </c>
    </row>
    <row r="141" spans="1:18">
      <c r="A141" s="1" t="s">
        <v>439</v>
      </c>
      <c r="B141" s="6">
        <v>40336</v>
      </c>
      <c r="C141" s="6">
        <v>97</v>
      </c>
      <c r="D141" s="6">
        <f t="shared" si="2"/>
        <v>-40239</v>
      </c>
      <c r="E141" s="1" t="s">
        <v>440</v>
      </c>
      <c r="F141" s="1" t="s">
        <v>441</v>
      </c>
      <c r="G141" s="1" t="s">
        <v>77</v>
      </c>
      <c r="H141" s="1" t="s">
        <v>442</v>
      </c>
      <c r="I141">
        <v>6095</v>
      </c>
      <c r="J141">
        <v>34241</v>
      </c>
      <c r="K141">
        <v>0</v>
      </c>
      <c r="L141">
        <v>40336</v>
      </c>
      <c r="M141" t="s">
        <v>439</v>
      </c>
      <c r="N141" t="s">
        <v>440</v>
      </c>
      <c r="O141">
        <v>5202</v>
      </c>
      <c r="P141">
        <v>34241</v>
      </c>
      <c r="Q141">
        <v>-40239</v>
      </c>
      <c r="R141">
        <v>97</v>
      </c>
    </row>
    <row r="142" spans="1:18">
      <c r="A142" s="1" t="s">
        <v>439</v>
      </c>
      <c r="B142" s="6">
        <v>8000</v>
      </c>
      <c r="C142" s="6">
        <v>5627</v>
      </c>
      <c r="D142" s="6">
        <f t="shared" si="2"/>
        <v>-2373</v>
      </c>
      <c r="E142" s="1" t="s">
        <v>439</v>
      </c>
      <c r="F142" s="1" t="s">
        <v>443</v>
      </c>
      <c r="G142" s="1" t="s">
        <v>20</v>
      </c>
      <c r="H142" s="1" t="s">
        <v>444</v>
      </c>
      <c r="I142">
        <v>0</v>
      </c>
      <c r="J142">
        <v>8000</v>
      </c>
      <c r="K142">
        <v>0</v>
      </c>
      <c r="L142">
        <v>8000</v>
      </c>
      <c r="M142" t="s">
        <v>439</v>
      </c>
      <c r="N142" t="s">
        <v>439</v>
      </c>
      <c r="O142">
        <v>0</v>
      </c>
      <c r="P142">
        <v>8000</v>
      </c>
      <c r="Q142">
        <v>-2373</v>
      </c>
      <c r="R142">
        <v>5627</v>
      </c>
    </row>
    <row r="143" spans="1:18">
      <c r="A143" s="1" t="s">
        <v>439</v>
      </c>
      <c r="B143" s="6">
        <v>5000</v>
      </c>
      <c r="C143" s="6">
        <v>60</v>
      </c>
      <c r="D143" s="6">
        <f t="shared" si="2"/>
        <v>-4940</v>
      </c>
      <c r="E143" s="1" t="s">
        <v>445</v>
      </c>
      <c r="F143" s="1" t="s">
        <v>446</v>
      </c>
      <c r="G143" s="1" t="s">
        <v>172</v>
      </c>
      <c r="H143" s="1" t="s">
        <v>447</v>
      </c>
      <c r="I143">
        <v>0</v>
      </c>
      <c r="J143">
        <v>5000</v>
      </c>
      <c r="K143">
        <v>0</v>
      </c>
      <c r="L143">
        <v>5000</v>
      </c>
      <c r="M143" t="s">
        <v>439</v>
      </c>
      <c r="N143" t="s">
        <v>445</v>
      </c>
      <c r="O143">
        <v>0</v>
      </c>
      <c r="P143">
        <v>5000</v>
      </c>
      <c r="Q143">
        <v>-4940</v>
      </c>
      <c r="R143">
        <v>60</v>
      </c>
    </row>
    <row r="144" spans="1:18">
      <c r="A144" s="1" t="s">
        <v>448</v>
      </c>
      <c r="B144" s="6">
        <v>136</v>
      </c>
      <c r="C144" s="6">
        <v>12</v>
      </c>
      <c r="D144" s="6">
        <f t="shared" si="2"/>
        <v>-124</v>
      </c>
      <c r="E144" s="1" t="s">
        <v>449</v>
      </c>
      <c r="F144" s="1" t="s">
        <v>450</v>
      </c>
      <c r="G144" s="1" t="s">
        <v>77</v>
      </c>
      <c r="H144" s="1" t="s">
        <v>451</v>
      </c>
      <c r="I144">
        <v>136</v>
      </c>
      <c r="J144">
        <v>0</v>
      </c>
      <c r="K144">
        <v>0</v>
      </c>
      <c r="L144">
        <v>136</v>
      </c>
      <c r="M144" t="s">
        <v>448</v>
      </c>
      <c r="N144" t="s">
        <v>449</v>
      </c>
      <c r="O144">
        <v>56</v>
      </c>
      <c r="P144">
        <v>0</v>
      </c>
      <c r="Q144">
        <v>-124</v>
      </c>
      <c r="R144">
        <v>12</v>
      </c>
    </row>
    <row r="145" spans="1:18">
      <c r="A145" s="1" t="s">
        <v>448</v>
      </c>
      <c r="B145" s="6">
        <v>1197</v>
      </c>
      <c r="C145" s="6">
        <v>757</v>
      </c>
      <c r="D145" s="6">
        <f t="shared" si="2"/>
        <v>-440</v>
      </c>
      <c r="E145" s="1" t="s">
        <v>448</v>
      </c>
      <c r="F145" s="1" t="s">
        <v>452</v>
      </c>
      <c r="G145" s="1" t="s">
        <v>20</v>
      </c>
      <c r="H145" s="1" t="s">
        <v>453</v>
      </c>
      <c r="I145">
        <v>697</v>
      </c>
      <c r="J145">
        <v>500</v>
      </c>
      <c r="K145">
        <v>0</v>
      </c>
      <c r="L145">
        <v>1197</v>
      </c>
      <c r="M145" t="s">
        <v>448</v>
      </c>
      <c r="N145" t="s">
        <v>448</v>
      </c>
      <c r="O145">
        <v>1168</v>
      </c>
      <c r="P145">
        <v>500</v>
      </c>
      <c r="Q145">
        <v>-440</v>
      </c>
      <c r="R145">
        <v>757</v>
      </c>
    </row>
    <row r="146" spans="1:18">
      <c r="A146" s="1" t="s">
        <v>454</v>
      </c>
      <c r="B146" s="6">
        <v>8653</v>
      </c>
      <c r="C146" s="6">
        <v>104</v>
      </c>
      <c r="D146" s="6">
        <f t="shared" si="2"/>
        <v>-8549</v>
      </c>
      <c r="E146" s="1" t="s">
        <v>455</v>
      </c>
      <c r="F146" s="1" t="s">
        <v>456</v>
      </c>
      <c r="G146" s="1" t="s">
        <v>77</v>
      </c>
      <c r="H146" s="1" t="s">
        <v>457</v>
      </c>
      <c r="I146">
        <v>33</v>
      </c>
      <c r="J146">
        <v>8620</v>
      </c>
      <c r="K146">
        <v>0</v>
      </c>
      <c r="L146">
        <v>8653</v>
      </c>
      <c r="M146" t="s">
        <v>454</v>
      </c>
      <c r="N146" t="s">
        <v>455</v>
      </c>
      <c r="O146">
        <v>3835</v>
      </c>
      <c r="P146">
        <v>8160</v>
      </c>
      <c r="Q146">
        <v>-8089</v>
      </c>
      <c r="R146">
        <v>104</v>
      </c>
    </row>
    <row r="147" spans="1:18">
      <c r="A147" s="1" t="s">
        <v>454</v>
      </c>
      <c r="B147" s="6">
        <v>2500</v>
      </c>
      <c r="C147" s="6">
        <v>0</v>
      </c>
      <c r="D147" s="6">
        <f t="shared" si="2"/>
        <v>-2500</v>
      </c>
      <c r="E147" s="1" t="s">
        <v>454</v>
      </c>
      <c r="F147" s="1" t="s">
        <v>458</v>
      </c>
      <c r="G147" s="1" t="s">
        <v>77</v>
      </c>
      <c r="H147" s="1" t="s">
        <v>459</v>
      </c>
      <c r="I147">
        <v>0</v>
      </c>
      <c r="J147">
        <v>2500</v>
      </c>
      <c r="K147">
        <v>0</v>
      </c>
      <c r="L147">
        <v>2500</v>
      </c>
      <c r="M147" t="s">
        <v>454</v>
      </c>
      <c r="N147" t="s">
        <v>454</v>
      </c>
      <c r="O147">
        <v>0</v>
      </c>
      <c r="P147">
        <v>2500</v>
      </c>
      <c r="Q147">
        <v>-2500</v>
      </c>
      <c r="R147">
        <v>0</v>
      </c>
    </row>
    <row r="148" spans="1:18">
      <c r="A148" s="1" t="s">
        <v>454</v>
      </c>
      <c r="B148" s="6">
        <v>5070</v>
      </c>
      <c r="C148" s="6">
        <v>540</v>
      </c>
      <c r="D148" s="6">
        <f t="shared" si="2"/>
        <v>-4530</v>
      </c>
      <c r="E148" s="1" t="s">
        <v>460</v>
      </c>
      <c r="F148" s="1" t="s">
        <v>461</v>
      </c>
      <c r="G148" s="1" t="s">
        <v>77</v>
      </c>
      <c r="H148" s="1" t="s">
        <v>462</v>
      </c>
      <c r="I148">
        <v>0</v>
      </c>
      <c r="J148">
        <v>5070</v>
      </c>
      <c r="K148">
        <v>0</v>
      </c>
      <c r="L148">
        <v>5070</v>
      </c>
      <c r="M148" t="s">
        <v>454</v>
      </c>
      <c r="N148" t="s">
        <v>460</v>
      </c>
      <c r="O148">
        <v>0</v>
      </c>
      <c r="P148">
        <v>5060</v>
      </c>
      <c r="Q148">
        <v>-4520</v>
      </c>
      <c r="R148">
        <v>540</v>
      </c>
    </row>
    <row r="149" spans="1:18">
      <c r="A149" s="1" t="s">
        <v>463</v>
      </c>
      <c r="B149" s="6">
        <v>128933</v>
      </c>
      <c r="C149" s="6">
        <v>8454</v>
      </c>
      <c r="D149" s="6">
        <f t="shared" si="2"/>
        <v>-120479</v>
      </c>
      <c r="E149" s="1" t="s">
        <v>464</v>
      </c>
      <c r="F149" s="1" t="s">
        <v>465</v>
      </c>
      <c r="G149" s="1" t="s">
        <v>20</v>
      </c>
      <c r="H149" s="1" t="s">
        <v>466</v>
      </c>
      <c r="I149">
        <v>13933</v>
      </c>
      <c r="J149">
        <v>115000</v>
      </c>
      <c r="K149">
        <v>0</v>
      </c>
      <c r="L149">
        <v>128933</v>
      </c>
      <c r="M149" t="s">
        <v>463</v>
      </c>
      <c r="N149" t="s">
        <v>464</v>
      </c>
      <c r="O149">
        <v>4260</v>
      </c>
      <c r="P149">
        <v>131832</v>
      </c>
      <c r="Q149">
        <v>-137311</v>
      </c>
      <c r="R149">
        <v>8454</v>
      </c>
    </row>
    <row r="150" spans="1:18">
      <c r="A150" s="1" t="s">
        <v>463</v>
      </c>
      <c r="B150" s="6">
        <v>114970</v>
      </c>
      <c r="C150" s="6">
        <v>4579</v>
      </c>
      <c r="D150" s="6">
        <f t="shared" si="2"/>
        <v>-110391</v>
      </c>
      <c r="E150" s="1" t="s">
        <v>463</v>
      </c>
      <c r="F150" s="1" t="s">
        <v>467</v>
      </c>
      <c r="G150" s="1" t="s">
        <v>77</v>
      </c>
      <c r="H150" s="1" t="s">
        <v>468</v>
      </c>
      <c r="I150">
        <v>0</v>
      </c>
      <c r="J150">
        <v>115000</v>
      </c>
      <c r="K150">
        <v>30</v>
      </c>
      <c r="L150">
        <v>114970</v>
      </c>
      <c r="M150" t="s">
        <v>463</v>
      </c>
      <c r="N150" t="s">
        <v>463</v>
      </c>
      <c r="O150">
        <v>29437</v>
      </c>
      <c r="P150">
        <v>127000</v>
      </c>
      <c r="Q150">
        <v>-122421</v>
      </c>
      <c r="R150">
        <v>4579</v>
      </c>
    </row>
    <row r="151" spans="1:18">
      <c r="A151" s="1" t="s">
        <v>469</v>
      </c>
      <c r="B151" s="6">
        <v>453</v>
      </c>
      <c r="C151" s="6">
        <v>0</v>
      </c>
      <c r="D151" s="6">
        <f t="shared" si="2"/>
        <v>-453</v>
      </c>
      <c r="E151" s="1" t="s">
        <v>470</v>
      </c>
      <c r="F151" s="1" t="s">
        <v>471</v>
      </c>
      <c r="G151" s="1" t="s">
        <v>20</v>
      </c>
      <c r="H151" s="1" t="s">
        <v>472</v>
      </c>
      <c r="I151">
        <v>0</v>
      </c>
      <c r="J151">
        <v>453</v>
      </c>
      <c r="K151">
        <v>0</v>
      </c>
      <c r="L151">
        <v>453</v>
      </c>
      <c r="M151" t="s">
        <v>469</v>
      </c>
      <c r="N151" t="s">
        <v>470</v>
      </c>
      <c r="O151">
        <v>35</v>
      </c>
      <c r="P151">
        <v>453</v>
      </c>
      <c r="Q151">
        <v>-453</v>
      </c>
      <c r="R151">
        <v>0</v>
      </c>
    </row>
    <row r="152" spans="1:18">
      <c r="A152" s="1" t="s">
        <v>469</v>
      </c>
      <c r="B152" s="6">
        <v>14670</v>
      </c>
      <c r="C152" s="6">
        <v>26</v>
      </c>
      <c r="D152" s="6">
        <f t="shared" si="2"/>
        <v>-14644</v>
      </c>
      <c r="E152" s="1" t="s">
        <v>473</v>
      </c>
      <c r="F152" s="1" t="s">
        <v>474</v>
      </c>
      <c r="G152" s="1" t="s">
        <v>20</v>
      </c>
      <c r="H152" s="1" t="s">
        <v>475</v>
      </c>
      <c r="I152">
        <v>14670</v>
      </c>
      <c r="J152">
        <v>0</v>
      </c>
      <c r="K152">
        <v>0</v>
      </c>
      <c r="L152">
        <v>14670</v>
      </c>
      <c r="M152" t="s">
        <v>469</v>
      </c>
      <c r="N152" t="s">
        <v>473</v>
      </c>
      <c r="O152">
        <v>112</v>
      </c>
      <c r="P152">
        <v>0</v>
      </c>
      <c r="Q152">
        <v>-14644</v>
      </c>
      <c r="R152">
        <v>26</v>
      </c>
    </row>
    <row r="153" spans="1:18">
      <c r="A153" s="1" t="s">
        <v>469</v>
      </c>
      <c r="B153" s="6">
        <v>45</v>
      </c>
      <c r="C153" s="6">
        <v>36</v>
      </c>
      <c r="D153" s="6">
        <f t="shared" si="2"/>
        <v>-9</v>
      </c>
      <c r="E153" s="1" t="s">
        <v>476</v>
      </c>
      <c r="F153" s="1" t="s">
        <v>477</v>
      </c>
      <c r="G153" s="1" t="s">
        <v>20</v>
      </c>
      <c r="H153" s="1" t="s">
        <v>478</v>
      </c>
      <c r="I153">
        <v>0</v>
      </c>
      <c r="J153">
        <v>45</v>
      </c>
      <c r="K153">
        <v>0</v>
      </c>
      <c r="L153">
        <v>45</v>
      </c>
      <c r="M153" t="s">
        <v>469</v>
      </c>
      <c r="N153" t="s">
        <v>476</v>
      </c>
      <c r="O153">
        <v>0</v>
      </c>
      <c r="P153">
        <v>45</v>
      </c>
      <c r="Q153">
        <v>-9</v>
      </c>
      <c r="R153">
        <v>36</v>
      </c>
    </row>
    <row r="154" spans="1:18">
      <c r="A154" s="1" t="s">
        <v>469</v>
      </c>
      <c r="B154" s="6">
        <v>62630</v>
      </c>
      <c r="C154" s="6">
        <v>570</v>
      </c>
      <c r="D154" s="6">
        <f t="shared" si="2"/>
        <v>-62060</v>
      </c>
      <c r="E154" s="1" t="s">
        <v>469</v>
      </c>
      <c r="F154" s="1" t="s">
        <v>479</v>
      </c>
      <c r="G154" s="1" t="s">
        <v>77</v>
      </c>
      <c r="H154" s="1" t="s">
        <v>480</v>
      </c>
      <c r="I154">
        <v>0</v>
      </c>
      <c r="J154">
        <v>62630</v>
      </c>
      <c r="K154">
        <v>0</v>
      </c>
      <c r="L154">
        <v>62630</v>
      </c>
      <c r="M154" t="s">
        <v>469</v>
      </c>
      <c r="N154" t="s">
        <v>469</v>
      </c>
      <c r="O154">
        <v>6319</v>
      </c>
      <c r="P154">
        <v>63125</v>
      </c>
      <c r="Q154">
        <v>-62555</v>
      </c>
      <c r="R154">
        <v>570</v>
      </c>
    </row>
    <row r="155" spans="1:18">
      <c r="A155" s="1" t="s">
        <v>469</v>
      </c>
      <c r="B155" s="6">
        <v>150</v>
      </c>
      <c r="C155" s="6">
        <v>2</v>
      </c>
      <c r="D155" s="6">
        <f t="shared" si="2"/>
        <v>-148</v>
      </c>
      <c r="E155" s="1" t="s">
        <v>481</v>
      </c>
      <c r="F155" s="1" t="s">
        <v>482</v>
      </c>
      <c r="G155" s="1" t="s">
        <v>77</v>
      </c>
      <c r="H155" s="1" t="s">
        <v>483</v>
      </c>
      <c r="I155">
        <v>0</v>
      </c>
      <c r="J155">
        <v>150</v>
      </c>
      <c r="K155">
        <v>0</v>
      </c>
      <c r="L155">
        <v>150</v>
      </c>
      <c r="M155" t="s">
        <v>469</v>
      </c>
      <c r="N155" t="s">
        <v>481</v>
      </c>
      <c r="O155">
        <v>0</v>
      </c>
      <c r="P155">
        <v>150</v>
      </c>
      <c r="Q155">
        <v>-148</v>
      </c>
      <c r="R155">
        <v>2</v>
      </c>
    </row>
    <row r="156" spans="1:18">
      <c r="A156" s="1" t="s">
        <v>484</v>
      </c>
      <c r="B156" s="6">
        <v>9712</v>
      </c>
      <c r="C156" s="6">
        <v>1874</v>
      </c>
      <c r="D156" s="6">
        <f t="shared" si="2"/>
        <v>-7838</v>
      </c>
      <c r="E156" s="1" t="s">
        <v>484</v>
      </c>
      <c r="F156" s="1" t="s">
        <v>485</v>
      </c>
      <c r="G156" s="1" t="s">
        <v>20</v>
      </c>
      <c r="H156" s="1" t="s">
        <v>486</v>
      </c>
      <c r="I156">
        <v>2197</v>
      </c>
      <c r="J156">
        <v>7515</v>
      </c>
      <c r="K156">
        <v>0</v>
      </c>
      <c r="L156">
        <v>9712</v>
      </c>
      <c r="M156" t="s">
        <v>484</v>
      </c>
      <c r="N156" t="s">
        <v>484</v>
      </c>
      <c r="O156">
        <v>459</v>
      </c>
      <c r="P156">
        <v>7515</v>
      </c>
      <c r="Q156">
        <v>-7890</v>
      </c>
      <c r="R156">
        <v>1874</v>
      </c>
    </row>
    <row r="157" spans="1:18">
      <c r="A157" s="1" t="s">
        <v>484</v>
      </c>
      <c r="B157" s="6">
        <v>199</v>
      </c>
      <c r="C157" s="6">
        <v>0</v>
      </c>
      <c r="D157" s="6">
        <f t="shared" si="2"/>
        <v>-199</v>
      </c>
      <c r="E157" s="1" t="s">
        <v>487</v>
      </c>
      <c r="F157" s="1" t="s">
        <v>488</v>
      </c>
      <c r="G157" s="1" t="s">
        <v>77</v>
      </c>
      <c r="H157" s="1" t="s">
        <v>489</v>
      </c>
      <c r="I157">
        <v>0</v>
      </c>
      <c r="J157">
        <v>199</v>
      </c>
      <c r="K157">
        <v>0</v>
      </c>
      <c r="L157">
        <v>199</v>
      </c>
      <c r="M157" t="s">
        <v>484</v>
      </c>
      <c r="N157" t="s">
        <v>487</v>
      </c>
      <c r="O157">
        <v>0</v>
      </c>
      <c r="P157">
        <v>200</v>
      </c>
      <c r="Q157">
        <v>-200</v>
      </c>
      <c r="R157">
        <v>0</v>
      </c>
    </row>
    <row r="158" spans="1:18">
      <c r="A158" s="1" t="s">
        <v>484</v>
      </c>
      <c r="B158" s="6">
        <v>570</v>
      </c>
      <c r="C158" s="6">
        <v>0</v>
      </c>
      <c r="D158" s="6">
        <f t="shared" si="2"/>
        <v>-570</v>
      </c>
      <c r="E158" s="1" t="s">
        <v>490</v>
      </c>
      <c r="F158" s="1" t="s">
        <v>491</v>
      </c>
      <c r="G158" s="1" t="s">
        <v>77</v>
      </c>
      <c r="H158" s="1" t="s">
        <v>492</v>
      </c>
      <c r="I158">
        <v>0</v>
      </c>
      <c r="J158">
        <v>570</v>
      </c>
      <c r="K158">
        <v>0</v>
      </c>
      <c r="L158">
        <v>570</v>
      </c>
      <c r="M158" t="s">
        <v>484</v>
      </c>
      <c r="N158" t="s">
        <v>490</v>
      </c>
      <c r="O158">
        <v>0</v>
      </c>
      <c r="P158">
        <v>570</v>
      </c>
      <c r="Q158">
        <v>-570</v>
      </c>
      <c r="R158">
        <v>0</v>
      </c>
    </row>
    <row r="159" spans="1:18">
      <c r="A159" s="1" t="s">
        <v>484</v>
      </c>
      <c r="B159" s="6">
        <v>2000</v>
      </c>
      <c r="C159" s="6">
        <v>48</v>
      </c>
      <c r="D159" s="6">
        <f t="shared" si="2"/>
        <v>-1952</v>
      </c>
      <c r="E159" s="1" t="s">
        <v>493</v>
      </c>
      <c r="F159" s="1" t="s">
        <v>494</v>
      </c>
      <c r="G159" s="1" t="s">
        <v>77</v>
      </c>
      <c r="H159" s="1" t="s">
        <v>495</v>
      </c>
      <c r="I159">
        <v>0</v>
      </c>
      <c r="J159">
        <v>2000</v>
      </c>
      <c r="K159">
        <v>0</v>
      </c>
      <c r="L159">
        <v>2000</v>
      </c>
      <c r="M159" t="s">
        <v>484</v>
      </c>
      <c r="N159" t="s">
        <v>493</v>
      </c>
      <c r="O159">
        <v>0</v>
      </c>
      <c r="P159">
        <v>2350</v>
      </c>
      <c r="Q159">
        <v>-2302</v>
      </c>
      <c r="R159">
        <v>48</v>
      </c>
    </row>
    <row r="160" spans="1:18">
      <c r="A160" s="1" t="s">
        <v>496</v>
      </c>
      <c r="B160" s="6">
        <v>4500</v>
      </c>
      <c r="C160" s="6">
        <v>835</v>
      </c>
      <c r="D160" s="6">
        <f t="shared" si="2"/>
        <v>-3665</v>
      </c>
      <c r="E160" s="1" t="s">
        <v>497</v>
      </c>
      <c r="F160" s="1" t="s">
        <v>498</v>
      </c>
      <c r="G160" s="1" t="s">
        <v>20</v>
      </c>
      <c r="H160" s="1" t="s">
        <v>499</v>
      </c>
      <c r="I160">
        <v>0</v>
      </c>
      <c r="J160">
        <v>4500</v>
      </c>
      <c r="K160">
        <v>0</v>
      </c>
      <c r="L160">
        <v>4500</v>
      </c>
      <c r="M160" t="s">
        <v>496</v>
      </c>
      <c r="N160" t="s">
        <v>497</v>
      </c>
      <c r="O160">
        <v>0</v>
      </c>
      <c r="P160">
        <v>3500</v>
      </c>
      <c r="Q160">
        <v>-2665</v>
      </c>
      <c r="R160">
        <v>835</v>
      </c>
    </row>
    <row r="161" spans="1:18">
      <c r="A161" s="1" t="s">
        <v>496</v>
      </c>
      <c r="B161" s="6">
        <v>900</v>
      </c>
      <c r="C161" s="6">
        <v>0</v>
      </c>
      <c r="D161" s="6">
        <f t="shared" si="2"/>
        <v>-900</v>
      </c>
      <c r="E161" s="1" t="s">
        <v>500</v>
      </c>
      <c r="F161" s="1" t="s">
        <v>501</v>
      </c>
      <c r="G161" s="1" t="s">
        <v>20</v>
      </c>
      <c r="H161" s="1" t="s">
        <v>502</v>
      </c>
      <c r="I161">
        <v>0</v>
      </c>
      <c r="J161">
        <v>900</v>
      </c>
      <c r="K161">
        <v>0</v>
      </c>
      <c r="L161">
        <v>900</v>
      </c>
      <c r="M161" t="s">
        <v>496</v>
      </c>
      <c r="N161" t="s">
        <v>500</v>
      </c>
      <c r="O161">
        <v>0</v>
      </c>
      <c r="P161">
        <v>1000</v>
      </c>
      <c r="Q161">
        <v>-1000</v>
      </c>
      <c r="R161">
        <v>0</v>
      </c>
    </row>
    <row r="162" spans="1:18">
      <c r="A162" s="1" t="s">
        <v>496</v>
      </c>
      <c r="B162" s="6">
        <v>27619</v>
      </c>
      <c r="C162" s="6">
        <v>126</v>
      </c>
      <c r="D162" s="6">
        <f t="shared" si="2"/>
        <v>-27493</v>
      </c>
      <c r="E162" s="1" t="s">
        <v>496</v>
      </c>
      <c r="F162" s="1" t="s">
        <v>503</v>
      </c>
      <c r="G162" s="1" t="s">
        <v>20</v>
      </c>
      <c r="H162" s="1" t="s">
        <v>504</v>
      </c>
      <c r="I162">
        <v>5669</v>
      </c>
      <c r="J162">
        <v>21950</v>
      </c>
      <c r="K162">
        <v>0</v>
      </c>
      <c r="L162">
        <v>27619</v>
      </c>
      <c r="M162" t="s">
        <v>496</v>
      </c>
      <c r="N162" t="s">
        <v>496</v>
      </c>
      <c r="O162">
        <v>667</v>
      </c>
      <c r="P162">
        <v>21950</v>
      </c>
      <c r="Q162">
        <v>-27493</v>
      </c>
      <c r="R162">
        <v>126</v>
      </c>
    </row>
    <row r="163" spans="1:18">
      <c r="A163" s="1" t="s">
        <v>505</v>
      </c>
      <c r="B163" s="6">
        <v>18230</v>
      </c>
      <c r="C163" s="6">
        <v>0</v>
      </c>
      <c r="D163" s="6">
        <f t="shared" si="2"/>
        <v>-18230</v>
      </c>
      <c r="E163" s="1" t="s">
        <v>506</v>
      </c>
      <c r="F163" s="1" t="s">
        <v>507</v>
      </c>
      <c r="G163" s="1" t="s">
        <v>77</v>
      </c>
      <c r="H163" s="1" t="s">
        <v>508</v>
      </c>
      <c r="I163">
        <v>0</v>
      </c>
      <c r="J163">
        <v>18230</v>
      </c>
      <c r="K163">
        <v>0</v>
      </c>
      <c r="L163">
        <v>18230</v>
      </c>
      <c r="M163" t="s">
        <v>505</v>
      </c>
      <c r="N163" t="s">
        <v>506</v>
      </c>
      <c r="O163">
        <v>0</v>
      </c>
      <c r="P163">
        <v>17230</v>
      </c>
      <c r="Q163">
        <v>-17230</v>
      </c>
      <c r="R163">
        <v>0</v>
      </c>
    </row>
    <row r="164" spans="1:18">
      <c r="A164" s="1" t="s">
        <v>505</v>
      </c>
      <c r="B164" s="6">
        <v>11450</v>
      </c>
      <c r="C164" s="6">
        <v>3831</v>
      </c>
      <c r="D164" s="6">
        <f t="shared" si="2"/>
        <v>-7619</v>
      </c>
      <c r="E164" s="1" t="s">
        <v>509</v>
      </c>
      <c r="F164" s="1" t="s">
        <v>510</v>
      </c>
      <c r="G164" s="1" t="s">
        <v>77</v>
      </c>
      <c r="H164" s="1" t="s">
        <v>511</v>
      </c>
      <c r="I164">
        <v>0</v>
      </c>
      <c r="J164">
        <v>11450</v>
      </c>
      <c r="K164">
        <v>0</v>
      </c>
      <c r="L164">
        <v>11450</v>
      </c>
      <c r="M164" t="s">
        <v>505</v>
      </c>
      <c r="N164" t="s">
        <v>509</v>
      </c>
      <c r="O164">
        <v>0</v>
      </c>
      <c r="P164">
        <v>11450</v>
      </c>
      <c r="Q164">
        <v>-7619</v>
      </c>
      <c r="R164">
        <v>3831</v>
      </c>
    </row>
    <row r="165" spans="1:18">
      <c r="A165" s="1" t="s">
        <v>505</v>
      </c>
      <c r="B165" s="6">
        <v>42360</v>
      </c>
      <c r="C165" s="6">
        <v>373</v>
      </c>
      <c r="D165" s="6">
        <f t="shared" si="2"/>
        <v>-41987</v>
      </c>
      <c r="E165" s="1" t="s">
        <v>505</v>
      </c>
      <c r="F165" s="1" t="s">
        <v>512</v>
      </c>
      <c r="G165" s="1" t="s">
        <v>20</v>
      </c>
      <c r="H165" s="1" t="s">
        <v>513</v>
      </c>
      <c r="I165">
        <v>18360</v>
      </c>
      <c r="J165">
        <v>24000</v>
      </c>
      <c r="K165">
        <v>0</v>
      </c>
      <c r="L165">
        <v>42360</v>
      </c>
      <c r="M165" t="s">
        <v>505</v>
      </c>
      <c r="N165" t="s">
        <v>505</v>
      </c>
      <c r="O165">
        <v>0</v>
      </c>
      <c r="P165">
        <v>24000</v>
      </c>
      <c r="Q165">
        <v>-41987</v>
      </c>
      <c r="R165">
        <v>373</v>
      </c>
    </row>
    <row r="166" spans="1:18">
      <c r="A166" s="1" t="s">
        <v>505</v>
      </c>
      <c r="B166" s="6">
        <v>34465</v>
      </c>
      <c r="C166" s="6">
        <v>469</v>
      </c>
      <c r="D166" s="6">
        <f t="shared" si="2"/>
        <v>-33996</v>
      </c>
      <c r="E166" s="1" t="s">
        <v>514</v>
      </c>
      <c r="F166" s="1" t="s">
        <v>515</v>
      </c>
      <c r="G166" s="1" t="s">
        <v>20</v>
      </c>
      <c r="H166" s="1" t="s">
        <v>516</v>
      </c>
      <c r="I166">
        <v>0</v>
      </c>
      <c r="J166">
        <v>34465</v>
      </c>
      <c r="K166">
        <v>0</v>
      </c>
      <c r="L166">
        <v>34465</v>
      </c>
      <c r="M166" t="s">
        <v>505</v>
      </c>
      <c r="N166" t="s">
        <v>514</v>
      </c>
      <c r="O166">
        <v>5849</v>
      </c>
      <c r="P166">
        <v>9165</v>
      </c>
      <c r="Q166">
        <v>-8696</v>
      </c>
      <c r="R166">
        <v>469</v>
      </c>
    </row>
    <row r="167" spans="1:18">
      <c r="A167" s="1" t="s">
        <v>517</v>
      </c>
      <c r="B167" s="6">
        <v>64118</v>
      </c>
      <c r="C167" s="6">
        <v>7922</v>
      </c>
      <c r="D167" s="6">
        <f t="shared" si="2"/>
        <v>-56196</v>
      </c>
      <c r="E167" s="1" t="s">
        <v>517</v>
      </c>
      <c r="F167" s="1" t="s">
        <v>518</v>
      </c>
      <c r="G167" s="1" t="s">
        <v>20</v>
      </c>
      <c r="H167" s="1" t="s">
        <v>519</v>
      </c>
      <c r="I167">
        <v>6118</v>
      </c>
      <c r="J167">
        <v>58000</v>
      </c>
      <c r="K167">
        <v>0</v>
      </c>
      <c r="L167">
        <v>64118</v>
      </c>
      <c r="M167" t="s">
        <v>517</v>
      </c>
      <c r="N167" t="s">
        <v>517</v>
      </c>
      <c r="O167">
        <v>36664</v>
      </c>
      <c r="P167">
        <v>89500</v>
      </c>
      <c r="Q167">
        <v>-87696</v>
      </c>
      <c r="R167">
        <v>7922</v>
      </c>
    </row>
    <row r="168" spans="1:18">
      <c r="A168" s="1" t="s">
        <v>520</v>
      </c>
      <c r="B168" s="6">
        <v>5460</v>
      </c>
      <c r="C168" s="6">
        <v>4443</v>
      </c>
      <c r="D168" s="6">
        <f t="shared" si="2"/>
        <v>-1017</v>
      </c>
      <c r="E168" s="1" t="s">
        <v>520</v>
      </c>
      <c r="F168" s="1" t="s">
        <v>521</v>
      </c>
      <c r="G168" s="1" t="s">
        <v>77</v>
      </c>
      <c r="H168" s="1" t="s">
        <v>522</v>
      </c>
      <c r="I168">
        <v>0</v>
      </c>
      <c r="J168">
        <v>5460</v>
      </c>
      <c r="K168">
        <v>0</v>
      </c>
      <c r="L168">
        <v>5460</v>
      </c>
      <c r="M168" t="s">
        <v>520</v>
      </c>
      <c r="N168" t="s">
        <v>520</v>
      </c>
      <c r="O168">
        <v>4420</v>
      </c>
      <c r="P168">
        <v>25500</v>
      </c>
      <c r="Q168">
        <v>-22858</v>
      </c>
      <c r="R168">
        <v>4443</v>
      </c>
    </row>
    <row r="169" spans="1:18">
      <c r="A169" s="1" t="s">
        <v>520</v>
      </c>
      <c r="B169" s="6">
        <v>21901</v>
      </c>
      <c r="C169" s="6">
        <v>4443</v>
      </c>
      <c r="D169" s="6">
        <f t="shared" si="2"/>
        <v>-17458</v>
      </c>
      <c r="E169" s="1" t="s">
        <v>520</v>
      </c>
      <c r="F169" s="1" t="s">
        <v>523</v>
      </c>
      <c r="G169" s="1" t="s">
        <v>77</v>
      </c>
      <c r="H169" s="1" t="s">
        <v>524</v>
      </c>
      <c r="I169">
        <v>1801</v>
      </c>
      <c r="J169">
        <v>20100</v>
      </c>
      <c r="K169">
        <v>0</v>
      </c>
      <c r="L169">
        <v>21901</v>
      </c>
      <c r="M169" t="s">
        <v>520</v>
      </c>
      <c r="N169" t="s">
        <v>520</v>
      </c>
      <c r="O169">
        <v>4420</v>
      </c>
      <c r="P169">
        <v>25500</v>
      </c>
      <c r="Q169">
        <v>-22858</v>
      </c>
      <c r="R169">
        <v>4443</v>
      </c>
    </row>
    <row r="170" spans="1:18">
      <c r="A170" s="1" t="s">
        <v>520</v>
      </c>
      <c r="B170" s="6">
        <v>23</v>
      </c>
      <c r="C170" s="6">
        <v>59</v>
      </c>
      <c r="D170" s="6">
        <f t="shared" si="2"/>
        <v>36</v>
      </c>
      <c r="E170" s="1" t="s">
        <v>525</v>
      </c>
      <c r="F170" s="1" t="s">
        <v>526</v>
      </c>
      <c r="G170" s="1" t="s">
        <v>77</v>
      </c>
      <c r="H170" s="1" t="s">
        <v>527</v>
      </c>
      <c r="I170">
        <v>23</v>
      </c>
      <c r="J170">
        <v>0</v>
      </c>
      <c r="K170">
        <v>0</v>
      </c>
      <c r="L170">
        <v>23</v>
      </c>
      <c r="M170" t="s">
        <v>520</v>
      </c>
      <c r="N170" t="s">
        <v>525</v>
      </c>
      <c r="O170">
        <v>23</v>
      </c>
      <c r="P170">
        <v>0</v>
      </c>
      <c r="Q170">
        <v>36</v>
      </c>
      <c r="R170">
        <v>59</v>
      </c>
    </row>
    <row r="171" spans="1:18">
      <c r="A171" s="1" t="s">
        <v>528</v>
      </c>
      <c r="B171" s="6">
        <v>7122</v>
      </c>
      <c r="C171" s="6">
        <v>1846</v>
      </c>
      <c r="D171" s="6">
        <f t="shared" si="2"/>
        <v>-5276</v>
      </c>
      <c r="E171" s="1" t="s">
        <v>528</v>
      </c>
      <c r="F171" s="1" t="s">
        <v>529</v>
      </c>
      <c r="G171" s="1" t="s">
        <v>77</v>
      </c>
      <c r="H171" s="1" t="s">
        <v>530</v>
      </c>
      <c r="I171">
        <v>27</v>
      </c>
      <c r="J171">
        <v>7095</v>
      </c>
      <c r="K171">
        <v>0</v>
      </c>
      <c r="L171">
        <v>7122</v>
      </c>
      <c r="M171" t="s">
        <v>528</v>
      </c>
      <c r="N171" t="s">
        <v>528</v>
      </c>
      <c r="O171">
        <v>3470</v>
      </c>
      <c r="P171">
        <v>7095</v>
      </c>
      <c r="Q171">
        <v>-5276</v>
      </c>
      <c r="R171">
        <v>1846</v>
      </c>
    </row>
    <row r="172" spans="1:18">
      <c r="A172" s="1" t="s">
        <v>528</v>
      </c>
      <c r="B172" s="6">
        <v>4496</v>
      </c>
      <c r="C172" s="6">
        <v>138</v>
      </c>
      <c r="D172" s="6">
        <f t="shared" si="2"/>
        <v>-4358</v>
      </c>
      <c r="E172" s="1" t="s">
        <v>531</v>
      </c>
      <c r="F172" s="1" t="s">
        <v>532</v>
      </c>
      <c r="G172" s="1" t="s">
        <v>20</v>
      </c>
      <c r="H172" s="1" t="s">
        <v>533</v>
      </c>
      <c r="I172">
        <v>1951</v>
      </c>
      <c r="J172">
        <v>2545</v>
      </c>
      <c r="K172">
        <v>0</v>
      </c>
      <c r="L172">
        <v>4496</v>
      </c>
      <c r="M172" t="s">
        <v>528</v>
      </c>
      <c r="N172" t="s">
        <v>531</v>
      </c>
      <c r="O172">
        <v>318</v>
      </c>
      <c r="P172">
        <v>2545</v>
      </c>
      <c r="Q172">
        <v>-4429</v>
      </c>
      <c r="R172">
        <v>138</v>
      </c>
    </row>
    <row r="173" spans="1:18">
      <c r="A173" s="1" t="s">
        <v>528</v>
      </c>
      <c r="B173" s="6">
        <v>1765</v>
      </c>
      <c r="C173" s="6">
        <v>262</v>
      </c>
      <c r="D173" s="6">
        <f t="shared" si="2"/>
        <v>-1503</v>
      </c>
      <c r="E173" s="1" t="s">
        <v>534</v>
      </c>
      <c r="F173" s="1" t="s">
        <v>535</v>
      </c>
      <c r="G173" s="1" t="s">
        <v>77</v>
      </c>
      <c r="H173" s="1" t="s">
        <v>536</v>
      </c>
      <c r="I173">
        <v>15</v>
      </c>
      <c r="J173">
        <v>1750</v>
      </c>
      <c r="K173">
        <v>0</v>
      </c>
      <c r="L173">
        <v>1765</v>
      </c>
      <c r="M173" t="s">
        <v>528</v>
      </c>
      <c r="N173" t="s">
        <v>534</v>
      </c>
      <c r="O173">
        <v>3</v>
      </c>
      <c r="P173">
        <v>1750</v>
      </c>
      <c r="Q173">
        <v>-1503</v>
      </c>
      <c r="R173">
        <v>262</v>
      </c>
    </row>
    <row r="174" spans="1:18">
      <c r="A174" s="1" t="s">
        <v>537</v>
      </c>
      <c r="B174" s="6">
        <v>453</v>
      </c>
      <c r="C174" s="6">
        <v>313</v>
      </c>
      <c r="D174" s="6">
        <f t="shared" si="2"/>
        <v>-140</v>
      </c>
      <c r="E174" s="1" t="s">
        <v>537</v>
      </c>
      <c r="F174" s="1" t="s">
        <v>538</v>
      </c>
      <c r="G174" s="1" t="s">
        <v>77</v>
      </c>
      <c r="H174" s="1" t="s">
        <v>539</v>
      </c>
      <c r="I174">
        <v>0</v>
      </c>
      <c r="J174">
        <v>453</v>
      </c>
      <c r="K174">
        <v>0</v>
      </c>
      <c r="L174">
        <v>453</v>
      </c>
      <c r="M174" t="s">
        <v>537</v>
      </c>
      <c r="N174" t="s">
        <v>537</v>
      </c>
      <c r="O174">
        <v>0</v>
      </c>
      <c r="P174">
        <v>453</v>
      </c>
      <c r="Q174">
        <v>-140</v>
      </c>
      <c r="R174">
        <v>313</v>
      </c>
    </row>
    <row r="175" spans="1:18">
      <c r="A175" s="1" t="s">
        <v>540</v>
      </c>
      <c r="B175" s="6">
        <v>517</v>
      </c>
      <c r="C175" s="6">
        <v>0</v>
      </c>
      <c r="D175" s="6">
        <f t="shared" si="2"/>
        <v>-517</v>
      </c>
      <c r="E175" s="1" t="s">
        <v>541</v>
      </c>
      <c r="F175" s="1" t="s">
        <v>542</v>
      </c>
      <c r="G175" s="1" t="s">
        <v>20</v>
      </c>
      <c r="H175" s="1" t="s">
        <v>543</v>
      </c>
      <c r="I175">
        <v>426</v>
      </c>
      <c r="J175">
        <v>91</v>
      </c>
      <c r="K175">
        <v>0</v>
      </c>
      <c r="L175">
        <v>517</v>
      </c>
      <c r="M175" t="s">
        <v>540</v>
      </c>
      <c r="N175" t="s">
        <v>541</v>
      </c>
      <c r="O175">
        <v>0</v>
      </c>
      <c r="P175">
        <v>91</v>
      </c>
      <c r="Q175">
        <v>-516</v>
      </c>
      <c r="R175">
        <v>0</v>
      </c>
    </row>
    <row r="176" spans="1:18">
      <c r="A176" s="1" t="s">
        <v>544</v>
      </c>
      <c r="B176" s="6">
        <v>282</v>
      </c>
      <c r="C176" s="6">
        <v>4350</v>
      </c>
      <c r="D176" s="6">
        <f t="shared" si="2"/>
        <v>4068</v>
      </c>
      <c r="E176" s="1" t="s">
        <v>545</v>
      </c>
      <c r="F176" s="1" t="s">
        <v>546</v>
      </c>
      <c r="G176" s="1" t="s">
        <v>77</v>
      </c>
      <c r="H176" s="1" t="s">
        <v>547</v>
      </c>
      <c r="I176">
        <v>0</v>
      </c>
      <c r="J176">
        <v>11455</v>
      </c>
      <c r="K176">
        <v>11173</v>
      </c>
      <c r="L176">
        <v>282</v>
      </c>
      <c r="M176" t="s">
        <v>544</v>
      </c>
      <c r="N176" t="s">
        <v>545</v>
      </c>
      <c r="O176">
        <v>278</v>
      </c>
      <c r="P176">
        <v>10830</v>
      </c>
      <c r="Q176">
        <v>-6480</v>
      </c>
      <c r="R176">
        <v>4350</v>
      </c>
    </row>
    <row r="177" spans="1:18">
      <c r="A177" s="1" t="s">
        <v>548</v>
      </c>
      <c r="B177" s="6">
        <v>1407</v>
      </c>
      <c r="C177" s="6">
        <v>40</v>
      </c>
      <c r="D177" s="6">
        <f t="shared" si="2"/>
        <v>-1367</v>
      </c>
      <c r="E177" s="1" t="s">
        <v>548</v>
      </c>
      <c r="F177" s="1" t="s">
        <v>549</v>
      </c>
      <c r="G177" s="1" t="s">
        <v>20</v>
      </c>
      <c r="H177" s="1" t="s">
        <v>550</v>
      </c>
      <c r="I177">
        <v>207</v>
      </c>
      <c r="J177">
        <v>1200</v>
      </c>
      <c r="K177">
        <v>0</v>
      </c>
      <c r="L177">
        <v>1407</v>
      </c>
      <c r="M177" t="s">
        <v>548</v>
      </c>
      <c r="N177" t="s">
        <v>548</v>
      </c>
      <c r="O177">
        <v>594</v>
      </c>
      <c r="P177">
        <v>3700</v>
      </c>
      <c r="Q177">
        <v>-3867</v>
      </c>
      <c r="R177">
        <v>40</v>
      </c>
    </row>
    <row r="178" spans="1:18">
      <c r="A178" s="1" t="s">
        <v>551</v>
      </c>
      <c r="B178" s="6">
        <v>35</v>
      </c>
      <c r="C178" s="6">
        <v>93</v>
      </c>
      <c r="D178" s="6">
        <f t="shared" si="2"/>
        <v>58</v>
      </c>
      <c r="E178" s="1" t="s">
        <v>551</v>
      </c>
      <c r="F178" s="1" t="s">
        <v>552</v>
      </c>
      <c r="G178" s="1" t="s">
        <v>77</v>
      </c>
      <c r="H178" s="1" t="s">
        <v>553</v>
      </c>
      <c r="I178">
        <v>35</v>
      </c>
      <c r="J178">
        <v>0</v>
      </c>
      <c r="K178">
        <v>0</v>
      </c>
      <c r="L178">
        <v>35</v>
      </c>
      <c r="M178" t="s">
        <v>551</v>
      </c>
      <c r="N178" t="s">
        <v>551</v>
      </c>
      <c r="O178">
        <v>87</v>
      </c>
      <c r="P178">
        <v>270</v>
      </c>
      <c r="Q178">
        <v>-212</v>
      </c>
      <c r="R178">
        <v>93</v>
      </c>
    </row>
    <row r="179" spans="1:18">
      <c r="A179" s="1" t="s">
        <v>554</v>
      </c>
      <c r="B179" s="6">
        <v>10</v>
      </c>
      <c r="C179" s="6">
        <v>1396</v>
      </c>
      <c r="D179" s="6">
        <f t="shared" si="2"/>
        <v>1386</v>
      </c>
      <c r="E179" s="1" t="s">
        <v>554</v>
      </c>
      <c r="F179" s="1" t="s">
        <v>555</v>
      </c>
      <c r="G179" s="1" t="s">
        <v>20</v>
      </c>
      <c r="H179" s="1" t="s">
        <v>556</v>
      </c>
      <c r="I179">
        <v>0</v>
      </c>
      <c r="J179">
        <v>9050</v>
      </c>
      <c r="K179">
        <v>9040</v>
      </c>
      <c r="L179">
        <v>10</v>
      </c>
      <c r="M179" t="s">
        <v>554</v>
      </c>
      <c r="N179" t="s">
        <v>554</v>
      </c>
      <c r="O179">
        <v>0</v>
      </c>
      <c r="P179">
        <v>9050</v>
      </c>
      <c r="Q179">
        <v>-7654</v>
      </c>
      <c r="R179">
        <v>1396</v>
      </c>
    </row>
    <row r="180" spans="1:18">
      <c r="A180" s="1" t="s">
        <v>557</v>
      </c>
      <c r="B180" s="6">
        <v>50</v>
      </c>
      <c r="C180" s="6">
        <v>50.5</v>
      </c>
      <c r="D180" s="6">
        <f t="shared" si="2"/>
        <v>0.5</v>
      </c>
      <c r="E180" s="1" t="s">
        <v>557</v>
      </c>
      <c r="F180" s="1" t="s">
        <v>558</v>
      </c>
      <c r="G180" s="1" t="s">
        <v>77</v>
      </c>
      <c r="H180" s="1" t="s">
        <v>125</v>
      </c>
      <c r="I180">
        <v>9</v>
      </c>
      <c r="J180">
        <v>160</v>
      </c>
      <c r="K180">
        <v>119</v>
      </c>
      <c r="L180">
        <v>50</v>
      </c>
      <c r="M180" t="s">
        <v>557</v>
      </c>
      <c r="N180" t="s">
        <v>557</v>
      </c>
      <c r="O180">
        <v>39</v>
      </c>
      <c r="P180">
        <v>160</v>
      </c>
      <c r="Q180">
        <v>-118.5</v>
      </c>
      <c r="R180">
        <v>50.5</v>
      </c>
    </row>
    <row r="181" spans="1:18">
      <c r="A181" s="1" t="s">
        <v>559</v>
      </c>
      <c r="B181" s="6">
        <v>1000</v>
      </c>
      <c r="C181" s="6">
        <v>0</v>
      </c>
      <c r="D181" s="6">
        <f t="shared" si="2"/>
        <v>-1000</v>
      </c>
      <c r="E181" s="1" t="s">
        <v>559</v>
      </c>
      <c r="F181" s="1" t="s">
        <v>560</v>
      </c>
      <c r="G181" s="1" t="s">
        <v>77</v>
      </c>
      <c r="H181" s="1" t="s">
        <v>561</v>
      </c>
      <c r="I181">
        <v>0</v>
      </c>
      <c r="J181">
        <v>1000</v>
      </c>
      <c r="K181">
        <v>0</v>
      </c>
      <c r="L181">
        <v>1000</v>
      </c>
      <c r="M181" t="s">
        <v>559</v>
      </c>
      <c r="N181" t="s">
        <v>559</v>
      </c>
      <c r="O181">
        <v>664</v>
      </c>
      <c r="P181">
        <v>4140</v>
      </c>
      <c r="Q181">
        <v>-7111</v>
      </c>
      <c r="R181">
        <v>0</v>
      </c>
    </row>
    <row r="182" spans="1:18">
      <c r="A182" s="1" t="s">
        <v>562</v>
      </c>
      <c r="B182" s="6">
        <v>120</v>
      </c>
      <c r="C182" s="6">
        <v>0</v>
      </c>
      <c r="D182" s="6">
        <f t="shared" si="2"/>
        <v>-120</v>
      </c>
      <c r="E182" s="1" t="s">
        <v>562</v>
      </c>
      <c r="F182" s="1" t="s">
        <v>563</v>
      </c>
      <c r="G182" s="1" t="s">
        <v>77</v>
      </c>
      <c r="H182" s="1" t="s">
        <v>564</v>
      </c>
      <c r="I182">
        <v>0</v>
      </c>
      <c r="J182">
        <v>120</v>
      </c>
      <c r="K182">
        <v>0</v>
      </c>
      <c r="L182">
        <v>120</v>
      </c>
      <c r="M182" t="s">
        <v>562</v>
      </c>
      <c r="N182" t="s">
        <v>562</v>
      </c>
      <c r="O182">
        <v>0</v>
      </c>
      <c r="P182">
        <v>120</v>
      </c>
      <c r="Q182">
        <v>-120</v>
      </c>
      <c r="R182">
        <v>0</v>
      </c>
    </row>
    <row r="183" spans="1:18">
      <c r="A183" s="1" t="s">
        <v>565</v>
      </c>
      <c r="B183" s="6">
        <v>0</v>
      </c>
      <c r="C183" s="6">
        <v>3</v>
      </c>
      <c r="D183" s="6">
        <f t="shared" si="2"/>
        <v>3</v>
      </c>
      <c r="E183" s="1" t="s">
        <v>565</v>
      </c>
      <c r="F183" s="1" t="s">
        <v>566</v>
      </c>
      <c r="G183" s="1" t="s">
        <v>20</v>
      </c>
      <c r="H183" s="1" t="s">
        <v>567</v>
      </c>
      <c r="I183">
        <v>0</v>
      </c>
      <c r="J183">
        <v>1</v>
      </c>
      <c r="K183">
        <v>1</v>
      </c>
      <c r="L183">
        <v>0</v>
      </c>
      <c r="M183" t="s">
        <v>565</v>
      </c>
      <c r="N183" t="s">
        <v>565</v>
      </c>
      <c r="O183">
        <v>0</v>
      </c>
      <c r="P183">
        <v>15</v>
      </c>
      <c r="Q183">
        <v>-12</v>
      </c>
      <c r="R183">
        <v>3</v>
      </c>
    </row>
    <row r="184" spans="1:18">
      <c r="A184" s="1" t="s">
        <v>565</v>
      </c>
      <c r="B184" s="6">
        <v>0</v>
      </c>
      <c r="C184" s="6">
        <v>3</v>
      </c>
      <c r="D184" s="6">
        <f t="shared" si="2"/>
        <v>3</v>
      </c>
      <c r="E184" s="1" t="s">
        <v>565</v>
      </c>
      <c r="F184" s="1" t="s">
        <v>566</v>
      </c>
      <c r="G184" s="1" t="s">
        <v>280</v>
      </c>
      <c r="H184" s="1" t="s">
        <v>290</v>
      </c>
      <c r="I184">
        <v>0</v>
      </c>
      <c r="J184">
        <v>14</v>
      </c>
      <c r="K184">
        <v>14</v>
      </c>
      <c r="L184">
        <v>0</v>
      </c>
      <c r="M184" t="s">
        <v>565</v>
      </c>
      <c r="N184" t="s">
        <v>565</v>
      </c>
      <c r="O184">
        <v>0</v>
      </c>
      <c r="P184">
        <v>15</v>
      </c>
      <c r="Q184">
        <v>-12</v>
      </c>
      <c r="R184">
        <v>3</v>
      </c>
    </row>
    <row r="185" spans="1:18">
      <c r="A185" s="1" t="s">
        <v>568</v>
      </c>
      <c r="B185" s="6">
        <v>5</v>
      </c>
      <c r="C185" s="6">
        <v>5.2</v>
      </c>
      <c r="D185" s="6">
        <f t="shared" si="2"/>
        <v>0.20000000000000018</v>
      </c>
      <c r="E185" s="1" t="s">
        <v>568</v>
      </c>
      <c r="F185" s="1" t="s">
        <v>569</v>
      </c>
      <c r="G185" s="1" t="s">
        <v>280</v>
      </c>
      <c r="H185" s="1" t="s">
        <v>570</v>
      </c>
      <c r="I185">
        <v>11</v>
      </c>
      <c r="J185">
        <v>0</v>
      </c>
      <c r="K185">
        <v>6</v>
      </c>
      <c r="L185">
        <v>5</v>
      </c>
      <c r="M185" t="s">
        <v>568</v>
      </c>
      <c r="N185" t="s">
        <v>568</v>
      </c>
      <c r="O185">
        <v>10.199999999999999</v>
      </c>
      <c r="P185">
        <v>0</v>
      </c>
      <c r="Q185">
        <v>-5.8</v>
      </c>
      <c r="R185">
        <v>5.2</v>
      </c>
    </row>
    <row r="186" spans="1:18">
      <c r="A186" s="1" t="s">
        <v>571</v>
      </c>
      <c r="B186" s="6">
        <v>6</v>
      </c>
      <c r="C186" s="6">
        <v>5.8</v>
      </c>
      <c r="D186" s="6">
        <f t="shared" si="2"/>
        <v>-0.20000000000000018</v>
      </c>
      <c r="E186" s="1" t="s">
        <v>571</v>
      </c>
      <c r="F186" s="1" t="s">
        <v>572</v>
      </c>
      <c r="G186" s="1" t="s">
        <v>280</v>
      </c>
      <c r="H186" s="1" t="s">
        <v>573</v>
      </c>
      <c r="I186">
        <v>8</v>
      </c>
      <c r="J186">
        <v>0</v>
      </c>
      <c r="K186">
        <v>2</v>
      </c>
      <c r="L186">
        <v>6</v>
      </c>
      <c r="M186" t="s">
        <v>571</v>
      </c>
      <c r="N186" t="s">
        <v>571</v>
      </c>
      <c r="O186">
        <v>8</v>
      </c>
      <c r="P186">
        <v>0</v>
      </c>
      <c r="Q186">
        <v>-2.2000000000000002</v>
      </c>
      <c r="R186">
        <v>5.8</v>
      </c>
    </row>
    <row r="187" spans="1:18">
      <c r="A187" s="1" t="s">
        <v>574</v>
      </c>
      <c r="B187" s="6">
        <v>5</v>
      </c>
      <c r="C187" s="6">
        <v>4.8</v>
      </c>
      <c r="D187" s="6">
        <f t="shared" si="2"/>
        <v>-0.20000000000000018</v>
      </c>
      <c r="E187" s="1" t="s">
        <v>574</v>
      </c>
      <c r="F187" s="1" t="s">
        <v>575</v>
      </c>
      <c r="G187" s="1" t="s">
        <v>280</v>
      </c>
      <c r="H187" s="1" t="s">
        <v>576</v>
      </c>
      <c r="I187">
        <v>9</v>
      </c>
      <c r="J187">
        <v>0</v>
      </c>
      <c r="K187">
        <v>4</v>
      </c>
      <c r="L187">
        <v>5</v>
      </c>
      <c r="M187" t="s">
        <v>574</v>
      </c>
      <c r="N187" t="s">
        <v>574</v>
      </c>
      <c r="O187">
        <v>9</v>
      </c>
      <c r="P187">
        <v>0</v>
      </c>
      <c r="Q187">
        <v>-4.2</v>
      </c>
      <c r="R187">
        <v>4.8</v>
      </c>
    </row>
    <row r="188" spans="1:18">
      <c r="A188" s="1" t="s">
        <v>577</v>
      </c>
      <c r="B188" s="6">
        <v>3</v>
      </c>
      <c r="C188" s="6">
        <v>6</v>
      </c>
      <c r="D188" s="6">
        <f t="shared" si="2"/>
        <v>3</v>
      </c>
      <c r="E188" s="1" t="s">
        <v>577</v>
      </c>
      <c r="F188" s="1" t="s">
        <v>578</v>
      </c>
      <c r="G188" s="1" t="s">
        <v>280</v>
      </c>
      <c r="H188" s="1" t="s">
        <v>579</v>
      </c>
      <c r="I188">
        <v>4</v>
      </c>
      <c r="J188">
        <v>1</v>
      </c>
      <c r="K188">
        <v>2</v>
      </c>
      <c r="L188">
        <v>3</v>
      </c>
      <c r="M188" t="s">
        <v>577</v>
      </c>
      <c r="N188" t="s">
        <v>577</v>
      </c>
      <c r="O188">
        <v>4.2</v>
      </c>
      <c r="P188">
        <v>1</v>
      </c>
      <c r="Q188">
        <v>0.8</v>
      </c>
      <c r="R188">
        <v>6</v>
      </c>
    </row>
    <row r="189" spans="1:18">
      <c r="A189" s="1" t="s">
        <v>580</v>
      </c>
      <c r="B189" s="6">
        <v>5</v>
      </c>
      <c r="C189" s="6">
        <v>4.5999999999999996</v>
      </c>
      <c r="D189" s="6">
        <f t="shared" si="2"/>
        <v>-0.40000000000000036</v>
      </c>
      <c r="E189" s="1" t="s">
        <v>580</v>
      </c>
      <c r="F189" s="1" t="s">
        <v>581</v>
      </c>
      <c r="G189" s="1" t="s">
        <v>20</v>
      </c>
      <c r="H189" s="1" t="s">
        <v>582</v>
      </c>
      <c r="I189">
        <v>0</v>
      </c>
      <c r="J189">
        <v>6</v>
      </c>
      <c r="K189">
        <v>1</v>
      </c>
      <c r="L189">
        <v>5</v>
      </c>
      <c r="M189" t="s">
        <v>580</v>
      </c>
      <c r="N189" t="s">
        <v>580</v>
      </c>
      <c r="O189">
        <v>0</v>
      </c>
      <c r="P189">
        <v>6</v>
      </c>
      <c r="Q189">
        <v>-1.4</v>
      </c>
      <c r="R189">
        <v>4.5999999999999996</v>
      </c>
    </row>
    <row r="190" spans="1:18">
      <c r="A190" s="1" t="s">
        <v>583</v>
      </c>
      <c r="B190" s="6">
        <v>2</v>
      </c>
      <c r="C190" s="6">
        <v>1.6</v>
      </c>
      <c r="D190" s="6">
        <f t="shared" si="2"/>
        <v>-0.39999999999999991</v>
      </c>
      <c r="E190" s="1" t="s">
        <v>583</v>
      </c>
      <c r="F190" s="1" t="s">
        <v>584</v>
      </c>
      <c r="G190" s="1" t="s">
        <v>20</v>
      </c>
      <c r="H190" s="1" t="s">
        <v>585</v>
      </c>
      <c r="I190">
        <v>0</v>
      </c>
      <c r="J190">
        <v>3</v>
      </c>
      <c r="K190">
        <v>1</v>
      </c>
      <c r="L190">
        <v>2</v>
      </c>
      <c r="M190" t="s">
        <v>583</v>
      </c>
      <c r="N190" t="s">
        <v>583</v>
      </c>
      <c r="O190">
        <v>0</v>
      </c>
      <c r="P190">
        <v>3</v>
      </c>
      <c r="Q190">
        <v>-1.4</v>
      </c>
      <c r="R190">
        <v>1.6</v>
      </c>
    </row>
    <row r="191" spans="1:18">
      <c r="A191" s="1" t="s">
        <v>586</v>
      </c>
      <c r="B191" s="6">
        <v>2</v>
      </c>
      <c r="C191" s="6">
        <v>2.2000000000000002</v>
      </c>
      <c r="D191" s="6">
        <f t="shared" si="2"/>
        <v>0.20000000000000018</v>
      </c>
      <c r="E191" s="1" t="s">
        <v>586</v>
      </c>
      <c r="F191" s="1" t="s">
        <v>587</v>
      </c>
      <c r="G191" s="1" t="s">
        <v>20</v>
      </c>
      <c r="H191" s="1" t="s">
        <v>588</v>
      </c>
      <c r="I191">
        <v>0</v>
      </c>
      <c r="J191">
        <v>3</v>
      </c>
      <c r="K191">
        <v>1</v>
      </c>
      <c r="L191">
        <v>2</v>
      </c>
      <c r="M191" t="s">
        <v>586</v>
      </c>
      <c r="N191" t="s">
        <v>586</v>
      </c>
      <c r="O191">
        <v>0</v>
      </c>
      <c r="P191">
        <v>3</v>
      </c>
      <c r="Q191">
        <v>-0.8</v>
      </c>
      <c r="R191">
        <v>2.2000000000000002</v>
      </c>
    </row>
    <row r="192" spans="1:18">
      <c r="A192" s="1" t="s">
        <v>589</v>
      </c>
      <c r="B192" s="6">
        <v>16</v>
      </c>
      <c r="C192" s="6">
        <v>18</v>
      </c>
      <c r="D192" s="6">
        <f t="shared" si="2"/>
        <v>2</v>
      </c>
      <c r="E192" s="1" t="s">
        <v>589</v>
      </c>
      <c r="F192" s="1" t="s">
        <v>590</v>
      </c>
      <c r="G192" s="1" t="s">
        <v>20</v>
      </c>
      <c r="H192" s="1" t="s">
        <v>591</v>
      </c>
      <c r="I192">
        <v>17</v>
      </c>
      <c r="J192">
        <v>0</v>
      </c>
      <c r="K192">
        <v>1</v>
      </c>
      <c r="L192">
        <v>16</v>
      </c>
      <c r="M192" t="s">
        <v>589</v>
      </c>
      <c r="N192" t="s">
        <v>589</v>
      </c>
      <c r="O192">
        <v>17</v>
      </c>
      <c r="P192">
        <v>0</v>
      </c>
      <c r="Q192">
        <v>1</v>
      </c>
      <c r="R192">
        <v>18</v>
      </c>
    </row>
    <row r="193" spans="1:18">
      <c r="A193" s="1" t="s">
        <v>592</v>
      </c>
      <c r="B193" s="6">
        <v>6</v>
      </c>
      <c r="C193" s="6">
        <v>12.4</v>
      </c>
      <c r="D193" s="6">
        <f t="shared" si="2"/>
        <v>6.4</v>
      </c>
      <c r="E193" s="1" t="s">
        <v>592</v>
      </c>
      <c r="F193" s="1" t="s">
        <v>593</v>
      </c>
      <c r="G193" s="1" t="s">
        <v>20</v>
      </c>
      <c r="H193" s="1" t="s">
        <v>594</v>
      </c>
      <c r="I193">
        <v>0</v>
      </c>
      <c r="J193">
        <v>15</v>
      </c>
      <c r="K193">
        <v>9</v>
      </c>
      <c r="L193">
        <v>6</v>
      </c>
      <c r="M193" t="s">
        <v>592</v>
      </c>
      <c r="N193" t="s">
        <v>592</v>
      </c>
      <c r="O193">
        <v>1.5</v>
      </c>
      <c r="P193">
        <v>15</v>
      </c>
      <c r="Q193">
        <v>-2.6</v>
      </c>
      <c r="R193">
        <v>12.4</v>
      </c>
    </row>
    <row r="194" spans="1:18">
      <c r="A194" s="1" t="s">
        <v>595</v>
      </c>
      <c r="B194" s="6">
        <v>0</v>
      </c>
      <c r="C194" s="6">
        <v>8</v>
      </c>
      <c r="D194" s="6">
        <f t="shared" si="2"/>
        <v>8</v>
      </c>
      <c r="E194" s="1" t="s">
        <v>595</v>
      </c>
      <c r="F194" s="1" t="s">
        <v>596</v>
      </c>
      <c r="G194" s="1" t="s">
        <v>20</v>
      </c>
      <c r="H194" s="1" t="s">
        <v>597</v>
      </c>
      <c r="I194">
        <v>0</v>
      </c>
      <c r="J194">
        <v>2</v>
      </c>
      <c r="K194">
        <v>2</v>
      </c>
      <c r="L194">
        <v>0</v>
      </c>
      <c r="M194" t="s">
        <v>595</v>
      </c>
      <c r="N194" t="s">
        <v>595</v>
      </c>
      <c r="O194">
        <v>0</v>
      </c>
      <c r="P194">
        <v>2</v>
      </c>
      <c r="Q194">
        <v>6</v>
      </c>
      <c r="R194">
        <v>8</v>
      </c>
    </row>
    <row r="195" spans="1:18">
      <c r="A195" s="1" t="s">
        <v>598</v>
      </c>
      <c r="B195" s="6">
        <v>0</v>
      </c>
      <c r="C195" s="6">
        <v>15</v>
      </c>
      <c r="D195" s="6">
        <f t="shared" ref="D195:D258" si="3">C195-B195</f>
        <v>15</v>
      </c>
      <c r="E195" s="1" t="s">
        <v>598</v>
      </c>
      <c r="F195" s="1" t="s">
        <v>599</v>
      </c>
      <c r="G195" s="1" t="s">
        <v>280</v>
      </c>
      <c r="H195" s="1" t="s">
        <v>600</v>
      </c>
      <c r="I195">
        <v>7</v>
      </c>
      <c r="J195">
        <v>0</v>
      </c>
      <c r="K195">
        <v>7</v>
      </c>
      <c r="L195">
        <v>0</v>
      </c>
      <c r="M195" t="s">
        <v>598</v>
      </c>
      <c r="N195" t="s">
        <v>598</v>
      </c>
      <c r="O195">
        <v>7</v>
      </c>
      <c r="P195">
        <v>0</v>
      </c>
      <c r="Q195">
        <v>8</v>
      </c>
      <c r="R195">
        <v>15</v>
      </c>
    </row>
    <row r="196" spans="1:18">
      <c r="A196" s="1" t="s">
        <v>601</v>
      </c>
      <c r="B196" s="6">
        <v>3</v>
      </c>
      <c r="C196" s="6">
        <v>2.7</v>
      </c>
      <c r="D196" s="6">
        <f t="shared" si="3"/>
        <v>-0.29999999999999982</v>
      </c>
      <c r="E196" s="1" t="s">
        <v>601</v>
      </c>
      <c r="F196" s="1" t="s">
        <v>602</v>
      </c>
      <c r="G196" s="1" t="s">
        <v>20</v>
      </c>
      <c r="H196" s="1" t="s">
        <v>603</v>
      </c>
      <c r="I196">
        <v>1</v>
      </c>
      <c r="J196">
        <v>3</v>
      </c>
      <c r="K196">
        <v>1</v>
      </c>
      <c r="L196">
        <v>3</v>
      </c>
      <c r="M196" t="s">
        <v>601</v>
      </c>
      <c r="N196" t="s">
        <v>601</v>
      </c>
      <c r="O196">
        <v>0</v>
      </c>
      <c r="P196">
        <v>3</v>
      </c>
      <c r="Q196">
        <v>-1.4</v>
      </c>
      <c r="R196">
        <v>2.7</v>
      </c>
    </row>
    <row r="197" spans="1:18">
      <c r="A197" s="1" t="s">
        <v>604</v>
      </c>
      <c r="B197" s="6">
        <v>5</v>
      </c>
      <c r="C197" s="6">
        <v>4.8</v>
      </c>
      <c r="D197" s="6">
        <f t="shared" si="3"/>
        <v>-0.20000000000000018</v>
      </c>
      <c r="E197" s="1" t="s">
        <v>604</v>
      </c>
      <c r="F197" s="1" t="s">
        <v>605</v>
      </c>
      <c r="G197" s="1" t="s">
        <v>20</v>
      </c>
      <c r="H197" s="1" t="s">
        <v>606</v>
      </c>
      <c r="I197">
        <v>0</v>
      </c>
      <c r="J197">
        <v>6</v>
      </c>
      <c r="K197">
        <v>1</v>
      </c>
      <c r="L197">
        <v>5</v>
      </c>
      <c r="M197" t="s">
        <v>604</v>
      </c>
      <c r="N197" t="s">
        <v>604</v>
      </c>
      <c r="O197">
        <v>0</v>
      </c>
      <c r="P197">
        <v>6</v>
      </c>
      <c r="Q197">
        <v>-1.2</v>
      </c>
      <c r="R197">
        <v>4.8</v>
      </c>
    </row>
    <row r="198" spans="1:18">
      <c r="A198" s="1" t="s">
        <v>607</v>
      </c>
      <c r="B198" s="6">
        <v>2</v>
      </c>
      <c r="C198" s="6">
        <v>1.6</v>
      </c>
      <c r="D198" s="6">
        <f t="shared" si="3"/>
        <v>-0.39999999999999991</v>
      </c>
      <c r="E198" s="1" t="s">
        <v>607</v>
      </c>
      <c r="F198" s="1" t="s">
        <v>608</v>
      </c>
      <c r="G198" s="1" t="s">
        <v>20</v>
      </c>
      <c r="H198" s="1" t="s">
        <v>609</v>
      </c>
      <c r="I198">
        <v>0</v>
      </c>
      <c r="J198">
        <v>3</v>
      </c>
      <c r="K198">
        <v>1</v>
      </c>
      <c r="L198">
        <v>2</v>
      </c>
      <c r="M198" t="s">
        <v>607</v>
      </c>
      <c r="N198" t="s">
        <v>607</v>
      </c>
      <c r="O198">
        <v>0</v>
      </c>
      <c r="P198">
        <v>3</v>
      </c>
      <c r="Q198">
        <v>-1.4</v>
      </c>
      <c r="R198">
        <v>1.6</v>
      </c>
    </row>
    <row r="199" spans="1:18">
      <c r="A199" s="1" t="s">
        <v>610</v>
      </c>
      <c r="B199" s="6">
        <v>2</v>
      </c>
      <c r="C199" s="6">
        <v>1.8</v>
      </c>
      <c r="D199" s="6">
        <f t="shared" si="3"/>
        <v>-0.19999999999999996</v>
      </c>
      <c r="E199" s="1" t="s">
        <v>610</v>
      </c>
      <c r="F199" s="1" t="s">
        <v>611</v>
      </c>
      <c r="G199" s="1" t="s">
        <v>20</v>
      </c>
      <c r="H199" s="1" t="s">
        <v>612</v>
      </c>
      <c r="I199">
        <v>0</v>
      </c>
      <c r="J199">
        <v>3</v>
      </c>
      <c r="K199">
        <v>1</v>
      </c>
      <c r="L199">
        <v>2</v>
      </c>
      <c r="M199" t="s">
        <v>610</v>
      </c>
      <c r="N199" t="s">
        <v>610</v>
      </c>
      <c r="O199">
        <v>0</v>
      </c>
      <c r="P199">
        <v>3</v>
      </c>
      <c r="Q199">
        <v>-1.2</v>
      </c>
      <c r="R199">
        <v>1.8</v>
      </c>
    </row>
    <row r="200" spans="1:18">
      <c r="A200" s="1" t="s">
        <v>613</v>
      </c>
      <c r="B200" s="6">
        <v>2</v>
      </c>
      <c r="C200" s="6">
        <v>2.4</v>
      </c>
      <c r="D200" s="6">
        <f t="shared" si="3"/>
        <v>0.39999999999999991</v>
      </c>
      <c r="E200" s="1" t="s">
        <v>613</v>
      </c>
      <c r="F200" s="1" t="s">
        <v>614</v>
      </c>
      <c r="G200" s="1" t="s">
        <v>20</v>
      </c>
      <c r="H200" s="1" t="s">
        <v>615</v>
      </c>
      <c r="I200">
        <v>0</v>
      </c>
      <c r="J200">
        <v>3</v>
      </c>
      <c r="K200">
        <v>1</v>
      </c>
      <c r="L200">
        <v>2</v>
      </c>
      <c r="M200" t="s">
        <v>613</v>
      </c>
      <c r="N200" t="s">
        <v>613</v>
      </c>
      <c r="O200">
        <v>0</v>
      </c>
      <c r="P200">
        <v>3</v>
      </c>
      <c r="Q200">
        <v>-0.6</v>
      </c>
      <c r="R200">
        <v>2.4</v>
      </c>
    </row>
    <row r="201" spans="1:18">
      <c r="A201" s="1" t="s">
        <v>616</v>
      </c>
      <c r="B201" s="6">
        <v>11</v>
      </c>
      <c r="C201" s="6">
        <v>10.6</v>
      </c>
      <c r="D201" s="6">
        <f t="shared" si="3"/>
        <v>-0.40000000000000036</v>
      </c>
      <c r="E201" s="1" t="s">
        <v>616</v>
      </c>
      <c r="F201" s="1" t="s">
        <v>617</v>
      </c>
      <c r="G201" s="1" t="s">
        <v>20</v>
      </c>
      <c r="H201" s="1" t="s">
        <v>618</v>
      </c>
      <c r="I201">
        <v>0</v>
      </c>
      <c r="J201">
        <v>15</v>
      </c>
      <c r="K201">
        <v>4</v>
      </c>
      <c r="L201">
        <v>11</v>
      </c>
      <c r="M201" t="s">
        <v>616</v>
      </c>
      <c r="N201" t="s">
        <v>616</v>
      </c>
      <c r="O201">
        <v>1.4</v>
      </c>
      <c r="P201">
        <v>15</v>
      </c>
      <c r="Q201">
        <v>-4.4000000000000004</v>
      </c>
      <c r="R201">
        <v>10.6</v>
      </c>
    </row>
    <row r="202" spans="1:18">
      <c r="A202" s="1" t="s">
        <v>619</v>
      </c>
      <c r="B202" s="6">
        <v>4</v>
      </c>
      <c r="C202" s="6">
        <v>22</v>
      </c>
      <c r="D202" s="6">
        <f t="shared" si="3"/>
        <v>18</v>
      </c>
      <c r="E202" s="1" t="s">
        <v>619</v>
      </c>
      <c r="F202" s="1" t="s">
        <v>620</v>
      </c>
      <c r="G202" s="1" t="s">
        <v>20</v>
      </c>
      <c r="H202" s="1" t="s">
        <v>621</v>
      </c>
      <c r="I202">
        <v>4</v>
      </c>
      <c r="J202">
        <v>0</v>
      </c>
      <c r="K202">
        <v>0</v>
      </c>
      <c r="L202">
        <v>4</v>
      </c>
      <c r="M202" s="2">
        <v>4.2000000000000001E+55</v>
      </c>
      <c r="N202" s="2">
        <v>4.2000000000000001E+55</v>
      </c>
      <c r="O202">
        <v>0</v>
      </c>
      <c r="P202">
        <v>45</v>
      </c>
      <c r="Q202">
        <v>-27</v>
      </c>
      <c r="R202">
        <v>22</v>
      </c>
    </row>
    <row r="203" spans="1:18">
      <c r="A203" s="1" t="s">
        <v>622</v>
      </c>
      <c r="B203" s="6">
        <v>0</v>
      </c>
      <c r="C203" s="6">
        <v>14</v>
      </c>
      <c r="D203" s="6">
        <f t="shared" si="3"/>
        <v>14</v>
      </c>
      <c r="E203" s="1" t="s">
        <v>622</v>
      </c>
      <c r="F203" s="1" t="s">
        <v>623</v>
      </c>
      <c r="G203" s="1" t="s">
        <v>20</v>
      </c>
      <c r="H203" s="1" t="s">
        <v>624</v>
      </c>
      <c r="I203">
        <v>6</v>
      </c>
      <c r="J203">
        <v>0</v>
      </c>
      <c r="K203">
        <v>6</v>
      </c>
      <c r="L203">
        <v>0</v>
      </c>
      <c r="M203" t="s">
        <v>622</v>
      </c>
      <c r="N203" t="s">
        <v>622</v>
      </c>
      <c r="O203">
        <v>6</v>
      </c>
      <c r="P203">
        <v>0</v>
      </c>
      <c r="Q203">
        <v>8</v>
      </c>
      <c r="R203">
        <v>14</v>
      </c>
    </row>
    <row r="204" spans="1:18">
      <c r="A204" s="1" t="s">
        <v>625</v>
      </c>
      <c r="B204" s="6">
        <v>9</v>
      </c>
      <c r="C204" s="6">
        <v>15</v>
      </c>
      <c r="D204" s="6">
        <f t="shared" si="3"/>
        <v>6</v>
      </c>
      <c r="E204" s="1" t="s">
        <v>625</v>
      </c>
      <c r="F204" s="1" t="s">
        <v>626</v>
      </c>
      <c r="G204" s="1" t="s">
        <v>280</v>
      </c>
      <c r="H204" s="1" t="s">
        <v>627</v>
      </c>
      <c r="I204">
        <v>13</v>
      </c>
      <c r="J204">
        <v>0</v>
      </c>
      <c r="K204">
        <v>4</v>
      </c>
      <c r="L204">
        <v>9</v>
      </c>
      <c r="M204" t="s">
        <v>625</v>
      </c>
      <c r="N204" t="s">
        <v>625</v>
      </c>
      <c r="O204">
        <v>12</v>
      </c>
      <c r="P204">
        <v>0</v>
      </c>
      <c r="Q204">
        <v>2</v>
      </c>
      <c r="R204">
        <v>15</v>
      </c>
    </row>
    <row r="205" spans="1:18">
      <c r="A205" s="1" t="s">
        <v>628</v>
      </c>
      <c r="B205" s="6">
        <v>1</v>
      </c>
      <c r="C205" s="6">
        <v>0</v>
      </c>
      <c r="D205" s="6">
        <f t="shared" si="3"/>
        <v>-1</v>
      </c>
      <c r="E205" s="1" t="s">
        <v>628</v>
      </c>
      <c r="F205" s="1" t="s">
        <v>629</v>
      </c>
      <c r="G205" s="1" t="s">
        <v>20</v>
      </c>
      <c r="H205" s="1" t="s">
        <v>630</v>
      </c>
      <c r="I205">
        <v>0</v>
      </c>
      <c r="J205">
        <v>1</v>
      </c>
      <c r="K205">
        <v>0</v>
      </c>
      <c r="L205">
        <v>1</v>
      </c>
      <c r="M205" t="s">
        <v>628</v>
      </c>
      <c r="N205" t="s">
        <v>628</v>
      </c>
      <c r="O205">
        <v>0</v>
      </c>
      <c r="P205">
        <v>1</v>
      </c>
      <c r="Q205">
        <v>-1</v>
      </c>
      <c r="R205">
        <v>0</v>
      </c>
    </row>
    <row r="206" spans="1:18">
      <c r="A206" s="1" t="s">
        <v>631</v>
      </c>
      <c r="B206" s="6">
        <v>120</v>
      </c>
      <c r="C206" s="6">
        <v>0</v>
      </c>
      <c r="D206" s="6">
        <f t="shared" si="3"/>
        <v>-120</v>
      </c>
      <c r="E206" s="1" t="s">
        <v>631</v>
      </c>
      <c r="F206" s="1" t="s">
        <v>632</v>
      </c>
      <c r="G206" s="1" t="s">
        <v>20</v>
      </c>
      <c r="H206" s="1" t="s">
        <v>633</v>
      </c>
      <c r="I206">
        <v>0</v>
      </c>
      <c r="J206">
        <v>120</v>
      </c>
      <c r="K206">
        <v>0</v>
      </c>
      <c r="L206">
        <v>120</v>
      </c>
      <c r="M206" t="s">
        <v>631</v>
      </c>
      <c r="N206" t="s">
        <v>631</v>
      </c>
      <c r="O206">
        <v>0</v>
      </c>
      <c r="P206">
        <v>120</v>
      </c>
      <c r="Q206">
        <v>-120</v>
      </c>
      <c r="R206">
        <v>0</v>
      </c>
    </row>
    <row r="207" spans="1:18">
      <c r="A207" s="1" t="s">
        <v>634</v>
      </c>
      <c r="B207" s="6">
        <v>0</v>
      </c>
      <c r="C207" s="6">
        <v>5</v>
      </c>
      <c r="D207" s="6">
        <f t="shared" si="3"/>
        <v>5</v>
      </c>
      <c r="E207" s="1" t="s">
        <v>634</v>
      </c>
      <c r="F207" s="1" t="s">
        <v>635</v>
      </c>
      <c r="G207" s="1" t="s">
        <v>280</v>
      </c>
      <c r="H207" s="1" t="s">
        <v>636</v>
      </c>
      <c r="I207">
        <v>3</v>
      </c>
      <c r="J207">
        <v>0</v>
      </c>
      <c r="K207">
        <v>3</v>
      </c>
      <c r="L207">
        <v>0</v>
      </c>
      <c r="M207" t="s">
        <v>634</v>
      </c>
      <c r="N207" t="s">
        <v>634</v>
      </c>
      <c r="O207">
        <v>3</v>
      </c>
      <c r="P207">
        <v>0</v>
      </c>
      <c r="Q207">
        <v>2</v>
      </c>
      <c r="R207">
        <v>5</v>
      </c>
    </row>
    <row r="208" spans="1:18">
      <c r="A208" s="1" t="s">
        <v>637</v>
      </c>
      <c r="B208" s="6">
        <v>1</v>
      </c>
      <c r="C208" s="6">
        <v>1.2</v>
      </c>
      <c r="D208" s="6">
        <f t="shared" si="3"/>
        <v>0.19999999999999996</v>
      </c>
      <c r="E208" s="1" t="s">
        <v>637</v>
      </c>
      <c r="F208" s="1" t="s">
        <v>638</v>
      </c>
      <c r="G208" s="1" t="s">
        <v>280</v>
      </c>
      <c r="H208" s="1" t="s">
        <v>639</v>
      </c>
      <c r="I208">
        <v>8</v>
      </c>
      <c r="J208">
        <v>9</v>
      </c>
      <c r="K208">
        <v>16</v>
      </c>
      <c r="L208">
        <v>1</v>
      </c>
      <c r="M208" t="s">
        <v>637</v>
      </c>
      <c r="N208" t="s">
        <v>637</v>
      </c>
      <c r="O208">
        <v>8</v>
      </c>
      <c r="P208">
        <v>9</v>
      </c>
      <c r="Q208">
        <v>-16</v>
      </c>
      <c r="R208">
        <v>1.2</v>
      </c>
    </row>
    <row r="209" spans="1:18">
      <c r="A209" s="1" t="s">
        <v>640</v>
      </c>
      <c r="B209" s="6">
        <v>1</v>
      </c>
      <c r="C209" s="6">
        <v>0.2</v>
      </c>
      <c r="D209" s="6">
        <f t="shared" si="3"/>
        <v>-0.8</v>
      </c>
      <c r="E209" s="1" t="s">
        <v>640</v>
      </c>
      <c r="F209" s="1" t="s">
        <v>641</v>
      </c>
      <c r="G209" s="1" t="s">
        <v>280</v>
      </c>
      <c r="H209" s="1" t="s">
        <v>208</v>
      </c>
      <c r="I209">
        <v>7</v>
      </c>
      <c r="J209">
        <v>5</v>
      </c>
      <c r="K209">
        <v>11</v>
      </c>
      <c r="L209">
        <v>1</v>
      </c>
      <c r="M209" t="s">
        <v>640</v>
      </c>
      <c r="N209" t="s">
        <v>640</v>
      </c>
      <c r="O209">
        <v>6.8</v>
      </c>
      <c r="P209">
        <v>5</v>
      </c>
      <c r="Q209">
        <v>-11.8</v>
      </c>
      <c r="R209">
        <v>0.2</v>
      </c>
    </row>
    <row r="210" spans="1:18">
      <c r="A210" s="1" t="s">
        <v>642</v>
      </c>
      <c r="B210" s="6">
        <v>3</v>
      </c>
      <c r="C210" s="6">
        <v>5</v>
      </c>
      <c r="D210" s="6">
        <f t="shared" si="3"/>
        <v>2</v>
      </c>
      <c r="E210" s="1" t="s">
        <v>642</v>
      </c>
      <c r="F210" s="1" t="s">
        <v>643</v>
      </c>
      <c r="G210" s="1" t="s">
        <v>20</v>
      </c>
      <c r="H210" s="1" t="s">
        <v>644</v>
      </c>
      <c r="I210">
        <v>1</v>
      </c>
      <c r="J210">
        <v>3</v>
      </c>
      <c r="K210">
        <v>1</v>
      </c>
      <c r="L210">
        <v>3</v>
      </c>
      <c r="M210" t="s">
        <v>642</v>
      </c>
      <c r="N210" t="s">
        <v>642</v>
      </c>
      <c r="O210">
        <v>0.6</v>
      </c>
      <c r="P210">
        <v>3</v>
      </c>
      <c r="Q210">
        <v>1.2</v>
      </c>
      <c r="R210">
        <v>5</v>
      </c>
    </row>
    <row r="211" spans="1:18">
      <c r="A211" s="1" t="s">
        <v>645</v>
      </c>
      <c r="B211" s="6">
        <v>4</v>
      </c>
      <c r="C211" s="6">
        <v>7.4</v>
      </c>
      <c r="D211" s="6">
        <f t="shared" si="3"/>
        <v>3.4000000000000004</v>
      </c>
      <c r="E211" s="1" t="s">
        <v>645</v>
      </c>
      <c r="F211" s="1" t="s">
        <v>646</v>
      </c>
      <c r="G211" s="1" t="s">
        <v>20</v>
      </c>
      <c r="H211" s="1" t="s">
        <v>647</v>
      </c>
      <c r="I211">
        <v>3</v>
      </c>
      <c r="J211">
        <v>3</v>
      </c>
      <c r="K211">
        <v>2</v>
      </c>
      <c r="L211">
        <v>4</v>
      </c>
      <c r="M211" t="s">
        <v>645</v>
      </c>
      <c r="N211" t="s">
        <v>645</v>
      </c>
      <c r="O211">
        <v>2.8</v>
      </c>
      <c r="P211">
        <v>3</v>
      </c>
      <c r="Q211">
        <v>1.4</v>
      </c>
      <c r="R211">
        <v>7.4</v>
      </c>
    </row>
    <row r="212" spans="1:18">
      <c r="A212" s="1" t="s">
        <v>648</v>
      </c>
      <c r="B212" s="6">
        <v>24</v>
      </c>
      <c r="C212" s="6">
        <v>0</v>
      </c>
      <c r="D212" s="6">
        <f t="shared" si="3"/>
        <v>-24</v>
      </c>
      <c r="E212" s="1" t="s">
        <v>648</v>
      </c>
      <c r="F212" s="1" t="s">
        <v>649</v>
      </c>
      <c r="G212" s="1" t="s">
        <v>20</v>
      </c>
      <c r="H212" s="1" t="s">
        <v>650</v>
      </c>
      <c r="I212">
        <v>24</v>
      </c>
      <c r="J212">
        <v>0</v>
      </c>
      <c r="K212">
        <v>0</v>
      </c>
      <c r="L212">
        <v>24</v>
      </c>
      <c r="M212" t="s">
        <v>648</v>
      </c>
      <c r="N212" t="s">
        <v>648</v>
      </c>
      <c r="O212">
        <v>0</v>
      </c>
      <c r="P212">
        <v>1</v>
      </c>
      <c r="Q212">
        <v>-1</v>
      </c>
      <c r="R212">
        <v>0</v>
      </c>
    </row>
    <row r="213" spans="1:18">
      <c r="A213" s="1" t="s">
        <v>651</v>
      </c>
      <c r="B213" s="6">
        <v>3</v>
      </c>
      <c r="C213" s="6">
        <v>6</v>
      </c>
      <c r="D213" s="6">
        <f t="shared" si="3"/>
        <v>3</v>
      </c>
      <c r="E213" s="1" t="s">
        <v>651</v>
      </c>
      <c r="F213" s="1" t="s">
        <v>652</v>
      </c>
      <c r="G213" s="1" t="s">
        <v>20</v>
      </c>
      <c r="H213" s="1" t="s">
        <v>653</v>
      </c>
      <c r="I213">
        <v>5</v>
      </c>
      <c r="J213">
        <v>0</v>
      </c>
      <c r="K213">
        <v>2</v>
      </c>
      <c r="L213">
        <v>3</v>
      </c>
      <c r="M213" t="s">
        <v>651</v>
      </c>
      <c r="N213" t="s">
        <v>651</v>
      </c>
      <c r="O213">
        <v>4</v>
      </c>
      <c r="P213">
        <v>0</v>
      </c>
      <c r="Q213">
        <v>1</v>
      </c>
      <c r="R213">
        <v>6</v>
      </c>
    </row>
    <row r="214" spans="1:18">
      <c r="A214" s="1" t="s">
        <v>654</v>
      </c>
      <c r="B214" s="6">
        <v>6</v>
      </c>
      <c r="C214" s="6">
        <v>0</v>
      </c>
      <c r="D214" s="6">
        <f t="shared" si="3"/>
        <v>-6</v>
      </c>
      <c r="E214" s="1" t="s">
        <v>654</v>
      </c>
      <c r="F214" s="1" t="s">
        <v>655</v>
      </c>
      <c r="G214" s="1" t="s">
        <v>20</v>
      </c>
      <c r="H214" s="1" t="s">
        <v>656</v>
      </c>
      <c r="I214">
        <v>0</v>
      </c>
      <c r="J214">
        <v>6</v>
      </c>
      <c r="K214">
        <v>0</v>
      </c>
      <c r="L214">
        <v>6</v>
      </c>
      <c r="M214" t="s">
        <v>654</v>
      </c>
      <c r="N214" t="s">
        <v>654</v>
      </c>
      <c r="O214">
        <v>0</v>
      </c>
      <c r="P214">
        <v>9</v>
      </c>
      <c r="Q214">
        <v>-12</v>
      </c>
      <c r="R214">
        <v>0</v>
      </c>
    </row>
    <row r="215" spans="1:18">
      <c r="A215" s="1" t="s">
        <v>657</v>
      </c>
      <c r="B215" s="6">
        <v>2</v>
      </c>
      <c r="C215" s="6">
        <v>0</v>
      </c>
      <c r="D215" s="6">
        <f t="shared" si="3"/>
        <v>-2</v>
      </c>
      <c r="E215" s="1" t="s">
        <v>657</v>
      </c>
      <c r="F215" s="1" t="s">
        <v>658</v>
      </c>
      <c r="G215" s="1" t="s">
        <v>20</v>
      </c>
      <c r="H215" s="1" t="s">
        <v>659</v>
      </c>
      <c r="I215">
        <v>1</v>
      </c>
      <c r="J215">
        <v>1</v>
      </c>
      <c r="K215">
        <v>0</v>
      </c>
      <c r="L215">
        <v>2</v>
      </c>
      <c r="M215" t="s">
        <v>657</v>
      </c>
      <c r="N215" t="s">
        <v>657</v>
      </c>
      <c r="O215">
        <v>0</v>
      </c>
      <c r="P215">
        <v>20</v>
      </c>
      <c r="Q215">
        <v>-21</v>
      </c>
      <c r="R215">
        <v>0</v>
      </c>
    </row>
    <row r="216" spans="1:18">
      <c r="A216" s="1" t="s">
        <v>660</v>
      </c>
      <c r="B216" s="6">
        <v>20</v>
      </c>
      <c r="C216" s="6">
        <v>23</v>
      </c>
      <c r="D216" s="6">
        <f t="shared" si="3"/>
        <v>3</v>
      </c>
      <c r="E216" s="1" t="s">
        <v>660</v>
      </c>
      <c r="F216" s="1" t="s">
        <v>661</v>
      </c>
      <c r="G216" s="1" t="s">
        <v>280</v>
      </c>
      <c r="H216" s="1" t="s">
        <v>662</v>
      </c>
      <c r="I216">
        <v>20</v>
      </c>
      <c r="J216">
        <v>0</v>
      </c>
      <c r="K216">
        <v>0</v>
      </c>
      <c r="L216">
        <v>20</v>
      </c>
      <c r="M216" t="s">
        <v>660</v>
      </c>
      <c r="N216" t="s">
        <v>660</v>
      </c>
      <c r="O216">
        <v>20</v>
      </c>
      <c r="P216">
        <v>0</v>
      </c>
      <c r="Q216">
        <v>3</v>
      </c>
      <c r="R216">
        <v>23</v>
      </c>
    </row>
    <row r="217" spans="1:18">
      <c r="A217" s="1" t="s">
        <v>663</v>
      </c>
      <c r="B217" s="6">
        <v>2</v>
      </c>
      <c r="C217" s="6">
        <v>4</v>
      </c>
      <c r="D217" s="6">
        <f t="shared" si="3"/>
        <v>2</v>
      </c>
      <c r="E217" s="1" t="s">
        <v>663</v>
      </c>
      <c r="F217" s="1" t="s">
        <v>664</v>
      </c>
      <c r="G217" s="1" t="s">
        <v>20</v>
      </c>
      <c r="H217" s="1" t="s">
        <v>665</v>
      </c>
      <c r="I217">
        <v>3</v>
      </c>
      <c r="J217">
        <v>0</v>
      </c>
      <c r="K217">
        <v>1</v>
      </c>
      <c r="L217">
        <v>2</v>
      </c>
      <c r="M217" t="s">
        <v>663</v>
      </c>
      <c r="N217" t="s">
        <v>663</v>
      </c>
      <c r="O217">
        <v>3</v>
      </c>
      <c r="P217">
        <v>0</v>
      </c>
      <c r="Q217">
        <v>1</v>
      </c>
      <c r="R217">
        <v>4</v>
      </c>
    </row>
    <row r="218" spans="1:18">
      <c r="A218" s="1" t="s">
        <v>666</v>
      </c>
      <c r="B218" s="6">
        <v>5</v>
      </c>
      <c r="C218" s="6">
        <v>4.5</v>
      </c>
      <c r="D218" s="6">
        <f t="shared" si="3"/>
        <v>-0.5</v>
      </c>
      <c r="E218" s="1" t="s">
        <v>666</v>
      </c>
      <c r="F218" s="1" t="s">
        <v>667</v>
      </c>
      <c r="G218" s="1" t="s">
        <v>20</v>
      </c>
      <c r="H218" s="1" t="s">
        <v>668</v>
      </c>
      <c r="I218">
        <v>0</v>
      </c>
      <c r="J218">
        <v>13</v>
      </c>
      <c r="K218">
        <v>8</v>
      </c>
      <c r="L218">
        <v>5</v>
      </c>
      <c r="M218" t="s">
        <v>666</v>
      </c>
      <c r="N218" t="s">
        <v>666</v>
      </c>
      <c r="O218">
        <v>0</v>
      </c>
      <c r="P218">
        <v>13</v>
      </c>
      <c r="Q218">
        <v>-8.5</v>
      </c>
      <c r="R218">
        <v>4.5</v>
      </c>
    </row>
    <row r="219" spans="1:18">
      <c r="A219" s="1" t="s">
        <v>669</v>
      </c>
      <c r="B219" s="6">
        <v>207</v>
      </c>
      <c r="C219" s="6">
        <v>207.05</v>
      </c>
      <c r="D219" s="6">
        <f t="shared" si="3"/>
        <v>5.0000000000011369E-2</v>
      </c>
      <c r="E219" s="1" t="s">
        <v>669</v>
      </c>
      <c r="F219" s="1" t="s">
        <v>670</v>
      </c>
      <c r="G219" s="1" t="s">
        <v>172</v>
      </c>
      <c r="H219" s="1" t="s">
        <v>671</v>
      </c>
      <c r="I219">
        <v>897</v>
      </c>
      <c r="J219">
        <v>100</v>
      </c>
      <c r="K219">
        <v>790</v>
      </c>
      <c r="L219">
        <v>207</v>
      </c>
      <c r="M219" t="s">
        <v>669</v>
      </c>
      <c r="N219" t="s">
        <v>669</v>
      </c>
      <c r="O219">
        <v>842.66</v>
      </c>
      <c r="P219">
        <v>100</v>
      </c>
      <c r="Q219">
        <v>-789.96</v>
      </c>
      <c r="R219">
        <v>207.05</v>
      </c>
    </row>
    <row r="220" spans="1:18">
      <c r="A220" s="1" t="s">
        <v>672</v>
      </c>
      <c r="B220" s="6">
        <v>36</v>
      </c>
      <c r="C220" s="6">
        <v>35.75</v>
      </c>
      <c r="D220" s="6">
        <f t="shared" si="3"/>
        <v>-0.25</v>
      </c>
      <c r="E220" s="1" t="s">
        <v>672</v>
      </c>
      <c r="F220" s="1" t="s">
        <v>673</v>
      </c>
      <c r="G220" s="1" t="s">
        <v>172</v>
      </c>
      <c r="H220" s="1" t="s">
        <v>674</v>
      </c>
      <c r="I220">
        <v>0</v>
      </c>
      <c r="J220">
        <v>50</v>
      </c>
      <c r="K220">
        <v>14</v>
      </c>
      <c r="L220">
        <v>36</v>
      </c>
      <c r="M220" t="s">
        <v>672</v>
      </c>
      <c r="N220" t="s">
        <v>672</v>
      </c>
      <c r="O220">
        <v>0</v>
      </c>
      <c r="P220">
        <v>50</v>
      </c>
      <c r="Q220">
        <v>-14.25</v>
      </c>
      <c r="R220">
        <v>35.75</v>
      </c>
    </row>
    <row r="221" spans="1:18">
      <c r="A221" s="1" t="s">
        <v>675</v>
      </c>
      <c r="B221" s="6">
        <v>75745</v>
      </c>
      <c r="C221" s="6">
        <v>66545</v>
      </c>
      <c r="D221" s="6">
        <f t="shared" si="3"/>
        <v>-9200</v>
      </c>
      <c r="E221" s="1" t="s">
        <v>675</v>
      </c>
      <c r="F221" s="1" t="s">
        <v>676</v>
      </c>
      <c r="G221" s="1" t="s">
        <v>20</v>
      </c>
      <c r="H221" s="1" t="s">
        <v>677</v>
      </c>
      <c r="I221">
        <v>145095</v>
      </c>
      <c r="J221">
        <v>100000</v>
      </c>
      <c r="K221">
        <v>169350</v>
      </c>
      <c r="L221">
        <v>75745</v>
      </c>
      <c r="M221" t="s">
        <v>675</v>
      </c>
      <c r="N221" t="s">
        <v>675</v>
      </c>
      <c r="O221">
        <v>120804</v>
      </c>
      <c r="P221">
        <v>100000</v>
      </c>
      <c r="Q221">
        <v>-178550</v>
      </c>
      <c r="R221">
        <v>66545</v>
      </c>
    </row>
    <row r="222" spans="1:18">
      <c r="A222" s="1" t="s">
        <v>678</v>
      </c>
      <c r="B222" s="6">
        <v>1</v>
      </c>
      <c r="C222" s="6">
        <v>0</v>
      </c>
      <c r="D222" s="6">
        <f t="shared" si="3"/>
        <v>-1</v>
      </c>
      <c r="E222" s="1" t="s">
        <v>678</v>
      </c>
      <c r="F222" s="1" t="s">
        <v>679</v>
      </c>
      <c r="G222" s="1" t="s">
        <v>20</v>
      </c>
      <c r="H222" s="1" t="s">
        <v>680</v>
      </c>
      <c r="I222">
        <v>1</v>
      </c>
      <c r="J222">
        <v>0</v>
      </c>
      <c r="K222">
        <v>0</v>
      </c>
      <c r="L222">
        <v>1</v>
      </c>
      <c r="M222" t="s">
        <v>678</v>
      </c>
      <c r="N222" t="s">
        <v>678</v>
      </c>
      <c r="O222">
        <v>0.48</v>
      </c>
      <c r="P222">
        <v>0</v>
      </c>
      <c r="Q222">
        <v>-0.6</v>
      </c>
      <c r="R222">
        <v>0</v>
      </c>
    </row>
    <row r="223" spans="1:18">
      <c r="A223" s="1" t="s">
        <v>681</v>
      </c>
      <c r="B223" s="6">
        <v>6</v>
      </c>
      <c r="C223" s="6">
        <v>17</v>
      </c>
      <c r="D223" s="6">
        <f t="shared" si="3"/>
        <v>11</v>
      </c>
      <c r="E223" s="1" t="s">
        <v>681</v>
      </c>
      <c r="F223" s="1" t="s">
        <v>682</v>
      </c>
      <c r="G223" s="1" t="s">
        <v>77</v>
      </c>
      <c r="H223" s="1" t="s">
        <v>683</v>
      </c>
      <c r="I223">
        <v>106</v>
      </c>
      <c r="J223">
        <v>0</v>
      </c>
      <c r="K223">
        <v>100</v>
      </c>
      <c r="L223">
        <v>6</v>
      </c>
      <c r="M223" t="s">
        <v>681</v>
      </c>
      <c r="N223" t="s">
        <v>681</v>
      </c>
      <c r="O223">
        <v>10.33</v>
      </c>
      <c r="P223">
        <v>0</v>
      </c>
      <c r="Q223">
        <v>-89.1</v>
      </c>
      <c r="R223">
        <v>17</v>
      </c>
    </row>
    <row r="224" spans="1:18">
      <c r="A224" s="1" t="s">
        <v>684</v>
      </c>
      <c r="B224" s="6">
        <v>3</v>
      </c>
      <c r="C224" s="6">
        <v>1</v>
      </c>
      <c r="D224" s="6">
        <f t="shared" si="3"/>
        <v>-2</v>
      </c>
      <c r="E224" s="1" t="s">
        <v>684</v>
      </c>
      <c r="F224" s="1" t="s">
        <v>685</v>
      </c>
      <c r="G224" s="1" t="s">
        <v>20</v>
      </c>
      <c r="H224" s="1" t="s">
        <v>686</v>
      </c>
      <c r="I224">
        <v>3</v>
      </c>
      <c r="J224">
        <v>0</v>
      </c>
      <c r="K224">
        <v>0</v>
      </c>
      <c r="L224">
        <v>3</v>
      </c>
      <c r="M224" t="s">
        <v>684</v>
      </c>
      <c r="N224" t="s">
        <v>684</v>
      </c>
      <c r="O224">
        <v>1.22</v>
      </c>
      <c r="P224">
        <v>1</v>
      </c>
      <c r="Q224">
        <v>-3</v>
      </c>
      <c r="R224">
        <v>1</v>
      </c>
    </row>
    <row r="225" spans="1:18">
      <c r="A225" s="1" t="s">
        <v>687</v>
      </c>
      <c r="B225" s="6">
        <v>791</v>
      </c>
      <c r="C225" s="6">
        <v>791.29</v>
      </c>
      <c r="D225" s="6">
        <f t="shared" si="3"/>
        <v>0.28999999999996362</v>
      </c>
      <c r="E225" s="1" t="s">
        <v>687</v>
      </c>
      <c r="F225" s="1" t="s">
        <v>688</v>
      </c>
      <c r="G225" s="1" t="s">
        <v>172</v>
      </c>
      <c r="H225" s="1" t="s">
        <v>689</v>
      </c>
      <c r="I225">
        <v>1000</v>
      </c>
      <c r="J225">
        <v>5</v>
      </c>
      <c r="K225">
        <v>214</v>
      </c>
      <c r="L225">
        <v>791</v>
      </c>
      <c r="M225" t="s">
        <v>687</v>
      </c>
      <c r="N225" t="s">
        <v>687</v>
      </c>
      <c r="O225">
        <v>916.72</v>
      </c>
      <c r="P225">
        <v>5</v>
      </c>
      <c r="Q225">
        <v>-213.71</v>
      </c>
      <c r="R225">
        <v>791.29</v>
      </c>
    </row>
    <row r="226" spans="1:18">
      <c r="A226" s="1" t="s">
        <v>690</v>
      </c>
      <c r="B226" s="6">
        <v>7904</v>
      </c>
      <c r="C226" s="6">
        <v>2</v>
      </c>
      <c r="D226" s="6">
        <f t="shared" si="3"/>
        <v>-7902</v>
      </c>
      <c r="E226" s="1" t="s">
        <v>690</v>
      </c>
      <c r="F226" s="1" t="s">
        <v>691</v>
      </c>
      <c r="G226" s="1" t="s">
        <v>20</v>
      </c>
      <c r="H226" s="1" t="s">
        <v>692</v>
      </c>
      <c r="I226">
        <v>0</v>
      </c>
      <c r="J226">
        <v>7904</v>
      </c>
      <c r="K226">
        <v>0</v>
      </c>
      <c r="L226">
        <v>7904</v>
      </c>
      <c r="M226" t="s">
        <v>690</v>
      </c>
      <c r="N226" t="s">
        <v>690</v>
      </c>
      <c r="O226">
        <v>0</v>
      </c>
      <c r="P226">
        <v>4</v>
      </c>
      <c r="Q226">
        <v>-2</v>
      </c>
      <c r="R226">
        <v>2</v>
      </c>
    </row>
    <row r="227" spans="1:18">
      <c r="A227" s="1" t="s">
        <v>693</v>
      </c>
      <c r="B227" s="6">
        <v>1</v>
      </c>
      <c r="C227" s="6">
        <v>0.9</v>
      </c>
      <c r="D227" s="6">
        <f t="shared" si="3"/>
        <v>-9.9999999999999978E-2</v>
      </c>
      <c r="E227" s="1" t="s">
        <v>693</v>
      </c>
      <c r="F227" s="1" t="s">
        <v>694</v>
      </c>
      <c r="G227" s="1" t="s">
        <v>20</v>
      </c>
      <c r="H227" s="1" t="s">
        <v>695</v>
      </c>
      <c r="I227">
        <v>1</v>
      </c>
      <c r="J227">
        <v>0</v>
      </c>
      <c r="K227">
        <v>0</v>
      </c>
      <c r="L227">
        <v>1</v>
      </c>
      <c r="M227" t="s">
        <v>693</v>
      </c>
      <c r="N227" t="s">
        <v>693</v>
      </c>
      <c r="O227">
        <v>0.61</v>
      </c>
      <c r="P227">
        <v>0</v>
      </c>
      <c r="Q227">
        <v>0.06</v>
      </c>
      <c r="R227">
        <v>0.9</v>
      </c>
    </row>
    <row r="228" spans="1:18">
      <c r="A228" s="1" t="s">
        <v>696</v>
      </c>
      <c r="B228" s="6">
        <v>44</v>
      </c>
      <c r="C228" s="6">
        <v>31</v>
      </c>
      <c r="D228" s="6">
        <f t="shared" si="3"/>
        <v>-13</v>
      </c>
      <c r="E228" s="1" t="s">
        <v>696</v>
      </c>
      <c r="F228" s="1" t="s">
        <v>697</v>
      </c>
      <c r="G228" s="1" t="s">
        <v>20</v>
      </c>
      <c r="H228" s="1" t="s">
        <v>698</v>
      </c>
      <c r="I228">
        <v>44</v>
      </c>
      <c r="J228">
        <v>0</v>
      </c>
      <c r="K228">
        <v>0</v>
      </c>
      <c r="L228">
        <v>44</v>
      </c>
      <c r="M228" t="s">
        <v>696</v>
      </c>
      <c r="N228" t="s">
        <v>696</v>
      </c>
      <c r="O228">
        <v>43</v>
      </c>
      <c r="P228">
        <v>120</v>
      </c>
      <c r="Q228">
        <v>-133</v>
      </c>
      <c r="R228">
        <v>31</v>
      </c>
    </row>
    <row r="229" spans="1:18">
      <c r="A229" s="1" t="s">
        <v>699</v>
      </c>
      <c r="B229" s="6">
        <v>126</v>
      </c>
      <c r="C229" s="6">
        <v>0</v>
      </c>
      <c r="D229" s="6">
        <f t="shared" si="3"/>
        <v>-126</v>
      </c>
      <c r="E229" s="1" t="s">
        <v>699</v>
      </c>
      <c r="F229" s="1" t="s">
        <v>700</v>
      </c>
      <c r="G229" s="1" t="s">
        <v>20</v>
      </c>
      <c r="H229" s="1" t="s">
        <v>701</v>
      </c>
      <c r="I229">
        <v>16</v>
      </c>
      <c r="J229">
        <v>110</v>
      </c>
      <c r="K229">
        <v>0</v>
      </c>
      <c r="L229">
        <v>126</v>
      </c>
      <c r="M229" t="s">
        <v>699</v>
      </c>
      <c r="N229" t="s">
        <v>699</v>
      </c>
      <c r="O229">
        <v>7</v>
      </c>
      <c r="P229">
        <v>110</v>
      </c>
      <c r="Q229">
        <v>-126</v>
      </c>
      <c r="R229">
        <v>0</v>
      </c>
    </row>
    <row r="230" spans="1:18">
      <c r="A230" s="1" t="s">
        <v>702</v>
      </c>
      <c r="B230" s="6">
        <v>0</v>
      </c>
      <c r="C230" s="6">
        <v>11</v>
      </c>
      <c r="D230" s="6">
        <f t="shared" si="3"/>
        <v>11</v>
      </c>
      <c r="E230" s="1" t="s">
        <v>702</v>
      </c>
      <c r="F230" s="1" t="s">
        <v>703</v>
      </c>
      <c r="G230" s="1" t="s">
        <v>77</v>
      </c>
      <c r="H230" s="1" t="s">
        <v>704</v>
      </c>
      <c r="I230">
        <v>2</v>
      </c>
      <c r="J230">
        <v>110</v>
      </c>
      <c r="K230">
        <v>112</v>
      </c>
      <c r="L230">
        <v>0</v>
      </c>
      <c r="M230" t="s">
        <v>702</v>
      </c>
      <c r="N230" t="s">
        <v>702</v>
      </c>
      <c r="O230">
        <v>63.24</v>
      </c>
      <c r="P230">
        <v>360</v>
      </c>
      <c r="Q230">
        <v>-351</v>
      </c>
      <c r="R230">
        <v>11</v>
      </c>
    </row>
    <row r="231" spans="1:18">
      <c r="A231" s="1" t="s">
        <v>705</v>
      </c>
      <c r="B231" s="6">
        <v>71</v>
      </c>
      <c r="C231" s="6">
        <v>70.8</v>
      </c>
      <c r="D231" s="6">
        <f t="shared" si="3"/>
        <v>-0.20000000000000284</v>
      </c>
      <c r="E231" s="1" t="s">
        <v>705</v>
      </c>
      <c r="F231" s="1" t="s">
        <v>706</v>
      </c>
      <c r="G231" s="1" t="s">
        <v>77</v>
      </c>
      <c r="H231" s="1" t="s">
        <v>707</v>
      </c>
      <c r="I231">
        <v>14</v>
      </c>
      <c r="J231">
        <v>295</v>
      </c>
      <c r="K231">
        <v>238</v>
      </c>
      <c r="L231">
        <v>71</v>
      </c>
      <c r="M231" t="s">
        <v>705</v>
      </c>
      <c r="N231" t="s">
        <v>705</v>
      </c>
      <c r="O231">
        <v>38</v>
      </c>
      <c r="P231">
        <v>570</v>
      </c>
      <c r="Q231">
        <v>-513.20000000000005</v>
      </c>
      <c r="R231">
        <v>70.8</v>
      </c>
    </row>
    <row r="232" spans="1:18">
      <c r="A232" s="1" t="s">
        <v>705</v>
      </c>
      <c r="B232" s="6">
        <v>275</v>
      </c>
      <c r="C232" s="6">
        <v>70.8</v>
      </c>
      <c r="D232" s="6">
        <f t="shared" si="3"/>
        <v>-204.2</v>
      </c>
      <c r="E232" s="1" t="s">
        <v>705</v>
      </c>
      <c r="F232" s="1" t="s">
        <v>708</v>
      </c>
      <c r="G232" s="1" t="s">
        <v>77</v>
      </c>
      <c r="H232" s="1" t="s">
        <v>709</v>
      </c>
      <c r="I232">
        <v>0</v>
      </c>
      <c r="J232">
        <v>275</v>
      </c>
      <c r="K232">
        <v>0</v>
      </c>
      <c r="L232">
        <v>275</v>
      </c>
      <c r="M232" t="s">
        <v>705</v>
      </c>
      <c r="N232" t="s">
        <v>705</v>
      </c>
      <c r="O232">
        <v>38</v>
      </c>
      <c r="P232">
        <v>570</v>
      </c>
      <c r="Q232">
        <v>-513.20000000000005</v>
      </c>
      <c r="R232">
        <v>70.8</v>
      </c>
    </row>
    <row r="233" spans="1:18">
      <c r="A233" s="1" t="s">
        <v>710</v>
      </c>
      <c r="B233" s="6">
        <v>187</v>
      </c>
      <c r="C233" s="6">
        <v>65.400000000000006</v>
      </c>
      <c r="D233" s="6">
        <f t="shared" si="3"/>
        <v>-121.6</v>
      </c>
      <c r="E233" s="1" t="s">
        <v>710</v>
      </c>
      <c r="F233" s="1" t="s">
        <v>711</v>
      </c>
      <c r="G233" s="1" t="s">
        <v>77</v>
      </c>
      <c r="H233" s="1" t="s">
        <v>712</v>
      </c>
      <c r="I233">
        <v>22</v>
      </c>
      <c r="J233">
        <v>165</v>
      </c>
      <c r="K233">
        <v>0</v>
      </c>
      <c r="L233">
        <v>187</v>
      </c>
      <c r="M233" t="s">
        <v>710</v>
      </c>
      <c r="N233" t="s">
        <v>710</v>
      </c>
      <c r="O233">
        <v>12</v>
      </c>
      <c r="P233">
        <v>165</v>
      </c>
      <c r="Q233">
        <v>-121.9</v>
      </c>
      <c r="R233">
        <v>65.400000000000006</v>
      </c>
    </row>
    <row r="234" spans="1:18">
      <c r="A234" s="1" t="s">
        <v>713</v>
      </c>
      <c r="B234" s="6">
        <v>4</v>
      </c>
      <c r="C234" s="6">
        <v>3.6</v>
      </c>
      <c r="D234" s="6">
        <f t="shared" si="3"/>
        <v>-0.39999999999999991</v>
      </c>
      <c r="E234" s="1" t="s">
        <v>713</v>
      </c>
      <c r="F234" s="1" t="s">
        <v>714</v>
      </c>
      <c r="G234" s="1" t="s">
        <v>77</v>
      </c>
      <c r="H234" s="1" t="s">
        <v>715</v>
      </c>
      <c r="I234">
        <v>11</v>
      </c>
      <c r="J234">
        <v>5</v>
      </c>
      <c r="K234">
        <v>12</v>
      </c>
      <c r="L234">
        <v>4</v>
      </c>
      <c r="M234" t="s">
        <v>713</v>
      </c>
      <c r="N234" t="s">
        <v>713</v>
      </c>
      <c r="O234">
        <v>1</v>
      </c>
      <c r="P234">
        <v>5</v>
      </c>
      <c r="Q234">
        <v>-12.15</v>
      </c>
      <c r="R234">
        <v>3.6</v>
      </c>
    </row>
    <row r="235" spans="1:18">
      <c r="A235" s="1" t="s">
        <v>716</v>
      </c>
      <c r="B235" s="6">
        <v>1</v>
      </c>
      <c r="C235" s="6">
        <v>5</v>
      </c>
      <c r="D235" s="6">
        <f t="shared" si="3"/>
        <v>4</v>
      </c>
      <c r="E235" s="1" t="s">
        <v>716</v>
      </c>
      <c r="F235" s="1" t="s">
        <v>717</v>
      </c>
      <c r="G235" s="1" t="s">
        <v>77</v>
      </c>
      <c r="H235" s="1" t="s">
        <v>718</v>
      </c>
      <c r="I235">
        <v>0</v>
      </c>
      <c r="J235">
        <v>1</v>
      </c>
      <c r="K235">
        <v>0</v>
      </c>
      <c r="L235">
        <v>1</v>
      </c>
      <c r="M235" t="s">
        <v>716</v>
      </c>
      <c r="N235" t="s">
        <v>716</v>
      </c>
      <c r="O235">
        <v>15</v>
      </c>
      <c r="P235">
        <v>0</v>
      </c>
      <c r="Q235">
        <v>-94</v>
      </c>
      <c r="R235">
        <v>5</v>
      </c>
    </row>
    <row r="236" spans="1:18">
      <c r="A236" s="1" t="s">
        <v>719</v>
      </c>
      <c r="B236" s="6">
        <v>2</v>
      </c>
      <c r="C236" s="6">
        <v>4</v>
      </c>
      <c r="D236" s="6">
        <f t="shared" si="3"/>
        <v>2</v>
      </c>
      <c r="E236" s="1" t="s">
        <v>719</v>
      </c>
      <c r="F236" s="1" t="s">
        <v>720</v>
      </c>
      <c r="G236" s="1" t="s">
        <v>20</v>
      </c>
      <c r="H236" s="1" t="s">
        <v>721</v>
      </c>
      <c r="I236">
        <v>0</v>
      </c>
      <c r="J236">
        <v>2</v>
      </c>
      <c r="K236">
        <v>0</v>
      </c>
      <c r="L236">
        <v>2</v>
      </c>
      <c r="M236" t="s">
        <v>719</v>
      </c>
      <c r="N236" t="s">
        <v>719</v>
      </c>
      <c r="O236">
        <v>2</v>
      </c>
      <c r="P236">
        <v>2</v>
      </c>
      <c r="Q236">
        <v>2</v>
      </c>
      <c r="R236">
        <v>4</v>
      </c>
    </row>
    <row r="237" spans="1:18">
      <c r="A237" s="1" t="s">
        <v>722</v>
      </c>
      <c r="B237" s="6">
        <v>3</v>
      </c>
      <c r="C237" s="6">
        <v>8</v>
      </c>
      <c r="D237" s="6">
        <f t="shared" si="3"/>
        <v>5</v>
      </c>
      <c r="E237" s="1" t="s">
        <v>723</v>
      </c>
      <c r="F237" s="1" t="s">
        <v>724</v>
      </c>
      <c r="G237" s="1" t="s">
        <v>20</v>
      </c>
      <c r="H237" s="1" t="s">
        <v>725</v>
      </c>
      <c r="I237">
        <v>3</v>
      </c>
      <c r="J237">
        <v>0</v>
      </c>
      <c r="K237">
        <v>0</v>
      </c>
      <c r="L237">
        <v>3</v>
      </c>
      <c r="M237" t="s">
        <v>722</v>
      </c>
      <c r="N237" t="s">
        <v>723</v>
      </c>
      <c r="O237">
        <v>2</v>
      </c>
      <c r="P237">
        <v>0</v>
      </c>
      <c r="Q237">
        <v>5</v>
      </c>
      <c r="R237">
        <v>8</v>
      </c>
    </row>
    <row r="238" spans="1:18">
      <c r="A238" s="1" t="s">
        <v>726</v>
      </c>
      <c r="B238" s="6">
        <v>13</v>
      </c>
      <c r="C238" s="6">
        <v>4</v>
      </c>
      <c r="D238" s="6">
        <f t="shared" si="3"/>
        <v>-9</v>
      </c>
      <c r="E238" s="1" t="s">
        <v>726</v>
      </c>
      <c r="F238" s="1" t="s">
        <v>727</v>
      </c>
      <c r="G238" s="1" t="s">
        <v>20</v>
      </c>
      <c r="H238" s="1" t="s">
        <v>728</v>
      </c>
      <c r="I238">
        <v>13</v>
      </c>
      <c r="J238">
        <v>0</v>
      </c>
      <c r="K238">
        <v>0</v>
      </c>
      <c r="L238">
        <v>13</v>
      </c>
      <c r="M238" t="s">
        <v>726</v>
      </c>
      <c r="N238" t="s">
        <v>726</v>
      </c>
      <c r="O238">
        <v>0</v>
      </c>
      <c r="P238">
        <v>33</v>
      </c>
      <c r="Q238">
        <v>-42</v>
      </c>
      <c r="R238">
        <v>4</v>
      </c>
    </row>
    <row r="239" spans="1:18">
      <c r="A239" s="1" t="s">
        <v>729</v>
      </c>
      <c r="B239" s="6">
        <v>4</v>
      </c>
      <c r="C239" s="6">
        <v>0</v>
      </c>
      <c r="D239" s="6">
        <f t="shared" si="3"/>
        <v>-4</v>
      </c>
      <c r="E239" s="1" t="s">
        <v>729</v>
      </c>
      <c r="F239" s="1" t="s">
        <v>730</v>
      </c>
      <c r="G239" s="1" t="s">
        <v>20</v>
      </c>
      <c r="H239" s="1" t="s">
        <v>731</v>
      </c>
      <c r="I239">
        <v>4</v>
      </c>
      <c r="J239">
        <v>0</v>
      </c>
      <c r="K239">
        <v>0</v>
      </c>
      <c r="L239">
        <v>4</v>
      </c>
      <c r="M239" t="s">
        <v>729</v>
      </c>
      <c r="N239" t="s">
        <v>729</v>
      </c>
      <c r="O239">
        <v>0</v>
      </c>
      <c r="P239">
        <v>0</v>
      </c>
      <c r="Q239">
        <v>-4</v>
      </c>
      <c r="R239">
        <v>0</v>
      </c>
    </row>
    <row r="240" spans="1:18">
      <c r="A240" s="1" t="s">
        <v>732</v>
      </c>
      <c r="B240" s="6">
        <v>117</v>
      </c>
      <c r="C240" s="6">
        <v>1</v>
      </c>
      <c r="D240" s="6">
        <f t="shared" si="3"/>
        <v>-116</v>
      </c>
      <c r="E240" s="1" t="s">
        <v>732</v>
      </c>
      <c r="F240" s="1" t="s">
        <v>733</v>
      </c>
      <c r="G240" s="1" t="s">
        <v>20</v>
      </c>
      <c r="H240" s="1" t="s">
        <v>734</v>
      </c>
      <c r="I240">
        <v>67</v>
      </c>
      <c r="J240">
        <v>50</v>
      </c>
      <c r="K240">
        <v>0</v>
      </c>
      <c r="L240">
        <v>117</v>
      </c>
      <c r="M240" t="s">
        <v>732</v>
      </c>
      <c r="N240" t="s">
        <v>732</v>
      </c>
      <c r="O240">
        <v>2</v>
      </c>
      <c r="P240">
        <v>50</v>
      </c>
      <c r="Q240">
        <v>-116</v>
      </c>
      <c r="R240">
        <v>1</v>
      </c>
    </row>
    <row r="241" spans="1:18">
      <c r="A241" s="1" t="s">
        <v>735</v>
      </c>
      <c r="B241" s="6">
        <v>3</v>
      </c>
      <c r="C241" s="6">
        <v>2.75</v>
      </c>
      <c r="D241" s="6">
        <f t="shared" si="3"/>
        <v>-0.25</v>
      </c>
      <c r="E241" s="1" t="s">
        <v>735</v>
      </c>
      <c r="F241" s="1" t="s">
        <v>736</v>
      </c>
      <c r="G241" s="1" t="s">
        <v>280</v>
      </c>
      <c r="H241" s="1" t="s">
        <v>737</v>
      </c>
      <c r="I241">
        <v>0</v>
      </c>
      <c r="J241">
        <v>7</v>
      </c>
      <c r="K241">
        <v>4</v>
      </c>
      <c r="L241">
        <v>3</v>
      </c>
      <c r="M241" t="s">
        <v>735</v>
      </c>
      <c r="N241" t="s">
        <v>735</v>
      </c>
      <c r="O241">
        <v>0</v>
      </c>
      <c r="P241">
        <v>7</v>
      </c>
      <c r="Q241">
        <v>-4.25</v>
      </c>
      <c r="R241">
        <v>2.75</v>
      </c>
    </row>
    <row r="242" spans="1:18">
      <c r="A242" s="1" t="s">
        <v>738</v>
      </c>
      <c r="B242" s="6">
        <v>6</v>
      </c>
      <c r="C242" s="6">
        <v>6.4</v>
      </c>
      <c r="D242" s="6">
        <f t="shared" si="3"/>
        <v>0.40000000000000036</v>
      </c>
      <c r="E242" s="1" t="s">
        <v>738</v>
      </c>
      <c r="F242" s="1" t="s">
        <v>739</v>
      </c>
      <c r="G242" s="1" t="s">
        <v>20</v>
      </c>
      <c r="H242" s="1" t="s">
        <v>740</v>
      </c>
      <c r="I242">
        <v>0</v>
      </c>
      <c r="J242">
        <v>22</v>
      </c>
      <c r="K242">
        <v>16</v>
      </c>
      <c r="L242">
        <v>6</v>
      </c>
      <c r="M242" t="s">
        <v>738</v>
      </c>
      <c r="N242" t="s">
        <v>738</v>
      </c>
      <c r="O242">
        <v>13.7</v>
      </c>
      <c r="P242">
        <v>22</v>
      </c>
      <c r="Q242">
        <v>-15.6</v>
      </c>
      <c r="R242">
        <v>6.4</v>
      </c>
    </row>
    <row r="243" spans="1:18">
      <c r="A243" s="1" t="s">
        <v>741</v>
      </c>
      <c r="B243" s="6">
        <v>54</v>
      </c>
      <c r="C243" s="6">
        <v>56</v>
      </c>
      <c r="D243" s="6">
        <f t="shared" si="3"/>
        <v>2</v>
      </c>
      <c r="E243" s="1" t="s">
        <v>741</v>
      </c>
      <c r="F243" s="1" t="s">
        <v>742</v>
      </c>
      <c r="G243" s="1" t="s">
        <v>280</v>
      </c>
      <c r="H243" s="1" t="s">
        <v>743</v>
      </c>
      <c r="I243">
        <v>54</v>
      </c>
      <c r="J243">
        <v>0</v>
      </c>
      <c r="K243">
        <v>0</v>
      </c>
      <c r="L243">
        <v>54</v>
      </c>
      <c r="M243" t="s">
        <v>741</v>
      </c>
      <c r="N243" t="s">
        <v>741</v>
      </c>
      <c r="O243">
        <v>54</v>
      </c>
      <c r="P243">
        <v>0</v>
      </c>
      <c r="Q243">
        <v>2</v>
      </c>
      <c r="R243">
        <v>56</v>
      </c>
    </row>
    <row r="244" spans="1:18">
      <c r="A244" s="1" t="s">
        <v>744</v>
      </c>
      <c r="B244" s="6">
        <v>186</v>
      </c>
      <c r="C244" s="6">
        <v>59</v>
      </c>
      <c r="D244" s="6">
        <f t="shared" si="3"/>
        <v>-127</v>
      </c>
      <c r="E244" s="1" t="s">
        <v>744</v>
      </c>
      <c r="F244" s="1" t="s">
        <v>745</v>
      </c>
      <c r="G244" s="1" t="s">
        <v>280</v>
      </c>
      <c r="H244" s="1" t="s">
        <v>746</v>
      </c>
      <c r="I244">
        <v>86</v>
      </c>
      <c r="J244">
        <v>100</v>
      </c>
      <c r="K244">
        <v>0</v>
      </c>
      <c r="L244">
        <v>186</v>
      </c>
      <c r="M244" t="s">
        <v>744</v>
      </c>
      <c r="N244" t="s">
        <v>744</v>
      </c>
      <c r="O244">
        <v>141</v>
      </c>
      <c r="P244">
        <v>100</v>
      </c>
      <c r="Q244">
        <v>-127</v>
      </c>
      <c r="R244">
        <v>59</v>
      </c>
    </row>
    <row r="245" spans="1:18">
      <c r="A245" s="1" t="s">
        <v>747</v>
      </c>
      <c r="B245" s="6">
        <v>370</v>
      </c>
      <c r="C245" s="6">
        <v>30</v>
      </c>
      <c r="D245" s="6">
        <f t="shared" si="3"/>
        <v>-340</v>
      </c>
      <c r="E245" s="1" t="s">
        <v>747</v>
      </c>
      <c r="F245" s="1" t="s">
        <v>748</v>
      </c>
      <c r="G245" s="1" t="s">
        <v>20</v>
      </c>
      <c r="H245" s="1" t="s">
        <v>749</v>
      </c>
      <c r="I245">
        <v>220</v>
      </c>
      <c r="J245">
        <v>150</v>
      </c>
      <c r="K245">
        <v>0</v>
      </c>
      <c r="L245">
        <v>370</v>
      </c>
      <c r="M245" t="s">
        <v>747</v>
      </c>
      <c r="N245" t="s">
        <v>747</v>
      </c>
      <c r="O245">
        <v>110</v>
      </c>
      <c r="P245">
        <v>230</v>
      </c>
      <c r="Q245">
        <v>-420</v>
      </c>
      <c r="R245">
        <v>30</v>
      </c>
    </row>
    <row r="246" spans="1:18">
      <c r="A246" s="1" t="s">
        <v>750</v>
      </c>
      <c r="B246" s="6">
        <v>11</v>
      </c>
      <c r="C246" s="6">
        <v>26</v>
      </c>
      <c r="D246" s="6">
        <f t="shared" si="3"/>
        <v>15</v>
      </c>
      <c r="E246" s="1" t="s">
        <v>750</v>
      </c>
      <c r="F246" s="1" t="s">
        <v>751</v>
      </c>
      <c r="G246" s="1" t="s">
        <v>20</v>
      </c>
      <c r="H246" s="1" t="s">
        <v>365</v>
      </c>
      <c r="I246">
        <v>11</v>
      </c>
      <c r="J246">
        <v>0</v>
      </c>
      <c r="K246">
        <v>0</v>
      </c>
      <c r="L246">
        <v>11</v>
      </c>
      <c r="M246" t="s">
        <v>750</v>
      </c>
      <c r="N246" t="s">
        <v>750</v>
      </c>
      <c r="O246">
        <v>111</v>
      </c>
      <c r="P246">
        <v>240</v>
      </c>
      <c r="Q246">
        <v>-225</v>
      </c>
      <c r="R246">
        <v>26</v>
      </c>
    </row>
    <row r="247" spans="1:18">
      <c r="A247" s="1" t="s">
        <v>752</v>
      </c>
      <c r="B247" s="6">
        <v>15</v>
      </c>
      <c r="C247" s="6">
        <v>40</v>
      </c>
      <c r="D247" s="6">
        <f t="shared" si="3"/>
        <v>25</v>
      </c>
      <c r="E247" s="1" t="s">
        <v>752</v>
      </c>
      <c r="F247" s="1" t="s">
        <v>753</v>
      </c>
      <c r="G247" s="1" t="s">
        <v>20</v>
      </c>
      <c r="H247" s="1" t="s">
        <v>754</v>
      </c>
      <c r="I247">
        <v>15</v>
      </c>
      <c r="J247">
        <v>0</v>
      </c>
      <c r="K247">
        <v>0</v>
      </c>
      <c r="L247">
        <v>15</v>
      </c>
      <c r="M247" t="s">
        <v>752</v>
      </c>
      <c r="N247" t="s">
        <v>752</v>
      </c>
      <c r="O247">
        <v>67</v>
      </c>
      <c r="P247">
        <v>170</v>
      </c>
      <c r="Q247">
        <v>-145</v>
      </c>
      <c r="R247">
        <v>40</v>
      </c>
    </row>
    <row r="248" spans="1:18">
      <c r="A248" s="1" t="s">
        <v>755</v>
      </c>
      <c r="B248" s="6">
        <v>0</v>
      </c>
      <c r="C248" s="6">
        <v>1</v>
      </c>
      <c r="D248" s="6">
        <f t="shared" si="3"/>
        <v>1</v>
      </c>
      <c r="E248" s="1" t="s">
        <v>755</v>
      </c>
      <c r="F248" s="1" t="s">
        <v>756</v>
      </c>
      <c r="G248" s="1" t="s">
        <v>20</v>
      </c>
      <c r="H248" s="1" t="s">
        <v>757</v>
      </c>
      <c r="I248">
        <v>43</v>
      </c>
      <c r="J248">
        <v>0</v>
      </c>
      <c r="K248">
        <v>43</v>
      </c>
      <c r="L248">
        <v>0</v>
      </c>
      <c r="M248" t="s">
        <v>755</v>
      </c>
      <c r="N248" t="s">
        <v>755</v>
      </c>
      <c r="O248">
        <v>12</v>
      </c>
      <c r="P248">
        <v>76</v>
      </c>
      <c r="Q248">
        <v>-118</v>
      </c>
      <c r="R248">
        <v>1</v>
      </c>
    </row>
    <row r="249" spans="1:18">
      <c r="A249" s="1" t="s">
        <v>758</v>
      </c>
      <c r="B249" s="6">
        <v>125</v>
      </c>
      <c r="C249" s="6">
        <v>1</v>
      </c>
      <c r="D249" s="6">
        <f t="shared" si="3"/>
        <v>-124</v>
      </c>
      <c r="E249" s="1" t="s">
        <v>758</v>
      </c>
      <c r="F249" s="1" t="s">
        <v>759</v>
      </c>
      <c r="G249" s="1" t="s">
        <v>20</v>
      </c>
      <c r="H249" s="1" t="s">
        <v>760</v>
      </c>
      <c r="I249">
        <v>0</v>
      </c>
      <c r="J249">
        <v>125</v>
      </c>
      <c r="K249">
        <v>0</v>
      </c>
      <c r="L249">
        <v>125</v>
      </c>
      <c r="M249" t="s">
        <v>758</v>
      </c>
      <c r="N249" t="s">
        <v>758</v>
      </c>
      <c r="O249">
        <v>0</v>
      </c>
      <c r="P249">
        <v>125</v>
      </c>
      <c r="Q249">
        <v>-124</v>
      </c>
      <c r="R249">
        <v>1</v>
      </c>
    </row>
    <row r="250" spans="1:18">
      <c r="A250" s="1" t="s">
        <v>761</v>
      </c>
      <c r="B250" s="6">
        <v>4770</v>
      </c>
      <c r="C250" s="6">
        <v>3523</v>
      </c>
      <c r="D250" s="6">
        <f t="shared" si="3"/>
        <v>-1247</v>
      </c>
      <c r="E250" s="1" t="s">
        <v>761</v>
      </c>
      <c r="F250" s="1" t="s">
        <v>762</v>
      </c>
      <c r="G250" s="1" t="s">
        <v>20</v>
      </c>
      <c r="H250" s="1" t="s">
        <v>763</v>
      </c>
      <c r="I250">
        <v>0</v>
      </c>
      <c r="J250">
        <v>16000</v>
      </c>
      <c r="K250">
        <v>11230</v>
      </c>
      <c r="L250">
        <v>4770</v>
      </c>
      <c r="M250" t="s">
        <v>761</v>
      </c>
      <c r="N250" t="s">
        <v>761</v>
      </c>
      <c r="O250">
        <v>0</v>
      </c>
      <c r="P250">
        <v>16000</v>
      </c>
      <c r="Q250">
        <v>-12477</v>
      </c>
      <c r="R250">
        <v>3523</v>
      </c>
    </row>
    <row r="251" spans="1:18">
      <c r="A251" s="1" t="s">
        <v>764</v>
      </c>
      <c r="B251" s="6">
        <v>15</v>
      </c>
      <c r="C251" s="6">
        <v>35</v>
      </c>
      <c r="D251" s="6">
        <f t="shared" si="3"/>
        <v>20</v>
      </c>
      <c r="E251" s="1" t="s">
        <v>764</v>
      </c>
      <c r="F251" s="1" t="s">
        <v>765</v>
      </c>
      <c r="G251" s="1" t="s">
        <v>280</v>
      </c>
      <c r="H251" s="1" t="s">
        <v>766</v>
      </c>
      <c r="I251">
        <v>37</v>
      </c>
      <c r="J251">
        <v>37</v>
      </c>
      <c r="K251">
        <v>59</v>
      </c>
      <c r="L251">
        <v>15</v>
      </c>
      <c r="M251" s="2">
        <v>8E+17</v>
      </c>
      <c r="N251" s="2">
        <v>8E+17</v>
      </c>
      <c r="O251">
        <v>29</v>
      </c>
      <c r="P251">
        <v>57</v>
      </c>
      <c r="Q251">
        <v>-59</v>
      </c>
      <c r="R251">
        <v>35</v>
      </c>
    </row>
    <row r="252" spans="1:18">
      <c r="A252" s="1" t="s">
        <v>764</v>
      </c>
      <c r="B252" s="6">
        <v>0</v>
      </c>
      <c r="C252" s="6">
        <v>35</v>
      </c>
      <c r="D252" s="6">
        <f t="shared" si="3"/>
        <v>35</v>
      </c>
      <c r="E252" s="1" t="s">
        <v>764</v>
      </c>
      <c r="F252" s="1" t="s">
        <v>767</v>
      </c>
      <c r="G252" s="1" t="s">
        <v>20</v>
      </c>
      <c r="H252" s="1" t="s">
        <v>768</v>
      </c>
      <c r="I252">
        <v>0</v>
      </c>
      <c r="J252">
        <v>20</v>
      </c>
      <c r="K252">
        <v>20</v>
      </c>
      <c r="L252">
        <v>0</v>
      </c>
      <c r="M252" s="2">
        <v>8E+17</v>
      </c>
      <c r="N252" s="2">
        <v>8E+17</v>
      </c>
      <c r="O252">
        <v>29</v>
      </c>
      <c r="P252">
        <v>57</v>
      </c>
      <c r="Q252">
        <v>-59</v>
      </c>
      <c r="R252">
        <v>35</v>
      </c>
    </row>
    <row r="253" spans="1:18">
      <c r="A253" s="1" t="s">
        <v>769</v>
      </c>
      <c r="B253" s="6">
        <v>2</v>
      </c>
      <c r="C253" s="6">
        <v>26</v>
      </c>
      <c r="D253" s="6">
        <f t="shared" si="3"/>
        <v>24</v>
      </c>
      <c r="E253" s="1" t="s">
        <v>769</v>
      </c>
      <c r="F253" s="1" t="s">
        <v>770</v>
      </c>
      <c r="G253" s="1" t="s">
        <v>280</v>
      </c>
      <c r="H253" s="1" t="s">
        <v>771</v>
      </c>
      <c r="I253">
        <v>0</v>
      </c>
      <c r="J253">
        <v>24</v>
      </c>
      <c r="K253">
        <v>22</v>
      </c>
      <c r="L253">
        <v>2</v>
      </c>
      <c r="M253" s="2">
        <v>8E+18</v>
      </c>
      <c r="N253" s="2">
        <v>8E+18</v>
      </c>
      <c r="O253">
        <v>1</v>
      </c>
      <c r="P253">
        <v>24</v>
      </c>
      <c r="Q253">
        <v>-2</v>
      </c>
      <c r="R253">
        <v>26</v>
      </c>
    </row>
    <row r="254" spans="1:18">
      <c r="A254" s="1" t="s">
        <v>772</v>
      </c>
      <c r="B254" s="6">
        <v>13</v>
      </c>
      <c r="C254" s="6">
        <v>21</v>
      </c>
      <c r="D254" s="6">
        <f t="shared" si="3"/>
        <v>8</v>
      </c>
      <c r="E254" s="1" t="s">
        <v>772</v>
      </c>
      <c r="F254" s="1" t="s">
        <v>773</v>
      </c>
      <c r="G254" s="1" t="s">
        <v>280</v>
      </c>
      <c r="H254" s="1" t="s">
        <v>774</v>
      </c>
      <c r="I254">
        <v>13</v>
      </c>
      <c r="J254">
        <v>0</v>
      </c>
      <c r="K254">
        <v>0</v>
      </c>
      <c r="L254">
        <v>13</v>
      </c>
      <c r="M254" s="2">
        <v>8E+21</v>
      </c>
      <c r="N254" s="2">
        <v>8E+21</v>
      </c>
      <c r="O254">
        <v>9</v>
      </c>
      <c r="P254">
        <v>0</v>
      </c>
      <c r="Q254">
        <v>8</v>
      </c>
      <c r="R254">
        <v>21</v>
      </c>
    </row>
    <row r="255" spans="1:18">
      <c r="A255" s="1" t="s">
        <v>775</v>
      </c>
      <c r="B255" s="6">
        <v>2</v>
      </c>
      <c r="C255" s="6">
        <v>22</v>
      </c>
      <c r="D255" s="6">
        <f t="shared" si="3"/>
        <v>20</v>
      </c>
      <c r="E255" s="1" t="s">
        <v>775</v>
      </c>
      <c r="F255" s="1" t="s">
        <v>776</v>
      </c>
      <c r="G255" s="1" t="s">
        <v>280</v>
      </c>
      <c r="H255" s="1" t="s">
        <v>777</v>
      </c>
      <c r="I255">
        <v>25</v>
      </c>
      <c r="J255">
        <v>38</v>
      </c>
      <c r="K255">
        <v>61</v>
      </c>
      <c r="L255">
        <v>2</v>
      </c>
      <c r="M255" s="2">
        <v>7.9999999999999998E+59</v>
      </c>
      <c r="N255" s="2">
        <v>7.9999999999999998E+59</v>
      </c>
      <c r="O255">
        <v>5</v>
      </c>
      <c r="P255">
        <v>58</v>
      </c>
      <c r="Q255">
        <v>-61</v>
      </c>
      <c r="R255">
        <v>22</v>
      </c>
    </row>
    <row r="256" spans="1:18">
      <c r="A256" s="1" t="s">
        <v>775</v>
      </c>
      <c r="B256" s="6">
        <v>0</v>
      </c>
      <c r="C256" s="6">
        <v>22</v>
      </c>
      <c r="D256" s="6">
        <f t="shared" si="3"/>
        <v>22</v>
      </c>
      <c r="E256" s="1" t="s">
        <v>775</v>
      </c>
      <c r="F256" s="1" t="s">
        <v>778</v>
      </c>
      <c r="G256" s="1" t="s">
        <v>20</v>
      </c>
      <c r="H256" s="1" t="s">
        <v>779</v>
      </c>
      <c r="I256">
        <v>0</v>
      </c>
      <c r="J256">
        <v>20</v>
      </c>
      <c r="K256">
        <v>20</v>
      </c>
      <c r="L256">
        <v>0</v>
      </c>
      <c r="M256" s="2">
        <v>7.9999999999999998E+59</v>
      </c>
      <c r="N256" s="2">
        <v>7.9999999999999998E+59</v>
      </c>
      <c r="O256">
        <v>5</v>
      </c>
      <c r="P256">
        <v>58</v>
      </c>
      <c r="Q256">
        <v>-61</v>
      </c>
      <c r="R256">
        <v>22</v>
      </c>
    </row>
    <row r="257" spans="1:18">
      <c r="A257" s="1" t="s">
        <v>780</v>
      </c>
      <c r="B257" s="6">
        <v>54</v>
      </c>
      <c r="C257" s="6">
        <v>57</v>
      </c>
      <c r="D257" s="6">
        <f t="shared" si="3"/>
        <v>3</v>
      </c>
      <c r="E257" s="1" t="s">
        <v>780</v>
      </c>
      <c r="F257" s="1" t="s">
        <v>781</v>
      </c>
      <c r="G257" s="1" t="s">
        <v>280</v>
      </c>
      <c r="H257" s="1" t="s">
        <v>782</v>
      </c>
      <c r="I257">
        <v>54</v>
      </c>
      <c r="J257">
        <v>0</v>
      </c>
      <c r="K257">
        <v>0</v>
      </c>
      <c r="L257">
        <v>54</v>
      </c>
      <c r="M257" s="2">
        <v>8.0000000000000005E+130</v>
      </c>
      <c r="N257" s="2">
        <v>8.0000000000000005E+130</v>
      </c>
      <c r="O257">
        <v>53</v>
      </c>
      <c r="P257">
        <v>0</v>
      </c>
      <c r="Q257">
        <v>3</v>
      </c>
      <c r="R257">
        <v>57</v>
      </c>
    </row>
    <row r="258" spans="1:18">
      <c r="A258" s="1" t="s">
        <v>783</v>
      </c>
      <c r="B258" s="6">
        <v>22</v>
      </c>
      <c r="C258" s="6">
        <v>23</v>
      </c>
      <c r="D258" s="6">
        <f t="shared" si="3"/>
        <v>1</v>
      </c>
      <c r="E258" s="1" t="s">
        <v>783</v>
      </c>
      <c r="F258" s="1" t="s">
        <v>784</v>
      </c>
      <c r="G258" s="1" t="s">
        <v>20</v>
      </c>
      <c r="H258" s="1" t="s">
        <v>785</v>
      </c>
      <c r="I258">
        <v>22</v>
      </c>
      <c r="J258">
        <v>0</v>
      </c>
      <c r="K258">
        <v>0</v>
      </c>
      <c r="L258">
        <v>22</v>
      </c>
      <c r="M258" s="2">
        <v>8.0000000000000001E+151</v>
      </c>
      <c r="N258" s="2">
        <v>8.0000000000000001E+151</v>
      </c>
      <c r="O258">
        <v>22</v>
      </c>
      <c r="P258">
        <v>0</v>
      </c>
      <c r="Q258">
        <v>1</v>
      </c>
      <c r="R258">
        <v>23</v>
      </c>
    </row>
    <row r="259" spans="1:18">
      <c r="A259" s="1" t="s">
        <v>786</v>
      </c>
      <c r="B259" s="6">
        <v>52</v>
      </c>
      <c r="C259" s="6">
        <v>45</v>
      </c>
      <c r="D259" s="6">
        <f t="shared" ref="D259:D322" si="4">C259-B259</f>
        <v>-7</v>
      </c>
      <c r="E259" s="1" t="s">
        <v>786</v>
      </c>
      <c r="F259" s="1" t="s">
        <v>787</v>
      </c>
      <c r="G259" s="1" t="s">
        <v>20</v>
      </c>
      <c r="H259" s="1" t="s">
        <v>788</v>
      </c>
      <c r="I259">
        <v>6</v>
      </c>
      <c r="J259">
        <v>130</v>
      </c>
      <c r="K259">
        <v>84</v>
      </c>
      <c r="L259">
        <v>52</v>
      </c>
      <c r="M259" t="s">
        <v>786</v>
      </c>
      <c r="N259" t="s">
        <v>786</v>
      </c>
      <c r="O259">
        <v>45</v>
      </c>
      <c r="P259">
        <v>130</v>
      </c>
      <c r="Q259">
        <v>-91</v>
      </c>
      <c r="R259">
        <v>45</v>
      </c>
    </row>
    <row r="260" spans="1:18">
      <c r="A260" s="1" t="s">
        <v>789</v>
      </c>
      <c r="B260" s="6">
        <v>4</v>
      </c>
      <c r="C260" s="6">
        <v>46</v>
      </c>
      <c r="D260" s="6">
        <f t="shared" si="4"/>
        <v>42</v>
      </c>
      <c r="E260" s="1" t="s">
        <v>790</v>
      </c>
      <c r="F260" s="1" t="s">
        <v>791</v>
      </c>
      <c r="G260" s="1" t="s">
        <v>20</v>
      </c>
      <c r="H260" s="1" t="s">
        <v>792</v>
      </c>
      <c r="I260">
        <v>4</v>
      </c>
      <c r="J260">
        <v>0</v>
      </c>
      <c r="K260">
        <v>0</v>
      </c>
      <c r="L260">
        <v>4</v>
      </c>
      <c r="M260" s="2">
        <v>7.9999999999999995E+162</v>
      </c>
      <c r="N260" s="2">
        <v>7.9999999999999999E+145</v>
      </c>
      <c r="O260">
        <v>3</v>
      </c>
      <c r="P260">
        <v>0</v>
      </c>
      <c r="Q260">
        <v>42</v>
      </c>
      <c r="R260">
        <v>46</v>
      </c>
    </row>
    <row r="261" spans="1:18">
      <c r="A261" s="1" t="s">
        <v>789</v>
      </c>
      <c r="B261" s="6">
        <v>112</v>
      </c>
      <c r="C261" s="6">
        <v>25</v>
      </c>
      <c r="D261" s="6">
        <f t="shared" si="4"/>
        <v>-87</v>
      </c>
      <c r="E261" s="1" t="s">
        <v>789</v>
      </c>
      <c r="F261" s="1" t="s">
        <v>793</v>
      </c>
      <c r="G261" s="1" t="s">
        <v>20</v>
      </c>
      <c r="H261" s="1" t="s">
        <v>794</v>
      </c>
      <c r="I261">
        <v>47</v>
      </c>
      <c r="J261">
        <v>65</v>
      </c>
      <c r="K261">
        <v>0</v>
      </c>
      <c r="L261">
        <v>112</v>
      </c>
      <c r="M261" s="2">
        <v>7.9999999999999995E+162</v>
      </c>
      <c r="N261" s="2">
        <v>7.9999999999999995E+162</v>
      </c>
      <c r="O261">
        <v>56</v>
      </c>
      <c r="P261">
        <v>65</v>
      </c>
      <c r="Q261">
        <v>-87</v>
      </c>
      <c r="R261">
        <v>25</v>
      </c>
    </row>
    <row r="262" spans="1:18">
      <c r="A262" s="1" t="s">
        <v>795</v>
      </c>
      <c r="B262" s="6">
        <v>13</v>
      </c>
      <c r="C262" s="6">
        <v>25</v>
      </c>
      <c r="D262" s="6">
        <f t="shared" si="4"/>
        <v>12</v>
      </c>
      <c r="E262" s="1" t="s">
        <v>796</v>
      </c>
      <c r="F262" s="1" t="s">
        <v>797</v>
      </c>
      <c r="G262" s="1" t="s">
        <v>20</v>
      </c>
      <c r="H262" s="1" t="s">
        <v>798</v>
      </c>
      <c r="I262">
        <v>13</v>
      </c>
      <c r="J262">
        <v>0</v>
      </c>
      <c r="K262">
        <v>0</v>
      </c>
      <c r="L262">
        <v>13</v>
      </c>
      <c r="M262" s="2">
        <v>7.9999999999999995E+163</v>
      </c>
      <c r="N262" s="2">
        <v>8.0000000000000002E+143</v>
      </c>
      <c r="O262">
        <v>18</v>
      </c>
      <c r="P262">
        <v>0</v>
      </c>
      <c r="Q262">
        <v>12</v>
      </c>
      <c r="R262">
        <v>25</v>
      </c>
    </row>
    <row r="263" spans="1:18">
      <c r="A263" s="1" t="s">
        <v>795</v>
      </c>
      <c r="B263" s="6">
        <v>86</v>
      </c>
      <c r="C263" s="6">
        <v>8</v>
      </c>
      <c r="D263" s="6">
        <f t="shared" si="4"/>
        <v>-78</v>
      </c>
      <c r="E263" s="1" t="s">
        <v>795</v>
      </c>
      <c r="F263" s="1" t="s">
        <v>799</v>
      </c>
      <c r="G263" s="1" t="s">
        <v>20</v>
      </c>
      <c r="H263" s="1" t="s">
        <v>800</v>
      </c>
      <c r="I263">
        <v>46</v>
      </c>
      <c r="J263">
        <v>40</v>
      </c>
      <c r="K263">
        <v>0</v>
      </c>
      <c r="L263">
        <v>86</v>
      </c>
      <c r="M263" s="2">
        <v>7.9999999999999995E+163</v>
      </c>
      <c r="N263" s="2">
        <v>7.9999999999999995E+163</v>
      </c>
      <c r="O263">
        <v>15</v>
      </c>
      <c r="P263">
        <v>40</v>
      </c>
      <c r="Q263">
        <v>-78</v>
      </c>
      <c r="R263">
        <v>8</v>
      </c>
    </row>
    <row r="264" spans="1:18">
      <c r="A264" s="1" t="s">
        <v>801</v>
      </c>
      <c r="B264" s="6">
        <v>6</v>
      </c>
      <c r="C264" s="6">
        <v>12</v>
      </c>
      <c r="D264" s="6">
        <f t="shared" si="4"/>
        <v>6</v>
      </c>
      <c r="E264" s="1" t="s">
        <v>802</v>
      </c>
      <c r="F264" s="1" t="s">
        <v>803</v>
      </c>
      <c r="G264" s="1" t="s">
        <v>20</v>
      </c>
      <c r="H264" s="1" t="s">
        <v>804</v>
      </c>
      <c r="I264">
        <v>6</v>
      </c>
      <c r="J264">
        <v>0</v>
      </c>
      <c r="K264">
        <v>0</v>
      </c>
      <c r="L264">
        <v>6</v>
      </c>
      <c r="M264" s="2">
        <v>8E+164</v>
      </c>
      <c r="N264" s="2">
        <v>8.0000000000000002E+144</v>
      </c>
      <c r="O264">
        <v>3</v>
      </c>
      <c r="P264">
        <v>0</v>
      </c>
      <c r="Q264">
        <v>6</v>
      </c>
      <c r="R264">
        <v>12</v>
      </c>
    </row>
    <row r="265" spans="1:18">
      <c r="A265" s="1" t="s">
        <v>801</v>
      </c>
      <c r="B265" s="6">
        <v>115</v>
      </c>
      <c r="C265" s="6">
        <v>20</v>
      </c>
      <c r="D265" s="6">
        <f t="shared" si="4"/>
        <v>-95</v>
      </c>
      <c r="E265" s="1" t="s">
        <v>801</v>
      </c>
      <c r="F265" s="1" t="s">
        <v>805</v>
      </c>
      <c r="G265" s="1" t="s">
        <v>20</v>
      </c>
      <c r="H265" s="1" t="s">
        <v>806</v>
      </c>
      <c r="I265">
        <v>45</v>
      </c>
      <c r="J265">
        <v>70</v>
      </c>
      <c r="K265">
        <v>0</v>
      </c>
      <c r="L265">
        <v>115</v>
      </c>
      <c r="M265" s="2">
        <v>8E+164</v>
      </c>
      <c r="N265" s="2">
        <v>8E+164</v>
      </c>
      <c r="O265">
        <v>20</v>
      </c>
      <c r="P265">
        <v>70</v>
      </c>
      <c r="Q265">
        <v>-95</v>
      </c>
      <c r="R265">
        <v>20</v>
      </c>
    </row>
    <row r="266" spans="1:18">
      <c r="A266" s="1" t="s">
        <v>807</v>
      </c>
      <c r="B266" s="6">
        <v>3655</v>
      </c>
      <c r="C266" s="6">
        <v>0</v>
      </c>
      <c r="D266" s="6">
        <f t="shared" si="4"/>
        <v>-3655</v>
      </c>
      <c r="E266" s="1" t="s">
        <v>807</v>
      </c>
      <c r="F266" s="1" t="s">
        <v>808</v>
      </c>
      <c r="G266" s="1" t="s">
        <v>20</v>
      </c>
      <c r="H266" s="1" t="s">
        <v>809</v>
      </c>
      <c r="I266">
        <v>3655</v>
      </c>
      <c r="J266">
        <v>0</v>
      </c>
      <c r="K266">
        <v>0</v>
      </c>
      <c r="L266">
        <v>3655</v>
      </c>
      <c r="M266" t="s">
        <v>807</v>
      </c>
      <c r="N266" t="s">
        <v>807</v>
      </c>
      <c r="O266">
        <v>3213</v>
      </c>
      <c r="P266">
        <v>4000</v>
      </c>
      <c r="Q266">
        <v>-7655</v>
      </c>
      <c r="R266">
        <v>0</v>
      </c>
    </row>
    <row r="267" spans="1:18">
      <c r="A267" s="1" t="s">
        <v>807</v>
      </c>
      <c r="B267" s="6">
        <v>9</v>
      </c>
      <c r="C267" s="6">
        <v>124</v>
      </c>
      <c r="D267" s="6">
        <f t="shared" si="4"/>
        <v>115</v>
      </c>
      <c r="E267" s="1" t="s">
        <v>810</v>
      </c>
      <c r="F267" s="1" t="s">
        <v>811</v>
      </c>
      <c r="G267" s="1" t="s">
        <v>280</v>
      </c>
      <c r="H267" s="1" t="s">
        <v>489</v>
      </c>
      <c r="I267">
        <v>9</v>
      </c>
      <c r="J267">
        <v>0</v>
      </c>
      <c r="K267">
        <v>0</v>
      </c>
      <c r="L267">
        <v>9</v>
      </c>
      <c r="M267" t="s">
        <v>807</v>
      </c>
      <c r="N267" t="s">
        <v>810</v>
      </c>
      <c r="O267">
        <v>9</v>
      </c>
      <c r="P267">
        <v>0</v>
      </c>
      <c r="Q267">
        <v>115</v>
      </c>
      <c r="R267">
        <v>124</v>
      </c>
    </row>
    <row r="268" spans="1:18">
      <c r="A268" s="1" t="s">
        <v>812</v>
      </c>
      <c r="B268" s="6">
        <v>27</v>
      </c>
      <c r="C268" s="6">
        <v>28</v>
      </c>
      <c r="D268" s="6">
        <f t="shared" si="4"/>
        <v>1</v>
      </c>
      <c r="E268" s="1" t="s">
        <v>812</v>
      </c>
      <c r="F268" s="1" t="s">
        <v>813</v>
      </c>
      <c r="G268" s="1" t="s">
        <v>20</v>
      </c>
      <c r="H268" s="1" t="s">
        <v>814</v>
      </c>
      <c r="I268">
        <v>7</v>
      </c>
      <c r="J268">
        <v>20</v>
      </c>
      <c r="K268">
        <v>0</v>
      </c>
      <c r="L268">
        <v>27</v>
      </c>
      <c r="M268" t="s">
        <v>812</v>
      </c>
      <c r="N268" t="s">
        <v>812</v>
      </c>
      <c r="O268">
        <v>5</v>
      </c>
      <c r="P268">
        <v>20</v>
      </c>
      <c r="Q268">
        <v>1</v>
      </c>
      <c r="R268">
        <v>28</v>
      </c>
    </row>
    <row r="269" spans="1:18">
      <c r="A269" s="1" t="s">
        <v>815</v>
      </c>
      <c r="B269" s="6">
        <v>10</v>
      </c>
      <c r="C269" s="6">
        <v>12</v>
      </c>
      <c r="D269" s="6">
        <f t="shared" si="4"/>
        <v>2</v>
      </c>
      <c r="E269" s="1" t="s">
        <v>815</v>
      </c>
      <c r="F269" s="1" t="s">
        <v>816</v>
      </c>
      <c r="G269" s="1" t="s">
        <v>20</v>
      </c>
      <c r="H269" s="1" t="s">
        <v>817</v>
      </c>
      <c r="I269">
        <v>0</v>
      </c>
      <c r="J269">
        <v>10</v>
      </c>
      <c r="K269">
        <v>0</v>
      </c>
      <c r="L269">
        <v>10</v>
      </c>
      <c r="M269" t="s">
        <v>815</v>
      </c>
      <c r="N269" t="s">
        <v>815</v>
      </c>
      <c r="O269">
        <v>0</v>
      </c>
      <c r="P269">
        <v>15</v>
      </c>
      <c r="Q269">
        <v>-3</v>
      </c>
      <c r="R269">
        <v>12</v>
      </c>
    </row>
    <row r="270" spans="1:18">
      <c r="A270" s="1" t="s">
        <v>818</v>
      </c>
      <c r="B270" s="6">
        <v>195</v>
      </c>
      <c r="C270" s="6">
        <v>76</v>
      </c>
      <c r="D270" s="6">
        <f t="shared" si="4"/>
        <v>-119</v>
      </c>
      <c r="E270" s="1" t="s">
        <v>818</v>
      </c>
      <c r="F270" s="1" t="s">
        <v>819</v>
      </c>
      <c r="G270" s="1" t="s">
        <v>280</v>
      </c>
      <c r="H270" s="1" t="s">
        <v>820</v>
      </c>
      <c r="I270">
        <v>95</v>
      </c>
      <c r="J270">
        <v>100</v>
      </c>
      <c r="K270">
        <v>0</v>
      </c>
      <c r="L270">
        <v>195</v>
      </c>
      <c r="M270" t="s">
        <v>818</v>
      </c>
      <c r="N270" t="s">
        <v>818</v>
      </c>
      <c r="O270">
        <v>179</v>
      </c>
      <c r="P270">
        <v>100</v>
      </c>
      <c r="Q270">
        <v>-119</v>
      </c>
      <c r="R270">
        <v>76</v>
      </c>
    </row>
    <row r="271" spans="1:18">
      <c r="A271" s="1" t="s">
        <v>821</v>
      </c>
      <c r="B271" s="6">
        <v>1</v>
      </c>
      <c r="C271" s="6">
        <v>25</v>
      </c>
      <c r="D271" s="6">
        <f t="shared" si="4"/>
        <v>24</v>
      </c>
      <c r="E271" s="1" t="s">
        <v>821</v>
      </c>
      <c r="F271" s="1" t="s">
        <v>822</v>
      </c>
      <c r="G271" s="1" t="s">
        <v>20</v>
      </c>
      <c r="H271" s="1" t="s">
        <v>823</v>
      </c>
      <c r="I271">
        <v>35</v>
      </c>
      <c r="J271">
        <v>0</v>
      </c>
      <c r="K271">
        <v>34</v>
      </c>
      <c r="L271">
        <v>1</v>
      </c>
      <c r="M271" t="s">
        <v>821</v>
      </c>
      <c r="N271" t="s">
        <v>821</v>
      </c>
      <c r="O271">
        <v>35</v>
      </c>
      <c r="P271">
        <v>0</v>
      </c>
      <c r="Q271">
        <v>-10</v>
      </c>
      <c r="R271">
        <v>25</v>
      </c>
    </row>
    <row r="272" spans="1:18">
      <c r="A272" s="1" t="s">
        <v>824</v>
      </c>
      <c r="B272" s="6">
        <v>15</v>
      </c>
      <c r="C272" s="6">
        <v>17</v>
      </c>
      <c r="D272" s="6">
        <f t="shared" si="4"/>
        <v>2</v>
      </c>
      <c r="E272" s="1" t="s">
        <v>824</v>
      </c>
      <c r="F272" s="1" t="s">
        <v>825</v>
      </c>
      <c r="G272" s="1" t="s">
        <v>20</v>
      </c>
      <c r="H272" s="1" t="s">
        <v>826</v>
      </c>
      <c r="I272">
        <v>15</v>
      </c>
      <c r="J272">
        <v>0</v>
      </c>
      <c r="K272">
        <v>0</v>
      </c>
      <c r="L272">
        <v>15</v>
      </c>
      <c r="M272" t="s">
        <v>824</v>
      </c>
      <c r="N272" t="s">
        <v>824</v>
      </c>
      <c r="O272">
        <v>17</v>
      </c>
      <c r="P272">
        <v>0</v>
      </c>
      <c r="Q272">
        <v>0</v>
      </c>
      <c r="R272">
        <v>17</v>
      </c>
    </row>
    <row r="273" spans="1:18">
      <c r="A273" s="1" t="s">
        <v>827</v>
      </c>
      <c r="B273" s="6">
        <v>50</v>
      </c>
      <c r="C273" s="6">
        <v>36</v>
      </c>
      <c r="D273" s="6">
        <f t="shared" si="4"/>
        <v>-14</v>
      </c>
      <c r="E273" s="1" t="s">
        <v>827</v>
      </c>
      <c r="F273" s="1" t="s">
        <v>828</v>
      </c>
      <c r="G273" s="1" t="s">
        <v>280</v>
      </c>
      <c r="H273" s="1" t="s">
        <v>829</v>
      </c>
      <c r="I273">
        <v>0</v>
      </c>
      <c r="J273">
        <v>50</v>
      </c>
      <c r="K273">
        <v>0</v>
      </c>
      <c r="L273">
        <v>50</v>
      </c>
      <c r="M273" t="s">
        <v>827</v>
      </c>
      <c r="N273" t="s">
        <v>827</v>
      </c>
      <c r="O273">
        <v>6</v>
      </c>
      <c r="P273">
        <v>395</v>
      </c>
      <c r="Q273">
        <v>-392</v>
      </c>
      <c r="R273">
        <v>36</v>
      </c>
    </row>
    <row r="274" spans="1:18">
      <c r="A274" s="1" t="s">
        <v>830</v>
      </c>
      <c r="B274" s="6">
        <v>6</v>
      </c>
      <c r="C274" s="6">
        <v>9</v>
      </c>
      <c r="D274" s="6">
        <f t="shared" si="4"/>
        <v>3</v>
      </c>
      <c r="E274" s="1" t="s">
        <v>830</v>
      </c>
      <c r="F274" s="1" t="s">
        <v>831</v>
      </c>
      <c r="G274" s="1" t="s">
        <v>20</v>
      </c>
      <c r="H274" s="1" t="s">
        <v>832</v>
      </c>
      <c r="I274">
        <v>0</v>
      </c>
      <c r="J274">
        <v>8</v>
      </c>
      <c r="K274">
        <v>2</v>
      </c>
      <c r="L274">
        <v>6</v>
      </c>
      <c r="M274" t="s">
        <v>830</v>
      </c>
      <c r="N274" t="s">
        <v>830</v>
      </c>
      <c r="O274">
        <v>0</v>
      </c>
      <c r="P274">
        <v>8</v>
      </c>
      <c r="Q274">
        <v>1</v>
      </c>
      <c r="R274">
        <v>9</v>
      </c>
    </row>
    <row r="275" spans="1:18">
      <c r="A275" s="1" t="s">
        <v>833</v>
      </c>
      <c r="B275" s="6">
        <v>32</v>
      </c>
      <c r="C275" s="6">
        <v>31.3</v>
      </c>
      <c r="D275" s="6">
        <f t="shared" si="4"/>
        <v>-0.69999999999999929</v>
      </c>
      <c r="E275" s="1" t="s">
        <v>833</v>
      </c>
      <c r="F275" s="1" t="s">
        <v>834</v>
      </c>
      <c r="G275" s="1" t="s">
        <v>280</v>
      </c>
      <c r="H275" s="1" t="s">
        <v>539</v>
      </c>
      <c r="I275">
        <v>33</v>
      </c>
      <c r="J275">
        <v>228</v>
      </c>
      <c r="K275">
        <v>229</v>
      </c>
      <c r="L275">
        <v>32</v>
      </c>
      <c r="M275" t="s">
        <v>833</v>
      </c>
      <c r="N275" t="s">
        <v>833</v>
      </c>
      <c r="O275">
        <v>160</v>
      </c>
      <c r="P275">
        <v>228</v>
      </c>
      <c r="Q275">
        <v>-229.2</v>
      </c>
      <c r="R275">
        <v>31.3</v>
      </c>
    </row>
    <row r="276" spans="1:18">
      <c r="A276" s="1" t="s">
        <v>835</v>
      </c>
      <c r="B276" s="6">
        <v>100</v>
      </c>
      <c r="C276" s="6">
        <v>0</v>
      </c>
      <c r="D276" s="6">
        <f t="shared" si="4"/>
        <v>-100</v>
      </c>
      <c r="E276" s="1" t="s">
        <v>835</v>
      </c>
      <c r="F276" s="1" t="s">
        <v>836</v>
      </c>
      <c r="G276" s="1" t="s">
        <v>280</v>
      </c>
      <c r="H276" s="1" t="s">
        <v>837</v>
      </c>
      <c r="I276">
        <v>0</v>
      </c>
      <c r="J276">
        <v>100</v>
      </c>
      <c r="K276">
        <v>0</v>
      </c>
      <c r="L276">
        <v>100</v>
      </c>
      <c r="M276" t="s">
        <v>835</v>
      </c>
      <c r="N276" t="s">
        <v>835</v>
      </c>
      <c r="O276">
        <v>75</v>
      </c>
      <c r="P276">
        <v>100</v>
      </c>
      <c r="Q276">
        <v>-124</v>
      </c>
      <c r="R276">
        <v>0</v>
      </c>
    </row>
    <row r="277" spans="1:18">
      <c r="A277" s="1" t="s">
        <v>835</v>
      </c>
      <c r="B277" s="6">
        <v>24</v>
      </c>
      <c r="C277" s="6">
        <v>0</v>
      </c>
      <c r="D277" s="6">
        <f t="shared" si="4"/>
        <v>-24</v>
      </c>
      <c r="E277" s="1" t="s">
        <v>835</v>
      </c>
      <c r="F277" s="1" t="s">
        <v>838</v>
      </c>
      <c r="G277" s="1" t="s">
        <v>280</v>
      </c>
      <c r="H277" s="1" t="s">
        <v>839</v>
      </c>
      <c r="I277">
        <v>24</v>
      </c>
      <c r="J277">
        <v>0</v>
      </c>
      <c r="K277">
        <v>0</v>
      </c>
      <c r="L277">
        <v>24</v>
      </c>
      <c r="M277" t="s">
        <v>835</v>
      </c>
      <c r="N277" t="s">
        <v>835</v>
      </c>
      <c r="O277">
        <v>75</v>
      </c>
      <c r="P277">
        <v>100</v>
      </c>
      <c r="Q277">
        <v>-124</v>
      </c>
      <c r="R277">
        <v>0</v>
      </c>
    </row>
    <row r="278" spans="1:18">
      <c r="A278" s="1" t="s">
        <v>840</v>
      </c>
      <c r="B278" s="6">
        <v>130</v>
      </c>
      <c r="C278" s="6">
        <v>0</v>
      </c>
      <c r="D278" s="6">
        <f t="shared" si="4"/>
        <v>-130</v>
      </c>
      <c r="E278" s="1" t="s">
        <v>840</v>
      </c>
      <c r="F278" s="1" t="s">
        <v>841</v>
      </c>
      <c r="G278" s="1" t="s">
        <v>20</v>
      </c>
      <c r="H278" s="1" t="s">
        <v>842</v>
      </c>
      <c r="I278">
        <v>0</v>
      </c>
      <c r="J278">
        <v>130</v>
      </c>
      <c r="K278">
        <v>0</v>
      </c>
      <c r="L278">
        <v>130</v>
      </c>
      <c r="M278" t="s">
        <v>840</v>
      </c>
      <c r="N278" t="s">
        <v>840</v>
      </c>
      <c r="O278">
        <v>0</v>
      </c>
      <c r="P278">
        <v>120</v>
      </c>
      <c r="Q278">
        <v>-120</v>
      </c>
      <c r="R278">
        <v>0</v>
      </c>
    </row>
    <row r="279" spans="1:18">
      <c r="A279" s="1" t="s">
        <v>843</v>
      </c>
      <c r="B279" s="6">
        <v>33</v>
      </c>
      <c r="C279" s="6">
        <v>6</v>
      </c>
      <c r="D279" s="6">
        <f t="shared" si="4"/>
        <v>-27</v>
      </c>
      <c r="E279" s="1" t="s">
        <v>843</v>
      </c>
      <c r="F279" s="1" t="s">
        <v>844</v>
      </c>
      <c r="G279" s="1" t="s">
        <v>280</v>
      </c>
      <c r="H279" s="1" t="s">
        <v>845</v>
      </c>
      <c r="I279">
        <v>8</v>
      </c>
      <c r="J279">
        <v>25</v>
      </c>
      <c r="K279">
        <v>0</v>
      </c>
      <c r="L279">
        <v>33</v>
      </c>
      <c r="M279" t="s">
        <v>843</v>
      </c>
      <c r="N279" t="s">
        <v>843</v>
      </c>
      <c r="O279">
        <v>5</v>
      </c>
      <c r="P279">
        <v>25</v>
      </c>
      <c r="Q279">
        <v>-27</v>
      </c>
      <c r="R279">
        <v>6</v>
      </c>
    </row>
    <row r="280" spans="1:18">
      <c r="A280" s="1" t="s">
        <v>846</v>
      </c>
      <c r="B280" s="6">
        <v>0</v>
      </c>
      <c r="C280" s="6">
        <v>40</v>
      </c>
      <c r="D280" s="6">
        <f t="shared" si="4"/>
        <v>40</v>
      </c>
      <c r="E280" s="1" t="s">
        <v>846</v>
      </c>
      <c r="F280" s="1" t="s">
        <v>847</v>
      </c>
      <c r="G280" s="1" t="s">
        <v>20</v>
      </c>
      <c r="H280" s="1" t="s">
        <v>848</v>
      </c>
      <c r="I280">
        <v>0</v>
      </c>
      <c r="J280">
        <v>90</v>
      </c>
      <c r="K280">
        <v>90</v>
      </c>
      <c r="L280">
        <v>0</v>
      </c>
      <c r="M280" t="s">
        <v>846</v>
      </c>
      <c r="N280" t="s">
        <v>846</v>
      </c>
      <c r="O280">
        <v>146</v>
      </c>
      <c r="P280">
        <v>270</v>
      </c>
      <c r="Q280">
        <v>-230</v>
      </c>
      <c r="R280">
        <v>40</v>
      </c>
    </row>
    <row r="281" spans="1:18">
      <c r="A281" s="1" t="s">
        <v>849</v>
      </c>
      <c r="B281" s="6">
        <v>0</v>
      </c>
      <c r="C281" s="6">
        <v>4</v>
      </c>
      <c r="D281" s="6">
        <f t="shared" si="4"/>
        <v>4</v>
      </c>
      <c r="E281" s="1" t="s">
        <v>849</v>
      </c>
      <c r="F281" s="1" t="s">
        <v>850</v>
      </c>
      <c r="G281" s="1" t="s">
        <v>20</v>
      </c>
      <c r="H281" s="1" t="s">
        <v>851</v>
      </c>
      <c r="I281">
        <v>0</v>
      </c>
      <c r="J281">
        <v>10</v>
      </c>
      <c r="K281">
        <v>10</v>
      </c>
      <c r="L281">
        <v>0</v>
      </c>
      <c r="M281" t="s">
        <v>849</v>
      </c>
      <c r="N281" t="s">
        <v>849</v>
      </c>
      <c r="O281">
        <v>5</v>
      </c>
      <c r="P281">
        <v>15</v>
      </c>
      <c r="Q281">
        <v>-11</v>
      </c>
      <c r="R281">
        <v>4</v>
      </c>
    </row>
    <row r="282" spans="1:18">
      <c r="A282" s="1" t="s">
        <v>852</v>
      </c>
      <c r="B282" s="6">
        <v>5</v>
      </c>
      <c r="C282" s="6">
        <v>4.5999999999999996</v>
      </c>
      <c r="D282" s="6">
        <f t="shared" si="4"/>
        <v>-0.40000000000000036</v>
      </c>
      <c r="E282" s="1" t="s">
        <v>852</v>
      </c>
      <c r="F282" s="1" t="s">
        <v>853</v>
      </c>
      <c r="G282" s="1" t="s">
        <v>20</v>
      </c>
      <c r="H282" s="1" t="s">
        <v>854</v>
      </c>
      <c r="I282">
        <v>0</v>
      </c>
      <c r="J282">
        <v>7</v>
      </c>
      <c r="K282">
        <v>2</v>
      </c>
      <c r="L282">
        <v>5</v>
      </c>
      <c r="M282" t="s">
        <v>852</v>
      </c>
      <c r="N282" t="s">
        <v>852</v>
      </c>
      <c r="O282">
        <v>0</v>
      </c>
      <c r="P282">
        <v>7</v>
      </c>
      <c r="Q282">
        <v>-2.4</v>
      </c>
      <c r="R282">
        <v>4.5999999999999996</v>
      </c>
    </row>
    <row r="283" spans="1:18">
      <c r="A283" s="1" t="s">
        <v>855</v>
      </c>
      <c r="B283" s="6">
        <v>120</v>
      </c>
      <c r="C283" s="6">
        <v>0</v>
      </c>
      <c r="D283" s="6">
        <f t="shared" si="4"/>
        <v>-120</v>
      </c>
      <c r="E283" s="1" t="s">
        <v>855</v>
      </c>
      <c r="F283" s="1" t="s">
        <v>856</v>
      </c>
      <c r="G283" s="1" t="s">
        <v>20</v>
      </c>
      <c r="H283" s="1" t="s">
        <v>857</v>
      </c>
      <c r="I283">
        <v>120</v>
      </c>
      <c r="J283">
        <v>0</v>
      </c>
      <c r="K283">
        <v>0</v>
      </c>
      <c r="L283">
        <v>120</v>
      </c>
      <c r="M283" t="s">
        <v>855</v>
      </c>
      <c r="N283" t="s">
        <v>855</v>
      </c>
      <c r="O283">
        <v>795</v>
      </c>
      <c r="P283">
        <v>0</v>
      </c>
      <c r="Q283">
        <v>-1841</v>
      </c>
      <c r="R283">
        <v>0</v>
      </c>
    </row>
    <row r="284" spans="1:18">
      <c r="A284" s="1" t="s">
        <v>858</v>
      </c>
      <c r="B284" s="6">
        <v>1</v>
      </c>
      <c r="C284" s="6">
        <v>0.5</v>
      </c>
      <c r="D284" s="6">
        <f t="shared" si="4"/>
        <v>-0.5</v>
      </c>
      <c r="E284" s="1" t="s">
        <v>858</v>
      </c>
      <c r="F284" s="1" t="s">
        <v>859</v>
      </c>
      <c r="G284" s="1" t="s">
        <v>20</v>
      </c>
      <c r="H284" s="1" t="s">
        <v>860</v>
      </c>
      <c r="I284">
        <v>4</v>
      </c>
      <c r="J284">
        <v>0</v>
      </c>
      <c r="K284">
        <v>3</v>
      </c>
      <c r="L284">
        <v>1</v>
      </c>
      <c r="M284" t="s">
        <v>858</v>
      </c>
      <c r="N284" t="s">
        <v>858</v>
      </c>
      <c r="O284">
        <v>3.5</v>
      </c>
      <c r="P284">
        <v>0</v>
      </c>
      <c r="Q284">
        <v>-3</v>
      </c>
      <c r="R284">
        <v>0.5</v>
      </c>
    </row>
    <row r="285" spans="1:18">
      <c r="A285" s="1" t="s">
        <v>861</v>
      </c>
      <c r="B285" s="6">
        <v>0</v>
      </c>
      <c r="C285" s="6">
        <v>153</v>
      </c>
      <c r="D285" s="6">
        <f t="shared" si="4"/>
        <v>153</v>
      </c>
      <c r="E285" s="1" t="s">
        <v>861</v>
      </c>
      <c r="F285" s="1" t="s">
        <v>862</v>
      </c>
      <c r="G285" s="1" t="s">
        <v>20</v>
      </c>
      <c r="H285" s="1" t="s">
        <v>863</v>
      </c>
      <c r="I285">
        <v>55</v>
      </c>
      <c r="J285">
        <v>216</v>
      </c>
      <c r="K285">
        <v>271</v>
      </c>
      <c r="L285">
        <v>0</v>
      </c>
      <c r="M285" t="s">
        <v>861</v>
      </c>
      <c r="N285" t="s">
        <v>861</v>
      </c>
      <c r="O285">
        <v>11</v>
      </c>
      <c r="P285">
        <v>180</v>
      </c>
      <c r="Q285">
        <v>-82</v>
      </c>
      <c r="R285">
        <v>153</v>
      </c>
    </row>
    <row r="286" spans="1:18">
      <c r="A286" s="1" t="s">
        <v>864</v>
      </c>
      <c r="B286" s="6">
        <v>8321</v>
      </c>
      <c r="C286" s="6">
        <v>810</v>
      </c>
      <c r="D286" s="6">
        <f t="shared" si="4"/>
        <v>-7511</v>
      </c>
      <c r="E286" s="1" t="s">
        <v>864</v>
      </c>
      <c r="F286" s="1" t="s">
        <v>865</v>
      </c>
      <c r="G286" s="1" t="s">
        <v>20</v>
      </c>
      <c r="H286" s="1" t="s">
        <v>866</v>
      </c>
      <c r="I286">
        <v>3826</v>
      </c>
      <c r="J286">
        <v>4500</v>
      </c>
      <c r="K286">
        <v>5</v>
      </c>
      <c r="L286">
        <v>8321</v>
      </c>
      <c r="M286" t="s">
        <v>864</v>
      </c>
      <c r="N286" t="s">
        <v>864</v>
      </c>
      <c r="O286">
        <v>2103</v>
      </c>
      <c r="P286">
        <v>4500</v>
      </c>
      <c r="Q286">
        <v>-7516</v>
      </c>
      <c r="R286">
        <v>810</v>
      </c>
    </row>
    <row r="287" spans="1:18">
      <c r="A287" s="1" t="s">
        <v>864</v>
      </c>
      <c r="B287" s="6">
        <v>4</v>
      </c>
      <c r="C287" s="6">
        <v>249</v>
      </c>
      <c r="D287" s="6">
        <f t="shared" si="4"/>
        <v>245</v>
      </c>
      <c r="E287" s="1" t="s">
        <v>867</v>
      </c>
      <c r="F287" s="1" t="s">
        <v>868</v>
      </c>
      <c r="G287" s="1" t="s">
        <v>20</v>
      </c>
      <c r="H287" s="1" t="s">
        <v>869</v>
      </c>
      <c r="I287">
        <v>4</v>
      </c>
      <c r="J287">
        <v>0</v>
      </c>
      <c r="K287">
        <v>0</v>
      </c>
      <c r="L287">
        <v>4</v>
      </c>
      <c r="M287" t="s">
        <v>864</v>
      </c>
      <c r="N287" t="s">
        <v>867</v>
      </c>
      <c r="O287">
        <v>4</v>
      </c>
      <c r="P287">
        <v>0</v>
      </c>
      <c r="Q287">
        <v>245</v>
      </c>
      <c r="R287">
        <v>249</v>
      </c>
    </row>
    <row r="288" spans="1:18">
      <c r="A288" s="1" t="s">
        <v>864</v>
      </c>
      <c r="B288" s="6">
        <v>800</v>
      </c>
      <c r="C288" s="6">
        <v>15</v>
      </c>
      <c r="D288" s="6">
        <f t="shared" si="4"/>
        <v>-785</v>
      </c>
      <c r="E288" s="1" t="s">
        <v>870</v>
      </c>
      <c r="F288" s="1" t="s">
        <v>871</v>
      </c>
      <c r="G288" s="1" t="s">
        <v>20</v>
      </c>
      <c r="H288" s="1" t="s">
        <v>872</v>
      </c>
      <c r="I288">
        <v>0</v>
      </c>
      <c r="J288">
        <v>800</v>
      </c>
      <c r="K288">
        <v>0</v>
      </c>
      <c r="L288">
        <v>800</v>
      </c>
      <c r="M288" t="s">
        <v>864</v>
      </c>
      <c r="N288" t="s">
        <v>870</v>
      </c>
      <c r="O288">
        <v>5</v>
      </c>
      <c r="P288">
        <v>800</v>
      </c>
      <c r="Q288">
        <v>-785</v>
      </c>
      <c r="R288">
        <v>15</v>
      </c>
    </row>
    <row r="289" spans="1:18">
      <c r="A289" s="1" t="s">
        <v>873</v>
      </c>
      <c r="B289" s="6">
        <v>620</v>
      </c>
      <c r="C289" s="6">
        <v>568</v>
      </c>
      <c r="D289" s="6">
        <f t="shared" si="4"/>
        <v>-52</v>
      </c>
      <c r="E289" s="1" t="s">
        <v>873</v>
      </c>
      <c r="F289" s="1" t="s">
        <v>874</v>
      </c>
      <c r="G289" s="1" t="s">
        <v>20</v>
      </c>
      <c r="H289" s="1" t="s">
        <v>875</v>
      </c>
      <c r="I289">
        <v>120</v>
      </c>
      <c r="J289">
        <v>500</v>
      </c>
      <c r="K289">
        <v>0</v>
      </c>
      <c r="L289">
        <v>620</v>
      </c>
      <c r="M289" t="s">
        <v>873</v>
      </c>
      <c r="N289" t="s">
        <v>873</v>
      </c>
      <c r="O289">
        <v>569</v>
      </c>
      <c r="P289">
        <v>500</v>
      </c>
      <c r="Q289">
        <v>-52</v>
      </c>
      <c r="R289">
        <v>568</v>
      </c>
    </row>
    <row r="290" spans="1:18">
      <c r="A290" s="1" t="s">
        <v>873</v>
      </c>
      <c r="B290" s="6">
        <v>23</v>
      </c>
      <c r="C290" s="6">
        <v>29</v>
      </c>
      <c r="D290" s="6">
        <f t="shared" si="4"/>
        <v>6</v>
      </c>
      <c r="E290" s="1" t="s">
        <v>876</v>
      </c>
      <c r="F290" s="1" t="s">
        <v>877</v>
      </c>
      <c r="G290" s="1" t="s">
        <v>280</v>
      </c>
      <c r="H290" s="1" t="s">
        <v>878</v>
      </c>
      <c r="I290">
        <v>23</v>
      </c>
      <c r="J290">
        <v>0</v>
      </c>
      <c r="K290">
        <v>0</v>
      </c>
      <c r="L290">
        <v>23</v>
      </c>
      <c r="M290" t="s">
        <v>873</v>
      </c>
      <c r="N290" t="s">
        <v>876</v>
      </c>
      <c r="O290">
        <v>12</v>
      </c>
      <c r="P290">
        <v>0</v>
      </c>
      <c r="Q290">
        <v>6</v>
      </c>
      <c r="R290">
        <v>29</v>
      </c>
    </row>
    <row r="291" spans="1:18">
      <c r="A291" s="1" t="s">
        <v>879</v>
      </c>
      <c r="B291" s="6">
        <v>98</v>
      </c>
      <c r="C291" s="6">
        <v>190</v>
      </c>
      <c r="D291" s="6">
        <f t="shared" si="4"/>
        <v>92</v>
      </c>
      <c r="E291" s="1" t="s">
        <v>879</v>
      </c>
      <c r="F291" s="1" t="s">
        <v>880</v>
      </c>
      <c r="G291" s="1" t="s">
        <v>20</v>
      </c>
      <c r="H291" s="1" t="s">
        <v>881</v>
      </c>
      <c r="I291">
        <v>38</v>
      </c>
      <c r="J291">
        <v>100</v>
      </c>
      <c r="K291">
        <v>40</v>
      </c>
      <c r="L291">
        <v>98</v>
      </c>
      <c r="M291" t="s">
        <v>879</v>
      </c>
      <c r="N291" t="s">
        <v>879</v>
      </c>
      <c r="O291">
        <v>127</v>
      </c>
      <c r="P291">
        <v>100</v>
      </c>
      <c r="Q291">
        <v>52</v>
      </c>
      <c r="R291">
        <v>190</v>
      </c>
    </row>
    <row r="292" spans="1:18">
      <c r="A292" s="1" t="s">
        <v>882</v>
      </c>
      <c r="B292" s="6">
        <v>0</v>
      </c>
      <c r="C292" s="6">
        <v>45</v>
      </c>
      <c r="D292" s="6">
        <f t="shared" si="4"/>
        <v>45</v>
      </c>
      <c r="E292" s="1" t="s">
        <v>882</v>
      </c>
      <c r="F292" s="1" t="s">
        <v>883</v>
      </c>
      <c r="G292" s="1" t="s">
        <v>280</v>
      </c>
      <c r="H292" s="1" t="s">
        <v>884</v>
      </c>
      <c r="I292">
        <v>63</v>
      </c>
      <c r="J292">
        <v>0</v>
      </c>
      <c r="K292">
        <v>63</v>
      </c>
      <c r="L292">
        <v>0</v>
      </c>
      <c r="M292" t="s">
        <v>882</v>
      </c>
      <c r="N292" t="s">
        <v>882</v>
      </c>
      <c r="O292">
        <v>22</v>
      </c>
      <c r="P292">
        <v>0</v>
      </c>
      <c r="Q292">
        <v>-18</v>
      </c>
      <c r="R292">
        <v>45</v>
      </c>
    </row>
    <row r="293" spans="1:18">
      <c r="A293" s="1" t="s">
        <v>885</v>
      </c>
      <c r="B293" s="6">
        <v>0</v>
      </c>
      <c r="C293" s="6">
        <v>20</v>
      </c>
      <c r="D293" s="6">
        <f t="shared" si="4"/>
        <v>20</v>
      </c>
      <c r="E293" s="1" t="s">
        <v>886</v>
      </c>
      <c r="F293" s="1" t="s">
        <v>887</v>
      </c>
      <c r="G293" s="1" t="s">
        <v>280</v>
      </c>
      <c r="H293" s="1" t="s">
        <v>888</v>
      </c>
      <c r="I293">
        <v>1</v>
      </c>
      <c r="J293">
        <v>0</v>
      </c>
      <c r="K293">
        <v>1</v>
      </c>
      <c r="L293">
        <v>0</v>
      </c>
      <c r="M293" t="s">
        <v>885</v>
      </c>
      <c r="N293" t="s">
        <v>886</v>
      </c>
      <c r="O293">
        <v>1</v>
      </c>
      <c r="P293">
        <v>0</v>
      </c>
      <c r="Q293">
        <v>19</v>
      </c>
      <c r="R293">
        <v>20</v>
      </c>
    </row>
    <row r="294" spans="1:18">
      <c r="A294" s="1" t="s">
        <v>885</v>
      </c>
      <c r="B294" s="6">
        <v>3361</v>
      </c>
      <c r="C294" s="6">
        <v>3252</v>
      </c>
      <c r="D294" s="6">
        <f t="shared" si="4"/>
        <v>-109</v>
      </c>
      <c r="E294" s="1" t="s">
        <v>885</v>
      </c>
      <c r="F294" s="1" t="s">
        <v>889</v>
      </c>
      <c r="G294" s="1" t="s">
        <v>20</v>
      </c>
      <c r="H294" s="1" t="s">
        <v>890</v>
      </c>
      <c r="I294">
        <v>0</v>
      </c>
      <c r="J294">
        <v>7000</v>
      </c>
      <c r="K294">
        <v>3639</v>
      </c>
      <c r="L294">
        <v>3361</v>
      </c>
      <c r="M294" t="s">
        <v>885</v>
      </c>
      <c r="N294" t="s">
        <v>885</v>
      </c>
      <c r="O294">
        <v>0</v>
      </c>
      <c r="P294">
        <v>7000</v>
      </c>
      <c r="Q294">
        <v>-3748</v>
      </c>
      <c r="R294">
        <v>3252</v>
      </c>
    </row>
    <row r="295" spans="1:18">
      <c r="A295" s="1" t="s">
        <v>891</v>
      </c>
      <c r="B295" s="6">
        <v>1</v>
      </c>
      <c r="C295" s="6">
        <v>24</v>
      </c>
      <c r="D295" s="6">
        <f t="shared" si="4"/>
        <v>23</v>
      </c>
      <c r="E295" s="1" t="s">
        <v>891</v>
      </c>
      <c r="F295" s="1" t="s">
        <v>892</v>
      </c>
      <c r="G295" s="1" t="s">
        <v>20</v>
      </c>
      <c r="H295" s="1" t="s">
        <v>893</v>
      </c>
      <c r="I295">
        <v>1</v>
      </c>
      <c r="J295">
        <v>0</v>
      </c>
      <c r="K295">
        <v>0</v>
      </c>
      <c r="L295">
        <v>1</v>
      </c>
      <c r="M295" t="s">
        <v>891</v>
      </c>
      <c r="N295" t="s">
        <v>891</v>
      </c>
      <c r="O295">
        <v>41</v>
      </c>
      <c r="P295">
        <v>0</v>
      </c>
      <c r="Q295">
        <v>-19</v>
      </c>
      <c r="R295">
        <v>24</v>
      </c>
    </row>
    <row r="296" spans="1:18">
      <c r="A296" s="1" t="s">
        <v>894</v>
      </c>
      <c r="B296" s="6">
        <v>270</v>
      </c>
      <c r="C296" s="6">
        <v>144</v>
      </c>
      <c r="D296" s="6">
        <f t="shared" si="4"/>
        <v>-126</v>
      </c>
      <c r="E296" s="1" t="s">
        <v>894</v>
      </c>
      <c r="F296" s="1" t="s">
        <v>895</v>
      </c>
      <c r="G296" s="1" t="s">
        <v>77</v>
      </c>
      <c r="H296" s="1" t="s">
        <v>896</v>
      </c>
      <c r="I296">
        <v>0</v>
      </c>
      <c r="J296">
        <v>270</v>
      </c>
      <c r="K296">
        <v>0</v>
      </c>
      <c r="L296">
        <v>270</v>
      </c>
      <c r="M296" t="s">
        <v>894</v>
      </c>
      <c r="N296" t="s">
        <v>894</v>
      </c>
      <c r="O296">
        <v>0</v>
      </c>
      <c r="P296">
        <v>270</v>
      </c>
      <c r="Q296">
        <v>-126</v>
      </c>
      <c r="R296">
        <v>144</v>
      </c>
    </row>
    <row r="297" spans="1:18">
      <c r="A297" s="1" t="s">
        <v>897</v>
      </c>
      <c r="B297" s="6">
        <v>1</v>
      </c>
      <c r="C297" s="6">
        <v>3</v>
      </c>
      <c r="D297" s="6">
        <f t="shared" si="4"/>
        <v>2</v>
      </c>
      <c r="E297" s="1" t="s">
        <v>897</v>
      </c>
      <c r="F297" s="1" t="s">
        <v>898</v>
      </c>
      <c r="G297" s="1" t="s">
        <v>280</v>
      </c>
      <c r="H297" s="1" t="s">
        <v>169</v>
      </c>
      <c r="I297">
        <v>3</v>
      </c>
      <c r="J297">
        <v>0</v>
      </c>
      <c r="K297">
        <v>2</v>
      </c>
      <c r="L297">
        <v>1</v>
      </c>
      <c r="M297" t="s">
        <v>897</v>
      </c>
      <c r="N297" t="s">
        <v>897</v>
      </c>
      <c r="O297">
        <v>1</v>
      </c>
      <c r="P297">
        <v>0</v>
      </c>
      <c r="Q297">
        <v>0</v>
      </c>
      <c r="R297">
        <v>3</v>
      </c>
    </row>
    <row r="298" spans="1:18">
      <c r="A298" s="1" t="s">
        <v>899</v>
      </c>
      <c r="B298" s="6">
        <v>13</v>
      </c>
      <c r="C298" s="6">
        <v>14</v>
      </c>
      <c r="D298" s="6">
        <f t="shared" si="4"/>
        <v>1</v>
      </c>
      <c r="E298" s="1" t="s">
        <v>899</v>
      </c>
      <c r="F298" s="1" t="s">
        <v>900</v>
      </c>
      <c r="G298" s="1" t="s">
        <v>280</v>
      </c>
      <c r="H298" s="1" t="s">
        <v>901</v>
      </c>
      <c r="I298">
        <v>15</v>
      </c>
      <c r="J298">
        <v>0</v>
      </c>
      <c r="K298">
        <v>2</v>
      </c>
      <c r="L298">
        <v>13</v>
      </c>
      <c r="M298" t="s">
        <v>899</v>
      </c>
      <c r="N298" t="s">
        <v>899</v>
      </c>
      <c r="O298">
        <v>13</v>
      </c>
      <c r="P298">
        <v>0</v>
      </c>
      <c r="Q298">
        <v>-1</v>
      </c>
      <c r="R298">
        <v>14</v>
      </c>
    </row>
    <row r="299" spans="1:18">
      <c r="A299" s="1" t="s">
        <v>902</v>
      </c>
      <c r="B299" s="6">
        <v>10</v>
      </c>
      <c r="C299" s="6">
        <v>1</v>
      </c>
      <c r="D299" s="6">
        <f t="shared" si="4"/>
        <v>-9</v>
      </c>
      <c r="E299" s="1" t="s">
        <v>902</v>
      </c>
      <c r="F299" s="1" t="s">
        <v>903</v>
      </c>
      <c r="G299" s="1" t="s">
        <v>20</v>
      </c>
      <c r="H299" s="1" t="s">
        <v>904</v>
      </c>
      <c r="I299">
        <v>5</v>
      </c>
      <c r="J299">
        <v>5</v>
      </c>
      <c r="K299">
        <v>0</v>
      </c>
      <c r="L299">
        <v>10</v>
      </c>
      <c r="M299" t="s">
        <v>902</v>
      </c>
      <c r="N299" t="s">
        <v>902</v>
      </c>
      <c r="O299">
        <v>3</v>
      </c>
      <c r="P299">
        <v>5</v>
      </c>
      <c r="Q299">
        <v>-9</v>
      </c>
      <c r="R299">
        <v>1</v>
      </c>
    </row>
    <row r="300" spans="1:18">
      <c r="A300" s="1" t="s">
        <v>905</v>
      </c>
      <c r="B300" s="6">
        <v>250</v>
      </c>
      <c r="C300" s="6">
        <v>87</v>
      </c>
      <c r="D300" s="6">
        <f t="shared" si="4"/>
        <v>-163</v>
      </c>
      <c r="E300" s="1" t="s">
        <v>905</v>
      </c>
      <c r="F300" s="1" t="s">
        <v>906</v>
      </c>
      <c r="G300" s="1" t="s">
        <v>20</v>
      </c>
      <c r="H300" s="1" t="s">
        <v>907</v>
      </c>
      <c r="I300">
        <v>2</v>
      </c>
      <c r="J300">
        <v>248</v>
      </c>
      <c r="K300">
        <v>0</v>
      </c>
      <c r="L300">
        <v>250</v>
      </c>
      <c r="M300" t="s">
        <v>905</v>
      </c>
      <c r="N300" t="s">
        <v>905</v>
      </c>
      <c r="O300">
        <v>96</v>
      </c>
      <c r="P300">
        <v>398</v>
      </c>
      <c r="Q300">
        <v>-378</v>
      </c>
      <c r="R300">
        <v>87</v>
      </c>
    </row>
    <row r="301" spans="1:18">
      <c r="A301" s="1" t="s">
        <v>908</v>
      </c>
      <c r="B301" s="6">
        <v>43</v>
      </c>
      <c r="C301" s="6">
        <v>4</v>
      </c>
      <c r="D301" s="6">
        <f t="shared" si="4"/>
        <v>-39</v>
      </c>
      <c r="E301" s="1" t="s">
        <v>908</v>
      </c>
      <c r="F301" s="1" t="s">
        <v>909</v>
      </c>
      <c r="G301" s="1" t="s">
        <v>20</v>
      </c>
      <c r="H301" s="1" t="s">
        <v>910</v>
      </c>
      <c r="I301">
        <v>5</v>
      </c>
      <c r="J301">
        <v>38</v>
      </c>
      <c r="K301">
        <v>0</v>
      </c>
      <c r="L301">
        <v>43</v>
      </c>
      <c r="M301" t="s">
        <v>908</v>
      </c>
      <c r="N301" t="s">
        <v>908</v>
      </c>
      <c r="O301">
        <v>4</v>
      </c>
      <c r="P301">
        <v>58</v>
      </c>
      <c r="Q301">
        <v>-72</v>
      </c>
      <c r="R301">
        <v>4</v>
      </c>
    </row>
    <row r="302" spans="1:18">
      <c r="A302" s="1" t="s">
        <v>911</v>
      </c>
      <c r="B302" s="6">
        <v>10</v>
      </c>
      <c r="C302" s="6">
        <v>22</v>
      </c>
      <c r="D302" s="6">
        <f t="shared" si="4"/>
        <v>12</v>
      </c>
      <c r="E302" s="1" t="s">
        <v>911</v>
      </c>
      <c r="F302" s="1" t="s">
        <v>912</v>
      </c>
      <c r="G302" s="1" t="s">
        <v>20</v>
      </c>
      <c r="H302" s="1" t="s">
        <v>913</v>
      </c>
      <c r="I302">
        <v>10</v>
      </c>
      <c r="J302">
        <v>0</v>
      </c>
      <c r="K302">
        <v>0</v>
      </c>
      <c r="L302">
        <v>10</v>
      </c>
      <c r="M302" t="s">
        <v>911</v>
      </c>
      <c r="N302" t="s">
        <v>911</v>
      </c>
      <c r="O302">
        <v>10</v>
      </c>
      <c r="P302">
        <v>0</v>
      </c>
      <c r="Q302">
        <v>12</v>
      </c>
      <c r="R302">
        <v>22</v>
      </c>
    </row>
    <row r="303" spans="1:18">
      <c r="A303" s="1" t="s">
        <v>914</v>
      </c>
      <c r="B303" s="6">
        <v>100</v>
      </c>
      <c r="C303" s="6">
        <v>86</v>
      </c>
      <c r="D303" s="6">
        <f t="shared" si="4"/>
        <v>-14</v>
      </c>
      <c r="E303" s="1" t="s">
        <v>914</v>
      </c>
      <c r="F303" s="1" t="s">
        <v>915</v>
      </c>
      <c r="G303" s="1" t="s">
        <v>20</v>
      </c>
      <c r="H303" s="1" t="s">
        <v>916</v>
      </c>
      <c r="I303">
        <v>0</v>
      </c>
      <c r="J303">
        <v>100</v>
      </c>
      <c r="K303">
        <v>0</v>
      </c>
      <c r="L303">
        <v>100</v>
      </c>
      <c r="M303" t="s">
        <v>914</v>
      </c>
      <c r="N303" t="s">
        <v>914</v>
      </c>
      <c r="O303">
        <v>910</v>
      </c>
      <c r="P303">
        <v>1475</v>
      </c>
      <c r="Q303">
        <v>-2020</v>
      </c>
      <c r="R303">
        <v>86</v>
      </c>
    </row>
    <row r="304" spans="1:18">
      <c r="A304" s="1" t="s">
        <v>917</v>
      </c>
      <c r="B304" s="6">
        <v>297</v>
      </c>
      <c r="C304" s="6">
        <v>2</v>
      </c>
      <c r="D304" s="6">
        <f t="shared" si="4"/>
        <v>-295</v>
      </c>
      <c r="E304" s="1" t="s">
        <v>917</v>
      </c>
      <c r="F304" s="1" t="s">
        <v>918</v>
      </c>
      <c r="G304" s="1" t="s">
        <v>20</v>
      </c>
      <c r="H304" s="1" t="s">
        <v>919</v>
      </c>
      <c r="I304">
        <v>2</v>
      </c>
      <c r="J304">
        <v>400</v>
      </c>
      <c r="K304">
        <v>105</v>
      </c>
      <c r="L304">
        <v>297</v>
      </c>
      <c r="M304" t="s">
        <v>917</v>
      </c>
      <c r="N304" t="s">
        <v>917</v>
      </c>
      <c r="O304">
        <v>2</v>
      </c>
      <c r="P304">
        <v>0</v>
      </c>
      <c r="Q304">
        <v>0</v>
      </c>
      <c r="R304">
        <v>2</v>
      </c>
    </row>
    <row r="305" spans="1:18">
      <c r="A305" s="1" t="s">
        <v>920</v>
      </c>
      <c r="B305" s="6">
        <v>0</v>
      </c>
      <c r="C305" s="6">
        <v>297</v>
      </c>
      <c r="D305" s="6">
        <f t="shared" si="4"/>
        <v>297</v>
      </c>
      <c r="E305" s="1" t="s">
        <v>920</v>
      </c>
      <c r="F305" s="1" t="s">
        <v>921</v>
      </c>
      <c r="G305" s="1" t="s">
        <v>20</v>
      </c>
      <c r="H305" s="1" t="s">
        <v>922</v>
      </c>
      <c r="I305">
        <v>0</v>
      </c>
      <c r="J305">
        <v>20</v>
      </c>
      <c r="K305">
        <v>20</v>
      </c>
      <c r="L305">
        <v>0</v>
      </c>
      <c r="M305" t="s">
        <v>920</v>
      </c>
      <c r="N305" t="s">
        <v>920</v>
      </c>
      <c r="O305">
        <v>0</v>
      </c>
      <c r="P305">
        <v>420</v>
      </c>
      <c r="Q305">
        <v>-123</v>
      </c>
      <c r="R305">
        <v>297</v>
      </c>
    </row>
    <row r="306" spans="1:18">
      <c r="A306" s="1" t="s">
        <v>923</v>
      </c>
      <c r="B306" s="6">
        <v>53</v>
      </c>
      <c r="C306" s="6">
        <v>62</v>
      </c>
      <c r="D306" s="6">
        <f t="shared" si="4"/>
        <v>9</v>
      </c>
      <c r="E306" s="1" t="s">
        <v>923</v>
      </c>
      <c r="F306" s="1" t="s">
        <v>924</v>
      </c>
      <c r="G306" s="1" t="s">
        <v>280</v>
      </c>
      <c r="H306" s="1" t="s">
        <v>925</v>
      </c>
      <c r="I306">
        <v>153</v>
      </c>
      <c r="J306">
        <v>250</v>
      </c>
      <c r="K306">
        <v>350</v>
      </c>
      <c r="L306">
        <v>53</v>
      </c>
      <c r="M306" t="s">
        <v>923</v>
      </c>
      <c r="N306" t="s">
        <v>923</v>
      </c>
      <c r="O306">
        <v>92</v>
      </c>
      <c r="P306">
        <v>50</v>
      </c>
      <c r="Q306">
        <v>-141</v>
      </c>
      <c r="R306">
        <v>62</v>
      </c>
    </row>
    <row r="307" spans="1:18">
      <c r="A307" s="1" t="s">
        <v>926</v>
      </c>
      <c r="B307" s="6">
        <v>51</v>
      </c>
      <c r="C307" s="6">
        <v>201</v>
      </c>
      <c r="D307" s="6">
        <f t="shared" si="4"/>
        <v>150</v>
      </c>
      <c r="E307" s="1" t="s">
        <v>926</v>
      </c>
      <c r="F307" s="1" t="s">
        <v>927</v>
      </c>
      <c r="G307" s="1" t="s">
        <v>280</v>
      </c>
      <c r="H307" s="1" t="s">
        <v>928</v>
      </c>
      <c r="I307">
        <v>801</v>
      </c>
      <c r="J307">
        <v>4900</v>
      </c>
      <c r="K307">
        <v>5650</v>
      </c>
      <c r="L307">
        <v>51</v>
      </c>
      <c r="M307" t="s">
        <v>926</v>
      </c>
      <c r="N307" t="s">
        <v>926</v>
      </c>
      <c r="O307">
        <v>12</v>
      </c>
      <c r="P307">
        <v>2000</v>
      </c>
      <c r="Q307">
        <v>-2600</v>
      </c>
      <c r="R307">
        <v>201</v>
      </c>
    </row>
    <row r="308" spans="1:18">
      <c r="A308" s="1" t="s">
        <v>929</v>
      </c>
      <c r="B308" s="6">
        <v>0</v>
      </c>
      <c r="C308" s="6">
        <v>117</v>
      </c>
      <c r="D308" s="6">
        <f t="shared" si="4"/>
        <v>117</v>
      </c>
      <c r="E308" s="1" t="s">
        <v>929</v>
      </c>
      <c r="F308" s="1" t="s">
        <v>930</v>
      </c>
      <c r="G308" s="1" t="s">
        <v>280</v>
      </c>
      <c r="H308" s="1" t="s">
        <v>931</v>
      </c>
      <c r="I308">
        <v>0</v>
      </c>
      <c r="J308">
        <v>300</v>
      </c>
      <c r="K308">
        <v>300</v>
      </c>
      <c r="L308">
        <v>0</v>
      </c>
      <c r="M308" t="s">
        <v>929</v>
      </c>
      <c r="N308" t="s">
        <v>929</v>
      </c>
      <c r="O308">
        <v>313</v>
      </c>
      <c r="P308">
        <v>750</v>
      </c>
      <c r="Q308">
        <v>-671</v>
      </c>
      <c r="R308">
        <v>117</v>
      </c>
    </row>
    <row r="309" spans="1:18">
      <c r="A309" s="1" t="s">
        <v>932</v>
      </c>
      <c r="B309" s="6">
        <v>50</v>
      </c>
      <c r="C309" s="6">
        <v>122</v>
      </c>
      <c r="D309" s="6">
        <f t="shared" si="4"/>
        <v>72</v>
      </c>
      <c r="E309" s="1" t="s">
        <v>932</v>
      </c>
      <c r="F309" s="1" t="s">
        <v>933</v>
      </c>
      <c r="G309" s="1" t="s">
        <v>280</v>
      </c>
      <c r="H309" s="1" t="s">
        <v>934</v>
      </c>
      <c r="I309">
        <v>0</v>
      </c>
      <c r="J309">
        <v>50</v>
      </c>
      <c r="K309">
        <v>0</v>
      </c>
      <c r="L309">
        <v>50</v>
      </c>
      <c r="M309" t="s">
        <v>932</v>
      </c>
      <c r="N309" t="s">
        <v>932</v>
      </c>
      <c r="O309">
        <v>0</v>
      </c>
      <c r="P309">
        <v>50</v>
      </c>
      <c r="Q309">
        <v>72</v>
      </c>
      <c r="R309">
        <v>122</v>
      </c>
    </row>
    <row r="310" spans="1:18">
      <c r="A310" s="1" t="s">
        <v>935</v>
      </c>
      <c r="B310" s="6">
        <v>2</v>
      </c>
      <c r="C310" s="6">
        <v>3</v>
      </c>
      <c r="D310" s="6">
        <f t="shared" si="4"/>
        <v>1</v>
      </c>
      <c r="E310" s="1" t="s">
        <v>935</v>
      </c>
      <c r="F310" s="1" t="s">
        <v>936</v>
      </c>
      <c r="G310" s="1" t="s">
        <v>20</v>
      </c>
      <c r="H310" s="1" t="s">
        <v>937</v>
      </c>
      <c r="I310">
        <v>0</v>
      </c>
      <c r="J310">
        <v>2</v>
      </c>
      <c r="K310">
        <v>0</v>
      </c>
      <c r="L310">
        <v>2</v>
      </c>
      <c r="M310" t="s">
        <v>935</v>
      </c>
      <c r="N310" t="s">
        <v>935</v>
      </c>
      <c r="O310">
        <v>0</v>
      </c>
      <c r="P310">
        <v>2</v>
      </c>
      <c r="Q310">
        <v>1</v>
      </c>
      <c r="R310">
        <v>3</v>
      </c>
    </row>
    <row r="311" spans="1:18">
      <c r="A311" s="1" t="s">
        <v>938</v>
      </c>
      <c r="B311" s="6">
        <v>0</v>
      </c>
      <c r="C311" s="6">
        <v>5</v>
      </c>
      <c r="D311" s="6">
        <f t="shared" si="4"/>
        <v>5</v>
      </c>
      <c r="E311" s="1" t="s">
        <v>938</v>
      </c>
      <c r="F311" s="1" t="s">
        <v>939</v>
      </c>
      <c r="G311" s="1" t="s">
        <v>20</v>
      </c>
      <c r="H311" s="1" t="s">
        <v>940</v>
      </c>
      <c r="I311">
        <v>0</v>
      </c>
      <c r="J311">
        <v>2</v>
      </c>
      <c r="K311">
        <v>2</v>
      </c>
      <c r="L311">
        <v>0</v>
      </c>
      <c r="M311" t="s">
        <v>938</v>
      </c>
      <c r="N311" t="s">
        <v>938</v>
      </c>
      <c r="O311">
        <v>0</v>
      </c>
      <c r="P311">
        <v>2</v>
      </c>
      <c r="Q311">
        <v>3</v>
      </c>
      <c r="R311">
        <v>5</v>
      </c>
    </row>
    <row r="312" spans="1:18">
      <c r="A312" s="1" t="s">
        <v>941</v>
      </c>
      <c r="B312" s="6">
        <v>11700</v>
      </c>
      <c r="C312" s="6">
        <v>1990</v>
      </c>
      <c r="D312" s="6">
        <f t="shared" si="4"/>
        <v>-9710</v>
      </c>
      <c r="E312" s="1" t="s">
        <v>941</v>
      </c>
      <c r="F312" s="1" t="s">
        <v>942</v>
      </c>
      <c r="G312" s="1" t="s">
        <v>20</v>
      </c>
      <c r="H312" s="1" t="s">
        <v>943</v>
      </c>
      <c r="I312">
        <v>8500</v>
      </c>
      <c r="J312">
        <v>13200</v>
      </c>
      <c r="K312">
        <v>10000</v>
      </c>
      <c r="L312">
        <v>11700</v>
      </c>
      <c r="M312" t="s">
        <v>941</v>
      </c>
      <c r="N312" t="s">
        <v>941</v>
      </c>
      <c r="O312">
        <v>2300</v>
      </c>
      <c r="P312">
        <v>13200</v>
      </c>
      <c r="Q312">
        <v>-19710</v>
      </c>
      <c r="R312">
        <v>1990</v>
      </c>
    </row>
    <row r="313" spans="1:18">
      <c r="A313" s="1" t="s">
        <v>944</v>
      </c>
      <c r="B313" s="6">
        <v>120</v>
      </c>
      <c r="C313" s="6">
        <v>0</v>
      </c>
      <c r="D313" s="6">
        <f t="shared" si="4"/>
        <v>-120</v>
      </c>
      <c r="E313" s="1" t="s">
        <v>944</v>
      </c>
      <c r="F313" s="1" t="s">
        <v>945</v>
      </c>
      <c r="G313" s="1" t="s">
        <v>20</v>
      </c>
      <c r="H313" s="1" t="s">
        <v>361</v>
      </c>
      <c r="I313">
        <v>120</v>
      </c>
      <c r="J313">
        <v>0</v>
      </c>
      <c r="K313">
        <v>0</v>
      </c>
      <c r="L313">
        <v>120</v>
      </c>
      <c r="M313" t="s">
        <v>944</v>
      </c>
      <c r="N313" t="s">
        <v>944</v>
      </c>
      <c r="O313">
        <v>4</v>
      </c>
      <c r="P313">
        <v>0</v>
      </c>
      <c r="Q313">
        <v>-120</v>
      </c>
      <c r="R313">
        <v>0</v>
      </c>
    </row>
    <row r="314" spans="1:18">
      <c r="A314" s="1" t="s">
        <v>946</v>
      </c>
      <c r="B314" s="6">
        <v>0</v>
      </c>
      <c r="C314" s="6">
        <v>501</v>
      </c>
      <c r="D314" s="6">
        <f t="shared" si="4"/>
        <v>501</v>
      </c>
      <c r="E314" s="1" t="s">
        <v>946</v>
      </c>
      <c r="F314" s="1" t="s">
        <v>947</v>
      </c>
      <c r="G314" s="1" t="s">
        <v>20</v>
      </c>
      <c r="H314" s="1" t="s">
        <v>948</v>
      </c>
      <c r="I314">
        <v>81</v>
      </c>
      <c r="J314">
        <v>1500</v>
      </c>
      <c r="K314">
        <v>1581</v>
      </c>
      <c r="L314">
        <v>0</v>
      </c>
      <c r="M314" t="s">
        <v>946</v>
      </c>
      <c r="N314" t="s">
        <v>946</v>
      </c>
      <c r="O314">
        <v>73</v>
      </c>
      <c r="P314">
        <v>1500</v>
      </c>
      <c r="Q314">
        <v>-1080</v>
      </c>
      <c r="R314">
        <v>501</v>
      </c>
    </row>
    <row r="315" spans="1:18">
      <c r="A315" s="1" t="s">
        <v>949</v>
      </c>
      <c r="B315" s="6">
        <v>0</v>
      </c>
      <c r="C315" s="6">
        <v>53</v>
      </c>
      <c r="D315" s="6">
        <f t="shared" si="4"/>
        <v>53</v>
      </c>
      <c r="E315" s="1" t="s">
        <v>949</v>
      </c>
      <c r="F315" s="1" t="s">
        <v>950</v>
      </c>
      <c r="G315" s="1" t="s">
        <v>20</v>
      </c>
      <c r="H315" s="1" t="s">
        <v>951</v>
      </c>
      <c r="I315">
        <v>0</v>
      </c>
      <c r="J315">
        <v>20</v>
      </c>
      <c r="K315">
        <v>20</v>
      </c>
      <c r="L315">
        <v>0</v>
      </c>
      <c r="M315" t="s">
        <v>949</v>
      </c>
      <c r="N315" t="s">
        <v>949</v>
      </c>
      <c r="O315">
        <v>200</v>
      </c>
      <c r="P315">
        <v>220</v>
      </c>
      <c r="Q315">
        <v>-167</v>
      </c>
      <c r="R315">
        <v>53</v>
      </c>
    </row>
    <row r="316" spans="1:18">
      <c r="A316" s="1" t="s">
        <v>952</v>
      </c>
      <c r="B316" s="6">
        <v>0</v>
      </c>
      <c r="C316" s="6">
        <v>15100</v>
      </c>
      <c r="D316" s="6">
        <f t="shared" si="4"/>
        <v>15100</v>
      </c>
      <c r="E316" s="1" t="s">
        <v>952</v>
      </c>
      <c r="F316" s="1" t="s">
        <v>953</v>
      </c>
      <c r="G316" s="1" t="s">
        <v>20</v>
      </c>
      <c r="H316" s="1" t="s">
        <v>954</v>
      </c>
      <c r="I316">
        <v>0</v>
      </c>
      <c r="J316">
        <v>30000</v>
      </c>
      <c r="K316">
        <v>30000</v>
      </c>
      <c r="L316">
        <v>0</v>
      </c>
      <c r="M316" t="s">
        <v>952</v>
      </c>
      <c r="N316" t="s">
        <v>952</v>
      </c>
      <c r="O316">
        <v>0</v>
      </c>
      <c r="P316">
        <v>180000</v>
      </c>
      <c r="Q316">
        <v>-164900</v>
      </c>
      <c r="R316">
        <v>15100</v>
      </c>
    </row>
    <row r="317" spans="1:18">
      <c r="A317" s="1" t="s">
        <v>955</v>
      </c>
      <c r="B317" s="6">
        <v>7</v>
      </c>
      <c r="C317" s="6">
        <v>23</v>
      </c>
      <c r="D317" s="6">
        <f t="shared" si="4"/>
        <v>16</v>
      </c>
      <c r="E317" s="1" t="s">
        <v>955</v>
      </c>
      <c r="F317" s="1" t="s">
        <v>956</v>
      </c>
      <c r="G317" s="1" t="s">
        <v>20</v>
      </c>
      <c r="H317" s="1" t="s">
        <v>957</v>
      </c>
      <c r="I317">
        <v>0</v>
      </c>
      <c r="J317">
        <v>14</v>
      </c>
      <c r="K317">
        <v>7</v>
      </c>
      <c r="L317">
        <v>7</v>
      </c>
      <c r="M317" t="s">
        <v>955</v>
      </c>
      <c r="N317" t="s">
        <v>955</v>
      </c>
      <c r="O317">
        <v>0</v>
      </c>
      <c r="P317">
        <v>14</v>
      </c>
      <c r="Q317">
        <v>9</v>
      </c>
      <c r="R317">
        <v>23</v>
      </c>
    </row>
    <row r="318" spans="1:18">
      <c r="A318" s="1" t="s">
        <v>958</v>
      </c>
      <c r="B318" s="6">
        <v>477</v>
      </c>
      <c r="C318" s="6">
        <v>527</v>
      </c>
      <c r="D318" s="6">
        <f t="shared" si="4"/>
        <v>50</v>
      </c>
      <c r="E318" s="1" t="s">
        <v>958</v>
      </c>
      <c r="F318" s="1" t="s">
        <v>959</v>
      </c>
      <c r="G318" s="1" t="s">
        <v>20</v>
      </c>
      <c r="H318" s="1" t="s">
        <v>960</v>
      </c>
      <c r="I318">
        <v>0</v>
      </c>
      <c r="J318">
        <v>750</v>
      </c>
      <c r="K318">
        <v>273</v>
      </c>
      <c r="L318">
        <v>477</v>
      </c>
      <c r="M318" t="s">
        <v>958</v>
      </c>
      <c r="N318" t="s">
        <v>958</v>
      </c>
      <c r="O318">
        <v>0</v>
      </c>
      <c r="P318">
        <v>800</v>
      </c>
      <c r="Q318">
        <v>-273</v>
      </c>
      <c r="R318">
        <v>527</v>
      </c>
    </row>
    <row r="319" spans="1:18">
      <c r="A319" s="1" t="s">
        <v>961</v>
      </c>
      <c r="B319" s="6">
        <v>144</v>
      </c>
      <c r="C319" s="6">
        <v>18</v>
      </c>
      <c r="D319" s="6">
        <f t="shared" si="4"/>
        <v>-126</v>
      </c>
      <c r="E319" s="1" t="s">
        <v>961</v>
      </c>
      <c r="F319" s="1" t="s">
        <v>962</v>
      </c>
      <c r="G319" s="1" t="s">
        <v>280</v>
      </c>
      <c r="H319" s="1" t="s">
        <v>963</v>
      </c>
      <c r="I319">
        <v>0</v>
      </c>
      <c r="J319">
        <v>144</v>
      </c>
      <c r="K319">
        <v>0</v>
      </c>
      <c r="L319">
        <v>144</v>
      </c>
      <c r="M319" t="s">
        <v>961</v>
      </c>
      <c r="N319" t="s">
        <v>961</v>
      </c>
      <c r="O319">
        <v>0</v>
      </c>
      <c r="P319">
        <v>144</v>
      </c>
      <c r="Q319">
        <v>-126</v>
      </c>
      <c r="R319">
        <v>18</v>
      </c>
    </row>
    <row r="320" spans="1:18">
      <c r="A320" s="1" t="s">
        <v>964</v>
      </c>
      <c r="B320" s="6">
        <v>1</v>
      </c>
      <c r="C320" s="6">
        <v>2</v>
      </c>
      <c r="D320" s="6">
        <f t="shared" si="4"/>
        <v>1</v>
      </c>
      <c r="E320" s="1" t="s">
        <v>964</v>
      </c>
      <c r="F320" s="1" t="s">
        <v>965</v>
      </c>
      <c r="G320" s="1" t="s">
        <v>20</v>
      </c>
      <c r="H320" s="1" t="s">
        <v>966</v>
      </c>
      <c r="I320">
        <v>3</v>
      </c>
      <c r="J320">
        <v>1</v>
      </c>
      <c r="K320">
        <v>3</v>
      </c>
      <c r="L320">
        <v>1</v>
      </c>
      <c r="M320" t="s">
        <v>964</v>
      </c>
      <c r="N320" t="s">
        <v>964</v>
      </c>
      <c r="O320">
        <v>0</v>
      </c>
      <c r="P320">
        <v>1</v>
      </c>
      <c r="Q320">
        <v>-1.9</v>
      </c>
      <c r="R320">
        <v>2</v>
      </c>
    </row>
    <row r="321" spans="1:18">
      <c r="A321" s="1" t="s">
        <v>967</v>
      </c>
      <c r="B321" s="6">
        <v>164</v>
      </c>
      <c r="C321" s="6">
        <v>40</v>
      </c>
      <c r="D321" s="6">
        <f t="shared" si="4"/>
        <v>-124</v>
      </c>
      <c r="E321" s="1" t="s">
        <v>967</v>
      </c>
      <c r="F321" s="1" t="s">
        <v>968</v>
      </c>
      <c r="G321" s="1" t="s">
        <v>20</v>
      </c>
      <c r="H321" s="1" t="s">
        <v>969</v>
      </c>
      <c r="I321">
        <v>39</v>
      </c>
      <c r="J321">
        <v>125</v>
      </c>
      <c r="K321">
        <v>0</v>
      </c>
      <c r="L321">
        <v>164</v>
      </c>
      <c r="M321" t="s">
        <v>967</v>
      </c>
      <c r="N321" t="s">
        <v>967</v>
      </c>
      <c r="O321">
        <v>137</v>
      </c>
      <c r="P321">
        <v>125</v>
      </c>
      <c r="Q321">
        <v>-124</v>
      </c>
      <c r="R321">
        <v>40</v>
      </c>
    </row>
    <row r="322" spans="1:18">
      <c r="A322" s="1" t="s">
        <v>970</v>
      </c>
      <c r="B322" s="6">
        <v>151</v>
      </c>
      <c r="C322" s="6">
        <v>651</v>
      </c>
      <c r="D322" s="6">
        <f t="shared" si="4"/>
        <v>500</v>
      </c>
      <c r="E322" s="1" t="s">
        <v>970</v>
      </c>
      <c r="F322" s="1" t="s">
        <v>971</v>
      </c>
      <c r="G322" s="1" t="s">
        <v>280</v>
      </c>
      <c r="H322" s="1" t="s">
        <v>384</v>
      </c>
      <c r="I322">
        <v>0</v>
      </c>
      <c r="J322">
        <v>200</v>
      </c>
      <c r="K322">
        <v>49</v>
      </c>
      <c r="L322">
        <v>151</v>
      </c>
      <c r="M322" t="s">
        <v>970</v>
      </c>
      <c r="N322" t="s">
        <v>970</v>
      </c>
      <c r="O322">
        <v>0</v>
      </c>
      <c r="P322">
        <v>200</v>
      </c>
      <c r="Q322">
        <v>451</v>
      </c>
      <c r="R322">
        <v>651</v>
      </c>
    </row>
    <row r="323" spans="1:18">
      <c r="A323" s="1" t="s">
        <v>972</v>
      </c>
      <c r="B323" s="6">
        <v>12</v>
      </c>
      <c r="C323" s="6">
        <v>12.3</v>
      </c>
      <c r="D323" s="6">
        <f t="shared" ref="D323:D358" si="5">C323-B323</f>
        <v>0.30000000000000071</v>
      </c>
      <c r="E323" s="1" t="s">
        <v>972</v>
      </c>
      <c r="F323" s="1" t="s">
        <v>973</v>
      </c>
      <c r="G323" s="1" t="s">
        <v>280</v>
      </c>
      <c r="H323" s="1" t="s">
        <v>974</v>
      </c>
      <c r="I323">
        <v>27</v>
      </c>
      <c r="J323">
        <v>155</v>
      </c>
      <c r="K323">
        <v>170</v>
      </c>
      <c r="L323">
        <v>12</v>
      </c>
      <c r="M323" t="s">
        <v>972</v>
      </c>
      <c r="N323" t="s">
        <v>972</v>
      </c>
      <c r="O323">
        <v>46.5</v>
      </c>
      <c r="P323">
        <v>155</v>
      </c>
      <c r="Q323">
        <v>-169.2</v>
      </c>
      <c r="R323">
        <v>12.3</v>
      </c>
    </row>
    <row r="324" spans="1:18">
      <c r="A324" s="1" t="s">
        <v>975</v>
      </c>
      <c r="B324" s="6">
        <v>180</v>
      </c>
      <c r="C324" s="6">
        <v>0</v>
      </c>
      <c r="D324" s="6">
        <f t="shared" si="5"/>
        <v>-180</v>
      </c>
      <c r="E324" s="1" t="s">
        <v>975</v>
      </c>
      <c r="F324" s="1" t="s">
        <v>976</v>
      </c>
      <c r="G324" s="1" t="s">
        <v>20</v>
      </c>
      <c r="H324" s="1" t="s">
        <v>977</v>
      </c>
      <c r="I324">
        <v>180</v>
      </c>
      <c r="J324">
        <v>0</v>
      </c>
      <c r="K324">
        <v>0</v>
      </c>
      <c r="L324">
        <v>180</v>
      </c>
      <c r="M324" t="s">
        <v>975</v>
      </c>
      <c r="N324" t="s">
        <v>975</v>
      </c>
      <c r="O324">
        <v>0</v>
      </c>
      <c r="P324">
        <v>5</v>
      </c>
      <c r="Q324">
        <v>-5</v>
      </c>
      <c r="R324">
        <v>0</v>
      </c>
    </row>
    <row r="325" spans="1:18">
      <c r="A325" s="1" t="s">
        <v>978</v>
      </c>
      <c r="B325" s="6">
        <v>13</v>
      </c>
      <c r="C325" s="6">
        <v>12.8</v>
      </c>
      <c r="D325" s="6">
        <f t="shared" si="5"/>
        <v>-0.19999999999999929</v>
      </c>
      <c r="E325" s="1" t="s">
        <v>978</v>
      </c>
      <c r="F325" s="1" t="s">
        <v>979</v>
      </c>
      <c r="G325" s="1" t="s">
        <v>20</v>
      </c>
      <c r="H325" s="1" t="s">
        <v>980</v>
      </c>
      <c r="I325">
        <v>16</v>
      </c>
      <c r="J325">
        <v>50</v>
      </c>
      <c r="K325">
        <v>53</v>
      </c>
      <c r="L325">
        <v>13</v>
      </c>
      <c r="M325" t="s">
        <v>978</v>
      </c>
      <c r="N325" t="s">
        <v>978</v>
      </c>
      <c r="O325">
        <v>51.8</v>
      </c>
      <c r="P325">
        <v>50</v>
      </c>
      <c r="Q325">
        <v>-53.2</v>
      </c>
      <c r="R325">
        <v>12.8</v>
      </c>
    </row>
    <row r="326" spans="1:18">
      <c r="A326" s="1" t="s">
        <v>981</v>
      </c>
      <c r="B326" s="6">
        <v>2</v>
      </c>
      <c r="C326" s="6">
        <v>3</v>
      </c>
      <c r="D326" s="6">
        <f t="shared" si="5"/>
        <v>1</v>
      </c>
      <c r="E326" s="1" t="s">
        <v>981</v>
      </c>
      <c r="F326" s="1" t="s">
        <v>982</v>
      </c>
      <c r="G326" s="1" t="s">
        <v>20</v>
      </c>
      <c r="H326" s="1" t="s">
        <v>983</v>
      </c>
      <c r="I326">
        <v>2</v>
      </c>
      <c r="J326">
        <v>0</v>
      </c>
      <c r="K326">
        <v>0</v>
      </c>
      <c r="L326">
        <v>2</v>
      </c>
      <c r="M326" t="s">
        <v>981</v>
      </c>
      <c r="N326" t="s">
        <v>981</v>
      </c>
      <c r="O326">
        <v>2</v>
      </c>
      <c r="P326">
        <v>0</v>
      </c>
      <c r="Q326">
        <v>1</v>
      </c>
      <c r="R326">
        <v>3</v>
      </c>
    </row>
    <row r="327" spans="1:18">
      <c r="A327" s="1" t="s">
        <v>984</v>
      </c>
      <c r="B327" s="6">
        <v>95</v>
      </c>
      <c r="C327" s="6">
        <v>70</v>
      </c>
      <c r="D327" s="6">
        <f t="shared" si="5"/>
        <v>-25</v>
      </c>
      <c r="E327" s="1" t="s">
        <v>984</v>
      </c>
      <c r="F327" s="1" t="s">
        <v>985</v>
      </c>
      <c r="G327" s="1" t="s">
        <v>20</v>
      </c>
      <c r="H327" s="1" t="s">
        <v>986</v>
      </c>
      <c r="I327">
        <v>95</v>
      </c>
      <c r="J327">
        <v>0</v>
      </c>
      <c r="K327">
        <v>0</v>
      </c>
      <c r="L327">
        <v>95</v>
      </c>
      <c r="M327" t="s">
        <v>984</v>
      </c>
      <c r="N327" t="s">
        <v>984</v>
      </c>
      <c r="O327">
        <v>188</v>
      </c>
      <c r="P327">
        <v>170</v>
      </c>
      <c r="Q327">
        <v>-195</v>
      </c>
      <c r="R327">
        <v>70</v>
      </c>
    </row>
    <row r="328" spans="1:18">
      <c r="A328" s="1" t="s">
        <v>987</v>
      </c>
      <c r="B328" s="6">
        <v>5</v>
      </c>
      <c r="C328" s="6">
        <v>0</v>
      </c>
      <c r="D328" s="6">
        <f t="shared" si="5"/>
        <v>-5</v>
      </c>
      <c r="E328" s="1" t="s">
        <v>987</v>
      </c>
      <c r="F328" s="1" t="s">
        <v>988</v>
      </c>
      <c r="G328" s="1" t="s">
        <v>20</v>
      </c>
      <c r="H328" s="1" t="s">
        <v>989</v>
      </c>
      <c r="I328">
        <v>0</v>
      </c>
      <c r="J328">
        <v>5</v>
      </c>
      <c r="K328">
        <v>0</v>
      </c>
      <c r="L328">
        <v>5</v>
      </c>
      <c r="M328" t="s">
        <v>987</v>
      </c>
      <c r="N328" t="s">
        <v>987</v>
      </c>
      <c r="O328">
        <v>4</v>
      </c>
      <c r="P328">
        <v>5</v>
      </c>
      <c r="Q328">
        <v>-5</v>
      </c>
      <c r="R328">
        <v>0</v>
      </c>
    </row>
    <row r="329" spans="1:18">
      <c r="A329" s="1" t="s">
        <v>990</v>
      </c>
      <c r="B329" s="6">
        <v>77</v>
      </c>
      <c r="C329" s="6">
        <v>48</v>
      </c>
      <c r="D329" s="6">
        <f t="shared" si="5"/>
        <v>-29</v>
      </c>
      <c r="E329" s="1" t="s">
        <v>990</v>
      </c>
      <c r="F329" s="1" t="s">
        <v>991</v>
      </c>
      <c r="G329" s="1" t="s">
        <v>20</v>
      </c>
      <c r="H329" s="1" t="s">
        <v>992</v>
      </c>
      <c r="I329">
        <v>37</v>
      </c>
      <c r="J329">
        <v>40</v>
      </c>
      <c r="K329">
        <v>0</v>
      </c>
      <c r="L329">
        <v>77</v>
      </c>
      <c r="M329" t="s">
        <v>990</v>
      </c>
      <c r="N329" t="s">
        <v>990</v>
      </c>
      <c r="O329">
        <v>42</v>
      </c>
      <c r="P329">
        <v>150</v>
      </c>
      <c r="Q329">
        <v>-139</v>
      </c>
      <c r="R329">
        <v>48</v>
      </c>
    </row>
    <row r="330" spans="1:18">
      <c r="A330" s="1" t="s">
        <v>993</v>
      </c>
      <c r="B330" s="6">
        <v>170</v>
      </c>
      <c r="C330" s="6">
        <v>41</v>
      </c>
      <c r="D330" s="6">
        <f t="shared" si="5"/>
        <v>-129</v>
      </c>
      <c r="E330" s="1" t="s">
        <v>993</v>
      </c>
      <c r="F330" s="1" t="s">
        <v>994</v>
      </c>
      <c r="G330" s="1" t="s">
        <v>20</v>
      </c>
      <c r="H330" s="1" t="s">
        <v>995</v>
      </c>
      <c r="I330">
        <v>0</v>
      </c>
      <c r="J330">
        <v>170</v>
      </c>
      <c r="K330">
        <v>0</v>
      </c>
      <c r="L330">
        <v>170</v>
      </c>
      <c r="M330" t="s">
        <v>993</v>
      </c>
      <c r="N330" t="s">
        <v>993</v>
      </c>
      <c r="O330">
        <v>25</v>
      </c>
      <c r="P330">
        <v>170</v>
      </c>
      <c r="Q330">
        <v>-129</v>
      </c>
      <c r="R330">
        <v>41</v>
      </c>
    </row>
    <row r="331" spans="1:18">
      <c r="A331" s="1" t="s">
        <v>996</v>
      </c>
      <c r="B331" s="6">
        <v>5</v>
      </c>
      <c r="C331" s="6">
        <v>9</v>
      </c>
      <c r="D331" s="6">
        <f t="shared" si="5"/>
        <v>4</v>
      </c>
      <c r="E331" s="1" t="s">
        <v>996</v>
      </c>
      <c r="F331" s="1" t="s">
        <v>997</v>
      </c>
      <c r="G331" s="1" t="s">
        <v>20</v>
      </c>
      <c r="H331" s="1" t="s">
        <v>998</v>
      </c>
      <c r="I331">
        <v>0</v>
      </c>
      <c r="J331">
        <v>5</v>
      </c>
      <c r="K331">
        <v>0</v>
      </c>
      <c r="L331">
        <v>5</v>
      </c>
      <c r="M331" t="s">
        <v>996</v>
      </c>
      <c r="N331" t="s">
        <v>996</v>
      </c>
      <c r="O331">
        <v>5</v>
      </c>
      <c r="P331">
        <v>15</v>
      </c>
      <c r="Q331">
        <v>-6</v>
      </c>
      <c r="R331">
        <v>9</v>
      </c>
    </row>
    <row r="332" spans="1:18">
      <c r="A332" s="1" t="s">
        <v>999</v>
      </c>
      <c r="B332" s="6">
        <v>16</v>
      </c>
      <c r="C332" s="6">
        <v>9</v>
      </c>
      <c r="D332" s="6">
        <f t="shared" si="5"/>
        <v>-7</v>
      </c>
      <c r="E332" s="1" t="s">
        <v>999</v>
      </c>
      <c r="F332" s="1" t="s">
        <v>1000</v>
      </c>
      <c r="G332" s="1" t="s">
        <v>20</v>
      </c>
      <c r="H332" s="1" t="s">
        <v>1001</v>
      </c>
      <c r="I332">
        <v>0</v>
      </c>
      <c r="J332">
        <v>16</v>
      </c>
      <c r="K332">
        <v>0</v>
      </c>
      <c r="L332">
        <v>16</v>
      </c>
      <c r="M332" t="s">
        <v>999</v>
      </c>
      <c r="N332" t="s">
        <v>999</v>
      </c>
      <c r="O332">
        <v>3</v>
      </c>
      <c r="P332">
        <v>20</v>
      </c>
      <c r="Q332">
        <v>-11</v>
      </c>
      <c r="R332">
        <v>9</v>
      </c>
    </row>
    <row r="333" spans="1:18">
      <c r="A333" s="1" t="s">
        <v>1002</v>
      </c>
      <c r="B333" s="6">
        <v>0</v>
      </c>
      <c r="C333" s="6">
        <v>2</v>
      </c>
      <c r="D333" s="6">
        <f t="shared" si="5"/>
        <v>2</v>
      </c>
      <c r="E333" s="1" t="s">
        <v>1002</v>
      </c>
      <c r="F333" s="1" t="s">
        <v>1003</v>
      </c>
      <c r="G333" s="1" t="s">
        <v>20</v>
      </c>
      <c r="H333" s="1" t="s">
        <v>1004</v>
      </c>
      <c r="I333">
        <v>0</v>
      </c>
      <c r="J333">
        <v>1</v>
      </c>
      <c r="K333">
        <v>1</v>
      </c>
      <c r="L333">
        <v>0</v>
      </c>
      <c r="M333" t="s">
        <v>1002</v>
      </c>
      <c r="N333" t="s">
        <v>1002</v>
      </c>
      <c r="O333">
        <v>0.5</v>
      </c>
      <c r="P333">
        <v>1</v>
      </c>
      <c r="Q333">
        <v>0</v>
      </c>
      <c r="R333">
        <v>2</v>
      </c>
    </row>
    <row r="334" spans="1:18">
      <c r="A334" s="1" t="s">
        <v>1002</v>
      </c>
      <c r="B334" s="6">
        <v>1</v>
      </c>
      <c r="C334" s="6">
        <v>2</v>
      </c>
      <c r="D334" s="6">
        <f t="shared" si="5"/>
        <v>1</v>
      </c>
      <c r="E334" s="1" t="s">
        <v>1002</v>
      </c>
      <c r="F334" s="1" t="s">
        <v>1005</v>
      </c>
      <c r="G334" s="1" t="s">
        <v>20</v>
      </c>
      <c r="H334" s="1" t="s">
        <v>1006</v>
      </c>
      <c r="I334">
        <v>1</v>
      </c>
      <c r="J334">
        <v>0</v>
      </c>
      <c r="K334">
        <v>0</v>
      </c>
      <c r="L334">
        <v>1</v>
      </c>
      <c r="M334" t="s">
        <v>1002</v>
      </c>
      <c r="N334" t="s">
        <v>1002</v>
      </c>
      <c r="O334">
        <v>0.5</v>
      </c>
      <c r="P334">
        <v>1</v>
      </c>
      <c r="Q334">
        <v>0</v>
      </c>
      <c r="R334">
        <v>2</v>
      </c>
    </row>
    <row r="335" spans="1:18">
      <c r="A335" s="1" t="s">
        <v>1007</v>
      </c>
      <c r="B335" s="6">
        <v>0</v>
      </c>
      <c r="C335" s="6">
        <v>29</v>
      </c>
      <c r="D335" s="6">
        <f t="shared" si="5"/>
        <v>29</v>
      </c>
      <c r="E335" s="1" t="s">
        <v>1007</v>
      </c>
      <c r="F335" s="1" t="s">
        <v>1008</v>
      </c>
      <c r="G335" s="1" t="s">
        <v>20</v>
      </c>
      <c r="H335" s="1" t="s">
        <v>1009</v>
      </c>
      <c r="I335">
        <v>9</v>
      </c>
      <c r="J335">
        <v>0</v>
      </c>
      <c r="K335">
        <v>9</v>
      </c>
      <c r="L335">
        <v>0</v>
      </c>
      <c r="M335" t="s">
        <v>1007</v>
      </c>
      <c r="N335" t="s">
        <v>1007</v>
      </c>
      <c r="O335">
        <v>48</v>
      </c>
      <c r="P335">
        <v>125</v>
      </c>
      <c r="Q335">
        <v>-105</v>
      </c>
      <c r="R335">
        <v>29</v>
      </c>
    </row>
    <row r="336" spans="1:18">
      <c r="A336" s="1" t="s">
        <v>1010</v>
      </c>
      <c r="B336" s="6">
        <v>0</v>
      </c>
      <c r="C336" s="6">
        <v>40</v>
      </c>
      <c r="D336" s="6">
        <f t="shared" si="5"/>
        <v>40</v>
      </c>
      <c r="E336" s="1" t="s">
        <v>1010</v>
      </c>
      <c r="F336" s="1" t="s">
        <v>1011</v>
      </c>
      <c r="G336" s="1" t="s">
        <v>20</v>
      </c>
      <c r="H336" s="1" t="s">
        <v>1012</v>
      </c>
      <c r="I336">
        <v>0</v>
      </c>
      <c r="J336">
        <v>102</v>
      </c>
      <c r="K336">
        <v>102</v>
      </c>
      <c r="L336">
        <v>0</v>
      </c>
      <c r="M336" t="s">
        <v>1010</v>
      </c>
      <c r="N336" t="s">
        <v>1010</v>
      </c>
      <c r="O336">
        <v>0</v>
      </c>
      <c r="P336">
        <v>158</v>
      </c>
      <c r="Q336">
        <v>-118</v>
      </c>
      <c r="R336">
        <v>40</v>
      </c>
    </row>
    <row r="337" spans="1:18">
      <c r="A337" s="1" t="s">
        <v>1013</v>
      </c>
      <c r="B337" s="6">
        <v>602</v>
      </c>
      <c r="C337" s="6">
        <v>250</v>
      </c>
      <c r="D337" s="6">
        <f t="shared" si="5"/>
        <v>-352</v>
      </c>
      <c r="E337" s="1" t="s">
        <v>1013</v>
      </c>
      <c r="F337" s="1" t="s">
        <v>1014</v>
      </c>
      <c r="G337" s="1" t="s">
        <v>20</v>
      </c>
      <c r="H337" s="1" t="s">
        <v>1015</v>
      </c>
      <c r="I337">
        <v>102</v>
      </c>
      <c r="J337">
        <v>500</v>
      </c>
      <c r="K337">
        <v>0</v>
      </c>
      <c r="L337">
        <v>602</v>
      </c>
      <c r="M337" t="s">
        <v>1013</v>
      </c>
      <c r="N337" t="s">
        <v>1013</v>
      </c>
      <c r="O337">
        <v>285</v>
      </c>
      <c r="P337">
        <v>500</v>
      </c>
      <c r="Q337">
        <v>-352</v>
      </c>
      <c r="R337">
        <v>250</v>
      </c>
    </row>
    <row r="338" spans="1:18">
      <c r="A338" s="1" t="s">
        <v>1016</v>
      </c>
      <c r="B338" s="6">
        <v>3</v>
      </c>
      <c r="C338" s="6">
        <v>0</v>
      </c>
      <c r="D338" s="6">
        <f t="shared" si="5"/>
        <v>-3</v>
      </c>
      <c r="E338" s="1" t="s">
        <v>1016</v>
      </c>
      <c r="F338" s="1" t="s">
        <v>1017</v>
      </c>
      <c r="G338" s="1" t="s">
        <v>20</v>
      </c>
      <c r="H338" s="1" t="s">
        <v>1018</v>
      </c>
      <c r="I338">
        <v>0</v>
      </c>
      <c r="J338">
        <v>3</v>
      </c>
      <c r="K338">
        <v>0</v>
      </c>
      <c r="L338">
        <v>3</v>
      </c>
      <c r="M338" t="s">
        <v>1016</v>
      </c>
      <c r="N338" t="s">
        <v>1016</v>
      </c>
      <c r="O338">
        <v>0</v>
      </c>
      <c r="P338">
        <v>15</v>
      </c>
      <c r="Q338">
        <v>-15</v>
      </c>
      <c r="R338">
        <v>0</v>
      </c>
    </row>
    <row r="339" spans="1:18">
      <c r="A339" s="1" t="s">
        <v>1019</v>
      </c>
      <c r="B339" s="6">
        <v>0</v>
      </c>
      <c r="C339" s="6">
        <v>7</v>
      </c>
      <c r="D339" s="6">
        <f t="shared" si="5"/>
        <v>7</v>
      </c>
      <c r="E339" s="1" t="s">
        <v>1019</v>
      </c>
      <c r="F339" s="1" t="s">
        <v>1020</v>
      </c>
      <c r="G339" s="1" t="s">
        <v>1021</v>
      </c>
      <c r="H339" s="1" t="s">
        <v>1022</v>
      </c>
      <c r="I339">
        <v>0</v>
      </c>
      <c r="J339">
        <v>1413</v>
      </c>
      <c r="K339">
        <v>1413</v>
      </c>
      <c r="L339">
        <v>0</v>
      </c>
      <c r="M339" t="s">
        <v>1019</v>
      </c>
      <c r="N339" t="s">
        <v>1019</v>
      </c>
      <c r="O339">
        <v>4</v>
      </c>
      <c r="P339">
        <v>2760</v>
      </c>
      <c r="Q339">
        <v>-2753</v>
      </c>
      <c r="R339">
        <v>7</v>
      </c>
    </row>
    <row r="340" spans="1:18">
      <c r="A340" s="1" t="s">
        <v>1023</v>
      </c>
      <c r="B340" s="6">
        <v>1035</v>
      </c>
      <c r="C340" s="6">
        <v>455</v>
      </c>
      <c r="D340" s="6">
        <f t="shared" si="5"/>
        <v>-580</v>
      </c>
      <c r="E340" s="1" t="s">
        <v>1023</v>
      </c>
      <c r="F340" s="1" t="s">
        <v>1024</v>
      </c>
      <c r="G340" s="1" t="s">
        <v>280</v>
      </c>
      <c r="H340" s="1" t="s">
        <v>478</v>
      </c>
      <c r="I340">
        <v>835</v>
      </c>
      <c r="J340">
        <v>200</v>
      </c>
      <c r="K340">
        <v>0</v>
      </c>
      <c r="L340">
        <v>1035</v>
      </c>
      <c r="M340" t="s">
        <v>1023</v>
      </c>
      <c r="N340" t="s">
        <v>1023</v>
      </c>
      <c r="O340">
        <v>306</v>
      </c>
      <c r="P340">
        <v>850</v>
      </c>
      <c r="Q340">
        <v>-1230</v>
      </c>
      <c r="R340">
        <v>455</v>
      </c>
    </row>
    <row r="341" spans="1:18">
      <c r="A341" s="1" t="s">
        <v>1025</v>
      </c>
      <c r="B341" s="6">
        <v>550</v>
      </c>
      <c r="C341" s="6">
        <v>1014</v>
      </c>
      <c r="D341" s="6">
        <f t="shared" si="5"/>
        <v>464</v>
      </c>
      <c r="E341" s="1" t="s">
        <v>1025</v>
      </c>
      <c r="F341" s="1" t="s">
        <v>1026</v>
      </c>
      <c r="G341" s="1" t="s">
        <v>280</v>
      </c>
      <c r="H341" s="1" t="s">
        <v>1027</v>
      </c>
      <c r="I341">
        <v>50</v>
      </c>
      <c r="J341">
        <v>500</v>
      </c>
      <c r="K341">
        <v>0</v>
      </c>
      <c r="L341">
        <v>550</v>
      </c>
      <c r="M341" t="s">
        <v>1025</v>
      </c>
      <c r="N341" t="s">
        <v>1025</v>
      </c>
      <c r="O341">
        <v>425</v>
      </c>
      <c r="P341">
        <v>2200</v>
      </c>
      <c r="Q341">
        <v>-1236</v>
      </c>
      <c r="R341">
        <v>1014</v>
      </c>
    </row>
    <row r="342" spans="1:18">
      <c r="A342" s="1" t="s">
        <v>1025</v>
      </c>
      <c r="B342" s="6">
        <v>1700</v>
      </c>
      <c r="C342" s="6">
        <v>1014</v>
      </c>
      <c r="D342" s="6">
        <f t="shared" si="5"/>
        <v>-686</v>
      </c>
      <c r="E342" s="1" t="s">
        <v>1025</v>
      </c>
      <c r="F342" s="1" t="s">
        <v>1028</v>
      </c>
      <c r="G342" s="1" t="s">
        <v>280</v>
      </c>
      <c r="H342" s="1" t="s">
        <v>1029</v>
      </c>
      <c r="I342">
        <v>0</v>
      </c>
      <c r="J342">
        <v>1700</v>
      </c>
      <c r="K342">
        <v>0</v>
      </c>
      <c r="L342">
        <v>1700</v>
      </c>
      <c r="M342" t="s">
        <v>1025</v>
      </c>
      <c r="N342" t="s">
        <v>1025</v>
      </c>
      <c r="O342">
        <v>425</v>
      </c>
      <c r="P342">
        <v>2200</v>
      </c>
      <c r="Q342">
        <v>-1236</v>
      </c>
      <c r="R342">
        <v>1014</v>
      </c>
    </row>
    <row r="343" spans="1:18">
      <c r="A343" s="1" t="s">
        <v>1030</v>
      </c>
      <c r="B343" s="6">
        <v>10</v>
      </c>
      <c r="C343" s="6">
        <v>0</v>
      </c>
      <c r="D343" s="6">
        <f t="shared" si="5"/>
        <v>-10</v>
      </c>
      <c r="E343" s="1" t="s">
        <v>1031</v>
      </c>
      <c r="F343" s="1" t="s">
        <v>1032</v>
      </c>
      <c r="G343" s="1" t="s">
        <v>20</v>
      </c>
      <c r="H343" s="1" t="s">
        <v>1033</v>
      </c>
      <c r="I343">
        <v>10</v>
      </c>
      <c r="J343">
        <v>0</v>
      </c>
      <c r="K343">
        <v>0</v>
      </c>
      <c r="L343">
        <v>10</v>
      </c>
      <c r="M343" t="s">
        <v>1030</v>
      </c>
      <c r="N343" t="s">
        <v>1031</v>
      </c>
      <c r="O343">
        <v>10</v>
      </c>
      <c r="P343">
        <v>0</v>
      </c>
      <c r="Q343">
        <v>-10</v>
      </c>
      <c r="R343">
        <v>0</v>
      </c>
    </row>
    <row r="344" spans="1:18">
      <c r="A344" s="1" t="s">
        <v>1034</v>
      </c>
      <c r="B344" s="6">
        <v>0</v>
      </c>
      <c r="C344" s="6">
        <v>2344</v>
      </c>
      <c r="D344" s="6">
        <f t="shared" si="5"/>
        <v>2344</v>
      </c>
      <c r="E344" s="1" t="s">
        <v>1034</v>
      </c>
      <c r="F344" s="1" t="s">
        <v>1035</v>
      </c>
      <c r="G344" s="1" t="s">
        <v>20</v>
      </c>
      <c r="H344" s="1" t="s">
        <v>146</v>
      </c>
      <c r="I344">
        <v>100</v>
      </c>
      <c r="J344">
        <v>0</v>
      </c>
      <c r="K344">
        <v>100</v>
      </c>
      <c r="L344">
        <v>0</v>
      </c>
      <c r="M344" t="s">
        <v>1034</v>
      </c>
      <c r="N344" t="s">
        <v>1034</v>
      </c>
      <c r="O344">
        <v>0</v>
      </c>
      <c r="P344">
        <v>3000</v>
      </c>
      <c r="Q344">
        <v>-756</v>
      </c>
      <c r="R344">
        <v>2344</v>
      </c>
    </row>
    <row r="345" spans="1:18">
      <c r="A345" s="1" t="s">
        <v>1036</v>
      </c>
      <c r="B345" s="6">
        <v>0</v>
      </c>
      <c r="C345" s="6">
        <v>20</v>
      </c>
      <c r="D345" s="6">
        <f t="shared" si="5"/>
        <v>20</v>
      </c>
      <c r="E345" s="1" t="s">
        <v>1037</v>
      </c>
      <c r="F345" s="1" t="s">
        <v>1038</v>
      </c>
      <c r="G345" s="1" t="s">
        <v>280</v>
      </c>
      <c r="H345" s="1" t="s">
        <v>1039</v>
      </c>
      <c r="I345">
        <v>10</v>
      </c>
      <c r="J345">
        <v>0</v>
      </c>
      <c r="K345">
        <v>10</v>
      </c>
      <c r="L345">
        <v>0</v>
      </c>
      <c r="M345" t="s">
        <v>1036</v>
      </c>
      <c r="N345" t="s">
        <v>1037</v>
      </c>
      <c r="O345">
        <v>9</v>
      </c>
      <c r="P345">
        <v>0</v>
      </c>
      <c r="Q345">
        <v>10</v>
      </c>
      <c r="R345">
        <v>20</v>
      </c>
    </row>
    <row r="346" spans="1:18">
      <c r="A346" s="1" t="s">
        <v>1036</v>
      </c>
      <c r="B346" s="6">
        <v>3298</v>
      </c>
      <c r="C346" s="6">
        <v>3278</v>
      </c>
      <c r="D346" s="6">
        <f t="shared" si="5"/>
        <v>-20</v>
      </c>
      <c r="E346" s="1" t="s">
        <v>1036</v>
      </c>
      <c r="F346" s="1" t="s">
        <v>1040</v>
      </c>
      <c r="G346" s="1" t="s">
        <v>280</v>
      </c>
      <c r="H346" s="1" t="s">
        <v>1041</v>
      </c>
      <c r="I346">
        <v>4366</v>
      </c>
      <c r="J346">
        <v>64500</v>
      </c>
      <c r="K346">
        <v>65568</v>
      </c>
      <c r="L346">
        <v>3298</v>
      </c>
      <c r="M346" t="s">
        <v>1036</v>
      </c>
      <c r="N346" t="s">
        <v>1036</v>
      </c>
      <c r="O346">
        <v>12298</v>
      </c>
      <c r="P346">
        <v>64500</v>
      </c>
      <c r="Q346">
        <v>-65588</v>
      </c>
      <c r="R346">
        <v>3278</v>
      </c>
    </row>
    <row r="347" spans="1:18">
      <c r="A347" s="1" t="s">
        <v>1042</v>
      </c>
      <c r="B347" s="6">
        <v>655</v>
      </c>
      <c r="C347" s="6">
        <v>665</v>
      </c>
      <c r="D347" s="6">
        <f t="shared" si="5"/>
        <v>10</v>
      </c>
      <c r="E347" s="1" t="s">
        <v>1042</v>
      </c>
      <c r="F347" s="1" t="s">
        <v>1043</v>
      </c>
      <c r="G347" s="1" t="s">
        <v>280</v>
      </c>
      <c r="H347" s="1" t="s">
        <v>1044</v>
      </c>
      <c r="I347">
        <v>1252</v>
      </c>
      <c r="J347">
        <v>1350</v>
      </c>
      <c r="K347">
        <v>1947</v>
      </c>
      <c r="L347">
        <v>655</v>
      </c>
      <c r="M347" t="s">
        <v>1042</v>
      </c>
      <c r="N347" t="s">
        <v>1042</v>
      </c>
      <c r="O347">
        <v>1559</v>
      </c>
      <c r="P347">
        <v>1350</v>
      </c>
      <c r="Q347">
        <v>-1937</v>
      </c>
      <c r="R347">
        <v>665</v>
      </c>
    </row>
    <row r="348" spans="1:18">
      <c r="A348" s="1" t="s">
        <v>1045</v>
      </c>
      <c r="B348" s="6">
        <v>40</v>
      </c>
      <c r="C348" s="6">
        <v>640</v>
      </c>
      <c r="D348" s="6">
        <f t="shared" si="5"/>
        <v>600</v>
      </c>
      <c r="E348" s="1" t="s">
        <v>1045</v>
      </c>
      <c r="F348" s="1" t="s">
        <v>1046</v>
      </c>
      <c r="G348" s="1" t="s">
        <v>20</v>
      </c>
      <c r="H348" s="1" t="s">
        <v>1047</v>
      </c>
      <c r="I348">
        <v>40</v>
      </c>
      <c r="J348">
        <v>0</v>
      </c>
      <c r="K348">
        <v>0</v>
      </c>
      <c r="L348">
        <v>40</v>
      </c>
      <c r="M348" t="s">
        <v>1045</v>
      </c>
      <c r="N348" t="s">
        <v>1045</v>
      </c>
      <c r="O348">
        <v>960</v>
      </c>
      <c r="P348">
        <v>1000</v>
      </c>
      <c r="Q348">
        <v>-400</v>
      </c>
      <c r="R348">
        <v>640</v>
      </c>
    </row>
    <row r="349" spans="1:18">
      <c r="A349" s="1" t="s">
        <v>1048</v>
      </c>
      <c r="B349" s="6">
        <v>46</v>
      </c>
      <c r="C349" s="6">
        <v>884</v>
      </c>
      <c r="D349" s="6">
        <f t="shared" si="5"/>
        <v>838</v>
      </c>
      <c r="E349" s="1" t="s">
        <v>1048</v>
      </c>
      <c r="F349" s="1" t="s">
        <v>1049</v>
      </c>
      <c r="G349" s="1" t="s">
        <v>20</v>
      </c>
      <c r="H349" s="1" t="s">
        <v>1050</v>
      </c>
      <c r="I349">
        <v>329</v>
      </c>
      <c r="J349">
        <v>3600</v>
      </c>
      <c r="K349">
        <v>3883</v>
      </c>
      <c r="L349">
        <v>46</v>
      </c>
      <c r="M349" t="s">
        <v>1048</v>
      </c>
      <c r="N349" t="s">
        <v>1048</v>
      </c>
      <c r="O349">
        <v>1650.28</v>
      </c>
      <c r="P349">
        <v>3600</v>
      </c>
      <c r="Q349">
        <v>-3046</v>
      </c>
      <c r="R349">
        <v>884</v>
      </c>
    </row>
    <row r="350" spans="1:18">
      <c r="A350" s="1" t="s">
        <v>1051</v>
      </c>
      <c r="B350" s="6">
        <v>71</v>
      </c>
      <c r="C350" s="6">
        <v>75</v>
      </c>
      <c r="D350" s="6">
        <f t="shared" si="5"/>
        <v>4</v>
      </c>
      <c r="E350" s="1" t="s">
        <v>1052</v>
      </c>
      <c r="F350" s="1" t="s">
        <v>1053</v>
      </c>
      <c r="G350" s="1" t="s">
        <v>280</v>
      </c>
      <c r="H350" s="1" t="s">
        <v>1054</v>
      </c>
      <c r="I350">
        <v>71</v>
      </c>
      <c r="J350">
        <v>0</v>
      </c>
      <c r="K350">
        <v>0</v>
      </c>
      <c r="L350">
        <v>71</v>
      </c>
      <c r="M350" t="s">
        <v>1051</v>
      </c>
      <c r="N350" t="s">
        <v>1052</v>
      </c>
      <c r="O350">
        <v>67</v>
      </c>
      <c r="P350">
        <v>0</v>
      </c>
      <c r="Q350">
        <v>4</v>
      </c>
      <c r="R350">
        <v>75</v>
      </c>
    </row>
    <row r="351" spans="1:18">
      <c r="A351" s="1" t="s">
        <v>1055</v>
      </c>
      <c r="B351" s="6">
        <v>13</v>
      </c>
      <c r="C351" s="6">
        <v>14</v>
      </c>
      <c r="D351" s="6">
        <f t="shared" si="5"/>
        <v>1</v>
      </c>
      <c r="E351" s="1" t="s">
        <v>1056</v>
      </c>
      <c r="F351" s="1" t="s">
        <v>1057</v>
      </c>
      <c r="G351" s="1" t="s">
        <v>280</v>
      </c>
      <c r="H351" s="1" t="s">
        <v>1058</v>
      </c>
      <c r="I351">
        <v>13</v>
      </c>
      <c r="J351">
        <v>0</v>
      </c>
      <c r="K351">
        <v>0</v>
      </c>
      <c r="L351">
        <v>13</v>
      </c>
      <c r="M351" t="s">
        <v>1055</v>
      </c>
      <c r="N351" t="s">
        <v>1056</v>
      </c>
      <c r="O351">
        <v>3</v>
      </c>
      <c r="P351">
        <v>0</v>
      </c>
      <c r="Q351">
        <v>1</v>
      </c>
      <c r="R351">
        <v>14</v>
      </c>
    </row>
    <row r="352" spans="1:18">
      <c r="A352" s="1" t="s">
        <v>1055</v>
      </c>
      <c r="B352" s="6">
        <v>1101</v>
      </c>
      <c r="C352" s="6">
        <v>469</v>
      </c>
      <c r="D352" s="6">
        <f t="shared" si="5"/>
        <v>-632</v>
      </c>
      <c r="E352" s="1" t="s">
        <v>1055</v>
      </c>
      <c r="F352" s="1" t="s">
        <v>1059</v>
      </c>
      <c r="G352" s="1" t="s">
        <v>20</v>
      </c>
      <c r="H352" s="1" t="s">
        <v>1060</v>
      </c>
      <c r="I352">
        <v>1001</v>
      </c>
      <c r="J352">
        <v>100</v>
      </c>
      <c r="K352">
        <v>0</v>
      </c>
      <c r="L352">
        <v>1101</v>
      </c>
      <c r="M352" t="s">
        <v>1055</v>
      </c>
      <c r="N352" t="s">
        <v>1055</v>
      </c>
      <c r="O352">
        <v>679</v>
      </c>
      <c r="P352">
        <v>1025</v>
      </c>
      <c r="Q352">
        <v>-1557</v>
      </c>
      <c r="R352">
        <v>469</v>
      </c>
    </row>
    <row r="353" spans="1:18">
      <c r="A353" s="1" t="s">
        <v>1061</v>
      </c>
      <c r="B353" s="6">
        <v>2</v>
      </c>
      <c r="C353" s="6">
        <v>0</v>
      </c>
      <c r="D353" s="6">
        <f t="shared" si="5"/>
        <v>-2</v>
      </c>
      <c r="E353" s="1" t="s">
        <v>1061</v>
      </c>
      <c r="F353" s="1" t="s">
        <v>1062</v>
      </c>
      <c r="G353" s="1" t="s">
        <v>20</v>
      </c>
      <c r="H353" s="1" t="s">
        <v>1063</v>
      </c>
      <c r="I353">
        <v>0</v>
      </c>
      <c r="J353">
        <v>2</v>
      </c>
      <c r="K353">
        <v>0</v>
      </c>
      <c r="L353">
        <v>2</v>
      </c>
      <c r="M353" t="s">
        <v>1061</v>
      </c>
      <c r="N353" t="s">
        <v>1061</v>
      </c>
      <c r="O353">
        <v>0</v>
      </c>
      <c r="P353">
        <v>2</v>
      </c>
      <c r="Q353">
        <v>-2</v>
      </c>
      <c r="R353">
        <v>0</v>
      </c>
    </row>
    <row r="354" spans="1:18">
      <c r="A354" s="1" t="s">
        <v>1064</v>
      </c>
      <c r="B354" s="6">
        <v>1</v>
      </c>
      <c r="C354" s="6">
        <v>0</v>
      </c>
      <c r="D354" s="6">
        <f t="shared" si="5"/>
        <v>-1</v>
      </c>
      <c r="E354" s="1" t="s">
        <v>1064</v>
      </c>
      <c r="F354" s="1" t="s">
        <v>1065</v>
      </c>
      <c r="G354" s="1" t="s">
        <v>20</v>
      </c>
      <c r="H354" s="1" t="s">
        <v>1066</v>
      </c>
      <c r="I354">
        <v>0</v>
      </c>
      <c r="J354">
        <v>1</v>
      </c>
      <c r="K354">
        <v>0</v>
      </c>
      <c r="L354">
        <v>1</v>
      </c>
      <c r="M354" t="s">
        <v>1064</v>
      </c>
      <c r="N354" t="s">
        <v>1064</v>
      </c>
      <c r="O354">
        <v>0</v>
      </c>
      <c r="P354">
        <v>1</v>
      </c>
      <c r="Q354">
        <v>-1</v>
      </c>
      <c r="R354">
        <v>0</v>
      </c>
    </row>
    <row r="355" spans="1:18">
      <c r="A355" s="1" t="s">
        <v>1067</v>
      </c>
      <c r="B355" s="6">
        <v>580</v>
      </c>
      <c r="C355" s="6">
        <v>0</v>
      </c>
      <c r="D355" s="6">
        <f t="shared" si="5"/>
        <v>-580</v>
      </c>
      <c r="E355" s="1" t="s">
        <v>1067</v>
      </c>
      <c r="F355" s="1" t="s">
        <v>1068</v>
      </c>
      <c r="G355" s="1" t="s">
        <v>77</v>
      </c>
      <c r="H355" s="1" t="s">
        <v>1069</v>
      </c>
      <c r="I355">
        <v>0</v>
      </c>
      <c r="J355">
        <v>580</v>
      </c>
      <c r="K355">
        <v>0</v>
      </c>
      <c r="L355">
        <v>580</v>
      </c>
      <c r="M355" t="s">
        <v>1067</v>
      </c>
      <c r="N355" t="s">
        <v>1067</v>
      </c>
      <c r="O355">
        <v>0</v>
      </c>
      <c r="P355">
        <v>580</v>
      </c>
      <c r="Q355">
        <v>-580</v>
      </c>
      <c r="R355">
        <v>0</v>
      </c>
    </row>
    <row r="356" spans="1:18">
      <c r="A356" s="1" t="s">
        <v>1070</v>
      </c>
      <c r="B356" s="6">
        <v>100</v>
      </c>
      <c r="C356" s="6">
        <v>0</v>
      </c>
      <c r="D356" s="6">
        <f t="shared" si="5"/>
        <v>-100</v>
      </c>
      <c r="E356" s="1" t="s">
        <v>1070</v>
      </c>
      <c r="F356" s="1" t="s">
        <v>1071</v>
      </c>
      <c r="G356" s="1" t="s">
        <v>77</v>
      </c>
      <c r="H356" s="1" t="s">
        <v>1072</v>
      </c>
      <c r="I356">
        <v>0</v>
      </c>
      <c r="J356">
        <v>100</v>
      </c>
      <c r="K356">
        <v>0</v>
      </c>
      <c r="L356">
        <v>100</v>
      </c>
      <c r="M356" t="s">
        <v>1070</v>
      </c>
      <c r="N356" t="s">
        <v>1070</v>
      </c>
      <c r="O356">
        <v>0</v>
      </c>
      <c r="P356">
        <v>100</v>
      </c>
      <c r="Q356">
        <v>-100</v>
      </c>
      <c r="R356">
        <v>0</v>
      </c>
    </row>
    <row r="357" spans="1:18">
      <c r="B357" s="6">
        <f>SUM(B2:B356)</f>
        <v>1305063</v>
      </c>
      <c r="C357" s="6">
        <f>SUM(C2:C356)</f>
        <v>353538.78999999992</v>
      </c>
      <c r="D357" s="6">
        <f t="shared" si="5"/>
        <v>-951524.21000000008</v>
      </c>
    </row>
    <row r="358" spans="1:18">
      <c r="C358" s="6">
        <f>B357-C357</f>
        <v>951524.21000000008</v>
      </c>
      <c r="D358" s="6">
        <f t="shared" si="5"/>
        <v>951524.21000000008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Sheet1!_SELECT_simgos_katalog_kode_grp_sakti_qty_akhir_simgos_jumlah_ak_202302211633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2023-02-21T09:34:27Z</dcterms:created>
  <dcterms:modified xsi:type="dcterms:W3CDTF">2023-02-21T09:40:14Z</dcterms:modified>
</cp:coreProperties>
</file>