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28740" windowHeight="10680"/>
  </bookViews>
  <sheets>
    <sheet name="produksi" sheetId="4" r:id="rId1"/>
  </sheets>
  <externalReferences>
    <externalReference r:id="rId2"/>
    <externalReference r:id="rId3"/>
  </externalReferences>
  <definedNames>
    <definedName name="_xlnm._FilterDatabase" localSheetId="0" hidden="1">produksi!$B$1:$S$1</definedName>
    <definedName name="_SELECT_max_subsubquery_katalog_id_as_katalog_id_max_barang_KODE_202303171712" localSheetId="0">produksi!$B$2:$P$126</definedName>
  </definedNames>
  <calcPr calcId="145621"/>
</workbook>
</file>

<file path=xl/calcChain.xml><?xml version="1.0" encoding="utf-8"?>
<calcChain xmlns="http://schemas.openxmlformats.org/spreadsheetml/2006/main">
  <c r="Q126" i="4" l="1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S100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</calcChain>
</file>

<file path=xl/connections.xml><?xml version="1.0" encoding="utf-8"?>
<connections xmlns="http://schemas.openxmlformats.org/spreadsheetml/2006/main">
  <connection id="1" name="_SELECT_max_subsubquery_katalog_id_as_katalog_id_max_barang_KODE_202303171712" type="6" refreshedVersion="4" background="1" saveData="1">
    <textPr codePage="437" sourceFile="D:\temp\_SELECT_max_subsubquery_katalog_id_as_katalog_id_max_barang_KODE_202303171712.csv" tab="0" comma="1">
      <textFields count="12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<sst xmlns="http://schemas.openxmlformats.org/spreadsheetml/2006/main" count="774" uniqueCount="449">
  <si>
    <t>opname</t>
  </si>
  <si>
    <t>beli</t>
  </si>
  <si>
    <t>mmasuk</t>
  </si>
  <si>
    <t>mkeluar</t>
  </si>
  <si>
    <t>prod</t>
  </si>
  <si>
    <t>resep</t>
  </si>
  <si>
    <t>jual</t>
  </si>
  <si>
    <t>akhir</t>
  </si>
  <si>
    <t>497</t>
  </si>
  <si>
    <t>12D024</t>
  </si>
  <si>
    <t>DOXORUBICIN INJ 50 MG</t>
  </si>
  <si>
    <t>VIAL</t>
  </si>
  <si>
    <t>COMBIPHAR</t>
  </si>
  <si>
    <t>12D030</t>
  </si>
  <si>
    <t>13302</t>
  </si>
  <si>
    <t>HYPOCHLORIDE 0.5 %</t>
  </si>
  <si>
    <t>LITER</t>
  </si>
  <si>
    <t>PRODUKSI FARMASI</t>
  </si>
  <si>
    <t>PFH056</t>
  </si>
  <si>
    <t>barang produksi</t>
  </si>
  <si>
    <t>3154</t>
  </si>
  <si>
    <t>40F010</t>
  </si>
  <si>
    <t>FLUOROURASIL INJEKSI 50 MG/ML (IV)</t>
  </si>
  <si>
    <t>AMP</t>
  </si>
  <si>
    <t>FERRON</t>
  </si>
  <si>
    <t>12F019</t>
  </si>
  <si>
    <t>12487</t>
  </si>
  <si>
    <t>PFV004</t>
  </si>
  <si>
    <t>VIOREX 4% 200ML</t>
  </si>
  <si>
    <t>BOTOL</t>
  </si>
  <si>
    <t>12486</t>
  </si>
  <si>
    <t>PFV003</t>
  </si>
  <si>
    <t>VIOREX 4% 100ML</t>
  </si>
  <si>
    <t>BOTOL 100 ML</t>
  </si>
  <si>
    <t>4191</t>
  </si>
  <si>
    <t>PFV002</t>
  </si>
  <si>
    <t>VASELIN 50 GRAM</t>
  </si>
  <si>
    <t>POT</t>
  </si>
  <si>
    <t>4188</t>
  </si>
  <si>
    <t>PFN005</t>
  </si>
  <si>
    <t>NACL 500 MG</t>
  </si>
  <si>
    <t>KAP</t>
  </si>
  <si>
    <t>4185</t>
  </si>
  <si>
    <t>PFL002</t>
  </si>
  <si>
    <t>LYSOL 1:5 L</t>
  </si>
  <si>
    <t>4180</t>
  </si>
  <si>
    <t>PFH051</t>
  </si>
  <si>
    <t>HANDRUB 500 ML</t>
  </si>
  <si>
    <t>4179</t>
  </si>
  <si>
    <t>PFH046</t>
  </si>
  <si>
    <t>H2O2  3%  50 ml</t>
  </si>
  <si>
    <t>4177</t>
  </si>
  <si>
    <t>PFF</t>
  </si>
  <si>
    <t>FORMALIN 10% LITER</t>
  </si>
  <si>
    <t>13304</t>
  </si>
  <si>
    <t>FORMALIN 10% 100ML</t>
  </si>
  <si>
    <t>13412</t>
  </si>
  <si>
    <t>PFD001</t>
  </si>
  <si>
    <t>DEXTROSE MONOHYDRATE 1 KG</t>
  </si>
  <si>
    <t>BKS</t>
  </si>
  <si>
    <t>13303</t>
  </si>
  <si>
    <t>PFA048</t>
  </si>
  <si>
    <t>ALKOHOL 95% 100ML</t>
  </si>
  <si>
    <t>2987</t>
  </si>
  <si>
    <t>PFA004</t>
  </si>
  <si>
    <t>ALKOHOL CAIRAN 70 %</t>
  </si>
  <si>
    <t>4146</t>
  </si>
  <si>
    <t>PF037</t>
  </si>
  <si>
    <t>H2O2 3%  100 ml</t>
  </si>
  <si>
    <t>4143</t>
  </si>
  <si>
    <t>PF025.4</t>
  </si>
  <si>
    <t>CALCIUM CARBONAT  500 mg</t>
  </si>
  <si>
    <t>4138</t>
  </si>
  <si>
    <t>PF016.2</t>
  </si>
  <si>
    <t>BETADINE SOL 50 ml</t>
  </si>
  <si>
    <t>4136</t>
  </si>
  <si>
    <t>PF016</t>
  </si>
  <si>
    <t>BETADINE SOL 100 ml</t>
  </si>
  <si>
    <t>4135</t>
  </si>
  <si>
    <t>PF015</t>
  </si>
  <si>
    <t>BETADINE GARGLE 100 ml</t>
  </si>
  <si>
    <t>4134</t>
  </si>
  <si>
    <t>PF009</t>
  </si>
  <si>
    <t>AQUA NON STERIL</t>
  </si>
  <si>
    <t>4128</t>
  </si>
  <si>
    <t>BS015</t>
  </si>
  <si>
    <t>LANOLIN VASLIN 10%-35 GRAM</t>
  </si>
  <si>
    <t>4127</t>
  </si>
  <si>
    <t>BS012</t>
  </si>
  <si>
    <t>GLUCOSE ORAL 75 gr</t>
  </si>
  <si>
    <t>11632</t>
  </si>
  <si>
    <t>90U027</t>
  </si>
  <si>
    <t>UNDERPAD UPAD STERIL W/SAP 60X90</t>
  </si>
  <si>
    <t>PCS</t>
  </si>
  <si>
    <t>ONEMED</t>
  </si>
  <si>
    <t>1349</t>
  </si>
  <si>
    <t>90P015</t>
  </si>
  <si>
    <t>POT PLASTIK 100 ML + TUTUP</t>
  </si>
  <si>
    <t>BUAH</t>
  </si>
  <si>
    <t>LOKAL</t>
  </si>
  <si>
    <t>1352</t>
  </si>
  <si>
    <t>90P014</t>
  </si>
  <si>
    <t>POT PLASTIK 50 ML + TUTUP</t>
  </si>
  <si>
    <t>12761</t>
  </si>
  <si>
    <t>90O018</t>
  </si>
  <si>
    <t>ONEMED SOFT PAD</t>
  </si>
  <si>
    <t>10803</t>
  </si>
  <si>
    <t>90K048</t>
  </si>
  <si>
    <t>KASA POUCHES ISI 5 (20 X 20 CM)</t>
  </si>
  <si>
    <t>PAK</t>
  </si>
  <si>
    <t>PT. MULIA KASA</t>
  </si>
  <si>
    <t>13587</t>
  </si>
  <si>
    <t>90B030</t>
  </si>
  <si>
    <t>BOTOL PLASTIK COKLAT 200 CC</t>
  </si>
  <si>
    <t>226</t>
  </si>
  <si>
    <t>90B008</t>
  </si>
  <si>
    <t>BOTOL KOSONG + TUTUP 100 ML</t>
  </si>
  <si>
    <t>225</t>
  </si>
  <si>
    <t>90B007</t>
  </si>
  <si>
    <t>BOTOL KOSONG + TUTUP  60 ML</t>
  </si>
  <si>
    <t>224</t>
  </si>
  <si>
    <t>90B005</t>
  </si>
  <si>
    <t>BOTOL KOSONG + TUTUP  20 ML</t>
  </si>
  <si>
    <t>10447</t>
  </si>
  <si>
    <t>80T105</t>
  </si>
  <si>
    <t>TIP CATHETER DS 50 CT</t>
  </si>
  <si>
    <t>NIPRO</t>
  </si>
  <si>
    <t>10644</t>
  </si>
  <si>
    <t>80T080</t>
  </si>
  <si>
    <t>TERUMO AGANI NEEDLE 18 G</t>
  </si>
  <si>
    <t>TERUMO</t>
  </si>
  <si>
    <t>12792</t>
  </si>
  <si>
    <t>80S355</t>
  </si>
  <si>
    <t>SARUNG TANGAN STERIL PF NO. 7,5</t>
  </si>
  <si>
    <t>SPMed</t>
  </si>
  <si>
    <t>12769</t>
  </si>
  <si>
    <t>80S350</t>
  </si>
  <si>
    <t>SARUNG TANGAN NS PF SIZE M</t>
  </si>
  <si>
    <t>9000</t>
  </si>
  <si>
    <t>80S290</t>
  </si>
  <si>
    <t>SURGICAL GOWN NON WOVEN L</t>
  </si>
  <si>
    <t>13582</t>
  </si>
  <si>
    <t>80S287</t>
  </si>
  <si>
    <t>SURGICAL MASK EARLOOP PLUS(HIJAB)</t>
  </si>
  <si>
    <t>9678</t>
  </si>
  <si>
    <t>80N131</t>
  </si>
  <si>
    <t>NURSE CAP</t>
  </si>
  <si>
    <t>842</t>
  </si>
  <si>
    <t>80I047</t>
  </si>
  <si>
    <t>INTRAFIX SAFESET</t>
  </si>
  <si>
    <t>B.BRAUN</t>
  </si>
  <si>
    <t>513</t>
  </si>
  <si>
    <t>80E098</t>
  </si>
  <si>
    <t>ECOFLAC MIX</t>
  </si>
  <si>
    <t>12590</t>
  </si>
  <si>
    <t>80E005</t>
  </si>
  <si>
    <t>E-CARE SURGLOVE NON STERIL PF SIZE S</t>
  </si>
  <si>
    <t>13347</t>
  </si>
  <si>
    <t>80D172</t>
  </si>
  <si>
    <t>DISP. SYRINGE 20CC LL</t>
  </si>
  <si>
    <t>12638</t>
  </si>
  <si>
    <t>80D168.1</t>
  </si>
  <si>
    <t>DISP. SYRINGE 50CC LS</t>
  </si>
  <si>
    <t>11103</t>
  </si>
  <si>
    <t>80D009.02</t>
  </si>
  <si>
    <t>DISP.SYRINGE 10 CC NIPRO</t>
  </si>
  <si>
    <t>11109</t>
  </si>
  <si>
    <t>80D008.01</t>
  </si>
  <si>
    <t>DISP. SYRINGE 1 CC TUBERCULIN NIPRO</t>
  </si>
  <si>
    <t>6421</t>
  </si>
  <si>
    <t>80A092</t>
  </si>
  <si>
    <t>AC SWAB</t>
  </si>
  <si>
    <t>JAYAMAS MEDICA INDUSTRI, PT</t>
  </si>
  <si>
    <t>10543</t>
  </si>
  <si>
    <t>50V009</t>
  </si>
  <si>
    <t>VIOREX ANTIMICROBIAL LIQUID 4 % 5 LITER</t>
  </si>
  <si>
    <t>STERIN LABORATORIES</t>
  </si>
  <si>
    <t>1839</t>
  </si>
  <si>
    <t>50V002</t>
  </si>
  <si>
    <t>VASELIN PUTIH</t>
  </si>
  <si>
    <t>GR</t>
  </si>
  <si>
    <t>BRATACO</t>
  </si>
  <si>
    <t>13360</t>
  </si>
  <si>
    <t>50S037</t>
  </si>
  <si>
    <t>STERICIDE 500ML</t>
  </si>
  <si>
    <t>10544</t>
  </si>
  <si>
    <t>STERICIDE 5 L</t>
  </si>
  <si>
    <t>DATA PABRIK SEMENTARA</t>
  </si>
  <si>
    <t>12101</t>
  </si>
  <si>
    <t>50S001.1</t>
  </si>
  <si>
    <t>SACHARUM LACTIS (LACTOSA) 25KG</t>
  </si>
  <si>
    <t>ZAK</t>
  </si>
  <si>
    <t>DFE PHARMA</t>
  </si>
  <si>
    <t>10954</t>
  </si>
  <si>
    <t>50P034</t>
  </si>
  <si>
    <t>PARFUM CURCIAL SPC @ 500ML</t>
  </si>
  <si>
    <t>PHILIPPE GRASSE</t>
  </si>
  <si>
    <t>4094</t>
  </si>
  <si>
    <t>50P005</t>
  </si>
  <si>
    <t>PHENOL CRYSTAL / LIQ</t>
  </si>
  <si>
    <t>ML</t>
  </si>
  <si>
    <t>13332</t>
  </si>
  <si>
    <t>50N014.1</t>
  </si>
  <si>
    <t>NATRIUM CHLORIDE USP @ 1 KG</t>
  </si>
  <si>
    <t>MUSTIKA DIPA LESTARI</t>
  </si>
  <si>
    <t>4092</t>
  </si>
  <si>
    <t>50N006</t>
  </si>
  <si>
    <t>NIPAGIN PULV</t>
  </si>
  <si>
    <t>6111</t>
  </si>
  <si>
    <t>50L010</t>
  </si>
  <si>
    <t>LANOLIN ANHYDROUS</t>
  </si>
  <si>
    <t>2230</t>
  </si>
  <si>
    <t>50I001.1401</t>
  </si>
  <si>
    <t>IODINE POVIDONE 10% 1 L</t>
  </si>
  <si>
    <t>KIMIA FARMA</t>
  </si>
  <si>
    <t>11053</t>
  </si>
  <si>
    <t>50H008</t>
  </si>
  <si>
    <t>H2O2 50% 800 ML</t>
  </si>
  <si>
    <t>9688</t>
  </si>
  <si>
    <t>50G019</t>
  </si>
  <si>
    <t>GLYSERINE PH 1 LITER</t>
  </si>
  <si>
    <t>2054</t>
  </si>
  <si>
    <t>50D001.1</t>
  </si>
  <si>
    <t>DESINFECTAN-C100%</t>
  </si>
  <si>
    <t>8063</t>
  </si>
  <si>
    <t>50C038</t>
  </si>
  <si>
    <t>CAPSUL NO. 1</t>
  </si>
  <si>
    <t>KAPSULINDO NUSANTARA</t>
  </si>
  <si>
    <t>8062</t>
  </si>
  <si>
    <t>50C037</t>
  </si>
  <si>
    <t>CAPSUL NO. 00</t>
  </si>
  <si>
    <t>2540</t>
  </si>
  <si>
    <t>50C013</t>
  </si>
  <si>
    <t>CHLORAMPHENICOL BASE PULV</t>
  </si>
  <si>
    <t>336</t>
  </si>
  <si>
    <t>50C012</t>
  </si>
  <si>
    <t>CHLORAL HYDRAS PULV</t>
  </si>
  <si>
    <t>248</t>
  </si>
  <si>
    <t>50C001</t>
  </si>
  <si>
    <t>CALCIUM CARBONAT PULV</t>
  </si>
  <si>
    <t>13579</t>
  </si>
  <si>
    <t>50A056</t>
  </si>
  <si>
    <t>ACID ACETIC 99,80 %</t>
  </si>
  <si>
    <t>12290</t>
  </si>
  <si>
    <t>50A055</t>
  </si>
  <si>
    <t>ALKOHOL 95%</t>
  </si>
  <si>
    <t>MEDIKA</t>
  </si>
  <si>
    <t>4073</t>
  </si>
  <si>
    <t>50A039</t>
  </si>
  <si>
    <t>AMONIA 32% EXTRA PURE</t>
  </si>
  <si>
    <t>E MERCK</t>
  </si>
  <si>
    <t>4072</t>
  </si>
  <si>
    <t>50A035</t>
  </si>
  <si>
    <t>ARGENTI NITRAS PULV</t>
  </si>
  <si>
    <t>1944</t>
  </si>
  <si>
    <t>40Z010</t>
  </si>
  <si>
    <t>ZOMETA INJ 4 MG</t>
  </si>
  <si>
    <t>NOVARTIS</t>
  </si>
  <si>
    <t>9071</t>
  </si>
  <si>
    <t>40S092</t>
  </si>
  <si>
    <t>SANDOSTATIN LAR SERB INJ 20MG</t>
  </si>
  <si>
    <t>10694</t>
  </si>
  <si>
    <t>40N076</t>
  </si>
  <si>
    <t xml:space="preserve">NACL 0.9% 500ML </t>
  </si>
  <si>
    <t>SATORIA</t>
  </si>
  <si>
    <t>6101</t>
  </si>
  <si>
    <t>40N065</t>
  </si>
  <si>
    <t>NACL 0.9% 100 CC</t>
  </si>
  <si>
    <t>OTSUKA</t>
  </si>
  <si>
    <t>6175</t>
  </si>
  <si>
    <t>40N005</t>
  </si>
  <si>
    <t>NACL 0,9% 500 ML</t>
  </si>
  <si>
    <t>WIDATRA BHAKTI</t>
  </si>
  <si>
    <t>13481</t>
  </si>
  <si>
    <t>40I103</t>
  </si>
  <si>
    <t>IRINOL INFUS 20MG/ML, 5ML</t>
  </si>
  <si>
    <t>MEGALIFE</t>
  </si>
  <si>
    <t>12016</t>
  </si>
  <si>
    <t>40I099</t>
  </si>
  <si>
    <t>IBANDRONIC SODIUM MONOHYDRATE INJ 6MG/6ML</t>
  </si>
  <si>
    <t>NOVELL</t>
  </si>
  <si>
    <t>3163</t>
  </si>
  <si>
    <t>40D068</t>
  </si>
  <si>
    <t>DAUNOCIN VIAL 20 MG/ML</t>
  </si>
  <si>
    <t>456</t>
  </si>
  <si>
    <t>40D027</t>
  </si>
  <si>
    <t>DEXTROSE   5 % INFUS 500 ml.</t>
  </si>
  <si>
    <t>2212</t>
  </si>
  <si>
    <t>40C018</t>
  </si>
  <si>
    <t>CEFTRIAXONE  1 g (IF)</t>
  </si>
  <si>
    <t>GENERIK</t>
  </si>
  <si>
    <t>107</t>
  </si>
  <si>
    <t>40A056</t>
  </si>
  <si>
    <t>AQUA FOR INJ 25 ml</t>
  </si>
  <si>
    <t>13611</t>
  </si>
  <si>
    <t>15M076</t>
  </si>
  <si>
    <t>METHYLENE BLUE CRYSTAL 100 GR (1.15943.0100)</t>
  </si>
  <si>
    <t>MERCK</t>
  </si>
  <si>
    <t>12275</t>
  </si>
  <si>
    <t>12V016</t>
  </si>
  <si>
    <t>VINORELBINE TARTRATE INJ 10MG/ML</t>
  </si>
  <si>
    <t>1879</t>
  </si>
  <si>
    <t>12V007</t>
  </si>
  <si>
    <t>VINCRISTINE INJ 2 MG/ML KALBE</t>
  </si>
  <si>
    <t>KALBE FARMA</t>
  </si>
  <si>
    <t>1878</t>
  </si>
  <si>
    <t>12V005</t>
  </si>
  <si>
    <t>VINCRISTIN 1 MG KALBE</t>
  </si>
  <si>
    <t>1827</t>
  </si>
  <si>
    <t>12U001</t>
  </si>
  <si>
    <t>UROMITEXAN INJ 400MG</t>
  </si>
  <si>
    <t>PT MUGI LABORATORIES</t>
  </si>
  <si>
    <t>12386</t>
  </si>
  <si>
    <t>12R012.1</t>
  </si>
  <si>
    <t>REXTA 50MG INJ</t>
  </si>
  <si>
    <t>GLOBAL ONKOLAB FARMA</t>
  </si>
  <si>
    <t>9753</t>
  </si>
  <si>
    <t>12R009</t>
  </si>
  <si>
    <t>REDITUX INJ 500 MG</t>
  </si>
  <si>
    <t>DR. REDDY'S</t>
  </si>
  <si>
    <t>9752</t>
  </si>
  <si>
    <t>12R008</t>
  </si>
  <si>
    <t>REDITUX INJ 100 MG</t>
  </si>
  <si>
    <t>10583</t>
  </si>
  <si>
    <t>12P012</t>
  </si>
  <si>
    <t>PEMETREXED INJEKSI</t>
  </si>
  <si>
    <t>7388</t>
  </si>
  <si>
    <t>12P011</t>
  </si>
  <si>
    <t>PACLITAXEL INJ 100 MG/ VIAL, 16,67 ML</t>
  </si>
  <si>
    <t>12384</t>
  </si>
  <si>
    <t>12M019</t>
  </si>
  <si>
    <t xml:space="preserve">METHOTREXATE 50MG INJ </t>
  </si>
  <si>
    <t>970</t>
  </si>
  <si>
    <t>12L003</t>
  </si>
  <si>
    <t>LEUNASE INJ</t>
  </si>
  <si>
    <t>9136</t>
  </si>
  <si>
    <t>12K010</t>
  </si>
  <si>
    <t>KABITARIN 1G/10 ML</t>
  </si>
  <si>
    <t>ETHICA</t>
  </si>
  <si>
    <t>9751</t>
  </si>
  <si>
    <t>12H014</t>
  </si>
  <si>
    <t>HERZEMAB INJ 440 MG</t>
  </si>
  <si>
    <t>3308</t>
  </si>
  <si>
    <t>12H007</t>
  </si>
  <si>
    <t>HOLOXAN SERB INJEKSI 2000 MG/VIAL</t>
  </si>
  <si>
    <t>TRANSFARMA</t>
  </si>
  <si>
    <t>13480</t>
  </si>
  <si>
    <t>12F020</t>
  </si>
  <si>
    <t>FONKOZOMIB INJ 3,5 MG</t>
  </si>
  <si>
    <t>12739</t>
  </si>
  <si>
    <t>FLUOROURASIL INJ 50MG/ML 10ML</t>
  </si>
  <si>
    <t>12398</t>
  </si>
  <si>
    <t>12O001.2</t>
  </si>
  <si>
    <t>OXALIPLATINE INJEKSI 50MG</t>
  </si>
  <si>
    <t>12428</t>
  </si>
  <si>
    <t>12F017.1</t>
  </si>
  <si>
    <t>FONKOPAC INJ 100MG</t>
  </si>
  <si>
    <t>FONKO INTERNATIONAL PHARMACEUTICALS</t>
  </si>
  <si>
    <t>7524</t>
  </si>
  <si>
    <t>12F014</t>
  </si>
  <si>
    <t>FONKOGEM INJ 200 MG/VIAL</t>
  </si>
  <si>
    <t>7523</t>
  </si>
  <si>
    <t>12F013</t>
  </si>
  <si>
    <t>FONKOGEM INJ 1000 MG/VIAL</t>
  </si>
  <si>
    <t>8106</t>
  </si>
  <si>
    <t>12E031</t>
  </si>
  <si>
    <t>EPIRUBICIN INJ 50 MG</t>
  </si>
  <si>
    <t>6600</t>
  </si>
  <si>
    <t>12E029</t>
  </si>
  <si>
    <t>ETOPUL INJ 20 MG/ML VIAL 5 ML</t>
  </si>
  <si>
    <t>559</t>
  </si>
  <si>
    <t>12E027</t>
  </si>
  <si>
    <t>ERBITUX 5 MG/ML 20 ML</t>
  </si>
  <si>
    <t>13596</t>
  </si>
  <si>
    <t>12D057</t>
  </si>
  <si>
    <t>DOXEL INJ 20MG</t>
  </si>
  <si>
    <t>MERSIFARMA</t>
  </si>
  <si>
    <t>13243</t>
  </si>
  <si>
    <t>12D032</t>
  </si>
  <si>
    <t>DOCETAXEL INJ 80MG</t>
  </si>
  <si>
    <t>13242</t>
  </si>
  <si>
    <t>12D031</t>
  </si>
  <si>
    <t>DOCETAXEL INJ 20MG</t>
  </si>
  <si>
    <t>12385</t>
  </si>
  <si>
    <t>DOXORUBICIN HCL 50MG INJ</t>
  </si>
  <si>
    <t>6635</t>
  </si>
  <si>
    <t>50A048</t>
  </si>
  <si>
    <t>AQUA DM 20 L</t>
  </si>
  <si>
    <t>12D026</t>
  </si>
  <si>
    <t>KN.01.04/VIII.6/6264/2022</t>
  </si>
  <si>
    <t>2981</t>
  </si>
  <si>
    <t>12D008.1402</t>
  </si>
  <si>
    <t>DACARBAZINE MEDAC VIAL 200 MG</t>
  </si>
  <si>
    <t>13572</t>
  </si>
  <si>
    <t>12C041</t>
  </si>
  <si>
    <t>CISPLATIN INJ 10MG</t>
  </si>
  <si>
    <t>13571</t>
  </si>
  <si>
    <t>12C040</t>
  </si>
  <si>
    <t>CISPLATIN INJ 50MG</t>
  </si>
  <si>
    <t>13517</t>
  </si>
  <si>
    <t>12C039.1</t>
  </si>
  <si>
    <t>CARBOPLATIN 150MG INJEKSI</t>
  </si>
  <si>
    <t>13324</t>
  </si>
  <si>
    <t>12C039</t>
  </si>
  <si>
    <t>CYCLOPHOSPHAMIDE INJ 500MG</t>
  </si>
  <si>
    <t>2460</t>
  </si>
  <si>
    <t>12C027.14148</t>
  </si>
  <si>
    <t>CARBOPLATIN INJEKSI 450MG</t>
  </si>
  <si>
    <t>2469</t>
  </si>
  <si>
    <t>12C011</t>
  </si>
  <si>
    <t>CYCLOPHOSPHAMIDE SERBUK INJEKSI 1000 MG</t>
  </si>
  <si>
    <t>349</t>
  </si>
  <si>
    <t>12C006</t>
  </si>
  <si>
    <t>CISPLATIN VIAL 10 MG</t>
  </si>
  <si>
    <t>DANKOS</t>
  </si>
  <si>
    <t>2471</t>
  </si>
  <si>
    <t>12C003</t>
  </si>
  <si>
    <t>CARBOPLATIN  INJEKSI 150 MG/ 15 ML</t>
  </si>
  <si>
    <t>2473</t>
  </si>
  <si>
    <t>12C002</t>
  </si>
  <si>
    <t>CARBOPLATIN INJEKSI 450 MG/ 45 ML</t>
  </si>
  <si>
    <t>10719</t>
  </si>
  <si>
    <t>12C001.1</t>
  </si>
  <si>
    <t>CALCIUM FOLINAT INJ 50MG</t>
  </si>
  <si>
    <t>2476</t>
  </si>
  <si>
    <t>12B003</t>
  </si>
  <si>
    <t>BREXEL INJEKSI 80 MG/2 ML</t>
  </si>
  <si>
    <t>2477</t>
  </si>
  <si>
    <t>12B002</t>
  </si>
  <si>
    <t>BREXEL INJEKSI 20 MG/0,5 ML</t>
  </si>
  <si>
    <t>203</t>
  </si>
  <si>
    <t>12B001</t>
  </si>
  <si>
    <t>BLEOCIN AMPUL 15 MG/ML</t>
  </si>
  <si>
    <t>2479</t>
  </si>
  <si>
    <t>12A008</t>
  </si>
  <si>
    <t>AVASTIN VIAL 25 MG/ML 4 ML</t>
  </si>
  <si>
    <t>BOEHRINGER INGELHEIM</t>
  </si>
  <si>
    <t>depo_nama</t>
  </si>
  <si>
    <t>produksi</t>
  </si>
  <si>
    <t>katalog_id</t>
  </si>
  <si>
    <t>katalog_kode</t>
  </si>
  <si>
    <t>katalog_satuan</t>
  </si>
  <si>
    <t>katalog_nama</t>
  </si>
  <si>
    <t>katalog_merk</t>
  </si>
  <si>
    <t>resep_retur</t>
  </si>
  <si>
    <t>jual_retur</t>
  </si>
  <si>
    <t>koreksi_check</t>
  </si>
  <si>
    <t>koreksi_kode</t>
  </si>
  <si>
    <t>koreksi_keterangan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</si>
</sst>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</cellStyleXfs>
  <cellXfs count="7">
    <xf numFmtId="0" fontId="0" fillId="0" borderId="0" xfId="0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rmasiPersediaanDepoRek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armasiPersediaanDe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1"/>
      <sheetName val="irj3"/>
      <sheetName val="bougenvile"/>
      <sheetName val="xxxx"/>
      <sheetName val="gudang"/>
      <sheetName val="teratai"/>
      <sheetName val="griya"/>
      <sheetName val="anggrek"/>
      <sheetName val="ib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5">
          <cell r="B4205"/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name="_SELECT_max_subsubquery_katalog_id_as_katalog_id_max_barang_KODE_20230317171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tabSelected="1" zoomScale="145" zoomScaleNormal="145" workbookViewId="0"/>
  </sheetViews>
  <sheetFormatPr defaultRowHeight="14.5"/>
  <cols>
    <col min="1" max="3" width="16.81640625" customWidth="1"/>
    <col min="4" max="4" width="24.54296875" customWidth="1"/>
    <col min="5" max="5" width="18.1796875" customWidth="1"/>
    <col min="6" max="6" width="24.36328125" customWidth="1"/>
    <col min="7" max="16" width="9" customWidth="1"/>
    <col min="18" max="18" width="10.1796875" customWidth="1"/>
    <col min="19" max="19" width="36.7265625" customWidth="1"/>
  </cols>
  <sheetData>
    <row r="1" spans="1:19" s="3" customFormat="1">
      <c r="A1" s="3" t="s">
        <v>437</v>
      </c>
      <c r="B1" s="1" t="s">
        <v>439</v>
      </c>
      <c r="C1" s="1" t="s">
        <v>440</v>
      </c>
      <c r="D1" s="1" t="s">
        <v>442</v>
      </c>
      <c r="E1" s="1" t="s">
        <v>441</v>
      </c>
      <c r="F1" s="1" t="s">
        <v>443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444</v>
      </c>
      <c r="N1" s="2" t="s">
        <v>6</v>
      </c>
      <c r="O1" s="2" t="s">
        <v>445</v>
      </c>
      <c r="P1" s="2" t="s">
        <v>7</v>
      </c>
      <c r="Q1" s="2" t="s">
        <v>446</v>
      </c>
      <c r="R1" s="2" t="s">
        <v>447</v>
      </c>
      <c r="S1" s="2" t="s">
        <v>448</v>
      </c>
    </row>
    <row r="2" spans="1:19" s="5" customFormat="1">
      <c r="A2" s="5" t="s">
        <v>438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>
        <v>19</v>
      </c>
      <c r="I2" s="5">
        <v>0</v>
      </c>
      <c r="J2" s="5">
        <v>0</v>
      </c>
      <c r="K2" s="5">
        <v>0</v>
      </c>
      <c r="L2" s="5">
        <v>19</v>
      </c>
      <c r="M2" s="5">
        <v>0</v>
      </c>
      <c r="P2" s="5">
        <v>0</v>
      </c>
      <c r="Q2" s="5" t="str">
        <f>VLOOKUP(IF(R2 &lt;&gt; "", R2, C2),[1]reffLapTW!B:B,1,FALSE)</f>
        <v>12D030</v>
      </c>
      <c r="R2" s="5" t="s">
        <v>13</v>
      </c>
    </row>
    <row r="3" spans="1:19" s="5" customFormat="1">
      <c r="A3" s="5" t="s">
        <v>438</v>
      </c>
      <c r="B3" s="4" t="s">
        <v>14</v>
      </c>
      <c r="D3" s="4" t="s">
        <v>15</v>
      </c>
      <c r="E3" s="4" t="s">
        <v>16</v>
      </c>
      <c r="F3" s="4" t="s">
        <v>17</v>
      </c>
      <c r="G3" s="5">
        <v>0</v>
      </c>
      <c r="I3" s="5">
        <v>0</v>
      </c>
      <c r="J3" s="5">
        <v>72</v>
      </c>
      <c r="K3" s="5">
        <v>107</v>
      </c>
      <c r="L3" s="5">
        <v>0</v>
      </c>
      <c r="M3" s="5">
        <v>0</v>
      </c>
      <c r="P3" s="5">
        <v>35</v>
      </c>
      <c r="Q3" s="5" t="e">
        <f>VLOOKUP(IF(R3 &lt;&gt; "", R3, C3),[1]reffLapTW!B:B,1,FALSE)</f>
        <v>#N/A</v>
      </c>
      <c r="R3" s="5" t="s">
        <v>18</v>
      </c>
      <c r="S3" s="5" t="s">
        <v>19</v>
      </c>
    </row>
    <row r="4" spans="1:19">
      <c r="A4" s="5" t="s">
        <v>438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>
        <v>0</v>
      </c>
      <c r="I4">
        <v>244</v>
      </c>
      <c r="J4">
        <v>0</v>
      </c>
      <c r="K4">
        <v>0</v>
      </c>
      <c r="L4">
        <v>196</v>
      </c>
      <c r="M4">
        <v>0</v>
      </c>
      <c r="P4">
        <v>48</v>
      </c>
      <c r="Q4" t="str">
        <f>VLOOKUP(IF(R4 &lt;&gt; "", R4, C4),[1]reffLapTW!B:B,1,FALSE)</f>
        <v>12F019</v>
      </c>
      <c r="R4" t="s">
        <v>25</v>
      </c>
    </row>
    <row r="5" spans="1:19">
      <c r="A5" s="5" t="s">
        <v>438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17</v>
      </c>
      <c r="G5">
        <v>10</v>
      </c>
      <c r="I5">
        <v>0</v>
      </c>
      <c r="J5">
        <v>10</v>
      </c>
      <c r="K5">
        <v>0</v>
      </c>
      <c r="L5">
        <v>0</v>
      </c>
      <c r="M5">
        <v>0</v>
      </c>
      <c r="P5">
        <v>0</v>
      </c>
      <c r="Q5" t="str">
        <f>VLOOKUP(IF(R5 &lt;&gt; "", R5, C5),[1]reffLapTW!B:B,1,FALSE)</f>
        <v>PFV004</v>
      </c>
    </row>
    <row r="6" spans="1:19">
      <c r="A6" s="5" t="s">
        <v>438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17</v>
      </c>
      <c r="G6">
        <v>5</v>
      </c>
      <c r="I6">
        <v>0</v>
      </c>
      <c r="J6">
        <v>0</v>
      </c>
      <c r="K6">
        <v>0</v>
      </c>
      <c r="L6">
        <v>0</v>
      </c>
      <c r="M6">
        <v>0</v>
      </c>
      <c r="P6">
        <v>5</v>
      </c>
      <c r="Q6" t="str">
        <f>VLOOKUP(IF(R6 &lt;&gt; "", R6, C6),[1]reffLapTW!B:B,1,FALSE)</f>
        <v>PFV003</v>
      </c>
    </row>
    <row r="7" spans="1:19">
      <c r="A7" s="5" t="s">
        <v>438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17</v>
      </c>
      <c r="G7">
        <v>26</v>
      </c>
      <c r="I7">
        <v>0</v>
      </c>
      <c r="J7">
        <v>2</v>
      </c>
      <c r="K7">
        <v>0</v>
      </c>
      <c r="L7">
        <v>0</v>
      </c>
      <c r="M7">
        <v>0</v>
      </c>
      <c r="P7">
        <v>24</v>
      </c>
      <c r="Q7" t="str">
        <f>VLOOKUP(IF(R7 &lt;&gt; "", R7, C7),[1]reffLapTW!B:B,1,FALSE)</f>
        <v>PFV002</v>
      </c>
    </row>
    <row r="8" spans="1:19">
      <c r="A8" s="5" t="s">
        <v>438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17</v>
      </c>
      <c r="G8">
        <v>500</v>
      </c>
      <c r="I8">
        <v>0</v>
      </c>
      <c r="J8">
        <v>1400</v>
      </c>
      <c r="K8">
        <v>2000</v>
      </c>
      <c r="L8">
        <v>0</v>
      </c>
      <c r="M8">
        <v>0</v>
      </c>
      <c r="P8">
        <v>1100</v>
      </c>
      <c r="Q8" t="str">
        <f>VLOOKUP(IF(R8 &lt;&gt; "", R8, C8),[1]reffLapTW!B:B,1,FALSE)</f>
        <v>PFN005</v>
      </c>
    </row>
    <row r="9" spans="1:19">
      <c r="A9" s="5" t="s">
        <v>438</v>
      </c>
      <c r="B9" s="6" t="s">
        <v>42</v>
      </c>
      <c r="C9" s="6" t="s">
        <v>43</v>
      </c>
      <c r="D9" s="6" t="s">
        <v>44</v>
      </c>
      <c r="E9" s="6" t="s">
        <v>16</v>
      </c>
      <c r="F9" s="6" t="s">
        <v>17</v>
      </c>
      <c r="G9">
        <v>0</v>
      </c>
      <c r="I9">
        <v>0</v>
      </c>
      <c r="J9">
        <v>0</v>
      </c>
      <c r="K9">
        <v>10</v>
      </c>
      <c r="L9">
        <v>0</v>
      </c>
      <c r="M9">
        <v>0</v>
      </c>
      <c r="P9">
        <v>10</v>
      </c>
      <c r="Q9" t="str">
        <f>VLOOKUP(IF(R9 &lt;&gt; "", R9, C9),[1]reffLapTW!B:B,1,FALSE)</f>
        <v>PFL002</v>
      </c>
    </row>
    <row r="10" spans="1:19">
      <c r="A10" s="5" t="s">
        <v>438</v>
      </c>
      <c r="B10" s="6" t="s">
        <v>45</v>
      </c>
      <c r="C10" s="6" t="s">
        <v>46</v>
      </c>
      <c r="D10" s="6" t="s">
        <v>47</v>
      </c>
      <c r="E10" s="6" t="s">
        <v>29</v>
      </c>
      <c r="F10" s="6" t="s">
        <v>17</v>
      </c>
      <c r="G10">
        <v>11</v>
      </c>
      <c r="I10">
        <v>0</v>
      </c>
      <c r="J10">
        <v>647</v>
      </c>
      <c r="K10">
        <v>760</v>
      </c>
      <c r="L10">
        <v>0</v>
      </c>
      <c r="M10">
        <v>0</v>
      </c>
      <c r="P10">
        <v>124</v>
      </c>
      <c r="Q10" t="str">
        <f>VLOOKUP(IF(R10 &lt;&gt; "", R10, C10),[1]reffLapTW!B:B,1,FALSE)</f>
        <v>PFH051</v>
      </c>
    </row>
    <row r="11" spans="1:19">
      <c r="A11" s="5" t="s">
        <v>438</v>
      </c>
      <c r="B11" s="6" t="s">
        <v>48</v>
      </c>
      <c r="C11" s="6" t="s">
        <v>49</v>
      </c>
      <c r="D11" s="6" t="s">
        <v>50</v>
      </c>
      <c r="E11" s="6" t="s">
        <v>29</v>
      </c>
      <c r="F11" s="6" t="s">
        <v>17</v>
      </c>
      <c r="G11">
        <v>31</v>
      </c>
      <c r="I11">
        <v>0</v>
      </c>
      <c r="J11">
        <v>21</v>
      </c>
      <c r="K11">
        <v>0</v>
      </c>
      <c r="L11">
        <v>0</v>
      </c>
      <c r="M11">
        <v>0</v>
      </c>
      <c r="P11">
        <v>10</v>
      </c>
      <c r="Q11" t="str">
        <f>VLOOKUP(IF(R11 &lt;&gt; "", R11, C11),[1]reffLapTW!B:B,1,FALSE)</f>
        <v>PFH046</v>
      </c>
    </row>
    <row r="12" spans="1:19">
      <c r="A12" s="5" t="s">
        <v>438</v>
      </c>
      <c r="B12" s="6" t="s">
        <v>51</v>
      </c>
      <c r="C12" s="6" t="s">
        <v>52</v>
      </c>
      <c r="D12" s="6" t="s">
        <v>53</v>
      </c>
      <c r="E12" s="6" t="s">
        <v>16</v>
      </c>
      <c r="F12" s="6" t="s">
        <v>17</v>
      </c>
      <c r="G12">
        <v>1</v>
      </c>
      <c r="I12">
        <v>0</v>
      </c>
      <c r="J12">
        <v>0</v>
      </c>
      <c r="K12">
        <v>0</v>
      </c>
      <c r="L12">
        <v>0</v>
      </c>
      <c r="M12">
        <v>0</v>
      </c>
      <c r="P12">
        <v>1</v>
      </c>
      <c r="Q12" t="str">
        <f>VLOOKUP(IF(R12 &lt;&gt; "", R12, C12),[1]reffLapTW!B:B,1,FALSE)</f>
        <v>PFF</v>
      </c>
    </row>
    <row r="13" spans="1:19">
      <c r="A13" s="5" t="s">
        <v>438</v>
      </c>
      <c r="B13" s="6" t="s">
        <v>54</v>
      </c>
      <c r="C13" s="6" t="s">
        <v>52</v>
      </c>
      <c r="D13" s="6" t="s">
        <v>55</v>
      </c>
      <c r="E13" s="6" t="s">
        <v>29</v>
      </c>
      <c r="F13" s="6" t="s">
        <v>17</v>
      </c>
      <c r="G13">
        <v>5</v>
      </c>
      <c r="I13">
        <v>0</v>
      </c>
      <c r="J13">
        <v>0</v>
      </c>
      <c r="K13">
        <v>0</v>
      </c>
      <c r="L13">
        <v>0</v>
      </c>
      <c r="M13">
        <v>0</v>
      </c>
      <c r="P13">
        <v>5</v>
      </c>
      <c r="Q13" t="str">
        <f>VLOOKUP(IF(R13 &lt;&gt; "", R13, C13),[1]reffLapTW!B:B,1,FALSE)</f>
        <v>PFF</v>
      </c>
    </row>
    <row r="14" spans="1:19">
      <c r="A14" s="5" t="s">
        <v>438</v>
      </c>
      <c r="B14" s="6" t="s">
        <v>56</v>
      </c>
      <c r="C14" s="6" t="s">
        <v>57</v>
      </c>
      <c r="D14" s="6" t="s">
        <v>58</v>
      </c>
      <c r="E14" s="6" t="s">
        <v>59</v>
      </c>
      <c r="F14" s="6" t="s">
        <v>17</v>
      </c>
      <c r="G14">
        <v>3</v>
      </c>
      <c r="I14">
        <v>0</v>
      </c>
      <c r="J14">
        <v>0</v>
      </c>
      <c r="K14">
        <v>0</v>
      </c>
      <c r="L14">
        <v>0</v>
      </c>
      <c r="M14">
        <v>0</v>
      </c>
      <c r="P14">
        <v>3</v>
      </c>
      <c r="Q14" t="str">
        <f>VLOOKUP(IF(R14 &lt;&gt; "", R14, C14),[1]reffLapTW!B:B,1,FALSE)</f>
        <v>PFD001</v>
      </c>
    </row>
    <row r="15" spans="1:19">
      <c r="A15" s="5" t="s">
        <v>438</v>
      </c>
      <c r="B15" s="6" t="s">
        <v>60</v>
      </c>
      <c r="C15" s="6" t="s">
        <v>61</v>
      </c>
      <c r="D15" s="6" t="s">
        <v>62</v>
      </c>
      <c r="E15" s="6" t="s">
        <v>29</v>
      </c>
      <c r="F15" s="6" t="s">
        <v>17</v>
      </c>
      <c r="G15">
        <v>5</v>
      </c>
      <c r="I15">
        <v>0</v>
      </c>
      <c r="J15">
        <v>0</v>
      </c>
      <c r="K15">
        <v>0</v>
      </c>
      <c r="L15">
        <v>0</v>
      </c>
      <c r="M15">
        <v>0</v>
      </c>
      <c r="P15">
        <v>5</v>
      </c>
      <c r="Q15" t="str">
        <f>VLOOKUP(IF(R15 &lt;&gt; "", R15, C15),[1]reffLapTW!B:B,1,FALSE)</f>
        <v>PFA048</v>
      </c>
    </row>
    <row r="16" spans="1:19">
      <c r="A16" s="5" t="s">
        <v>438</v>
      </c>
      <c r="B16" s="6" t="s">
        <v>63</v>
      </c>
      <c r="C16" s="6" t="s">
        <v>64</v>
      </c>
      <c r="D16" s="6" t="s">
        <v>65</v>
      </c>
      <c r="E16" s="6" t="s">
        <v>16</v>
      </c>
      <c r="F16" s="6" t="s">
        <v>17</v>
      </c>
      <c r="G16">
        <v>0</v>
      </c>
      <c r="I16">
        <v>0</v>
      </c>
      <c r="J16">
        <v>0</v>
      </c>
      <c r="K16">
        <v>48</v>
      </c>
      <c r="L16">
        <v>0</v>
      </c>
      <c r="M16">
        <v>0</v>
      </c>
      <c r="P16">
        <v>48</v>
      </c>
      <c r="Q16" t="str">
        <f>VLOOKUP(IF(R16 &lt;&gt; "", R16, C16),[1]reffLapTW!B:B,1,FALSE)</f>
        <v>PFA004</v>
      </c>
    </row>
    <row r="17" spans="1:17">
      <c r="A17" s="5" t="s">
        <v>438</v>
      </c>
      <c r="B17" s="6" t="s">
        <v>66</v>
      </c>
      <c r="C17" s="6" t="s">
        <v>67</v>
      </c>
      <c r="D17" s="6" t="s">
        <v>68</v>
      </c>
      <c r="E17" s="6" t="s">
        <v>29</v>
      </c>
      <c r="F17" s="6" t="s">
        <v>17</v>
      </c>
      <c r="G17">
        <v>8</v>
      </c>
      <c r="I17">
        <v>0</v>
      </c>
      <c r="J17">
        <v>5</v>
      </c>
      <c r="K17">
        <v>40</v>
      </c>
      <c r="L17">
        <v>0</v>
      </c>
      <c r="M17">
        <v>0</v>
      </c>
      <c r="P17">
        <v>43</v>
      </c>
      <c r="Q17" t="str">
        <f>VLOOKUP(IF(R17 &lt;&gt; "", R17, C17),[1]reffLapTW!B:B,1,FALSE)</f>
        <v>PF037</v>
      </c>
    </row>
    <row r="18" spans="1:17">
      <c r="A18" s="5" t="s">
        <v>438</v>
      </c>
      <c r="B18" s="6" t="s">
        <v>69</v>
      </c>
      <c r="C18" s="6" t="s">
        <v>70</v>
      </c>
      <c r="D18" s="6" t="s">
        <v>71</v>
      </c>
      <c r="E18" s="6" t="s">
        <v>41</v>
      </c>
      <c r="F18" s="6" t="s">
        <v>17</v>
      </c>
      <c r="G18">
        <v>2100</v>
      </c>
      <c r="I18">
        <v>0</v>
      </c>
      <c r="J18">
        <v>10300</v>
      </c>
      <c r="K18">
        <v>11000</v>
      </c>
      <c r="L18">
        <v>0</v>
      </c>
      <c r="M18">
        <v>0</v>
      </c>
      <c r="P18">
        <v>2800</v>
      </c>
      <c r="Q18" t="str">
        <f>VLOOKUP(IF(R18 &lt;&gt; "", R18, C18),[1]reffLapTW!B:B,1,FALSE)</f>
        <v>PF025.4</v>
      </c>
    </row>
    <row r="19" spans="1:17">
      <c r="A19" s="5" t="s">
        <v>438</v>
      </c>
      <c r="B19" s="6" t="s">
        <v>72</v>
      </c>
      <c r="C19" s="6" t="s">
        <v>73</v>
      </c>
      <c r="D19" s="6" t="s">
        <v>74</v>
      </c>
      <c r="E19" s="6" t="s">
        <v>29</v>
      </c>
      <c r="F19" s="6" t="s">
        <v>17</v>
      </c>
      <c r="G19">
        <v>254</v>
      </c>
      <c r="I19">
        <v>0</v>
      </c>
      <c r="J19">
        <v>71</v>
      </c>
      <c r="K19">
        <v>40</v>
      </c>
      <c r="L19">
        <v>0</v>
      </c>
      <c r="M19">
        <v>0</v>
      </c>
      <c r="P19">
        <v>223</v>
      </c>
      <c r="Q19" t="str">
        <f>VLOOKUP(IF(R19 &lt;&gt; "", R19, C19),[1]reffLapTW!B:B,1,FALSE)</f>
        <v>PF016.2</v>
      </c>
    </row>
    <row r="20" spans="1:17">
      <c r="A20" s="5" t="s">
        <v>438</v>
      </c>
      <c r="B20" s="6" t="s">
        <v>75</v>
      </c>
      <c r="C20" s="6" t="s">
        <v>76</v>
      </c>
      <c r="D20" s="6" t="s">
        <v>77</v>
      </c>
      <c r="E20" s="6" t="s">
        <v>29</v>
      </c>
      <c r="F20" s="6" t="s">
        <v>17</v>
      </c>
      <c r="G20">
        <v>128</v>
      </c>
      <c r="I20">
        <v>0</v>
      </c>
      <c r="J20">
        <v>139</v>
      </c>
      <c r="K20">
        <v>12</v>
      </c>
      <c r="L20">
        <v>0</v>
      </c>
      <c r="M20">
        <v>0</v>
      </c>
      <c r="P20">
        <v>1</v>
      </c>
      <c r="Q20" t="str">
        <f>VLOOKUP(IF(R20 &lt;&gt; "", R20, C20),[1]reffLapTW!B:B,1,FALSE)</f>
        <v>PF016</v>
      </c>
    </row>
    <row r="21" spans="1:17">
      <c r="A21" s="5" t="s">
        <v>438</v>
      </c>
      <c r="B21" s="6" t="s">
        <v>78</v>
      </c>
      <c r="C21" s="6" t="s">
        <v>79</v>
      </c>
      <c r="D21" s="6" t="s">
        <v>80</v>
      </c>
      <c r="E21" s="6" t="s">
        <v>29</v>
      </c>
      <c r="F21" s="6" t="s">
        <v>17</v>
      </c>
      <c r="G21">
        <v>44</v>
      </c>
      <c r="I21">
        <v>0</v>
      </c>
      <c r="J21">
        <v>89</v>
      </c>
      <c r="K21">
        <v>80</v>
      </c>
      <c r="L21">
        <v>0</v>
      </c>
      <c r="M21">
        <v>0</v>
      </c>
      <c r="P21">
        <v>35</v>
      </c>
      <c r="Q21" t="str">
        <f>VLOOKUP(IF(R21 &lt;&gt; "", R21, C21),[1]reffLapTW!B:B,1,FALSE)</f>
        <v>PF015</v>
      </c>
    </row>
    <row r="22" spans="1:17">
      <c r="A22" s="5" t="s">
        <v>438</v>
      </c>
      <c r="B22" s="6" t="s">
        <v>81</v>
      </c>
      <c r="C22" s="6" t="s">
        <v>82</v>
      </c>
      <c r="D22" s="6" t="s">
        <v>83</v>
      </c>
      <c r="E22" s="6" t="s">
        <v>16</v>
      </c>
      <c r="F22" s="6" t="s">
        <v>17</v>
      </c>
      <c r="G22">
        <v>525</v>
      </c>
      <c r="I22">
        <v>0</v>
      </c>
      <c r="J22">
        <v>525</v>
      </c>
      <c r="K22">
        <v>110</v>
      </c>
      <c r="L22">
        <v>0</v>
      </c>
      <c r="M22">
        <v>0</v>
      </c>
      <c r="P22">
        <v>110</v>
      </c>
      <c r="Q22" t="str">
        <f>VLOOKUP(IF(R22 &lt;&gt; "", R22, C22),[1]reffLapTW!B:B,1,FALSE)</f>
        <v>PF009</v>
      </c>
    </row>
    <row r="23" spans="1:17">
      <c r="A23" s="5" t="s">
        <v>438</v>
      </c>
      <c r="B23" s="6" t="s">
        <v>84</v>
      </c>
      <c r="C23" s="6" t="s">
        <v>85</v>
      </c>
      <c r="D23" s="6" t="s">
        <v>86</v>
      </c>
      <c r="E23" s="6" t="s">
        <v>37</v>
      </c>
      <c r="F23" s="6" t="s">
        <v>17</v>
      </c>
      <c r="G23">
        <v>22</v>
      </c>
      <c r="I23">
        <v>0</v>
      </c>
      <c r="J23">
        <v>40</v>
      </c>
      <c r="K23">
        <v>31</v>
      </c>
      <c r="L23">
        <v>0</v>
      </c>
      <c r="M23">
        <v>0</v>
      </c>
      <c r="P23">
        <v>13</v>
      </c>
      <c r="Q23" t="str">
        <f>VLOOKUP(IF(R23 &lt;&gt; "", R23, C23),[1]reffLapTW!B:B,1,FALSE)</f>
        <v>BS015</v>
      </c>
    </row>
    <row r="24" spans="1:17">
      <c r="A24" s="5" t="s">
        <v>438</v>
      </c>
      <c r="B24" s="6" t="s">
        <v>87</v>
      </c>
      <c r="C24" s="6" t="s">
        <v>88</v>
      </c>
      <c r="D24" s="6" t="s">
        <v>89</v>
      </c>
      <c r="E24" s="6" t="s">
        <v>37</v>
      </c>
      <c r="F24" s="6" t="s">
        <v>17</v>
      </c>
      <c r="G24">
        <v>6</v>
      </c>
      <c r="I24">
        <v>0</v>
      </c>
      <c r="J24">
        <v>0</v>
      </c>
      <c r="K24">
        <v>0</v>
      </c>
      <c r="L24">
        <v>0</v>
      </c>
      <c r="M24">
        <v>0</v>
      </c>
      <c r="P24">
        <v>6</v>
      </c>
      <c r="Q24" t="str">
        <f>VLOOKUP(IF(R24 &lt;&gt; "", R24, C24),[1]reffLapTW!B:B,1,FALSE)</f>
        <v>BS012</v>
      </c>
    </row>
    <row r="25" spans="1:17">
      <c r="A25" s="5" t="s">
        <v>438</v>
      </c>
      <c r="B25" s="6" t="s">
        <v>90</v>
      </c>
      <c r="C25" s="6" t="s">
        <v>91</v>
      </c>
      <c r="D25" s="6" t="s">
        <v>92</v>
      </c>
      <c r="E25" s="6" t="s">
        <v>93</v>
      </c>
      <c r="F25" s="6" t="s">
        <v>94</v>
      </c>
      <c r="G25">
        <v>20</v>
      </c>
      <c r="I25">
        <v>0</v>
      </c>
      <c r="J25">
        <v>0</v>
      </c>
      <c r="K25">
        <v>0</v>
      </c>
      <c r="L25">
        <v>9</v>
      </c>
      <c r="M25">
        <v>0</v>
      </c>
      <c r="P25">
        <v>11</v>
      </c>
      <c r="Q25" t="str">
        <f>VLOOKUP(IF(R25 &lt;&gt; "", R25, C25),[1]reffLapTW!B:B,1,FALSE)</f>
        <v>90U027</v>
      </c>
    </row>
    <row r="26" spans="1:17">
      <c r="A26" s="5" t="s">
        <v>438</v>
      </c>
      <c r="B26" s="6" t="s">
        <v>95</v>
      </c>
      <c r="C26" s="6" t="s">
        <v>96</v>
      </c>
      <c r="D26" s="6" t="s">
        <v>97</v>
      </c>
      <c r="E26" s="6" t="s">
        <v>98</v>
      </c>
      <c r="F26" s="6" t="s">
        <v>99</v>
      </c>
      <c r="G26">
        <v>60</v>
      </c>
      <c r="I26">
        <v>0</v>
      </c>
      <c r="J26">
        <v>0</v>
      </c>
      <c r="K26">
        <v>0</v>
      </c>
      <c r="L26">
        <v>0</v>
      </c>
      <c r="M26">
        <v>0</v>
      </c>
      <c r="P26">
        <v>60</v>
      </c>
      <c r="Q26" t="str">
        <f>VLOOKUP(IF(R26 &lt;&gt; "", R26, C26),[1]reffLapTW!B:B,1,FALSE)</f>
        <v>90P015</v>
      </c>
    </row>
    <row r="27" spans="1:17">
      <c r="A27" s="5" t="s">
        <v>438</v>
      </c>
      <c r="B27" s="6" t="s">
        <v>100</v>
      </c>
      <c r="C27" s="6" t="s">
        <v>101</v>
      </c>
      <c r="D27" s="6" t="s">
        <v>102</v>
      </c>
      <c r="E27" s="6" t="s">
        <v>98</v>
      </c>
      <c r="F27" s="6" t="s">
        <v>99</v>
      </c>
      <c r="G27">
        <v>200</v>
      </c>
      <c r="I27">
        <v>0</v>
      </c>
      <c r="J27">
        <v>0</v>
      </c>
      <c r="K27">
        <v>0</v>
      </c>
      <c r="L27">
        <v>0</v>
      </c>
      <c r="M27">
        <v>0</v>
      </c>
      <c r="P27">
        <v>200</v>
      </c>
      <c r="Q27" t="str">
        <f>VLOOKUP(IF(R27 &lt;&gt; "", R27, C27),[1]reffLapTW!B:B,1,FALSE)</f>
        <v>90P014</v>
      </c>
    </row>
    <row r="28" spans="1:17">
      <c r="A28" s="5" t="s">
        <v>438</v>
      </c>
      <c r="B28" s="6" t="s">
        <v>103</v>
      </c>
      <c r="C28" s="6" t="s">
        <v>104</v>
      </c>
      <c r="D28" s="6" t="s">
        <v>105</v>
      </c>
      <c r="E28" s="6" t="s">
        <v>93</v>
      </c>
      <c r="F28" s="6" t="s">
        <v>94</v>
      </c>
      <c r="G28">
        <v>10</v>
      </c>
      <c r="I28">
        <v>0</v>
      </c>
      <c r="J28">
        <v>0</v>
      </c>
      <c r="K28">
        <v>0</v>
      </c>
      <c r="L28">
        <v>0</v>
      </c>
      <c r="M28">
        <v>0</v>
      </c>
      <c r="P28">
        <v>10</v>
      </c>
      <c r="Q28" t="str">
        <f>VLOOKUP(IF(R28 &lt;&gt; "", R28, C28),[1]reffLapTW!B:B,1,FALSE)</f>
        <v>90O018</v>
      </c>
    </row>
    <row r="29" spans="1:17">
      <c r="A29" s="5" t="s">
        <v>438</v>
      </c>
      <c r="B29" s="6" t="s">
        <v>106</v>
      </c>
      <c r="C29" s="6" t="s">
        <v>107</v>
      </c>
      <c r="D29" s="6" t="s">
        <v>108</v>
      </c>
      <c r="E29" s="6" t="s">
        <v>109</v>
      </c>
      <c r="F29" s="6" t="s">
        <v>110</v>
      </c>
      <c r="G29">
        <v>18</v>
      </c>
      <c r="I29">
        <v>0</v>
      </c>
      <c r="J29">
        <v>0</v>
      </c>
      <c r="K29">
        <v>0</v>
      </c>
      <c r="L29">
        <v>0</v>
      </c>
      <c r="M29">
        <v>0</v>
      </c>
      <c r="P29">
        <v>18</v>
      </c>
      <c r="Q29" t="str">
        <f>VLOOKUP(IF(R29 &lt;&gt; "", R29, C29),[1]reffLapTW!B:B,1,FALSE)</f>
        <v>90K048</v>
      </c>
    </row>
    <row r="30" spans="1:17">
      <c r="A30" s="5" t="s">
        <v>438</v>
      </c>
      <c r="B30" s="6" t="s">
        <v>111</v>
      </c>
      <c r="C30" s="6" t="s">
        <v>112</v>
      </c>
      <c r="D30" s="6" t="s">
        <v>113</v>
      </c>
      <c r="E30" s="6" t="s">
        <v>93</v>
      </c>
      <c r="F30" s="6" t="s">
        <v>99</v>
      </c>
      <c r="G30">
        <v>130</v>
      </c>
      <c r="I30">
        <v>0</v>
      </c>
      <c r="J30">
        <v>0</v>
      </c>
      <c r="K30">
        <v>0</v>
      </c>
      <c r="L30">
        <v>0</v>
      </c>
      <c r="M30">
        <v>0</v>
      </c>
      <c r="P30">
        <v>130</v>
      </c>
      <c r="Q30" t="str">
        <f>VLOOKUP(IF(R30 &lt;&gt; "", R30, C30),[1]reffLapTW!B:B,1,FALSE)</f>
        <v>90B030</v>
      </c>
    </row>
    <row r="31" spans="1:17">
      <c r="A31" s="5" t="s">
        <v>438</v>
      </c>
      <c r="B31" s="6" t="s">
        <v>114</v>
      </c>
      <c r="C31" s="6" t="s">
        <v>115</v>
      </c>
      <c r="D31" s="6" t="s">
        <v>116</v>
      </c>
      <c r="E31" s="6" t="s">
        <v>29</v>
      </c>
      <c r="F31" s="6" t="s">
        <v>99</v>
      </c>
      <c r="G31">
        <v>110</v>
      </c>
      <c r="I31">
        <v>100</v>
      </c>
      <c r="J31">
        <v>20</v>
      </c>
      <c r="K31">
        <v>0</v>
      </c>
      <c r="L31">
        <v>0</v>
      </c>
      <c r="M31">
        <v>0</v>
      </c>
      <c r="P31">
        <v>190</v>
      </c>
      <c r="Q31" t="str">
        <f>VLOOKUP(IF(R31 &lt;&gt; "", R31, C31),[1]reffLapTW!B:B,1,FALSE)</f>
        <v>90B008</v>
      </c>
    </row>
    <row r="32" spans="1:17">
      <c r="A32" s="5" t="s">
        <v>438</v>
      </c>
      <c r="B32" s="6" t="s">
        <v>117</v>
      </c>
      <c r="C32" s="6" t="s">
        <v>118</v>
      </c>
      <c r="D32" s="6" t="s">
        <v>119</v>
      </c>
      <c r="E32" s="6" t="s">
        <v>29</v>
      </c>
      <c r="F32" s="6" t="s">
        <v>99</v>
      </c>
      <c r="G32">
        <v>210</v>
      </c>
      <c r="I32">
        <v>200</v>
      </c>
      <c r="J32">
        <v>0</v>
      </c>
      <c r="K32">
        <v>0</v>
      </c>
      <c r="L32">
        <v>0</v>
      </c>
      <c r="M32">
        <v>0</v>
      </c>
      <c r="P32">
        <v>410</v>
      </c>
      <c r="Q32" t="str">
        <f>VLOOKUP(IF(R32 &lt;&gt; "", R32, C32),[1]reffLapTW!B:B,1,FALSE)</f>
        <v>90B007</v>
      </c>
    </row>
    <row r="33" spans="1:17">
      <c r="A33" s="5" t="s">
        <v>438</v>
      </c>
      <c r="B33" s="6" t="s">
        <v>120</v>
      </c>
      <c r="C33" s="6" t="s">
        <v>121</v>
      </c>
      <c r="D33" s="6" t="s">
        <v>122</v>
      </c>
      <c r="E33" s="6" t="s">
        <v>29</v>
      </c>
      <c r="F33" s="6" t="s">
        <v>99</v>
      </c>
      <c r="G33">
        <v>255</v>
      </c>
      <c r="I33">
        <v>0</v>
      </c>
      <c r="J33">
        <v>0</v>
      </c>
      <c r="K33">
        <v>0</v>
      </c>
      <c r="L33">
        <v>0</v>
      </c>
      <c r="M33">
        <v>0</v>
      </c>
      <c r="P33">
        <v>255</v>
      </c>
      <c r="Q33" t="str">
        <f>VLOOKUP(IF(R33 &lt;&gt; "", R33, C33),[1]reffLapTW!B:B,1,FALSE)</f>
        <v>90B005</v>
      </c>
    </row>
    <row r="34" spans="1:17">
      <c r="A34" s="5" t="s">
        <v>438</v>
      </c>
      <c r="B34" s="6" t="s">
        <v>123</v>
      </c>
      <c r="C34" s="6" t="s">
        <v>124</v>
      </c>
      <c r="D34" s="6" t="s">
        <v>125</v>
      </c>
      <c r="E34" s="6" t="s">
        <v>93</v>
      </c>
      <c r="F34" s="6" t="s">
        <v>126</v>
      </c>
      <c r="G34">
        <v>3</v>
      </c>
      <c r="I34">
        <v>0</v>
      </c>
      <c r="J34">
        <v>0</v>
      </c>
      <c r="K34">
        <v>0</v>
      </c>
      <c r="L34">
        <v>2</v>
      </c>
      <c r="M34">
        <v>0</v>
      </c>
      <c r="P34">
        <v>1</v>
      </c>
      <c r="Q34" t="str">
        <f>VLOOKUP(IF(R34 &lt;&gt; "", R34, C34),[1]reffLapTW!B:B,1,FALSE)</f>
        <v>80T105</v>
      </c>
    </row>
    <row r="35" spans="1:17">
      <c r="A35" s="5" t="s">
        <v>438</v>
      </c>
      <c r="B35" s="6" t="s">
        <v>127</v>
      </c>
      <c r="C35" s="6" t="s">
        <v>128</v>
      </c>
      <c r="D35" s="6" t="s">
        <v>129</v>
      </c>
      <c r="E35" s="6" t="s">
        <v>98</v>
      </c>
      <c r="F35" s="6" t="s">
        <v>130</v>
      </c>
      <c r="G35">
        <v>239</v>
      </c>
      <c r="I35">
        <v>0</v>
      </c>
      <c r="J35">
        <v>0</v>
      </c>
      <c r="K35">
        <v>0</v>
      </c>
      <c r="L35">
        <v>92</v>
      </c>
      <c r="M35">
        <v>0</v>
      </c>
      <c r="P35">
        <v>147</v>
      </c>
      <c r="Q35" t="str">
        <f>VLOOKUP(IF(R35 &lt;&gt; "", R35, C35),[1]reffLapTW!B:B,1,FALSE)</f>
        <v>80T080</v>
      </c>
    </row>
    <row r="36" spans="1:17">
      <c r="A36" s="5" t="s">
        <v>438</v>
      </c>
      <c r="B36" s="6" t="s">
        <v>131</v>
      </c>
      <c r="C36" s="6" t="s">
        <v>132</v>
      </c>
      <c r="D36" s="6" t="s">
        <v>133</v>
      </c>
      <c r="E36" s="6" t="s">
        <v>93</v>
      </c>
      <c r="F36" s="6" t="s">
        <v>134</v>
      </c>
      <c r="G36">
        <v>23</v>
      </c>
      <c r="I36">
        <v>0</v>
      </c>
      <c r="J36">
        <v>0</v>
      </c>
      <c r="K36">
        <v>0</v>
      </c>
      <c r="L36">
        <v>6</v>
      </c>
      <c r="M36">
        <v>0</v>
      </c>
      <c r="P36">
        <v>17</v>
      </c>
      <c r="Q36" t="str">
        <f>VLOOKUP(IF(R36 &lt;&gt; "", R36, C36),[1]reffLapTW!B:B,1,FALSE)</f>
        <v>80S355</v>
      </c>
    </row>
    <row r="37" spans="1:17">
      <c r="A37" s="5" t="s">
        <v>438</v>
      </c>
      <c r="B37" s="6" t="s">
        <v>135</v>
      </c>
      <c r="C37" s="6" t="s">
        <v>136</v>
      </c>
      <c r="D37" s="6" t="s">
        <v>137</v>
      </c>
      <c r="E37" s="6" t="s">
        <v>93</v>
      </c>
      <c r="F37" s="6" t="s">
        <v>134</v>
      </c>
      <c r="G37">
        <v>16</v>
      </c>
      <c r="I37">
        <v>0</v>
      </c>
      <c r="J37">
        <v>0</v>
      </c>
      <c r="K37">
        <v>0</v>
      </c>
      <c r="L37">
        <v>0</v>
      </c>
      <c r="M37">
        <v>0</v>
      </c>
      <c r="P37">
        <v>16</v>
      </c>
      <c r="Q37" t="str">
        <f>VLOOKUP(IF(R37 &lt;&gt; "", R37, C37),[1]reffLapTW!B:B,1,FALSE)</f>
        <v>80S350</v>
      </c>
    </row>
    <row r="38" spans="1:17">
      <c r="A38" s="5" t="s">
        <v>438</v>
      </c>
      <c r="B38" s="6" t="s">
        <v>138</v>
      </c>
      <c r="C38" s="6" t="s">
        <v>139</v>
      </c>
      <c r="D38" s="6" t="s">
        <v>140</v>
      </c>
      <c r="E38" s="6" t="s">
        <v>98</v>
      </c>
      <c r="F38" s="6" t="s">
        <v>94</v>
      </c>
      <c r="G38">
        <v>10</v>
      </c>
      <c r="I38">
        <v>0</v>
      </c>
      <c r="J38">
        <v>0</v>
      </c>
      <c r="K38">
        <v>0</v>
      </c>
      <c r="L38">
        <v>0</v>
      </c>
      <c r="M38">
        <v>0</v>
      </c>
      <c r="P38">
        <v>10</v>
      </c>
      <c r="Q38" t="str">
        <f>VLOOKUP(IF(R38 &lt;&gt; "", R38, C38),[1]reffLapTW!B:B,1,FALSE)</f>
        <v>80S290</v>
      </c>
    </row>
    <row r="39" spans="1:17">
      <c r="A39" s="5" t="s">
        <v>438</v>
      </c>
      <c r="B39" s="6" t="s">
        <v>141</v>
      </c>
      <c r="C39" s="6" t="s">
        <v>142</v>
      </c>
      <c r="D39" s="6" t="s">
        <v>143</v>
      </c>
      <c r="E39" s="6" t="s">
        <v>93</v>
      </c>
      <c r="F39" s="6" t="s">
        <v>94</v>
      </c>
      <c r="G39">
        <v>18</v>
      </c>
      <c r="I39">
        <v>0</v>
      </c>
      <c r="J39">
        <v>0</v>
      </c>
      <c r="K39">
        <v>0</v>
      </c>
      <c r="L39">
        <v>0</v>
      </c>
      <c r="M39">
        <v>0</v>
      </c>
      <c r="P39">
        <v>18</v>
      </c>
      <c r="Q39" t="str">
        <f>VLOOKUP(IF(R39 &lt;&gt; "", R39, C39),[1]reffLapTW!B:B,1,FALSE)</f>
        <v>80S287</v>
      </c>
    </row>
    <row r="40" spans="1:17">
      <c r="A40" s="5" t="s">
        <v>438</v>
      </c>
      <c r="B40" s="6" t="s">
        <v>144</v>
      </c>
      <c r="C40" s="6" t="s">
        <v>145</v>
      </c>
      <c r="D40" s="6" t="s">
        <v>146</v>
      </c>
      <c r="E40" s="6" t="s">
        <v>98</v>
      </c>
      <c r="F40" s="6" t="s">
        <v>94</v>
      </c>
      <c r="G40">
        <v>3</v>
      </c>
      <c r="I40">
        <v>0</v>
      </c>
      <c r="J40">
        <v>0</v>
      </c>
      <c r="K40">
        <v>0</v>
      </c>
      <c r="L40">
        <v>0</v>
      </c>
      <c r="M40">
        <v>0</v>
      </c>
      <c r="P40">
        <v>3</v>
      </c>
      <c r="Q40" t="str">
        <f>VLOOKUP(IF(R40 &lt;&gt; "", R40, C40),[1]reffLapTW!B:B,1,FALSE)</f>
        <v>80N131</v>
      </c>
    </row>
    <row r="41" spans="1:17">
      <c r="A41" s="5" t="s">
        <v>438</v>
      </c>
      <c r="B41" s="6" t="s">
        <v>147</v>
      </c>
      <c r="C41" s="6" t="s">
        <v>148</v>
      </c>
      <c r="D41" s="6" t="s">
        <v>149</v>
      </c>
      <c r="E41" s="6" t="s">
        <v>98</v>
      </c>
      <c r="F41" s="6" t="s">
        <v>150</v>
      </c>
      <c r="G41">
        <v>17</v>
      </c>
      <c r="I41">
        <v>40</v>
      </c>
      <c r="J41">
        <v>0</v>
      </c>
      <c r="K41">
        <v>0</v>
      </c>
      <c r="L41">
        <v>44</v>
      </c>
      <c r="M41">
        <v>0</v>
      </c>
      <c r="P41">
        <v>13</v>
      </c>
      <c r="Q41" t="str">
        <f>VLOOKUP(IF(R41 &lt;&gt; "", R41, C41),[1]reffLapTW!B:B,1,FALSE)</f>
        <v>80I047</v>
      </c>
    </row>
    <row r="42" spans="1:17">
      <c r="A42" s="5" t="s">
        <v>438</v>
      </c>
      <c r="B42" s="6" t="s">
        <v>151</v>
      </c>
      <c r="C42" s="6" t="s">
        <v>152</v>
      </c>
      <c r="D42" s="6" t="s">
        <v>153</v>
      </c>
      <c r="E42" s="6" t="s">
        <v>98</v>
      </c>
      <c r="F42" s="6" t="s">
        <v>150</v>
      </c>
      <c r="G42">
        <v>177</v>
      </c>
      <c r="I42">
        <v>0</v>
      </c>
      <c r="J42">
        <v>0</v>
      </c>
      <c r="K42">
        <v>0</v>
      </c>
      <c r="L42">
        <v>75</v>
      </c>
      <c r="M42">
        <v>0</v>
      </c>
      <c r="P42">
        <v>102</v>
      </c>
      <c r="Q42" t="str">
        <f>VLOOKUP(IF(R42 &lt;&gt; "", R42, C42),[1]reffLapTW!B:B,1,FALSE)</f>
        <v>80E098</v>
      </c>
    </row>
    <row r="43" spans="1:17">
      <c r="A43" s="5" t="s">
        <v>438</v>
      </c>
      <c r="B43" s="6" t="s">
        <v>154</v>
      </c>
      <c r="C43" s="6" t="s">
        <v>155</v>
      </c>
      <c r="D43" s="6" t="s">
        <v>156</v>
      </c>
      <c r="E43" s="6" t="s">
        <v>93</v>
      </c>
      <c r="F43" s="6" t="s">
        <v>134</v>
      </c>
      <c r="G43">
        <v>160</v>
      </c>
      <c r="I43">
        <v>0</v>
      </c>
      <c r="J43">
        <v>0</v>
      </c>
      <c r="K43">
        <v>0</v>
      </c>
      <c r="L43">
        <v>0</v>
      </c>
      <c r="M43">
        <v>0</v>
      </c>
      <c r="P43">
        <v>160</v>
      </c>
      <c r="Q43" t="str">
        <f>VLOOKUP(IF(R43 &lt;&gt; "", R43, C43),[1]reffLapTW!B:B,1,FALSE)</f>
        <v>80E005</v>
      </c>
    </row>
    <row r="44" spans="1:17">
      <c r="A44" s="5" t="s">
        <v>438</v>
      </c>
      <c r="B44" s="6" t="s">
        <v>157</v>
      </c>
      <c r="C44" s="6" t="s">
        <v>158</v>
      </c>
      <c r="D44" s="6" t="s">
        <v>159</v>
      </c>
      <c r="E44" s="6" t="s">
        <v>93</v>
      </c>
      <c r="F44" s="6" t="s">
        <v>94</v>
      </c>
      <c r="G44">
        <v>35</v>
      </c>
      <c r="I44">
        <v>10</v>
      </c>
      <c r="J44">
        <v>0</v>
      </c>
      <c r="K44">
        <v>0</v>
      </c>
      <c r="L44">
        <v>45</v>
      </c>
      <c r="M44">
        <v>0</v>
      </c>
      <c r="P44">
        <v>0</v>
      </c>
      <c r="Q44" t="str">
        <f>VLOOKUP(IF(R44 &lt;&gt; "", R44, C44),[1]reffLapTW!B:B,1,FALSE)</f>
        <v>80D172</v>
      </c>
    </row>
    <row r="45" spans="1:17">
      <c r="A45" s="5" t="s">
        <v>438</v>
      </c>
      <c r="B45" s="6" t="s">
        <v>160</v>
      </c>
      <c r="C45" s="6" t="s">
        <v>161</v>
      </c>
      <c r="D45" s="6" t="s">
        <v>162</v>
      </c>
      <c r="E45" s="6" t="s">
        <v>93</v>
      </c>
      <c r="F45" s="6" t="s">
        <v>126</v>
      </c>
      <c r="G45">
        <v>18</v>
      </c>
      <c r="I45">
        <v>0</v>
      </c>
      <c r="J45">
        <v>0</v>
      </c>
      <c r="K45">
        <v>0</v>
      </c>
      <c r="L45">
        <v>18</v>
      </c>
      <c r="M45">
        <v>0</v>
      </c>
      <c r="P45">
        <v>0</v>
      </c>
      <c r="Q45" t="str">
        <f>VLOOKUP(IF(R45 &lt;&gt; "", R45, C45),[1]reffLapTW!B:B,1,FALSE)</f>
        <v>80D168.1</v>
      </c>
    </row>
    <row r="46" spans="1:17">
      <c r="A46" s="5" t="s">
        <v>438</v>
      </c>
      <c r="B46" s="6" t="s">
        <v>163</v>
      </c>
      <c r="C46" s="6" t="s">
        <v>164</v>
      </c>
      <c r="D46" s="6" t="s">
        <v>165</v>
      </c>
      <c r="E46" s="6" t="s">
        <v>98</v>
      </c>
      <c r="F46" s="6" t="s">
        <v>126</v>
      </c>
      <c r="G46">
        <v>0</v>
      </c>
      <c r="I46">
        <v>50</v>
      </c>
      <c r="J46">
        <v>0</v>
      </c>
      <c r="K46">
        <v>0</v>
      </c>
      <c r="L46">
        <v>23</v>
      </c>
      <c r="M46">
        <v>0</v>
      </c>
      <c r="P46">
        <v>27</v>
      </c>
      <c r="Q46" t="str">
        <f>VLOOKUP(IF(R46 &lt;&gt; "", R46, C46),[1]reffLapTW!B:B,1,FALSE)</f>
        <v>80D009.02</v>
      </c>
    </row>
    <row r="47" spans="1:17">
      <c r="A47" s="5" t="s">
        <v>438</v>
      </c>
      <c r="B47" s="6" t="s">
        <v>166</v>
      </c>
      <c r="C47" s="6" t="s">
        <v>167</v>
      </c>
      <c r="D47" s="6" t="s">
        <v>168</v>
      </c>
      <c r="E47" s="6" t="s">
        <v>98</v>
      </c>
      <c r="F47" s="6" t="s">
        <v>126</v>
      </c>
      <c r="G47">
        <v>20</v>
      </c>
      <c r="I47">
        <v>0</v>
      </c>
      <c r="J47">
        <v>0</v>
      </c>
      <c r="K47">
        <v>0</v>
      </c>
      <c r="L47">
        <v>20</v>
      </c>
      <c r="M47">
        <v>0</v>
      </c>
      <c r="P47">
        <v>0</v>
      </c>
      <c r="Q47" t="str">
        <f>VLOOKUP(IF(R47 &lt;&gt; "", R47, C47),[1]reffLapTW!B:B,1,FALSE)</f>
        <v>80D008.01</v>
      </c>
    </row>
    <row r="48" spans="1:17">
      <c r="A48" s="5" t="s">
        <v>438</v>
      </c>
      <c r="B48" s="6" t="s">
        <v>169</v>
      </c>
      <c r="C48" s="6" t="s">
        <v>170</v>
      </c>
      <c r="D48" s="6" t="s">
        <v>171</v>
      </c>
      <c r="E48" s="6" t="s">
        <v>98</v>
      </c>
      <c r="F48" s="6" t="s">
        <v>172</v>
      </c>
      <c r="G48">
        <v>2</v>
      </c>
      <c r="I48">
        <v>100</v>
      </c>
      <c r="J48">
        <v>0</v>
      </c>
      <c r="K48">
        <v>0</v>
      </c>
      <c r="L48">
        <v>4</v>
      </c>
      <c r="M48">
        <v>0</v>
      </c>
      <c r="P48">
        <v>98</v>
      </c>
      <c r="Q48" t="str">
        <f>VLOOKUP(IF(R48 &lt;&gt; "", R48, C48),[1]reffLapTW!B:B,1,FALSE)</f>
        <v>80A092</v>
      </c>
    </row>
    <row r="49" spans="1:17">
      <c r="A49" s="5" t="s">
        <v>438</v>
      </c>
      <c r="B49" s="6" t="s">
        <v>173</v>
      </c>
      <c r="C49" s="6" t="s">
        <v>174</v>
      </c>
      <c r="D49" s="6" t="s">
        <v>175</v>
      </c>
      <c r="E49" s="6" t="s">
        <v>29</v>
      </c>
      <c r="F49" s="6" t="s">
        <v>176</v>
      </c>
      <c r="G49">
        <v>1</v>
      </c>
      <c r="I49">
        <v>0</v>
      </c>
      <c r="J49">
        <v>0</v>
      </c>
      <c r="K49">
        <v>0</v>
      </c>
      <c r="L49">
        <v>0</v>
      </c>
      <c r="M49">
        <v>0</v>
      </c>
      <c r="P49">
        <v>1</v>
      </c>
      <c r="Q49" t="str">
        <f>VLOOKUP(IF(R49 &lt;&gt; "", R49, C49),[1]reffLapTW!B:B,1,FALSE)</f>
        <v>50V009</v>
      </c>
    </row>
    <row r="50" spans="1:17">
      <c r="A50" s="5" t="s">
        <v>438</v>
      </c>
      <c r="B50" s="6" t="s">
        <v>177</v>
      </c>
      <c r="C50" s="6" t="s">
        <v>178</v>
      </c>
      <c r="D50" s="6" t="s">
        <v>179</v>
      </c>
      <c r="E50" s="6" t="s">
        <v>180</v>
      </c>
      <c r="F50" s="6" t="s">
        <v>181</v>
      </c>
      <c r="G50">
        <v>4000</v>
      </c>
      <c r="I50">
        <v>0</v>
      </c>
      <c r="J50">
        <v>0</v>
      </c>
      <c r="K50">
        <v>0</v>
      </c>
      <c r="L50">
        <v>0</v>
      </c>
      <c r="M50">
        <v>0</v>
      </c>
      <c r="P50">
        <v>4000</v>
      </c>
      <c r="Q50" t="str">
        <f>VLOOKUP(IF(R50 &lt;&gt; "", R50, C50),[1]reffLapTW!B:B,1,FALSE)</f>
        <v>50V002</v>
      </c>
    </row>
    <row r="51" spans="1:17">
      <c r="A51" s="5" t="s">
        <v>438</v>
      </c>
      <c r="B51" s="6" t="s">
        <v>182</v>
      </c>
      <c r="C51" s="6" t="s">
        <v>183</v>
      </c>
      <c r="D51" s="6" t="s">
        <v>184</v>
      </c>
      <c r="E51" s="6" t="s">
        <v>29</v>
      </c>
      <c r="F51" s="6" t="s">
        <v>17</v>
      </c>
      <c r="G51">
        <v>0</v>
      </c>
      <c r="I51">
        <v>0</v>
      </c>
      <c r="J51">
        <v>13</v>
      </c>
      <c r="K51">
        <v>13</v>
      </c>
      <c r="L51">
        <v>0</v>
      </c>
      <c r="M51">
        <v>0</v>
      </c>
      <c r="P51">
        <v>0</v>
      </c>
      <c r="Q51" t="str">
        <f>VLOOKUP(IF(R51 &lt;&gt; "", R51, C51),[1]reffLapTW!B:B,1,FALSE)</f>
        <v>50S037</v>
      </c>
    </row>
    <row r="52" spans="1:17">
      <c r="A52" s="5" t="s">
        <v>438</v>
      </c>
      <c r="B52" s="6" t="s">
        <v>185</v>
      </c>
      <c r="C52" s="6" t="s">
        <v>183</v>
      </c>
      <c r="D52" s="6" t="s">
        <v>186</v>
      </c>
      <c r="E52" s="6" t="s">
        <v>29</v>
      </c>
      <c r="F52" s="6" t="s">
        <v>187</v>
      </c>
      <c r="G52">
        <v>3</v>
      </c>
      <c r="I52">
        <v>0</v>
      </c>
      <c r="J52">
        <v>0</v>
      </c>
      <c r="K52">
        <v>0</v>
      </c>
      <c r="L52">
        <v>0</v>
      </c>
      <c r="M52">
        <v>0</v>
      </c>
      <c r="P52">
        <v>3</v>
      </c>
      <c r="Q52" t="str">
        <f>VLOOKUP(IF(R52 &lt;&gt; "", R52, C52),[1]reffLapTW!B:B,1,FALSE)</f>
        <v>50S037</v>
      </c>
    </row>
    <row r="53" spans="1:17">
      <c r="A53" s="5" t="s">
        <v>438</v>
      </c>
      <c r="B53" s="6" t="s">
        <v>188</v>
      </c>
      <c r="C53" s="6" t="s">
        <v>189</v>
      </c>
      <c r="D53" s="6" t="s">
        <v>190</v>
      </c>
      <c r="E53" s="6" t="s">
        <v>191</v>
      </c>
      <c r="F53" s="6" t="s">
        <v>192</v>
      </c>
      <c r="G53">
        <v>0.74</v>
      </c>
      <c r="I53">
        <v>0</v>
      </c>
      <c r="J53">
        <v>0</v>
      </c>
      <c r="K53">
        <v>0</v>
      </c>
      <c r="L53">
        <v>0</v>
      </c>
      <c r="M53">
        <v>0</v>
      </c>
      <c r="P53">
        <v>0.74</v>
      </c>
      <c r="Q53" t="str">
        <f>VLOOKUP(IF(R53 &lt;&gt; "", R53, C53),[1]reffLapTW!B:B,1,FALSE)</f>
        <v>50S001.1</v>
      </c>
    </row>
    <row r="54" spans="1:17">
      <c r="A54" s="5" t="s">
        <v>438</v>
      </c>
      <c r="B54" s="6" t="s">
        <v>193</v>
      </c>
      <c r="C54" s="6" t="s">
        <v>194</v>
      </c>
      <c r="D54" s="6" t="s">
        <v>195</v>
      </c>
      <c r="E54" s="6" t="s">
        <v>29</v>
      </c>
      <c r="F54" s="6" t="s">
        <v>196</v>
      </c>
      <c r="G54">
        <v>1</v>
      </c>
      <c r="I54">
        <v>0</v>
      </c>
      <c r="J54">
        <v>0</v>
      </c>
      <c r="K54">
        <v>0</v>
      </c>
      <c r="L54">
        <v>0</v>
      </c>
      <c r="M54">
        <v>0</v>
      </c>
      <c r="P54">
        <v>1</v>
      </c>
      <c r="Q54" t="str">
        <f>VLOOKUP(IF(R54 &lt;&gt; "", R54, C54),[1]reffLapTW!B:B,1,FALSE)</f>
        <v>50P034</v>
      </c>
    </row>
    <row r="55" spans="1:17">
      <c r="A55" s="5" t="s">
        <v>438</v>
      </c>
      <c r="B55" s="6" t="s">
        <v>197</v>
      </c>
      <c r="C55" s="6" t="s">
        <v>198</v>
      </c>
      <c r="D55" s="6" t="s">
        <v>199</v>
      </c>
      <c r="E55" s="6" t="s">
        <v>200</v>
      </c>
      <c r="F55" s="6" t="s">
        <v>181</v>
      </c>
      <c r="G55">
        <v>80</v>
      </c>
      <c r="I55">
        <v>0</v>
      </c>
      <c r="J55">
        <v>0</v>
      </c>
      <c r="K55">
        <v>0</v>
      </c>
      <c r="L55">
        <v>0</v>
      </c>
      <c r="M55">
        <v>0</v>
      </c>
      <c r="P55">
        <v>80</v>
      </c>
      <c r="Q55" t="str">
        <f>VLOOKUP(IF(R55 &lt;&gt; "", R55, C55),[1]reffLapTW!B:B,1,FALSE)</f>
        <v>50P005</v>
      </c>
    </row>
    <row r="56" spans="1:17">
      <c r="A56" s="5" t="s">
        <v>438</v>
      </c>
      <c r="B56" s="6" t="s">
        <v>201</v>
      </c>
      <c r="C56" s="6" t="s">
        <v>202</v>
      </c>
      <c r="D56" s="6" t="s">
        <v>203</v>
      </c>
      <c r="E56" s="6" t="s">
        <v>37</v>
      </c>
      <c r="F56" s="6" t="s">
        <v>204</v>
      </c>
      <c r="G56">
        <v>2</v>
      </c>
      <c r="I56">
        <v>0</v>
      </c>
      <c r="J56">
        <v>0</v>
      </c>
      <c r="K56">
        <v>0</v>
      </c>
      <c r="L56">
        <v>0</v>
      </c>
      <c r="M56">
        <v>0</v>
      </c>
      <c r="P56">
        <v>2</v>
      </c>
      <c r="Q56" t="str">
        <f>VLOOKUP(IF(R56 &lt;&gt; "", R56, C56),[1]reffLapTW!B:B,1,FALSE)</f>
        <v>50N014.1</v>
      </c>
    </row>
    <row r="57" spans="1:17">
      <c r="A57" s="5" t="s">
        <v>438</v>
      </c>
      <c r="B57" s="6" t="s">
        <v>205</v>
      </c>
      <c r="C57" s="6" t="s">
        <v>206</v>
      </c>
      <c r="D57" s="6" t="s">
        <v>207</v>
      </c>
      <c r="E57" s="6" t="s">
        <v>180</v>
      </c>
      <c r="F57" s="6" t="s">
        <v>181</v>
      </c>
      <c r="G57">
        <v>300</v>
      </c>
      <c r="I57">
        <v>0</v>
      </c>
      <c r="J57">
        <v>0</v>
      </c>
      <c r="K57">
        <v>0</v>
      </c>
      <c r="L57">
        <v>0</v>
      </c>
      <c r="M57">
        <v>0</v>
      </c>
      <c r="P57">
        <v>300</v>
      </c>
      <c r="Q57" t="str">
        <f>VLOOKUP(IF(R57 &lt;&gt; "", R57, C57),[1]reffLapTW!B:B,1,FALSE)</f>
        <v>50N006</v>
      </c>
    </row>
    <row r="58" spans="1:17">
      <c r="A58" s="5" t="s">
        <v>438</v>
      </c>
      <c r="B58" s="6" t="s">
        <v>208</v>
      </c>
      <c r="C58" s="6" t="s">
        <v>209</v>
      </c>
      <c r="D58" s="6" t="s">
        <v>210</v>
      </c>
      <c r="E58" s="6" t="s">
        <v>180</v>
      </c>
      <c r="F58" s="6" t="s">
        <v>181</v>
      </c>
      <c r="G58">
        <v>800</v>
      </c>
      <c r="I58">
        <v>0</v>
      </c>
      <c r="J58">
        <v>0</v>
      </c>
      <c r="K58">
        <v>0</v>
      </c>
      <c r="L58">
        <v>0</v>
      </c>
      <c r="M58">
        <v>0</v>
      </c>
      <c r="P58">
        <v>800</v>
      </c>
      <c r="Q58" t="str">
        <f>VLOOKUP(IF(R58 &lt;&gt; "", R58, C58),[1]reffLapTW!B:B,1,FALSE)</f>
        <v>50L010</v>
      </c>
    </row>
    <row r="59" spans="1:17">
      <c r="A59" s="5" t="s">
        <v>438</v>
      </c>
      <c r="B59" s="6" t="s">
        <v>211</v>
      </c>
      <c r="C59" s="6" t="s">
        <v>212</v>
      </c>
      <c r="D59" s="6" t="s">
        <v>213</v>
      </c>
      <c r="E59" s="6" t="s">
        <v>29</v>
      </c>
      <c r="F59" s="6" t="s">
        <v>214</v>
      </c>
      <c r="G59">
        <v>3</v>
      </c>
      <c r="I59">
        <v>13</v>
      </c>
      <c r="J59">
        <v>0</v>
      </c>
      <c r="K59">
        <v>0</v>
      </c>
      <c r="L59">
        <v>0</v>
      </c>
      <c r="M59">
        <v>0</v>
      </c>
      <c r="P59">
        <v>16</v>
      </c>
      <c r="Q59" t="str">
        <f>VLOOKUP(IF(R59 &lt;&gt; "", R59, C59),[1]reffLapTW!B:B,1,FALSE)</f>
        <v>50I001.1401</v>
      </c>
    </row>
    <row r="60" spans="1:17">
      <c r="A60" s="5" t="s">
        <v>438</v>
      </c>
      <c r="B60" s="6" t="s">
        <v>215</v>
      </c>
      <c r="C60" s="6" t="s">
        <v>216</v>
      </c>
      <c r="D60" s="6" t="s">
        <v>217</v>
      </c>
      <c r="E60" s="6" t="s">
        <v>29</v>
      </c>
      <c r="F60" s="6" t="s">
        <v>187</v>
      </c>
      <c r="G60">
        <v>2</v>
      </c>
      <c r="I60">
        <v>0</v>
      </c>
      <c r="J60">
        <v>0</v>
      </c>
      <c r="K60">
        <v>0</v>
      </c>
      <c r="L60">
        <v>0</v>
      </c>
      <c r="M60">
        <v>0</v>
      </c>
      <c r="P60">
        <v>2</v>
      </c>
      <c r="Q60" t="str">
        <f>VLOOKUP(IF(R60 &lt;&gt; "", R60, C60),[1]reffLapTW!B:B,1,FALSE)</f>
        <v>50H008</v>
      </c>
    </row>
    <row r="61" spans="1:17">
      <c r="A61" s="5" t="s">
        <v>438</v>
      </c>
      <c r="B61" s="6" t="s">
        <v>218</v>
      </c>
      <c r="C61" s="6" t="s">
        <v>219</v>
      </c>
      <c r="D61" s="6" t="s">
        <v>220</v>
      </c>
      <c r="E61" s="6" t="s">
        <v>29</v>
      </c>
      <c r="F61" s="6" t="s">
        <v>181</v>
      </c>
      <c r="G61">
        <v>1</v>
      </c>
      <c r="I61">
        <v>0</v>
      </c>
      <c r="J61">
        <v>0</v>
      </c>
      <c r="K61">
        <v>0</v>
      </c>
      <c r="L61">
        <v>0</v>
      </c>
      <c r="M61">
        <v>0</v>
      </c>
      <c r="P61">
        <v>1</v>
      </c>
      <c r="Q61" t="str">
        <f>VLOOKUP(IF(R61 &lt;&gt; "", R61, C61),[1]reffLapTW!B:B,1,FALSE)</f>
        <v>50G019</v>
      </c>
    </row>
    <row r="62" spans="1:17">
      <c r="A62" s="5" t="s">
        <v>438</v>
      </c>
      <c r="B62" s="6" t="s">
        <v>221</v>
      </c>
      <c r="C62" s="6" t="s">
        <v>222</v>
      </c>
      <c r="D62" s="6" t="s">
        <v>223</v>
      </c>
      <c r="E62" s="6" t="s">
        <v>16</v>
      </c>
      <c r="F62" s="6" t="s">
        <v>181</v>
      </c>
      <c r="G62">
        <v>17</v>
      </c>
      <c r="I62">
        <v>0</v>
      </c>
      <c r="J62">
        <v>0</v>
      </c>
      <c r="K62">
        <v>0</v>
      </c>
      <c r="L62">
        <v>0</v>
      </c>
      <c r="M62">
        <v>0</v>
      </c>
      <c r="P62">
        <v>17</v>
      </c>
      <c r="Q62" t="str">
        <f>VLOOKUP(IF(R62 &lt;&gt; "", R62, C62),[1]reffLapTW!B:B,1,FALSE)</f>
        <v>50D001.1</v>
      </c>
    </row>
    <row r="63" spans="1:17">
      <c r="A63" s="5" t="s">
        <v>438</v>
      </c>
      <c r="B63" s="6" t="s">
        <v>224</v>
      </c>
      <c r="C63" s="6" t="s">
        <v>225</v>
      </c>
      <c r="D63" s="6" t="s">
        <v>226</v>
      </c>
      <c r="E63" s="6" t="s">
        <v>98</v>
      </c>
      <c r="F63" s="6" t="s">
        <v>227</v>
      </c>
      <c r="G63">
        <v>1200</v>
      </c>
      <c r="I63">
        <v>0</v>
      </c>
      <c r="J63">
        <v>0</v>
      </c>
      <c r="K63">
        <v>0</v>
      </c>
      <c r="L63">
        <v>0</v>
      </c>
      <c r="M63">
        <v>0</v>
      </c>
      <c r="P63">
        <v>1200</v>
      </c>
      <c r="Q63" t="str">
        <f>VLOOKUP(IF(R63 &lt;&gt; "", R63, C63),[1]reffLapTW!B:B,1,FALSE)</f>
        <v>50C038</v>
      </c>
    </row>
    <row r="64" spans="1:17">
      <c r="A64" s="5" t="s">
        <v>438</v>
      </c>
      <c r="B64" s="6" t="s">
        <v>228</v>
      </c>
      <c r="C64" s="6" t="s">
        <v>229</v>
      </c>
      <c r="D64" s="6" t="s">
        <v>230</v>
      </c>
      <c r="E64" s="6" t="s">
        <v>98</v>
      </c>
      <c r="F64" s="6" t="s">
        <v>227</v>
      </c>
      <c r="G64">
        <v>33000</v>
      </c>
      <c r="I64">
        <v>40000</v>
      </c>
      <c r="J64">
        <v>0</v>
      </c>
      <c r="K64">
        <v>0</v>
      </c>
      <c r="L64">
        <v>0</v>
      </c>
      <c r="M64">
        <v>0</v>
      </c>
      <c r="P64">
        <v>73000</v>
      </c>
      <c r="Q64" t="str">
        <f>VLOOKUP(IF(R64 &lt;&gt; "", R64, C64),[1]reffLapTW!B:B,1,FALSE)</f>
        <v>50C037</v>
      </c>
    </row>
    <row r="65" spans="1:17">
      <c r="A65" s="5" t="s">
        <v>438</v>
      </c>
      <c r="B65" s="6" t="s">
        <v>231</v>
      </c>
      <c r="C65" s="6" t="s">
        <v>232</v>
      </c>
      <c r="D65" s="6" t="s">
        <v>233</v>
      </c>
      <c r="E65" s="6" t="s">
        <v>180</v>
      </c>
      <c r="F65" s="6" t="s">
        <v>181</v>
      </c>
      <c r="G65">
        <v>360</v>
      </c>
      <c r="I65">
        <v>0</v>
      </c>
      <c r="J65">
        <v>0</v>
      </c>
      <c r="K65">
        <v>0</v>
      </c>
      <c r="L65">
        <v>0</v>
      </c>
      <c r="M65">
        <v>0</v>
      </c>
      <c r="P65">
        <v>360</v>
      </c>
      <c r="Q65" t="str">
        <f>VLOOKUP(IF(R65 &lt;&gt; "", R65, C65),[1]reffLapTW!B:B,1,FALSE)</f>
        <v>50C013</v>
      </c>
    </row>
    <row r="66" spans="1:17">
      <c r="A66" s="5" t="s">
        <v>438</v>
      </c>
      <c r="B66" s="6" t="s">
        <v>234</v>
      </c>
      <c r="C66" s="6" t="s">
        <v>235</v>
      </c>
      <c r="D66" s="6" t="s">
        <v>236</v>
      </c>
      <c r="E66" s="6" t="s">
        <v>180</v>
      </c>
      <c r="F66" s="6" t="s">
        <v>181</v>
      </c>
      <c r="G66">
        <v>132</v>
      </c>
      <c r="I66">
        <v>0</v>
      </c>
      <c r="J66">
        <v>0</v>
      </c>
      <c r="K66">
        <v>0</v>
      </c>
      <c r="L66">
        <v>0</v>
      </c>
      <c r="M66">
        <v>0</v>
      </c>
      <c r="P66">
        <v>132</v>
      </c>
      <c r="Q66" t="str">
        <f>VLOOKUP(IF(R66 &lt;&gt; "", R66, C66),[1]reffLapTW!B:B,1,FALSE)</f>
        <v>50C012</v>
      </c>
    </row>
    <row r="67" spans="1:17">
      <c r="A67" s="5" t="s">
        <v>438</v>
      </c>
      <c r="B67" s="6" t="s">
        <v>237</v>
      </c>
      <c r="C67" s="6" t="s">
        <v>238</v>
      </c>
      <c r="D67" s="6" t="s">
        <v>239</v>
      </c>
      <c r="E67" s="6" t="s">
        <v>180</v>
      </c>
      <c r="F67" s="6" t="s">
        <v>181</v>
      </c>
      <c r="G67">
        <v>2000</v>
      </c>
      <c r="I67">
        <v>0</v>
      </c>
      <c r="J67">
        <v>0</v>
      </c>
      <c r="K67">
        <v>0</v>
      </c>
      <c r="L67">
        <v>0</v>
      </c>
      <c r="M67">
        <v>0</v>
      </c>
      <c r="P67">
        <v>2000</v>
      </c>
      <c r="Q67" t="str">
        <f>VLOOKUP(IF(R67 &lt;&gt; "", R67, C67),[1]reffLapTW!B:B,1,FALSE)</f>
        <v>50C001</v>
      </c>
    </row>
    <row r="68" spans="1:17">
      <c r="A68" s="5" t="s">
        <v>438</v>
      </c>
      <c r="B68" s="6" t="s">
        <v>240</v>
      </c>
      <c r="C68" s="6" t="s">
        <v>241</v>
      </c>
      <c r="D68" s="6" t="s">
        <v>242</v>
      </c>
      <c r="E68" s="6" t="s">
        <v>29</v>
      </c>
      <c r="F68" s="6" t="s">
        <v>204</v>
      </c>
      <c r="G68">
        <v>1</v>
      </c>
      <c r="I68">
        <v>0</v>
      </c>
      <c r="J68">
        <v>0</v>
      </c>
      <c r="K68">
        <v>0</v>
      </c>
      <c r="L68">
        <v>0</v>
      </c>
      <c r="M68">
        <v>0</v>
      </c>
      <c r="P68">
        <v>1</v>
      </c>
      <c r="Q68" t="str">
        <f>VLOOKUP(IF(R68 &lt;&gt; "", R68, C68),[1]reffLapTW!B:B,1,FALSE)</f>
        <v>50A056</v>
      </c>
    </row>
    <row r="69" spans="1:17">
      <c r="A69" s="5" t="s">
        <v>438</v>
      </c>
      <c r="B69" s="6" t="s">
        <v>243</v>
      </c>
      <c r="C69" s="6" t="s">
        <v>244</v>
      </c>
      <c r="D69" s="6" t="s">
        <v>245</v>
      </c>
      <c r="E69" s="6" t="s">
        <v>16</v>
      </c>
      <c r="F69" s="6" t="s">
        <v>246</v>
      </c>
      <c r="G69">
        <v>36</v>
      </c>
      <c r="I69">
        <v>240</v>
      </c>
      <c r="J69">
        <v>0</v>
      </c>
      <c r="K69">
        <v>0</v>
      </c>
      <c r="L69">
        <v>0</v>
      </c>
      <c r="M69">
        <v>0</v>
      </c>
      <c r="P69">
        <v>276</v>
      </c>
      <c r="Q69" t="str">
        <f>VLOOKUP(IF(R69 &lt;&gt; "", R69, C69),[1]reffLapTW!B:B,1,FALSE)</f>
        <v>50A055</v>
      </c>
    </row>
    <row r="70" spans="1:17">
      <c r="A70" s="5" t="s">
        <v>438</v>
      </c>
      <c r="B70" s="6" t="s">
        <v>247</v>
      </c>
      <c r="C70" s="6" t="s">
        <v>248</v>
      </c>
      <c r="D70" s="6" t="s">
        <v>249</v>
      </c>
      <c r="E70" s="6" t="s">
        <v>29</v>
      </c>
      <c r="F70" s="6" t="s">
        <v>250</v>
      </c>
      <c r="G70">
        <v>1</v>
      </c>
      <c r="I70">
        <v>0</v>
      </c>
      <c r="J70">
        <v>0</v>
      </c>
      <c r="K70">
        <v>0</v>
      </c>
      <c r="L70">
        <v>0</v>
      </c>
      <c r="M70">
        <v>0</v>
      </c>
      <c r="P70">
        <v>1</v>
      </c>
      <c r="Q70" t="str">
        <f>VLOOKUP(IF(R70 &lt;&gt; "", R70, C70),[1]reffLapTW!B:B,1,FALSE)</f>
        <v>50A039</v>
      </c>
    </row>
    <row r="71" spans="1:17">
      <c r="A71" s="5" t="s">
        <v>438</v>
      </c>
      <c r="B71" s="6" t="s">
        <v>251</v>
      </c>
      <c r="C71" s="6" t="s">
        <v>252</v>
      </c>
      <c r="D71" s="6" t="s">
        <v>253</v>
      </c>
      <c r="E71" s="6" t="s">
        <v>180</v>
      </c>
      <c r="F71" s="6" t="s">
        <v>181</v>
      </c>
      <c r="G71">
        <v>75</v>
      </c>
      <c r="I71">
        <v>0</v>
      </c>
      <c r="J71">
        <v>0</v>
      </c>
      <c r="K71">
        <v>0</v>
      </c>
      <c r="L71">
        <v>0</v>
      </c>
      <c r="M71">
        <v>0</v>
      </c>
      <c r="P71">
        <v>75</v>
      </c>
      <c r="Q71" t="str">
        <f>VLOOKUP(IF(R71 &lt;&gt; "", R71, C71),[1]reffLapTW!B:B,1,FALSE)</f>
        <v>50A035</v>
      </c>
    </row>
    <row r="72" spans="1:17">
      <c r="A72" s="5" t="s">
        <v>438</v>
      </c>
      <c r="B72" s="6" t="s">
        <v>254</v>
      </c>
      <c r="C72" s="6" t="s">
        <v>255</v>
      </c>
      <c r="D72" s="6" t="s">
        <v>256</v>
      </c>
      <c r="E72" s="6" t="s">
        <v>11</v>
      </c>
      <c r="F72" s="6" t="s">
        <v>257</v>
      </c>
      <c r="G72">
        <v>53</v>
      </c>
      <c r="I72">
        <v>12</v>
      </c>
      <c r="J72">
        <v>1</v>
      </c>
      <c r="K72">
        <v>0</v>
      </c>
      <c r="L72">
        <v>29</v>
      </c>
      <c r="M72">
        <v>0</v>
      </c>
      <c r="P72">
        <v>35</v>
      </c>
      <c r="Q72" t="str">
        <f>VLOOKUP(IF(R72 &lt;&gt; "", R72, C72),[1]reffLapTW!B:B,1,FALSE)</f>
        <v>40Z010</v>
      </c>
    </row>
    <row r="73" spans="1:17">
      <c r="A73" s="5" t="s">
        <v>438</v>
      </c>
      <c r="B73" s="6" t="s">
        <v>258</v>
      </c>
      <c r="C73" s="6" t="s">
        <v>259</v>
      </c>
      <c r="D73" s="6" t="s">
        <v>260</v>
      </c>
      <c r="E73" s="6" t="s">
        <v>11</v>
      </c>
      <c r="F73" s="6" t="s">
        <v>257</v>
      </c>
      <c r="G73">
        <v>1</v>
      </c>
      <c r="I73">
        <v>0</v>
      </c>
      <c r="J73">
        <v>0</v>
      </c>
      <c r="K73">
        <v>0</v>
      </c>
      <c r="L73">
        <v>1</v>
      </c>
      <c r="M73">
        <v>0</v>
      </c>
      <c r="P73">
        <v>0</v>
      </c>
      <c r="Q73" t="str">
        <f>VLOOKUP(IF(R73 &lt;&gt; "", R73, C73),[1]reffLapTW!B:B,1,FALSE)</f>
        <v>40S092</v>
      </c>
    </row>
    <row r="74" spans="1:17">
      <c r="A74" s="5" t="s">
        <v>438</v>
      </c>
      <c r="B74" s="6" t="s">
        <v>261</v>
      </c>
      <c r="C74" s="6" t="s">
        <v>262</v>
      </c>
      <c r="D74" s="6" t="s">
        <v>263</v>
      </c>
      <c r="E74" s="6" t="s">
        <v>29</v>
      </c>
      <c r="F74" s="6" t="s">
        <v>264</v>
      </c>
      <c r="G74">
        <v>0</v>
      </c>
      <c r="I74">
        <v>130</v>
      </c>
      <c r="J74">
        <v>0</v>
      </c>
      <c r="K74">
        <v>0</v>
      </c>
      <c r="L74">
        <v>116</v>
      </c>
      <c r="M74">
        <v>0</v>
      </c>
      <c r="P74">
        <v>14</v>
      </c>
      <c r="Q74" t="str">
        <f>VLOOKUP(IF(R74 &lt;&gt; "", R74, C74),[1]reffLapTW!B:B,1,FALSE)</f>
        <v>40N076</v>
      </c>
    </row>
    <row r="75" spans="1:17">
      <c r="A75" s="5" t="s">
        <v>438</v>
      </c>
      <c r="B75" s="6" t="s">
        <v>265</v>
      </c>
      <c r="C75" s="6" t="s">
        <v>266</v>
      </c>
      <c r="D75" s="6" t="s">
        <v>267</v>
      </c>
      <c r="E75" s="6" t="s">
        <v>29</v>
      </c>
      <c r="F75" s="6" t="s">
        <v>268</v>
      </c>
      <c r="G75">
        <v>46</v>
      </c>
      <c r="I75">
        <v>30</v>
      </c>
      <c r="J75">
        <v>0</v>
      </c>
      <c r="K75">
        <v>0</v>
      </c>
      <c r="L75">
        <v>52</v>
      </c>
      <c r="M75">
        <v>0</v>
      </c>
      <c r="P75">
        <v>24</v>
      </c>
      <c r="Q75" t="str">
        <f>VLOOKUP(IF(R75 &lt;&gt; "", R75, C75),[1]reffLapTW!B:B,1,FALSE)</f>
        <v>40N065</v>
      </c>
    </row>
    <row r="76" spans="1:17">
      <c r="A76" s="5" t="s">
        <v>438</v>
      </c>
      <c r="B76" s="6" t="s">
        <v>269</v>
      </c>
      <c r="C76" s="6" t="s">
        <v>270</v>
      </c>
      <c r="D76" s="6" t="s">
        <v>271</v>
      </c>
      <c r="E76" s="6" t="s">
        <v>29</v>
      </c>
      <c r="F76" s="6" t="s">
        <v>272</v>
      </c>
      <c r="G76">
        <v>41</v>
      </c>
      <c r="I76">
        <v>0</v>
      </c>
      <c r="J76">
        <v>0</v>
      </c>
      <c r="K76">
        <v>0</v>
      </c>
      <c r="L76">
        <v>41</v>
      </c>
      <c r="M76">
        <v>0</v>
      </c>
      <c r="P76">
        <v>0</v>
      </c>
      <c r="Q76" t="str">
        <f>VLOOKUP(IF(R76 &lt;&gt; "", R76, C76),[1]reffLapTW!B:B,1,FALSE)</f>
        <v>40N005</v>
      </c>
    </row>
    <row r="77" spans="1:17">
      <c r="A77" s="5" t="s">
        <v>438</v>
      </c>
      <c r="B77" s="6" t="s">
        <v>273</v>
      </c>
      <c r="C77" s="6" t="s">
        <v>274</v>
      </c>
      <c r="D77" s="6" t="s">
        <v>275</v>
      </c>
      <c r="E77" s="6" t="s">
        <v>11</v>
      </c>
      <c r="F77" s="6" t="s">
        <v>276</v>
      </c>
      <c r="G77">
        <v>6</v>
      </c>
      <c r="I77">
        <v>0</v>
      </c>
      <c r="J77">
        <v>0</v>
      </c>
      <c r="K77">
        <v>0</v>
      </c>
      <c r="L77">
        <v>6</v>
      </c>
      <c r="M77">
        <v>0</v>
      </c>
      <c r="P77">
        <v>0</v>
      </c>
      <c r="Q77" t="str">
        <f>VLOOKUP(IF(R77 &lt;&gt; "", R77, C77),[1]reffLapTW!B:B,1,FALSE)</f>
        <v>40I103</v>
      </c>
    </row>
    <row r="78" spans="1:17">
      <c r="A78" s="5" t="s">
        <v>438</v>
      </c>
      <c r="B78" s="6" t="s">
        <v>277</v>
      </c>
      <c r="C78" s="6" t="s">
        <v>278</v>
      </c>
      <c r="D78" s="6" t="s">
        <v>279</v>
      </c>
      <c r="E78" s="6" t="s">
        <v>11</v>
      </c>
      <c r="F78" s="6" t="s">
        <v>280</v>
      </c>
      <c r="G78">
        <v>4</v>
      </c>
      <c r="I78">
        <v>0</v>
      </c>
      <c r="J78">
        <v>0</v>
      </c>
      <c r="K78">
        <v>0</v>
      </c>
      <c r="L78">
        <v>0</v>
      </c>
      <c r="M78">
        <v>0</v>
      </c>
      <c r="P78">
        <v>4</v>
      </c>
      <c r="Q78" t="str">
        <f>VLOOKUP(IF(R78 &lt;&gt; "", R78, C78),[1]reffLapTW!B:B,1,FALSE)</f>
        <v>40I099</v>
      </c>
    </row>
    <row r="79" spans="1:17">
      <c r="A79" s="5" t="s">
        <v>438</v>
      </c>
      <c r="B79" s="6" t="s">
        <v>281</v>
      </c>
      <c r="C79" s="6" t="s">
        <v>282</v>
      </c>
      <c r="D79" s="6" t="s">
        <v>283</v>
      </c>
      <c r="E79" s="6" t="s">
        <v>11</v>
      </c>
      <c r="F79" s="6" t="s">
        <v>280</v>
      </c>
      <c r="G79">
        <v>21</v>
      </c>
      <c r="I79">
        <v>0</v>
      </c>
      <c r="J79">
        <v>0</v>
      </c>
      <c r="K79">
        <v>0</v>
      </c>
      <c r="L79">
        <v>21</v>
      </c>
      <c r="M79">
        <v>0</v>
      </c>
      <c r="P79">
        <v>0</v>
      </c>
      <c r="Q79" t="str">
        <f>VLOOKUP(IF(R79 &lt;&gt; "", R79, C79),[1]reffLapTW!B:B,1,FALSE)</f>
        <v>40D068</v>
      </c>
    </row>
    <row r="80" spans="1:17">
      <c r="A80" s="5" t="s">
        <v>438</v>
      </c>
      <c r="B80" s="6" t="s">
        <v>284</v>
      </c>
      <c r="C80" s="6" t="s">
        <v>285</v>
      </c>
      <c r="D80" s="6" t="s">
        <v>286</v>
      </c>
      <c r="E80" s="6" t="s">
        <v>29</v>
      </c>
      <c r="F80" s="6" t="s">
        <v>272</v>
      </c>
      <c r="G80">
        <v>0</v>
      </c>
      <c r="I80">
        <v>15</v>
      </c>
      <c r="J80">
        <v>0</v>
      </c>
      <c r="K80">
        <v>0</v>
      </c>
      <c r="L80">
        <v>13</v>
      </c>
      <c r="M80">
        <v>0</v>
      </c>
      <c r="P80">
        <v>2</v>
      </c>
      <c r="Q80" t="str">
        <f>VLOOKUP(IF(R80 &lt;&gt; "", R80, C80),[1]reffLapTW!B:B,1,FALSE)</f>
        <v>40D027</v>
      </c>
    </row>
    <row r="81" spans="1:17">
      <c r="A81" s="5" t="s">
        <v>438</v>
      </c>
      <c r="B81" s="6" t="s">
        <v>287</v>
      </c>
      <c r="C81" s="6" t="s">
        <v>288</v>
      </c>
      <c r="D81" s="6" t="s">
        <v>289</v>
      </c>
      <c r="E81" s="6" t="s">
        <v>11</v>
      </c>
      <c r="F81" s="6" t="s">
        <v>290</v>
      </c>
      <c r="G81">
        <v>2</v>
      </c>
      <c r="I81">
        <v>0</v>
      </c>
      <c r="J81">
        <v>0</v>
      </c>
      <c r="K81">
        <v>0</v>
      </c>
      <c r="L81">
        <v>0</v>
      </c>
      <c r="M81">
        <v>0</v>
      </c>
      <c r="P81">
        <v>2</v>
      </c>
      <c r="Q81" t="str">
        <f>VLOOKUP(IF(R81 &lt;&gt; "", R81, C81),[1]reffLapTW!B:B,1,FALSE)</f>
        <v>40C018</v>
      </c>
    </row>
    <row r="82" spans="1:17">
      <c r="A82" s="5" t="s">
        <v>438</v>
      </c>
      <c r="B82" s="6" t="s">
        <v>291</v>
      </c>
      <c r="C82" s="6" t="s">
        <v>292</v>
      </c>
      <c r="D82" s="6" t="s">
        <v>293</v>
      </c>
      <c r="E82" s="6" t="s">
        <v>29</v>
      </c>
      <c r="F82" s="6" t="s">
        <v>290</v>
      </c>
      <c r="G82">
        <v>0</v>
      </c>
      <c r="I82">
        <v>40</v>
      </c>
      <c r="J82">
        <v>0</v>
      </c>
      <c r="K82">
        <v>0</v>
      </c>
      <c r="L82">
        <v>6</v>
      </c>
      <c r="M82">
        <v>0</v>
      </c>
      <c r="P82">
        <v>34</v>
      </c>
      <c r="Q82" t="str">
        <f>VLOOKUP(IF(R82 &lt;&gt; "", R82, C82),[1]reffLapTW!B:B,1,FALSE)</f>
        <v>40A056</v>
      </c>
    </row>
    <row r="83" spans="1:17">
      <c r="A83" s="5" t="s">
        <v>438</v>
      </c>
      <c r="B83" s="6" t="s">
        <v>294</v>
      </c>
      <c r="C83" s="6" t="s">
        <v>295</v>
      </c>
      <c r="D83" s="6" t="s">
        <v>296</v>
      </c>
      <c r="E83" s="6" t="s">
        <v>29</v>
      </c>
      <c r="F83" s="6" t="s">
        <v>297</v>
      </c>
      <c r="G83">
        <v>0.5</v>
      </c>
      <c r="I83">
        <v>0</v>
      </c>
      <c r="J83">
        <v>0</v>
      </c>
      <c r="K83">
        <v>0</v>
      </c>
      <c r="L83">
        <v>0</v>
      </c>
      <c r="M83">
        <v>0</v>
      </c>
      <c r="P83">
        <v>0.5</v>
      </c>
      <c r="Q83" t="str">
        <f>VLOOKUP(IF(R83 &lt;&gt; "", R83, C83),[1]reffLapTW!B:B,1,FALSE)</f>
        <v>15M076</v>
      </c>
    </row>
    <row r="84" spans="1:17">
      <c r="A84" s="5" t="s">
        <v>438</v>
      </c>
      <c r="B84" s="6" t="s">
        <v>298</v>
      </c>
      <c r="C84" s="6" t="s">
        <v>299</v>
      </c>
      <c r="D84" s="6" t="s">
        <v>300</v>
      </c>
      <c r="E84" s="6" t="s">
        <v>11</v>
      </c>
      <c r="F84" s="6" t="s">
        <v>24</v>
      </c>
      <c r="G84">
        <v>0</v>
      </c>
      <c r="I84">
        <v>12</v>
      </c>
      <c r="J84">
        <v>0</v>
      </c>
      <c r="K84">
        <v>0</v>
      </c>
      <c r="L84">
        <v>12</v>
      </c>
      <c r="M84">
        <v>0</v>
      </c>
      <c r="P84">
        <v>0</v>
      </c>
      <c r="Q84" t="str">
        <f>VLOOKUP(IF(R84 &lt;&gt; "", R84, C84),[1]reffLapTW!B:B,1,FALSE)</f>
        <v>12V016</v>
      </c>
    </row>
    <row r="85" spans="1:17">
      <c r="A85" s="5" t="s">
        <v>438</v>
      </c>
      <c r="B85" s="6" t="s">
        <v>301</v>
      </c>
      <c r="C85" s="6" t="s">
        <v>302</v>
      </c>
      <c r="D85" s="6" t="s">
        <v>303</v>
      </c>
      <c r="E85" s="6" t="s">
        <v>11</v>
      </c>
      <c r="F85" s="6" t="s">
        <v>304</v>
      </c>
      <c r="G85">
        <v>28</v>
      </c>
      <c r="I85">
        <v>27</v>
      </c>
      <c r="J85">
        <v>1</v>
      </c>
      <c r="K85">
        <v>0</v>
      </c>
      <c r="L85">
        <v>37</v>
      </c>
      <c r="M85">
        <v>0</v>
      </c>
      <c r="P85">
        <v>17</v>
      </c>
      <c r="Q85" t="str">
        <f>VLOOKUP(IF(R85 &lt;&gt; "", R85, C85),[1]reffLapTW!B:B,1,FALSE)</f>
        <v>12V007</v>
      </c>
    </row>
    <row r="86" spans="1:17">
      <c r="A86" s="5" t="s">
        <v>438</v>
      </c>
      <c r="B86" s="6" t="s">
        <v>305</v>
      </c>
      <c r="C86" s="6" t="s">
        <v>306</v>
      </c>
      <c r="D86" s="6" t="s">
        <v>307</v>
      </c>
      <c r="E86" s="6" t="s">
        <v>11</v>
      </c>
      <c r="F86" s="6" t="s">
        <v>304</v>
      </c>
      <c r="G86">
        <v>7</v>
      </c>
      <c r="I86">
        <v>19</v>
      </c>
      <c r="J86">
        <v>0</v>
      </c>
      <c r="K86">
        <v>0</v>
      </c>
      <c r="L86">
        <v>12</v>
      </c>
      <c r="M86">
        <v>0</v>
      </c>
      <c r="P86">
        <v>14</v>
      </c>
      <c r="Q86" t="str">
        <f>VLOOKUP(IF(R86 &lt;&gt; "", R86, C86),[1]reffLapTW!B:B,1,FALSE)</f>
        <v>12V005</v>
      </c>
    </row>
    <row r="87" spans="1:17">
      <c r="A87" s="5" t="s">
        <v>438</v>
      </c>
      <c r="B87" s="6" t="s">
        <v>308</v>
      </c>
      <c r="C87" s="6" t="s">
        <v>309</v>
      </c>
      <c r="D87" s="6" t="s">
        <v>310</v>
      </c>
      <c r="E87" s="6" t="s">
        <v>11</v>
      </c>
      <c r="F87" s="6" t="s">
        <v>311</v>
      </c>
      <c r="G87">
        <v>27</v>
      </c>
      <c r="I87">
        <v>30</v>
      </c>
      <c r="J87">
        <v>1</v>
      </c>
      <c r="K87">
        <v>0</v>
      </c>
      <c r="L87">
        <v>55</v>
      </c>
      <c r="M87">
        <v>0</v>
      </c>
      <c r="P87">
        <v>1</v>
      </c>
      <c r="Q87" t="str">
        <f>VLOOKUP(IF(R87 &lt;&gt; "", R87, C87),[1]reffLapTW!B:B,1,FALSE)</f>
        <v>12U001</v>
      </c>
    </row>
    <row r="88" spans="1:17">
      <c r="A88" s="5" t="s">
        <v>438</v>
      </c>
      <c r="B88" s="6" t="s">
        <v>312</v>
      </c>
      <c r="C88" s="6" t="s">
        <v>313</v>
      </c>
      <c r="D88" s="6" t="s">
        <v>314</v>
      </c>
      <c r="E88" s="6" t="s">
        <v>11</v>
      </c>
      <c r="F88" s="6" t="s">
        <v>315</v>
      </c>
      <c r="G88">
        <v>36</v>
      </c>
      <c r="I88">
        <v>0</v>
      </c>
      <c r="J88">
        <v>0</v>
      </c>
      <c r="K88">
        <v>0</v>
      </c>
      <c r="L88">
        <v>36</v>
      </c>
      <c r="M88">
        <v>0</v>
      </c>
      <c r="P88">
        <v>0</v>
      </c>
      <c r="Q88" t="str">
        <f>VLOOKUP(IF(R88 &lt;&gt; "", R88, C88),[1]reffLapTW!B:B,1,FALSE)</f>
        <v>12R012.1</v>
      </c>
    </row>
    <row r="89" spans="1:17">
      <c r="A89" s="5" t="s">
        <v>438</v>
      </c>
      <c r="B89" s="6" t="s">
        <v>316</v>
      </c>
      <c r="C89" s="6" t="s">
        <v>317</v>
      </c>
      <c r="D89" s="6" t="s">
        <v>318</v>
      </c>
      <c r="E89" s="6" t="s">
        <v>11</v>
      </c>
      <c r="F89" s="6" t="s">
        <v>319</v>
      </c>
      <c r="G89">
        <v>8</v>
      </c>
      <c r="I89">
        <v>0</v>
      </c>
      <c r="J89">
        <v>0</v>
      </c>
      <c r="K89">
        <v>0</v>
      </c>
      <c r="L89">
        <v>5</v>
      </c>
      <c r="M89">
        <v>0</v>
      </c>
      <c r="P89">
        <v>3</v>
      </c>
      <c r="Q89" t="str">
        <f>VLOOKUP(IF(R89 &lt;&gt; "", R89, C89),[1]reffLapTW!B:B,1,FALSE)</f>
        <v>12R009</v>
      </c>
    </row>
    <row r="90" spans="1:17">
      <c r="A90" s="5" t="s">
        <v>438</v>
      </c>
      <c r="B90" s="6" t="s">
        <v>320</v>
      </c>
      <c r="C90" s="6" t="s">
        <v>321</v>
      </c>
      <c r="D90" s="6" t="s">
        <v>322</v>
      </c>
      <c r="E90" s="6" t="s">
        <v>11</v>
      </c>
      <c r="F90" s="6" t="s">
        <v>319</v>
      </c>
      <c r="G90">
        <v>15</v>
      </c>
      <c r="I90">
        <v>0</v>
      </c>
      <c r="J90">
        <v>0</v>
      </c>
      <c r="K90">
        <v>0</v>
      </c>
      <c r="L90">
        <v>3</v>
      </c>
      <c r="M90">
        <v>0</v>
      </c>
      <c r="P90">
        <v>12</v>
      </c>
      <c r="Q90" t="str">
        <f>VLOOKUP(IF(R90 &lt;&gt; "", R90, C90),[1]reffLapTW!B:B,1,FALSE)</f>
        <v>12R008</v>
      </c>
    </row>
    <row r="91" spans="1:17">
      <c r="A91" s="5" t="s">
        <v>438</v>
      </c>
      <c r="B91" s="6" t="s">
        <v>323</v>
      </c>
      <c r="C91" s="6" t="s">
        <v>324</v>
      </c>
      <c r="D91" s="6" t="s">
        <v>325</v>
      </c>
      <c r="E91" s="6" t="s">
        <v>11</v>
      </c>
      <c r="G91">
        <v>10</v>
      </c>
      <c r="I91">
        <v>0</v>
      </c>
      <c r="J91">
        <v>0</v>
      </c>
      <c r="K91">
        <v>0</v>
      </c>
      <c r="L91">
        <v>0</v>
      </c>
      <c r="M91">
        <v>0</v>
      </c>
      <c r="P91">
        <v>10</v>
      </c>
      <c r="Q91" t="str">
        <f>VLOOKUP(IF(R91 &lt;&gt; "", R91, C91),[1]reffLapTW!B:B,1,FALSE)</f>
        <v>12P012</v>
      </c>
    </row>
    <row r="92" spans="1:17">
      <c r="A92" s="5" t="s">
        <v>438</v>
      </c>
      <c r="B92" s="6" t="s">
        <v>326</v>
      </c>
      <c r="C92" s="6" t="s">
        <v>327</v>
      </c>
      <c r="D92" s="6" t="s">
        <v>328</v>
      </c>
      <c r="E92" s="6" t="s">
        <v>11</v>
      </c>
      <c r="F92" s="6" t="s">
        <v>304</v>
      </c>
      <c r="G92">
        <v>0</v>
      </c>
      <c r="I92">
        <v>0</v>
      </c>
      <c r="J92">
        <v>0</v>
      </c>
      <c r="K92">
        <v>0</v>
      </c>
      <c r="L92">
        <v>0</v>
      </c>
      <c r="M92">
        <v>0</v>
      </c>
      <c r="P92">
        <v>0</v>
      </c>
      <c r="Q92" t="str">
        <f>VLOOKUP(IF(R92 &lt;&gt; "", R92, C92),[1]reffLapTW!B:B,1,FALSE)</f>
        <v>12P011</v>
      </c>
    </row>
    <row r="93" spans="1:17">
      <c r="A93" s="5" t="s">
        <v>438</v>
      </c>
      <c r="B93" s="6" t="s">
        <v>329</v>
      </c>
      <c r="C93" s="6" t="s">
        <v>330</v>
      </c>
      <c r="D93" s="6" t="s">
        <v>331</v>
      </c>
      <c r="E93" s="6" t="s">
        <v>11</v>
      </c>
      <c r="F93" s="6" t="s">
        <v>315</v>
      </c>
      <c r="G93">
        <v>60</v>
      </c>
      <c r="I93">
        <v>0</v>
      </c>
      <c r="J93">
        <v>0</v>
      </c>
      <c r="K93">
        <v>0</v>
      </c>
      <c r="L93">
        <v>45</v>
      </c>
      <c r="M93">
        <v>0</v>
      </c>
      <c r="P93">
        <v>15</v>
      </c>
      <c r="Q93" t="str">
        <f>VLOOKUP(IF(R93 &lt;&gt; "", R93, C93),[1]reffLapTW!B:B,1,FALSE)</f>
        <v>12M019</v>
      </c>
    </row>
    <row r="94" spans="1:17">
      <c r="A94" s="5" t="s">
        <v>438</v>
      </c>
      <c r="B94" s="6" t="s">
        <v>332</v>
      </c>
      <c r="C94" s="6" t="s">
        <v>333</v>
      </c>
      <c r="D94" s="6" t="s">
        <v>334</v>
      </c>
      <c r="E94" s="6" t="s">
        <v>11</v>
      </c>
      <c r="F94" s="6" t="s">
        <v>272</v>
      </c>
      <c r="G94">
        <v>19</v>
      </c>
      <c r="I94">
        <v>0</v>
      </c>
      <c r="J94">
        <v>0</v>
      </c>
      <c r="K94">
        <v>0</v>
      </c>
      <c r="L94">
        <v>11</v>
      </c>
      <c r="M94">
        <v>0</v>
      </c>
      <c r="P94">
        <v>8</v>
      </c>
      <c r="Q94" t="str">
        <f>VLOOKUP(IF(R94 &lt;&gt; "", R94, C94),[1]reffLapTW!B:B,1,FALSE)</f>
        <v>12L003</v>
      </c>
    </row>
    <row r="95" spans="1:17">
      <c r="A95" s="5" t="s">
        <v>438</v>
      </c>
      <c r="B95" s="6" t="s">
        <v>335</v>
      </c>
      <c r="C95" s="6" t="s">
        <v>336</v>
      </c>
      <c r="D95" s="6" t="s">
        <v>337</v>
      </c>
      <c r="E95" s="6" t="s">
        <v>11</v>
      </c>
      <c r="F95" s="6" t="s">
        <v>338</v>
      </c>
      <c r="G95">
        <v>0</v>
      </c>
      <c r="I95">
        <v>0</v>
      </c>
      <c r="J95">
        <v>0</v>
      </c>
      <c r="K95">
        <v>0</v>
      </c>
      <c r="L95">
        <v>0</v>
      </c>
      <c r="M95">
        <v>0</v>
      </c>
      <c r="P95">
        <v>0</v>
      </c>
      <c r="Q95" t="str">
        <f>VLOOKUP(IF(R95 &lt;&gt; "", R95, C95),[1]reffLapTW!B:B,1,FALSE)</f>
        <v>12K010</v>
      </c>
    </row>
    <row r="96" spans="1:17">
      <c r="A96" s="5" t="s">
        <v>438</v>
      </c>
      <c r="B96" s="6" t="s">
        <v>339</v>
      </c>
      <c r="C96" s="6" t="s">
        <v>340</v>
      </c>
      <c r="D96" s="6" t="s">
        <v>341</v>
      </c>
      <c r="E96" s="6" t="s">
        <v>11</v>
      </c>
      <c r="F96" s="6" t="s">
        <v>304</v>
      </c>
      <c r="G96">
        <v>1</v>
      </c>
      <c r="I96">
        <v>0</v>
      </c>
      <c r="J96">
        <v>0</v>
      </c>
      <c r="K96">
        <v>0</v>
      </c>
      <c r="L96">
        <v>0</v>
      </c>
      <c r="M96">
        <v>0</v>
      </c>
      <c r="P96">
        <v>1</v>
      </c>
      <c r="Q96" t="str">
        <f>VLOOKUP(IF(R96 &lt;&gt; "", R96, C96),[1]reffLapTW!B:B,1,FALSE)</f>
        <v>12H014</v>
      </c>
    </row>
    <row r="97" spans="1:19">
      <c r="A97" s="5" t="s">
        <v>438</v>
      </c>
      <c r="B97" s="6" t="s">
        <v>342</v>
      </c>
      <c r="C97" s="6" t="s">
        <v>343</v>
      </c>
      <c r="D97" s="6" t="s">
        <v>344</v>
      </c>
      <c r="E97" s="6" t="s">
        <v>11</v>
      </c>
      <c r="F97" s="6" t="s">
        <v>345</v>
      </c>
      <c r="G97">
        <v>16</v>
      </c>
      <c r="I97">
        <v>0</v>
      </c>
      <c r="J97">
        <v>0</v>
      </c>
      <c r="K97">
        <v>0</v>
      </c>
      <c r="L97">
        <v>16</v>
      </c>
      <c r="M97">
        <v>0</v>
      </c>
      <c r="P97">
        <v>0</v>
      </c>
      <c r="Q97" t="str">
        <f>VLOOKUP(IF(R97 &lt;&gt; "", R97, C97),[1]reffLapTW!B:B,1,FALSE)</f>
        <v>12H007</v>
      </c>
    </row>
    <row r="98" spans="1:19">
      <c r="A98" s="5" t="s">
        <v>438</v>
      </c>
      <c r="B98" s="6" t="s">
        <v>346</v>
      </c>
      <c r="C98" s="6" t="s">
        <v>347</v>
      </c>
      <c r="D98" s="6" t="s">
        <v>348</v>
      </c>
      <c r="E98" s="6" t="s">
        <v>11</v>
      </c>
      <c r="F98" s="6" t="s">
        <v>24</v>
      </c>
      <c r="G98">
        <v>1</v>
      </c>
      <c r="I98">
        <v>0</v>
      </c>
      <c r="J98">
        <v>0</v>
      </c>
      <c r="K98">
        <v>0</v>
      </c>
      <c r="L98">
        <v>1</v>
      </c>
      <c r="M98">
        <v>0</v>
      </c>
      <c r="P98">
        <v>0</v>
      </c>
      <c r="Q98" t="str">
        <f>VLOOKUP(IF(R98 &lt;&gt; "", R98, C98),[1]reffLapTW!B:B,1,FALSE)</f>
        <v>12F020</v>
      </c>
    </row>
    <row r="99" spans="1:19">
      <c r="A99" s="5" t="s">
        <v>438</v>
      </c>
      <c r="B99" s="6" t="s">
        <v>349</v>
      </c>
      <c r="C99" s="6" t="s">
        <v>25</v>
      </c>
      <c r="D99" s="6" t="s">
        <v>350</v>
      </c>
      <c r="E99" s="6" t="s">
        <v>11</v>
      </c>
      <c r="F99" s="6" t="s">
        <v>24</v>
      </c>
      <c r="G99">
        <v>30</v>
      </c>
      <c r="I99">
        <v>0</v>
      </c>
      <c r="J99">
        <v>0</v>
      </c>
      <c r="K99">
        <v>0</v>
      </c>
      <c r="L99">
        <v>30</v>
      </c>
      <c r="M99">
        <v>0</v>
      </c>
      <c r="P99">
        <v>0</v>
      </c>
      <c r="Q99" t="str">
        <f>VLOOKUP(IF(R99 &lt;&gt; "", R99, C99),[1]reffLapTW!B:B,1,FALSE)</f>
        <v>12F019</v>
      </c>
    </row>
    <row r="100" spans="1:19">
      <c r="A100" s="5" t="s">
        <v>438</v>
      </c>
      <c r="B100" s="6" t="s">
        <v>351</v>
      </c>
      <c r="C100" s="6" t="s">
        <v>352</v>
      </c>
      <c r="D100" s="6" t="s">
        <v>353</v>
      </c>
      <c r="E100" s="6" t="s">
        <v>11</v>
      </c>
      <c r="F100" s="6" t="s">
        <v>24</v>
      </c>
      <c r="G100">
        <v>0</v>
      </c>
      <c r="I100">
        <v>20</v>
      </c>
      <c r="J100">
        <v>0</v>
      </c>
      <c r="K100">
        <v>0</v>
      </c>
      <c r="L100">
        <v>14</v>
      </c>
      <c r="M100">
        <v>0</v>
      </c>
      <c r="P100">
        <v>6</v>
      </c>
      <c r="Q100" t="str">
        <f>VLOOKUP(IF(R100 &lt;&gt; "", R100, C100),[1]reffLapTW!B:B,1,FALSE)</f>
        <v>12F019</v>
      </c>
      <c r="R100" t="s">
        <v>25</v>
      </c>
      <c r="S100" t="str">
        <f>VLOOKUP(R100,[2]reffLapTW!B:B,1,FALSE)</f>
        <v>12F019</v>
      </c>
    </row>
    <row r="101" spans="1:19">
      <c r="A101" s="5" t="s">
        <v>438</v>
      </c>
      <c r="B101" s="6" t="s">
        <v>354</v>
      </c>
      <c r="C101" s="6" t="s">
        <v>355</v>
      </c>
      <c r="D101" s="6" t="s">
        <v>356</v>
      </c>
      <c r="E101" s="6" t="s">
        <v>11</v>
      </c>
      <c r="F101" s="6" t="s">
        <v>357</v>
      </c>
      <c r="G101">
        <v>134</v>
      </c>
      <c r="I101">
        <v>40</v>
      </c>
      <c r="J101">
        <v>0</v>
      </c>
      <c r="K101">
        <v>0</v>
      </c>
      <c r="L101">
        <v>140</v>
      </c>
      <c r="M101">
        <v>0</v>
      </c>
      <c r="P101">
        <v>34</v>
      </c>
      <c r="Q101" t="str">
        <f>VLOOKUP(IF(R101 &lt;&gt; "", R101, C101),[1]reffLapTW!B:B,1,FALSE)</f>
        <v>12F017.1</v>
      </c>
    </row>
    <row r="102" spans="1:19">
      <c r="A102" s="5" t="s">
        <v>438</v>
      </c>
      <c r="B102" s="6" t="s">
        <v>358</v>
      </c>
      <c r="C102" s="6" t="s">
        <v>359</v>
      </c>
      <c r="D102" s="6" t="s">
        <v>360</v>
      </c>
      <c r="E102" s="6" t="s">
        <v>11</v>
      </c>
      <c r="F102" s="6" t="s">
        <v>357</v>
      </c>
      <c r="G102">
        <v>0</v>
      </c>
      <c r="I102">
        <v>27</v>
      </c>
      <c r="J102">
        <v>0</v>
      </c>
      <c r="K102">
        <v>0</v>
      </c>
      <c r="L102">
        <v>2</v>
      </c>
      <c r="M102">
        <v>0</v>
      </c>
      <c r="P102">
        <v>25</v>
      </c>
      <c r="Q102" t="str">
        <f>VLOOKUP(IF(R102 &lt;&gt; "", R102, C102),[1]reffLapTW!B:B,1,FALSE)</f>
        <v>12F014</v>
      </c>
    </row>
    <row r="103" spans="1:19">
      <c r="A103" s="5" t="s">
        <v>438</v>
      </c>
      <c r="B103" s="6" t="s">
        <v>361</v>
      </c>
      <c r="C103" s="6" t="s">
        <v>362</v>
      </c>
      <c r="D103" s="6" t="s">
        <v>363</v>
      </c>
      <c r="E103" s="6" t="s">
        <v>11</v>
      </c>
      <c r="F103" s="6" t="s">
        <v>357</v>
      </c>
      <c r="G103">
        <v>52</v>
      </c>
      <c r="I103">
        <v>24</v>
      </c>
      <c r="J103">
        <v>0</v>
      </c>
      <c r="K103">
        <v>0</v>
      </c>
      <c r="L103">
        <v>42</v>
      </c>
      <c r="M103">
        <v>0</v>
      </c>
      <c r="P103">
        <v>34</v>
      </c>
      <c r="Q103" t="str">
        <f>VLOOKUP(IF(R103 &lt;&gt; "", R103, C103),[1]reffLapTW!B:B,1,FALSE)</f>
        <v>12F013</v>
      </c>
    </row>
    <row r="104" spans="1:19">
      <c r="A104" s="5" t="s">
        <v>438</v>
      </c>
      <c r="B104" s="6" t="s">
        <v>364</v>
      </c>
      <c r="C104" s="6" t="s">
        <v>365</v>
      </c>
      <c r="D104" s="6" t="s">
        <v>366</v>
      </c>
      <c r="E104" s="6" t="s">
        <v>11</v>
      </c>
      <c r="F104" s="6" t="s">
        <v>24</v>
      </c>
      <c r="G104">
        <v>5</v>
      </c>
      <c r="I104">
        <v>40</v>
      </c>
      <c r="J104">
        <v>0</v>
      </c>
      <c r="K104">
        <v>0</v>
      </c>
      <c r="L104">
        <v>13</v>
      </c>
      <c r="M104">
        <v>0</v>
      </c>
      <c r="P104">
        <v>32</v>
      </c>
      <c r="Q104" t="str">
        <f>VLOOKUP(IF(R104 &lt;&gt; "", R104, C104),[1]reffLapTW!B:B,1,FALSE)</f>
        <v>12E031</v>
      </c>
    </row>
    <row r="105" spans="1:19">
      <c r="A105" s="5" t="s">
        <v>438</v>
      </c>
      <c r="B105" s="6" t="s">
        <v>367</v>
      </c>
      <c r="C105" s="6" t="s">
        <v>368</v>
      </c>
      <c r="D105" s="6" t="s">
        <v>369</v>
      </c>
      <c r="E105" s="6" t="s">
        <v>23</v>
      </c>
      <c r="F105" s="6" t="s">
        <v>280</v>
      </c>
      <c r="G105">
        <v>17</v>
      </c>
      <c r="I105">
        <v>0</v>
      </c>
      <c r="J105">
        <v>0</v>
      </c>
      <c r="K105">
        <v>0</v>
      </c>
      <c r="L105">
        <v>0</v>
      </c>
      <c r="M105">
        <v>0</v>
      </c>
      <c r="P105">
        <v>17</v>
      </c>
      <c r="Q105" t="str">
        <f>VLOOKUP(IF(R105 &lt;&gt; "", R105, C105),[1]reffLapTW!B:B,1,FALSE)</f>
        <v>12E029</v>
      </c>
    </row>
    <row r="106" spans="1:19">
      <c r="A106" s="5" t="s">
        <v>438</v>
      </c>
      <c r="B106" s="6" t="s">
        <v>370</v>
      </c>
      <c r="C106" s="6" t="s">
        <v>371</v>
      </c>
      <c r="D106" s="6" t="s">
        <v>372</v>
      </c>
      <c r="E106" s="6" t="s">
        <v>11</v>
      </c>
      <c r="F106" s="6" t="s">
        <v>297</v>
      </c>
      <c r="G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P106">
        <v>2</v>
      </c>
      <c r="Q106" t="str">
        <f>VLOOKUP(IF(R106 &lt;&gt; "", R106, C106),[1]reffLapTW!B:B,1,FALSE)</f>
        <v>12E027</v>
      </c>
    </row>
    <row r="107" spans="1:19">
      <c r="A107" s="5" t="s">
        <v>438</v>
      </c>
      <c r="B107" s="6" t="s">
        <v>373</v>
      </c>
      <c r="C107" s="6" t="s">
        <v>374</v>
      </c>
      <c r="D107" s="6" t="s">
        <v>375</v>
      </c>
      <c r="E107" s="6" t="s">
        <v>11</v>
      </c>
      <c r="F107" s="6" t="s">
        <v>376</v>
      </c>
      <c r="G107">
        <v>349</v>
      </c>
      <c r="I107">
        <v>0</v>
      </c>
      <c r="J107">
        <v>0</v>
      </c>
      <c r="K107">
        <v>0</v>
      </c>
      <c r="L107">
        <v>155</v>
      </c>
      <c r="M107">
        <v>0</v>
      </c>
      <c r="P107">
        <v>194</v>
      </c>
      <c r="Q107" t="str">
        <f>VLOOKUP(IF(R107 &lt;&gt; "", R107, C107),[1]reffLapTW!B:B,1,FALSE)</f>
        <v>12D057</v>
      </c>
    </row>
    <row r="108" spans="1:19">
      <c r="A108" s="5" t="s">
        <v>438</v>
      </c>
      <c r="B108" s="6" t="s">
        <v>377</v>
      </c>
      <c r="C108" s="6" t="s">
        <v>378</v>
      </c>
      <c r="D108" s="6" t="s">
        <v>379</v>
      </c>
      <c r="E108" s="6" t="s">
        <v>11</v>
      </c>
      <c r="F108" s="6" t="s">
        <v>24</v>
      </c>
      <c r="G108">
        <v>0</v>
      </c>
      <c r="I108">
        <v>50</v>
      </c>
      <c r="J108">
        <v>0</v>
      </c>
      <c r="K108">
        <v>0</v>
      </c>
      <c r="L108">
        <v>22</v>
      </c>
      <c r="M108">
        <v>0</v>
      </c>
      <c r="P108">
        <v>28</v>
      </c>
      <c r="Q108" t="str">
        <f>VLOOKUP(IF(R108 &lt;&gt; "", R108, C108),[1]reffLapTW!B:B,1,FALSE)</f>
        <v>12D032</v>
      </c>
    </row>
    <row r="109" spans="1:19">
      <c r="A109" s="5" t="s">
        <v>438</v>
      </c>
      <c r="B109" s="6" t="s">
        <v>380</v>
      </c>
      <c r="C109" s="6" t="s">
        <v>381</v>
      </c>
      <c r="D109" s="6" t="s">
        <v>382</v>
      </c>
      <c r="E109" s="6" t="s">
        <v>11</v>
      </c>
      <c r="F109" s="6" t="s">
        <v>24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P109">
        <v>0</v>
      </c>
      <c r="Q109" t="str">
        <f>VLOOKUP(IF(R109 &lt;&gt; "", R109, C109),[1]reffLapTW!B:B,1,FALSE)</f>
        <v>12D031</v>
      </c>
    </row>
    <row r="110" spans="1:19">
      <c r="A110" s="5" t="s">
        <v>438</v>
      </c>
      <c r="B110" s="6" t="s">
        <v>383</v>
      </c>
      <c r="C110" s="6" t="s">
        <v>13</v>
      </c>
      <c r="D110" s="6" t="s">
        <v>384</v>
      </c>
      <c r="E110" s="6" t="s">
        <v>11</v>
      </c>
      <c r="F110" s="6" t="s">
        <v>315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P110">
        <v>0</v>
      </c>
      <c r="Q110" t="str">
        <f>VLOOKUP(IF(R110 &lt;&gt; "", R110, C110),[1]reffLapTW!B:B,1,FALSE)</f>
        <v>12D030</v>
      </c>
    </row>
    <row r="111" spans="1:19">
      <c r="A111" s="5" t="s">
        <v>438</v>
      </c>
      <c r="B111" s="6" t="s">
        <v>385</v>
      </c>
      <c r="C111" s="6" t="s">
        <v>386</v>
      </c>
      <c r="D111" s="6" t="s">
        <v>387</v>
      </c>
      <c r="E111" s="6" t="s">
        <v>16</v>
      </c>
      <c r="F111" s="6" t="s">
        <v>181</v>
      </c>
      <c r="G111">
        <v>20</v>
      </c>
      <c r="I111">
        <v>0</v>
      </c>
      <c r="J111">
        <v>0</v>
      </c>
      <c r="K111">
        <v>0</v>
      </c>
      <c r="L111">
        <v>0</v>
      </c>
      <c r="M111">
        <v>0</v>
      </c>
      <c r="P111">
        <v>20</v>
      </c>
      <c r="Q111" t="str">
        <f>VLOOKUP(IF(R111 &lt;&gt; "", R111, C111),[1]reffLapTW!B:B,1,FALSE)</f>
        <v>12D026</v>
      </c>
      <c r="R111" t="s">
        <v>388</v>
      </c>
      <c r="S111" t="s">
        <v>389</v>
      </c>
    </row>
    <row r="112" spans="1:19">
      <c r="A112" s="5" t="s">
        <v>438</v>
      </c>
      <c r="B112" s="6" t="s">
        <v>390</v>
      </c>
      <c r="C112" s="6" t="s">
        <v>391</v>
      </c>
      <c r="D112" s="6" t="s">
        <v>392</v>
      </c>
      <c r="E112" s="6" t="s">
        <v>11</v>
      </c>
      <c r="F112" s="6" t="s">
        <v>290</v>
      </c>
      <c r="G112">
        <v>34</v>
      </c>
      <c r="I112">
        <v>0</v>
      </c>
      <c r="J112">
        <v>0</v>
      </c>
      <c r="K112">
        <v>0</v>
      </c>
      <c r="L112">
        <v>23</v>
      </c>
      <c r="M112">
        <v>0</v>
      </c>
      <c r="P112">
        <v>11</v>
      </c>
      <c r="Q112" t="str">
        <f>VLOOKUP(IF(R112 &lt;&gt; "", R112, C112),[1]reffLapTW!B:B,1,FALSE)</f>
        <v>12D008.1402</v>
      </c>
    </row>
    <row r="113" spans="1:17">
      <c r="A113" s="5" t="s">
        <v>438</v>
      </c>
      <c r="B113" s="6" t="s">
        <v>393</v>
      </c>
      <c r="C113" s="6" t="s">
        <v>394</v>
      </c>
      <c r="D113" s="6" t="s">
        <v>395</v>
      </c>
      <c r="E113" s="6" t="s">
        <v>11</v>
      </c>
      <c r="F113" s="6" t="s">
        <v>24</v>
      </c>
      <c r="G113">
        <v>57</v>
      </c>
      <c r="I113">
        <v>48</v>
      </c>
      <c r="J113">
        <v>0</v>
      </c>
      <c r="K113">
        <v>0</v>
      </c>
      <c r="L113">
        <v>7</v>
      </c>
      <c r="M113">
        <v>0</v>
      </c>
      <c r="P113">
        <v>98</v>
      </c>
      <c r="Q113" t="str">
        <f>VLOOKUP(IF(R113 &lt;&gt; "", R113, C113),[1]reffLapTW!B:B,1,FALSE)</f>
        <v>12C041</v>
      </c>
    </row>
    <row r="114" spans="1:17">
      <c r="A114" s="5" t="s">
        <v>438</v>
      </c>
      <c r="B114" s="6" t="s">
        <v>396</v>
      </c>
      <c r="C114" s="6" t="s">
        <v>397</v>
      </c>
      <c r="D114" s="6" t="s">
        <v>398</v>
      </c>
      <c r="E114" s="6" t="s">
        <v>11</v>
      </c>
      <c r="F114" s="6" t="s">
        <v>24</v>
      </c>
      <c r="G114">
        <v>20</v>
      </c>
      <c r="I114">
        <v>48</v>
      </c>
      <c r="J114">
        <v>0</v>
      </c>
      <c r="K114">
        <v>0</v>
      </c>
      <c r="L114">
        <v>31</v>
      </c>
      <c r="M114">
        <v>0</v>
      </c>
      <c r="P114">
        <v>37</v>
      </c>
      <c r="Q114" t="str">
        <f>VLOOKUP(IF(R114 &lt;&gt; "", R114, C114),[1]reffLapTW!B:B,1,FALSE)</f>
        <v>12C040</v>
      </c>
    </row>
    <row r="115" spans="1:17">
      <c r="A115" s="5" t="s">
        <v>438</v>
      </c>
      <c r="B115" s="6" t="s">
        <v>399</v>
      </c>
      <c r="C115" s="6" t="s">
        <v>400</v>
      </c>
      <c r="D115" s="6" t="s">
        <v>401</v>
      </c>
      <c r="E115" s="6" t="s">
        <v>11</v>
      </c>
      <c r="F115" s="6" t="s">
        <v>24</v>
      </c>
      <c r="G115">
        <v>69</v>
      </c>
      <c r="I115">
        <v>39</v>
      </c>
      <c r="J115">
        <v>0</v>
      </c>
      <c r="K115">
        <v>0</v>
      </c>
      <c r="L115">
        <v>67</v>
      </c>
      <c r="M115">
        <v>0</v>
      </c>
      <c r="P115">
        <v>41</v>
      </c>
      <c r="Q115" t="str">
        <f>VLOOKUP(IF(R115 &lt;&gt; "", R115, C115),[1]reffLapTW!B:B,1,FALSE)</f>
        <v>12C039.1</v>
      </c>
    </row>
    <row r="116" spans="1:17">
      <c r="A116" s="5" t="s">
        <v>438</v>
      </c>
      <c r="B116" s="6" t="s">
        <v>402</v>
      </c>
      <c r="C116" s="6" t="s">
        <v>403</v>
      </c>
      <c r="D116" s="6" t="s">
        <v>404</v>
      </c>
      <c r="E116" s="6" t="s">
        <v>11</v>
      </c>
      <c r="F116" s="6" t="s">
        <v>24</v>
      </c>
      <c r="G116">
        <v>77</v>
      </c>
      <c r="I116">
        <v>58</v>
      </c>
      <c r="J116">
        <v>0</v>
      </c>
      <c r="K116">
        <v>0</v>
      </c>
      <c r="L116">
        <v>98</v>
      </c>
      <c r="M116">
        <v>0</v>
      </c>
      <c r="P116">
        <v>37</v>
      </c>
      <c r="Q116" t="str">
        <f>VLOOKUP(IF(R116 &lt;&gt; "", R116, C116),[1]reffLapTW!B:B,1,FALSE)</f>
        <v>12C039</v>
      </c>
    </row>
    <row r="117" spans="1:17">
      <c r="A117" s="5" t="s">
        <v>438</v>
      </c>
      <c r="B117" s="6" t="s">
        <v>405</v>
      </c>
      <c r="C117" s="6" t="s">
        <v>406</v>
      </c>
      <c r="D117" s="6" t="s">
        <v>407</v>
      </c>
      <c r="E117" s="6" t="s">
        <v>11</v>
      </c>
      <c r="F117" s="6" t="s">
        <v>24</v>
      </c>
      <c r="G117">
        <v>51</v>
      </c>
      <c r="I117">
        <v>35</v>
      </c>
      <c r="J117">
        <v>0</v>
      </c>
      <c r="K117">
        <v>0</v>
      </c>
      <c r="L117">
        <v>70</v>
      </c>
      <c r="M117">
        <v>0</v>
      </c>
      <c r="P117">
        <v>16</v>
      </c>
      <c r="Q117" t="str">
        <f>VLOOKUP(IF(R117 &lt;&gt; "", R117, C117),[1]reffLapTW!B:B,1,FALSE)</f>
        <v>12C027.14148</v>
      </c>
    </row>
    <row r="118" spans="1:17">
      <c r="A118" s="5" t="s">
        <v>438</v>
      </c>
      <c r="B118" s="6" t="s">
        <v>408</v>
      </c>
      <c r="C118" s="6" t="s">
        <v>409</v>
      </c>
      <c r="D118" s="6" t="s">
        <v>410</v>
      </c>
      <c r="E118" s="6" t="s">
        <v>11</v>
      </c>
      <c r="F118" s="6" t="s">
        <v>304</v>
      </c>
      <c r="G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P118">
        <v>0</v>
      </c>
      <c r="Q118" t="str">
        <f>VLOOKUP(IF(R118 &lt;&gt; "", R118, C118),[1]reffLapTW!B:B,1,FALSE)</f>
        <v>12C011</v>
      </c>
    </row>
    <row r="119" spans="1:17">
      <c r="A119" s="5" t="s">
        <v>438</v>
      </c>
      <c r="B119" s="6" t="s">
        <v>411</v>
      </c>
      <c r="C119" s="6" t="s">
        <v>412</v>
      </c>
      <c r="D119" s="6" t="s">
        <v>413</v>
      </c>
      <c r="E119" s="6" t="s">
        <v>11</v>
      </c>
      <c r="F119" s="6" t="s">
        <v>414</v>
      </c>
      <c r="G119">
        <v>134</v>
      </c>
      <c r="I119">
        <v>0</v>
      </c>
      <c r="J119">
        <v>0</v>
      </c>
      <c r="K119">
        <v>0</v>
      </c>
      <c r="L119">
        <v>0</v>
      </c>
      <c r="M119">
        <v>0</v>
      </c>
      <c r="P119">
        <v>134</v>
      </c>
      <c r="Q119" t="str">
        <f>VLOOKUP(IF(R119 &lt;&gt; "", R119, C119),[1]reffLapTW!B:B,1,FALSE)</f>
        <v>12C006</v>
      </c>
    </row>
    <row r="120" spans="1:17">
      <c r="A120" s="5" t="s">
        <v>438</v>
      </c>
      <c r="B120" s="6" t="s">
        <v>415</v>
      </c>
      <c r="C120" s="6" t="s">
        <v>416</v>
      </c>
      <c r="D120" s="6" t="s">
        <v>417</v>
      </c>
      <c r="E120" s="6" t="s">
        <v>11</v>
      </c>
      <c r="F120" s="6" t="s">
        <v>304</v>
      </c>
      <c r="G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P120">
        <v>0</v>
      </c>
      <c r="Q120" t="str">
        <f>VLOOKUP(IF(R120 &lt;&gt; "", R120, C120),[1]reffLapTW!B:B,1,FALSE)</f>
        <v>12C003</v>
      </c>
    </row>
    <row r="121" spans="1:17">
      <c r="A121" s="5" t="s">
        <v>438</v>
      </c>
      <c r="B121" s="6" t="s">
        <v>418</v>
      </c>
      <c r="C121" s="6" t="s">
        <v>419</v>
      </c>
      <c r="D121" s="6" t="s">
        <v>420</v>
      </c>
      <c r="E121" s="6" t="s">
        <v>11</v>
      </c>
      <c r="F121" s="6" t="s">
        <v>304</v>
      </c>
      <c r="G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P121">
        <v>0</v>
      </c>
      <c r="Q121" t="str">
        <f>VLOOKUP(IF(R121 &lt;&gt; "", R121, C121),[1]reffLapTW!B:B,1,FALSE)</f>
        <v>12C002</v>
      </c>
    </row>
    <row r="122" spans="1:17">
      <c r="A122" s="5" t="s">
        <v>438</v>
      </c>
      <c r="B122" s="6" t="s">
        <v>421</v>
      </c>
      <c r="C122" s="6" t="s">
        <v>422</v>
      </c>
      <c r="D122" s="6" t="s">
        <v>423</v>
      </c>
      <c r="E122" s="6" t="s">
        <v>11</v>
      </c>
      <c r="F122" s="6" t="s">
        <v>304</v>
      </c>
      <c r="G122">
        <v>98</v>
      </c>
      <c r="I122">
        <v>0</v>
      </c>
      <c r="J122">
        <v>0</v>
      </c>
      <c r="K122">
        <v>0</v>
      </c>
      <c r="L122">
        <v>98</v>
      </c>
      <c r="M122">
        <v>0</v>
      </c>
      <c r="P122">
        <v>0</v>
      </c>
      <c r="Q122" t="str">
        <f>VLOOKUP(IF(R122 &lt;&gt; "", R122, C122),[1]reffLapTW!B:B,1,FALSE)</f>
        <v>12C001.1</v>
      </c>
    </row>
    <row r="123" spans="1:17">
      <c r="A123" s="5" t="s">
        <v>438</v>
      </c>
      <c r="B123" s="6" t="s">
        <v>424</v>
      </c>
      <c r="C123" s="6" t="s">
        <v>425</v>
      </c>
      <c r="D123" s="6" t="s">
        <v>426</v>
      </c>
      <c r="E123" s="6" t="s">
        <v>11</v>
      </c>
      <c r="F123" s="6" t="s">
        <v>304</v>
      </c>
      <c r="G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P123">
        <v>0</v>
      </c>
      <c r="Q123" t="str">
        <f>VLOOKUP(IF(R123 &lt;&gt; "", R123, C123),[1]reffLapTW!B:B,1,FALSE)</f>
        <v>12B003</v>
      </c>
    </row>
    <row r="124" spans="1:17">
      <c r="A124" s="5" t="s">
        <v>438</v>
      </c>
      <c r="B124" s="6" t="s">
        <v>427</v>
      </c>
      <c r="C124" s="6" t="s">
        <v>428</v>
      </c>
      <c r="D124" s="6" t="s">
        <v>429</v>
      </c>
      <c r="E124" s="6" t="s">
        <v>11</v>
      </c>
      <c r="F124" s="6" t="s">
        <v>304</v>
      </c>
      <c r="G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P124">
        <v>0</v>
      </c>
      <c r="Q124" t="str">
        <f>VLOOKUP(IF(R124 &lt;&gt; "", R124, C124),[1]reffLapTW!B:B,1,FALSE)</f>
        <v>12B002</v>
      </c>
    </row>
    <row r="125" spans="1:17">
      <c r="A125" s="5" t="s">
        <v>438</v>
      </c>
      <c r="B125" s="6" t="s">
        <v>430</v>
      </c>
      <c r="C125" s="6" t="s">
        <v>431</v>
      </c>
      <c r="D125" s="6" t="s">
        <v>432</v>
      </c>
      <c r="E125" s="6" t="s">
        <v>11</v>
      </c>
      <c r="F125" s="6" t="s">
        <v>304</v>
      </c>
      <c r="G125">
        <v>28</v>
      </c>
      <c r="I125">
        <v>0</v>
      </c>
      <c r="J125">
        <v>0</v>
      </c>
      <c r="K125">
        <v>0</v>
      </c>
      <c r="L125">
        <v>11</v>
      </c>
      <c r="M125">
        <v>0</v>
      </c>
      <c r="P125">
        <v>17</v>
      </c>
      <c r="Q125" t="str">
        <f>VLOOKUP(IF(R125 &lt;&gt; "", R125, C125),[1]reffLapTW!B:B,1,FALSE)</f>
        <v>12B001</v>
      </c>
    </row>
    <row r="126" spans="1:17">
      <c r="A126" s="5" t="s">
        <v>438</v>
      </c>
      <c r="B126" s="6" t="s">
        <v>433</v>
      </c>
      <c r="C126" s="6" t="s">
        <v>434</v>
      </c>
      <c r="D126" s="6" t="s">
        <v>435</v>
      </c>
      <c r="E126" s="6" t="s">
        <v>11</v>
      </c>
      <c r="F126" s="6" t="s">
        <v>436</v>
      </c>
      <c r="G126">
        <v>9</v>
      </c>
      <c r="I126">
        <v>0</v>
      </c>
      <c r="J126">
        <v>0</v>
      </c>
      <c r="K126">
        <v>0</v>
      </c>
      <c r="L126">
        <v>0</v>
      </c>
      <c r="M126">
        <v>0</v>
      </c>
      <c r="P126">
        <v>9</v>
      </c>
      <c r="Q126" t="str">
        <f>VLOOKUP(IF(R126 &lt;&gt; "", R126, C126),[1]reffLapTW!B:B,1,FALSE)</f>
        <v>12A008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produksi</vt:lpstr>
      <vt:lpstr>produksi!_SELECT_max_subsubquery_katalog_id_as_katalog_id_max_barang_KODE_202303171712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2023-03-21T08:42:42Z</dcterms:created>
  <dcterms:modified xsi:type="dcterms:W3CDTF">2023-03-21T08:58:45Z</dcterms:modified>
</cp:coreProperties>
</file>