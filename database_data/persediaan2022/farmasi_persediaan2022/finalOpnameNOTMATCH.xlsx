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 activeTab="1"/>
  </bookViews>
  <sheets>
    <sheet name="Sheet1" sheetId="1" r:id="rId1"/>
    <sheet name="Sheet2" sheetId="2" r:id="rId2"/>
  </sheets>
  <definedNames>
    <definedName name="_xlnm._FilterDatabase" localSheetId="0" hidden="1">Sheet1!$A$1:$N$1</definedName>
    <definedName name="_select_from_select_from_laporan_opname_where_id_inventory_is_nu_202302081423" localSheetId="0">Sheet1!$A$1:$N$61</definedName>
    <definedName name="_select_from_select_from_laporan_opname_where_id_inventory_is_nu_202302081504" localSheetId="1">Sheet2!$B$1:$P$28</definedName>
  </definedNames>
  <calcPr calcId="124519"/>
</workbook>
</file>

<file path=xl/calcChain.xml><?xml version="1.0" encoding="utf-8"?>
<calcChain xmlns="http://schemas.openxmlformats.org/spreadsheetml/2006/main">
  <c r="D3" i="2"/>
  <c r="D4"/>
  <c r="D5"/>
  <c r="D6"/>
  <c r="D7"/>
  <c r="D8"/>
  <c r="D9"/>
  <c r="D10"/>
  <c r="D2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"/>
</calcChain>
</file>

<file path=xl/connections.xml><?xml version="1.0" encoding="utf-8"?>
<connections xmlns="http://schemas.openxmlformats.org/spreadsheetml/2006/main">
  <connection id="1" name="_select_from_select_from_laporan_opname_where_id_inventory_is_nu_202302081423" type="6" refreshedVersion="3" background="1" saveData="1">
    <textPr codePage="437" sourceFile="C:\data\simrsgos\simgos2_add\TempDataExtrac\_select_from_select_from_laporan_opname_where_id_inventory_is_nu_202302081423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 type="text"/>
      </textFields>
    </textPr>
  </connection>
  <connection id="2" name="_select_from_select_from_laporan_opname_where_id_inventory_is_nu_202302081504" type="6" refreshedVersion="3" background="1" saveData="1">
    <textPr codePage="437" sourceFile="C:\data\simrsgos\simgos2_add\TempDataExtrac\_select_from_select_from_laporan_opname_where_id_inventory_is_nu_202302081504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<sst xmlns="http://schemas.openxmlformats.org/spreadsheetml/2006/main" count="833" uniqueCount="265">
  <si>
    <t>id</t>
  </si>
  <si>
    <t>tahun</t>
  </si>
  <si>
    <t>bulan</t>
  </si>
  <si>
    <t>nomor</t>
  </si>
  <si>
    <t>katalog_kode</t>
  </si>
  <si>
    <t>katalog_kategori</t>
  </si>
  <si>
    <t>katalog_nama</t>
  </si>
  <si>
    <t>katalog_pabrik</t>
  </si>
  <si>
    <t>katalog_satuan</t>
  </si>
  <si>
    <t>expired</t>
  </si>
  <si>
    <t>jumlah_fisik</t>
  </si>
  <si>
    <t>nilai_hpokok</t>
  </si>
  <si>
    <t>nilai_fisik</t>
  </si>
  <si>
    <t>id_inventory</t>
  </si>
  <si>
    <t>6671</t>
  </si>
  <si>
    <t>2022</t>
  </si>
  <si>
    <t>12</t>
  </si>
  <si>
    <t>Syrup</t>
  </si>
  <si>
    <t>AMOXICILLIN SYR 60 ML (125 MG/5 ML)</t>
  </si>
  <si>
    <t>GENERIK</t>
  </si>
  <si>
    <t>CAN</t>
  </si>
  <si>
    <t>1080</t>
  </si>
  <si>
    <t>Alat Habis Pakai</t>
  </si>
  <si>
    <t>CATHETER DOUBLE LUMEN 8.5FR 10CM STRIGHT(C2810S)</t>
  </si>
  <si>
    <t>CRONOS</t>
  </si>
  <si>
    <t>SET</t>
  </si>
  <si>
    <t>13556</t>
  </si>
  <si>
    <t>4709</t>
  </si>
  <si>
    <t>Implant</t>
  </si>
  <si>
    <t xml:space="preserve">POLAR-B CERVICAL CAGE PEEK </t>
  </si>
  <si>
    <t>DATA PABRIK SEMENTARA</t>
  </si>
  <si>
    <t>PCS</t>
  </si>
  <si>
    <t>13667</t>
  </si>
  <si>
    <t>7390</t>
  </si>
  <si>
    <t>Tablet</t>
  </si>
  <si>
    <t>MICROGEST KAPS 200 MG</t>
  </si>
  <si>
    <t>LAPI</t>
  </si>
  <si>
    <t>CAPSUL</t>
  </si>
  <si>
    <t>13561</t>
  </si>
  <si>
    <t>1081</t>
  </si>
  <si>
    <t>VAC SET (CLOSE WOUND SUCTION) 12FG</t>
  </si>
  <si>
    <t>-</t>
  </si>
  <si>
    <t>13583</t>
  </si>
  <si>
    <t>4711</t>
  </si>
  <si>
    <t>STRAIGHT TAPER ROD 5.5X200MM</t>
  </si>
  <si>
    <t>MEDYSSEY</t>
  </si>
  <si>
    <t>13698</t>
  </si>
  <si>
    <t>1089</t>
  </si>
  <si>
    <t>HARUM PLATE WITH CABLE</t>
  </si>
  <si>
    <t>HARUM</t>
  </si>
  <si>
    <t>13688</t>
  </si>
  <si>
    <t>4712</t>
  </si>
  <si>
    <t>BONE MANIPULATION SCREW DISPOSABLE TIP 220.0729</t>
  </si>
  <si>
    <t>OSTEOMED</t>
  </si>
  <si>
    <t>13699</t>
  </si>
  <si>
    <t>4639</t>
  </si>
  <si>
    <t>Bonespacer</t>
  </si>
  <si>
    <t>CHUN LI CO.,LTD</t>
  </si>
  <si>
    <t>IMPLANT</t>
  </si>
  <si>
    <t>13029</t>
  </si>
  <si>
    <t>4713</t>
  </si>
  <si>
    <t>THR DUAL MOBILITY CEMENTLESS</t>
  </si>
  <si>
    <t>MEDACTA INTERNATIONAL</t>
  </si>
  <si>
    <t>13712</t>
  </si>
  <si>
    <t>4686</t>
  </si>
  <si>
    <t>CCM STRAIGHT ROD SINGLE HEXA TYPE 500</t>
  </si>
  <si>
    <t>13505</t>
  </si>
  <si>
    <t>5872</t>
  </si>
  <si>
    <t>Kardiologi Invasif</t>
  </si>
  <si>
    <t>CRE-8</t>
  </si>
  <si>
    <t>CID</t>
  </si>
  <si>
    <t>13122</t>
  </si>
  <si>
    <t>6664</t>
  </si>
  <si>
    <t>Salep</t>
  </si>
  <si>
    <t>BUFACETIN  ZK 15 G</t>
  </si>
  <si>
    <t>BUFA ANEKA</t>
  </si>
  <si>
    <t>TUBE</t>
  </si>
  <si>
    <t>4697</t>
  </si>
  <si>
    <t>MATA BOR CUTTING ULTRA 5PK 5MM (31315066U)</t>
  </si>
  <si>
    <t>MEDTRONIC</t>
  </si>
  <si>
    <t>13580</t>
  </si>
  <si>
    <t>6727</t>
  </si>
  <si>
    <t>PARACETAMOL</t>
  </si>
  <si>
    <t>STRIP</t>
  </si>
  <si>
    <t>5</t>
  </si>
  <si>
    <t>1073</t>
  </si>
  <si>
    <t>APRONE ONE LS</t>
  </si>
  <si>
    <t>ONEMED</t>
  </si>
  <si>
    <t>13403</t>
  </si>
  <si>
    <t>4698</t>
  </si>
  <si>
    <t>MATA BOR DIAMOND FINE 2MM (31132070)</t>
  </si>
  <si>
    <t>13581</t>
  </si>
  <si>
    <t>7387</t>
  </si>
  <si>
    <t>AKYNZEO 300 MG/0.5 MG ORAL</t>
  </si>
  <si>
    <t>HELSINN</t>
  </si>
  <si>
    <t>KAPLET</t>
  </si>
  <si>
    <t>13529</t>
  </si>
  <si>
    <t>1035</t>
  </si>
  <si>
    <t>FOLEY CATH SILICON NO.14</t>
  </si>
  <si>
    <t>RUSCH</t>
  </si>
  <si>
    <t>1079</t>
  </si>
  <si>
    <t>SUNTOUCH NASAL DRESSING W/STRING (802T)</t>
  </si>
  <si>
    <t>SUNTOUCH</t>
  </si>
  <si>
    <t>13551</t>
  </si>
  <si>
    <t>4707</t>
  </si>
  <si>
    <t>FULLY THREADED SCREW 2.4MM x 16MM 331.2416</t>
  </si>
  <si>
    <t>13636</t>
  </si>
  <si>
    <t>7389</t>
  </si>
  <si>
    <t>MICROGEST KAPS 100MG</t>
  </si>
  <si>
    <t>13560</t>
  </si>
  <si>
    <t>7373</t>
  </si>
  <si>
    <t>10E104</t>
  </si>
  <si>
    <t>ENTECAVIR TABLET 0.5MG</t>
  </si>
  <si>
    <t>HEXPHARM</t>
  </si>
  <si>
    <t>TABLET</t>
  </si>
  <si>
    <t>7383</t>
  </si>
  <si>
    <t>10N171</t>
  </si>
  <si>
    <t xml:space="preserve">NOMATHIC CAPS 150MG </t>
  </si>
  <si>
    <t>DARYA-VARIA</t>
  </si>
  <si>
    <t>6938</t>
  </si>
  <si>
    <t>10P181</t>
  </si>
  <si>
    <t>PRORENAL TAB</t>
  </si>
  <si>
    <t>NOVELL</t>
  </si>
  <si>
    <t>BUAH</t>
  </si>
  <si>
    <t>7395</t>
  </si>
  <si>
    <t>10V048</t>
  </si>
  <si>
    <t>VFEND 200MG TAB</t>
  </si>
  <si>
    <t>PFIZER</t>
  </si>
  <si>
    <t>6102</t>
  </si>
  <si>
    <t>14M002</t>
  </si>
  <si>
    <t>Obat Sumbangan</t>
  </si>
  <si>
    <t>METHADON LIQUID 1 L</t>
  </si>
  <si>
    <t>KIMIA FARMA</t>
  </si>
  <si>
    <t>BOTOL</t>
  </si>
  <si>
    <t>6361</t>
  </si>
  <si>
    <t>15G027</t>
  </si>
  <si>
    <t>Reagensia</t>
  </si>
  <si>
    <t>G3+ (03P78-50) CARTRIDGE (25S) I-STAT</t>
  </si>
  <si>
    <t>ABBOTT</t>
  </si>
  <si>
    <t>TEST</t>
  </si>
  <si>
    <t>6672</t>
  </si>
  <si>
    <t>20A014</t>
  </si>
  <si>
    <t>1659</t>
  </si>
  <si>
    <t>22C024</t>
  </si>
  <si>
    <t>Benang</t>
  </si>
  <si>
    <t>CHIRALEN  2/0  45CM DS RESERVE CUTTING (PP5517)</t>
  </si>
  <si>
    <t>VITREX-DENMARK</t>
  </si>
  <si>
    <t>1485</t>
  </si>
  <si>
    <t>22S048</t>
  </si>
  <si>
    <t>SURGICEL FIBRILLAR-1961 1X2 (2.5CM X 5.1CM)</t>
  </si>
  <si>
    <t>ETHICON</t>
  </si>
  <si>
    <t>1486</t>
  </si>
  <si>
    <t>22S049</t>
  </si>
  <si>
    <t>SURGICEL FIBRILLAR-1962 2X4 (5.1CM X 10.2CM)</t>
  </si>
  <si>
    <t>J &amp; J</t>
  </si>
  <si>
    <t>6577</t>
  </si>
  <si>
    <t>30D005</t>
  </si>
  <si>
    <t>DULCOLAX SUPP ADULT 10 MG (50S)</t>
  </si>
  <si>
    <t>BOEHRINGER INGELHEIM</t>
  </si>
  <si>
    <t>SUPPOSTORIA</t>
  </si>
  <si>
    <t>6599</t>
  </si>
  <si>
    <t>30F004</t>
  </si>
  <si>
    <t>6666</t>
  </si>
  <si>
    <t>30H001</t>
  </si>
  <si>
    <t>HAEMOCAINE OINTMENT 15 G</t>
  </si>
  <si>
    <t>YUPHARIN</t>
  </si>
  <si>
    <t>6625</t>
  </si>
  <si>
    <t>30H010</t>
  </si>
  <si>
    <t>HELIATECH SUNSCREEN SPF 45+ 30ML</t>
  </si>
  <si>
    <t>SDM LAB</t>
  </si>
  <si>
    <t>6578</t>
  </si>
  <si>
    <t>30K021</t>
  </si>
  <si>
    <t>KETOKONAZOL KRIM 2% 5 G</t>
  </si>
  <si>
    <t>6669</t>
  </si>
  <si>
    <t>30M038</t>
  </si>
  <si>
    <t>MESONE KRIM 5 G</t>
  </si>
  <si>
    <t>1413</t>
  </si>
  <si>
    <t>30O016</t>
  </si>
  <si>
    <t>Barang Bebas</t>
  </si>
  <si>
    <t>OILUM BAR SOAP</t>
  </si>
  <si>
    <t>-----</t>
  </si>
  <si>
    <t>AMPUL</t>
  </si>
  <si>
    <t>4831</t>
  </si>
  <si>
    <t>40S004.1</t>
  </si>
  <si>
    <t>Injeksi</t>
  </si>
  <si>
    <t>SEVOFLURANE 250 ML</t>
  </si>
  <si>
    <t>MILILITER</t>
  </si>
  <si>
    <t>5176</t>
  </si>
  <si>
    <t>40S101</t>
  </si>
  <si>
    <t>MERSIFARMA</t>
  </si>
  <si>
    <t>4468</t>
  </si>
  <si>
    <t>42C1000.66</t>
  </si>
  <si>
    <t>CANNULATED HEADLESS SCR 30MM X 36MM 317.3036</t>
  </si>
  <si>
    <t>3198</t>
  </si>
  <si>
    <t>42J003</t>
  </si>
  <si>
    <t>JULIET LUMBAR CAGE 4 H08</t>
  </si>
  <si>
    <t>MITRA FAJAR SELARAS</t>
  </si>
  <si>
    <t>348</t>
  </si>
  <si>
    <t>80C001.005</t>
  </si>
  <si>
    <t>CONTOUR ISI 1S (CR40G)</t>
  </si>
  <si>
    <t>238</t>
  </si>
  <si>
    <t>80C001.082</t>
  </si>
  <si>
    <t>COMPACT II BREATHING SYSTEM 2.0 M (2151)</t>
  </si>
  <si>
    <t>INTERSURGICAL</t>
  </si>
  <si>
    <t>520</t>
  </si>
  <si>
    <t>80C001.5</t>
  </si>
  <si>
    <t>COVER GLASS 24X60</t>
  </si>
  <si>
    <t>PROHISTO</t>
  </si>
  <si>
    <t>1034</t>
  </si>
  <si>
    <t>80C001.5x</t>
  </si>
  <si>
    <t>AURONA</t>
  </si>
  <si>
    <t>547</t>
  </si>
  <si>
    <t>80C001.7</t>
  </si>
  <si>
    <t>COVER GLASS 24X24 (100) ONELAB</t>
  </si>
  <si>
    <t>BOX</t>
  </si>
  <si>
    <t>1051</t>
  </si>
  <si>
    <t>80C039</t>
  </si>
  <si>
    <t>CHROMA FOLEY CATHETER 2 WAY CH 12</t>
  </si>
  <si>
    <t>MAS</t>
  </si>
  <si>
    <t>274</t>
  </si>
  <si>
    <t>80K063</t>
  </si>
  <si>
    <t>KONDOM SUTRA (24)</t>
  </si>
  <si>
    <t>110</t>
  </si>
  <si>
    <t>80K107</t>
  </si>
  <si>
    <t>KONDOM SUTRA (12)</t>
  </si>
  <si>
    <t>1046</t>
  </si>
  <si>
    <t>80N147</t>
  </si>
  <si>
    <t>NASAL CANULA ADULT</t>
  </si>
  <si>
    <t>NOUSMED</t>
  </si>
  <si>
    <t>1029</t>
  </si>
  <si>
    <t>544</t>
  </si>
  <si>
    <t>80P207</t>
  </si>
  <si>
    <t>PROLENE 5/0 8556H</t>
  </si>
  <si>
    <t>1042</t>
  </si>
  <si>
    <t>80T084</t>
  </si>
  <si>
    <t>T-SKINSTAPLER 35W</t>
  </si>
  <si>
    <t>TRITON</t>
  </si>
  <si>
    <t>5875</t>
  </si>
  <si>
    <t>81C333</t>
  </si>
  <si>
    <t>CARTO3 REF PATCH CREFP6</t>
  </si>
  <si>
    <t>5878</t>
  </si>
  <si>
    <t>81N045</t>
  </si>
  <si>
    <t>NAVIEN 058</t>
  </si>
  <si>
    <t>EV3</t>
  </si>
  <si>
    <t>5223</t>
  </si>
  <si>
    <t>81R004</t>
  </si>
  <si>
    <t>RINATO - PTCA GW 0.014 / 180 CM</t>
  </si>
  <si>
    <t>ASAHI INTECC</t>
  </si>
  <si>
    <t>5767</t>
  </si>
  <si>
    <t>81U041</t>
  </si>
  <si>
    <t>ULTIMASTER</t>
  </si>
  <si>
    <t>TERUMO</t>
  </si>
  <si>
    <t>841</t>
  </si>
  <si>
    <t>83T005</t>
  </si>
  <si>
    <t>TENCKOFF CATHETER COILED</t>
  </si>
  <si>
    <t>FRESENIUS</t>
  </si>
  <si>
    <t>42M340</t>
  </si>
  <si>
    <t>80S013</t>
  </si>
  <si>
    <t>80F118</t>
  </si>
  <si>
    <t>80C043</t>
  </si>
  <si>
    <t>80H140</t>
  </si>
  <si>
    <t>81C327</t>
  </si>
  <si>
    <t>42M339</t>
  </si>
  <si>
    <t/>
  </si>
  <si>
    <t>80A126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</si>
</sst>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0" fontId="1" fillId="0" borderId="0" xfId="0" applyNumberFormat="1" applyFont="1"/>
    <xf numFmtId="0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from_select_from_laporan_opname_where_id_inventory_is_nu_202302081423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from_laporan_opname_where_id_inventory_is_nu_202302081504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>
      <selection activeCell="G20" sqref="G20"/>
    </sheetView>
  </sheetViews>
  <sheetFormatPr defaultRowHeight="14.4"/>
  <cols>
    <col min="1" max="1" width="6.33203125" customWidth="1"/>
    <col min="2" max="2" width="7.5546875" customWidth="1"/>
    <col min="3" max="3" width="6.5546875" customWidth="1"/>
    <col min="4" max="4" width="8" customWidth="1"/>
    <col min="5" max="5" width="13.88671875" customWidth="1"/>
    <col min="6" max="6" width="19" customWidth="1"/>
    <col min="7" max="7" width="50.33203125" customWidth="1"/>
    <col min="8" max="8" width="23.6640625" bestFit="1" customWidth="1"/>
    <col min="9" max="9" width="17.21875" customWidth="1"/>
    <col min="10" max="10" width="12.5546875" customWidth="1"/>
    <col min="11" max="12" width="14" customWidth="1"/>
    <col min="13" max="13" width="12.88671875" customWidth="1"/>
    <col min="14" max="14" width="11.109375" bestFit="1" customWidth="1"/>
  </cols>
  <sheetData>
    <row r="1" spans="1:14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</row>
    <row r="2" spans="1:14">
      <c r="A2" s="1" t="s">
        <v>110</v>
      </c>
      <c r="B2" s="1" t="s">
        <v>15</v>
      </c>
      <c r="C2" s="1" t="s">
        <v>16</v>
      </c>
      <c r="D2" s="1" t="s">
        <v>110</v>
      </c>
      <c r="E2" s="1" t="s">
        <v>111</v>
      </c>
      <c r="F2" s="1" t="s">
        <v>34</v>
      </c>
      <c r="G2" s="1" t="s">
        <v>112</v>
      </c>
      <c r="H2" s="1" t="s">
        <v>113</v>
      </c>
      <c r="I2" s="1" t="s">
        <v>114</v>
      </c>
      <c r="J2" s="2">
        <v>45199</v>
      </c>
      <c r="K2">
        <v>250</v>
      </c>
      <c r="L2">
        <v>9990</v>
      </c>
      <c r="M2">
        <v>2497500</v>
      </c>
    </row>
    <row r="3" spans="1:14">
      <c r="A3" s="1" t="s">
        <v>115</v>
      </c>
      <c r="B3" s="1" t="s">
        <v>15</v>
      </c>
      <c r="C3" s="1" t="s">
        <v>16</v>
      </c>
      <c r="D3" s="1" t="s">
        <v>115</v>
      </c>
      <c r="E3" s="1" t="s">
        <v>116</v>
      </c>
      <c r="F3" s="1" t="s">
        <v>34</v>
      </c>
      <c r="G3" s="1" t="s">
        <v>117</v>
      </c>
      <c r="H3" s="1" t="s">
        <v>118</v>
      </c>
      <c r="I3" s="1" t="s">
        <v>114</v>
      </c>
      <c r="J3" s="2">
        <v>45107</v>
      </c>
      <c r="K3">
        <v>44</v>
      </c>
      <c r="L3">
        <v>738.15</v>
      </c>
      <c r="M3">
        <v>32478.6</v>
      </c>
    </row>
    <row r="4" spans="1:14">
      <c r="A4" s="1" t="s">
        <v>119</v>
      </c>
      <c r="B4" s="1" t="s">
        <v>15</v>
      </c>
      <c r="C4" s="1" t="s">
        <v>16</v>
      </c>
      <c r="D4" s="1" t="s">
        <v>119</v>
      </c>
      <c r="E4" s="1" t="s">
        <v>120</v>
      </c>
      <c r="F4" s="1" t="s">
        <v>34</v>
      </c>
      <c r="G4" s="1" t="s">
        <v>121</v>
      </c>
      <c r="H4" s="1" t="s">
        <v>122</v>
      </c>
      <c r="I4" s="1" t="s">
        <v>123</v>
      </c>
      <c r="J4" s="2">
        <v>45869</v>
      </c>
      <c r="K4">
        <v>6</v>
      </c>
      <c r="L4">
        <v>3496.5</v>
      </c>
      <c r="M4">
        <v>20979</v>
      </c>
    </row>
    <row r="5" spans="1:14">
      <c r="A5" s="1" t="s">
        <v>124</v>
      </c>
      <c r="B5" s="1" t="s">
        <v>15</v>
      </c>
      <c r="C5" s="1" t="s">
        <v>16</v>
      </c>
      <c r="D5" s="1" t="s">
        <v>124</v>
      </c>
      <c r="E5" s="1" t="s">
        <v>125</v>
      </c>
      <c r="F5" s="1" t="s">
        <v>34</v>
      </c>
      <c r="G5" s="1" t="s">
        <v>126</v>
      </c>
      <c r="H5" s="1" t="s">
        <v>127</v>
      </c>
      <c r="I5" s="1" t="s">
        <v>114</v>
      </c>
      <c r="J5" s="2">
        <v>36526</v>
      </c>
      <c r="K5">
        <v>3</v>
      </c>
      <c r="L5">
        <v>512219.37</v>
      </c>
      <c r="M5">
        <v>1536658.11</v>
      </c>
    </row>
    <row r="6" spans="1:14">
      <c r="A6" s="1" t="s">
        <v>128</v>
      </c>
      <c r="B6" s="1" t="s">
        <v>15</v>
      </c>
      <c r="C6" s="1" t="s">
        <v>16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132</v>
      </c>
      <c r="I6" s="1" t="s">
        <v>133</v>
      </c>
      <c r="J6" s="2">
        <v>45838</v>
      </c>
      <c r="K6">
        <v>26</v>
      </c>
      <c r="L6">
        <v>286000</v>
      </c>
      <c r="M6">
        <v>7436000</v>
      </c>
    </row>
    <row r="7" spans="1:14">
      <c r="A7" s="1" t="s">
        <v>134</v>
      </c>
      <c r="B7" s="1" t="s">
        <v>15</v>
      </c>
      <c r="C7" s="1" t="s">
        <v>16</v>
      </c>
      <c r="D7" s="1" t="s">
        <v>134</v>
      </c>
      <c r="E7" s="1" t="s">
        <v>135</v>
      </c>
      <c r="F7" s="1" t="s">
        <v>136</v>
      </c>
      <c r="G7" s="1" t="s">
        <v>137</v>
      </c>
      <c r="H7" s="1" t="s">
        <v>138</v>
      </c>
      <c r="I7" s="1" t="s">
        <v>139</v>
      </c>
      <c r="J7" s="2">
        <v>36526</v>
      </c>
      <c r="K7">
        <v>0</v>
      </c>
      <c r="L7">
        <v>108791.1</v>
      </c>
      <c r="M7">
        <v>0</v>
      </c>
    </row>
    <row r="8" spans="1:14">
      <c r="A8" s="1" t="s">
        <v>140</v>
      </c>
      <c r="B8" s="1" t="s">
        <v>15</v>
      </c>
      <c r="C8" s="1" t="s">
        <v>16</v>
      </c>
      <c r="D8" s="1" t="s">
        <v>140</v>
      </c>
      <c r="E8" s="1" t="s">
        <v>141</v>
      </c>
      <c r="F8" s="1" t="s">
        <v>17</v>
      </c>
      <c r="G8" s="1" t="s">
        <v>18</v>
      </c>
      <c r="H8" s="1" t="s">
        <v>19</v>
      </c>
      <c r="I8" s="1" t="s">
        <v>133</v>
      </c>
      <c r="J8" s="2">
        <v>36526</v>
      </c>
      <c r="K8">
        <v>0</v>
      </c>
      <c r="L8">
        <v>2050</v>
      </c>
      <c r="M8">
        <v>0</v>
      </c>
    </row>
    <row r="9" spans="1:14">
      <c r="A9" s="1" t="s">
        <v>142</v>
      </c>
      <c r="B9" s="1" t="s">
        <v>15</v>
      </c>
      <c r="C9" s="1" t="s">
        <v>16</v>
      </c>
      <c r="D9" s="1" t="s">
        <v>142</v>
      </c>
      <c r="E9" s="1" t="s">
        <v>143</v>
      </c>
      <c r="F9" s="1" t="s">
        <v>144</v>
      </c>
      <c r="G9" s="1" t="s">
        <v>145</v>
      </c>
      <c r="H9" s="1" t="s">
        <v>146</v>
      </c>
      <c r="I9" s="1" t="s">
        <v>31</v>
      </c>
      <c r="J9" s="2">
        <v>46539</v>
      </c>
      <c r="K9">
        <v>60</v>
      </c>
      <c r="L9">
        <v>80937.5</v>
      </c>
      <c r="M9">
        <v>4856250</v>
      </c>
    </row>
    <row r="10" spans="1:14">
      <c r="A10" s="1" t="s">
        <v>147</v>
      </c>
      <c r="B10" s="1" t="s">
        <v>15</v>
      </c>
      <c r="C10" s="1" t="s">
        <v>16</v>
      </c>
      <c r="D10" s="1" t="s">
        <v>147</v>
      </c>
      <c r="E10" s="1" t="s">
        <v>148</v>
      </c>
      <c r="F10" s="1" t="s">
        <v>144</v>
      </c>
      <c r="G10" s="1" t="s">
        <v>149</v>
      </c>
      <c r="H10" s="1" t="s">
        <v>150</v>
      </c>
      <c r="I10" s="1" t="s">
        <v>123</v>
      </c>
      <c r="J10" s="2">
        <v>45473</v>
      </c>
      <c r="K10">
        <v>93</v>
      </c>
      <c r="L10">
        <v>507691.8</v>
      </c>
      <c r="M10">
        <v>47215337.399999999</v>
      </c>
    </row>
    <row r="11" spans="1:14">
      <c r="A11" s="1" t="s">
        <v>151</v>
      </c>
      <c r="B11" s="1" t="s">
        <v>15</v>
      </c>
      <c r="C11" s="1" t="s">
        <v>16</v>
      </c>
      <c r="D11" s="1" t="s">
        <v>151</v>
      </c>
      <c r="E11" s="1" t="s">
        <v>152</v>
      </c>
      <c r="F11" s="1" t="s">
        <v>144</v>
      </c>
      <c r="G11" s="1" t="s">
        <v>153</v>
      </c>
      <c r="H11" s="1" t="s">
        <v>154</v>
      </c>
      <c r="I11" s="1" t="s">
        <v>123</v>
      </c>
      <c r="J11" s="2">
        <v>36526</v>
      </c>
      <c r="K11">
        <v>6</v>
      </c>
      <c r="L11">
        <v>521739.9</v>
      </c>
      <c r="M11">
        <v>3130439.4</v>
      </c>
    </row>
    <row r="12" spans="1:14">
      <c r="A12" s="1" t="s">
        <v>155</v>
      </c>
      <c r="B12" s="1" t="s">
        <v>15</v>
      </c>
      <c r="C12" s="1" t="s">
        <v>16</v>
      </c>
      <c r="D12" s="1" t="s">
        <v>155</v>
      </c>
      <c r="E12" s="1" t="s">
        <v>156</v>
      </c>
      <c r="F12" s="1" t="s">
        <v>73</v>
      </c>
      <c r="G12" s="1" t="s">
        <v>157</v>
      </c>
      <c r="H12" s="1" t="s">
        <v>158</v>
      </c>
      <c r="I12" s="1" t="s">
        <v>159</v>
      </c>
      <c r="J12" s="2">
        <v>45746</v>
      </c>
      <c r="K12">
        <v>171</v>
      </c>
      <c r="L12">
        <v>4325</v>
      </c>
      <c r="M12">
        <v>739575</v>
      </c>
    </row>
    <row r="13" spans="1:14">
      <c r="A13" s="1" t="s">
        <v>160</v>
      </c>
      <c r="B13" s="1" t="s">
        <v>15</v>
      </c>
      <c r="C13" s="1" t="s">
        <v>16</v>
      </c>
      <c r="D13" s="1" t="s">
        <v>160</v>
      </c>
      <c r="E13" s="1" t="s">
        <v>161</v>
      </c>
      <c r="F13" s="1" t="s">
        <v>73</v>
      </c>
      <c r="G13" s="1" t="s">
        <v>74</v>
      </c>
      <c r="H13" s="1" t="s">
        <v>75</v>
      </c>
      <c r="I13" s="1" t="s">
        <v>76</v>
      </c>
      <c r="J13" s="2">
        <v>45565</v>
      </c>
      <c r="K13">
        <v>8</v>
      </c>
      <c r="L13">
        <v>3295.69</v>
      </c>
      <c r="M13">
        <v>26365.52</v>
      </c>
    </row>
    <row r="14" spans="1:14">
      <c r="A14" s="1" t="s">
        <v>162</v>
      </c>
      <c r="B14" s="1" t="s">
        <v>15</v>
      </c>
      <c r="C14" s="1" t="s">
        <v>16</v>
      </c>
      <c r="D14" s="1" t="s">
        <v>162</v>
      </c>
      <c r="E14" s="1" t="s">
        <v>163</v>
      </c>
      <c r="F14" s="1" t="s">
        <v>73</v>
      </c>
      <c r="G14" s="1" t="s">
        <v>164</v>
      </c>
      <c r="H14" s="1" t="s">
        <v>165</v>
      </c>
      <c r="I14" s="1" t="s">
        <v>76</v>
      </c>
      <c r="J14" s="2">
        <v>36526</v>
      </c>
      <c r="K14">
        <v>0</v>
      </c>
      <c r="L14">
        <v>87523.5</v>
      </c>
      <c r="M14">
        <v>0</v>
      </c>
    </row>
    <row r="15" spans="1:14">
      <c r="A15" s="1" t="s">
        <v>166</v>
      </c>
      <c r="B15" s="1" t="s">
        <v>15</v>
      </c>
      <c r="C15" s="1" t="s">
        <v>16</v>
      </c>
      <c r="D15" s="1" t="s">
        <v>166</v>
      </c>
      <c r="E15" s="1" t="s">
        <v>167</v>
      </c>
      <c r="F15" s="1" t="s">
        <v>73</v>
      </c>
      <c r="G15" s="1" t="s">
        <v>168</v>
      </c>
      <c r="H15" s="1" t="s">
        <v>169</v>
      </c>
      <c r="I15" s="1" t="s">
        <v>76</v>
      </c>
      <c r="J15" s="2">
        <v>36526</v>
      </c>
      <c r="K15">
        <v>0</v>
      </c>
      <c r="L15">
        <v>68403.75</v>
      </c>
      <c r="M15">
        <v>0</v>
      </c>
    </row>
    <row r="16" spans="1:14">
      <c r="A16" s="1" t="s">
        <v>170</v>
      </c>
      <c r="B16" s="1" t="s">
        <v>15</v>
      </c>
      <c r="C16" s="1" t="s">
        <v>16</v>
      </c>
      <c r="D16" s="1" t="s">
        <v>170</v>
      </c>
      <c r="E16" s="1" t="s">
        <v>171</v>
      </c>
      <c r="F16" s="1" t="s">
        <v>73</v>
      </c>
      <c r="G16" s="1" t="s">
        <v>172</v>
      </c>
      <c r="H16" s="1" t="s">
        <v>19</v>
      </c>
      <c r="I16" s="1" t="s">
        <v>76</v>
      </c>
      <c r="J16" s="2">
        <v>45413</v>
      </c>
      <c r="K16">
        <v>6</v>
      </c>
      <c r="L16">
        <v>6415.8</v>
      </c>
      <c r="M16">
        <v>38494.800000000003</v>
      </c>
    </row>
    <row r="17" spans="1:13">
      <c r="A17" s="1" t="s">
        <v>173</v>
      </c>
      <c r="B17" s="1" t="s">
        <v>15</v>
      </c>
      <c r="C17" s="1" t="s">
        <v>16</v>
      </c>
      <c r="D17" s="1" t="s">
        <v>173</v>
      </c>
      <c r="E17" s="1" t="s">
        <v>174</v>
      </c>
      <c r="F17" s="1" t="s">
        <v>73</v>
      </c>
      <c r="G17" s="1" t="s">
        <v>175</v>
      </c>
      <c r="H17" s="1" t="s">
        <v>30</v>
      </c>
      <c r="I17" s="1" t="s">
        <v>76</v>
      </c>
      <c r="J17" s="2">
        <v>45199</v>
      </c>
      <c r="K17">
        <v>11</v>
      </c>
      <c r="L17">
        <v>34798.5</v>
      </c>
      <c r="M17">
        <v>382783.5</v>
      </c>
    </row>
    <row r="18" spans="1:13">
      <c r="A18" s="1" t="s">
        <v>176</v>
      </c>
      <c r="B18" s="1" t="s">
        <v>15</v>
      </c>
      <c r="C18" s="1" t="s">
        <v>16</v>
      </c>
      <c r="D18" s="1" t="s">
        <v>176</v>
      </c>
      <c r="E18" s="1" t="s">
        <v>177</v>
      </c>
      <c r="F18" s="1" t="s">
        <v>178</v>
      </c>
      <c r="G18" s="1" t="s">
        <v>179</v>
      </c>
      <c r="H18" s="1" t="s">
        <v>180</v>
      </c>
      <c r="I18" s="1" t="s">
        <v>181</v>
      </c>
      <c r="J18" s="2">
        <v>36526</v>
      </c>
      <c r="K18">
        <v>0</v>
      </c>
      <c r="L18">
        <v>16095</v>
      </c>
      <c r="M18">
        <v>0</v>
      </c>
    </row>
    <row r="19" spans="1:13">
      <c r="A19" s="1" t="s">
        <v>182</v>
      </c>
      <c r="B19" s="1" t="s">
        <v>15</v>
      </c>
      <c r="C19" s="1" t="s">
        <v>16</v>
      </c>
      <c r="D19" s="1" t="s">
        <v>182</v>
      </c>
      <c r="E19" s="1" t="s">
        <v>183</v>
      </c>
      <c r="F19" s="1" t="s">
        <v>184</v>
      </c>
      <c r="G19" s="1" t="s">
        <v>185</v>
      </c>
      <c r="H19" s="1" t="s">
        <v>138</v>
      </c>
      <c r="I19" s="1" t="s">
        <v>186</v>
      </c>
      <c r="J19" s="2">
        <v>36526</v>
      </c>
      <c r="K19">
        <v>70</v>
      </c>
      <c r="L19">
        <v>3622.21</v>
      </c>
      <c r="M19">
        <v>253554.7</v>
      </c>
    </row>
    <row r="20" spans="1:13">
      <c r="A20" s="1" t="s">
        <v>187</v>
      </c>
      <c r="B20" s="1" t="s">
        <v>15</v>
      </c>
      <c r="C20" s="1" t="s">
        <v>16</v>
      </c>
      <c r="D20" s="1" t="s">
        <v>187</v>
      </c>
      <c r="E20" s="1" t="s">
        <v>188</v>
      </c>
      <c r="F20" s="1" t="s">
        <v>184</v>
      </c>
      <c r="G20" s="1" t="s">
        <v>185</v>
      </c>
      <c r="H20" s="1" t="s">
        <v>189</v>
      </c>
      <c r="I20" s="1" t="s">
        <v>186</v>
      </c>
      <c r="J20" s="2">
        <v>36526</v>
      </c>
      <c r="K20">
        <v>3620</v>
      </c>
      <c r="L20">
        <v>3574.2</v>
      </c>
      <c r="M20">
        <v>12938604</v>
      </c>
    </row>
    <row r="21" spans="1:13">
      <c r="A21" s="1" t="s">
        <v>190</v>
      </c>
      <c r="B21" s="1" t="s">
        <v>15</v>
      </c>
      <c r="C21" s="1" t="s">
        <v>16</v>
      </c>
      <c r="D21" s="1" t="s">
        <v>190</v>
      </c>
      <c r="E21" s="1" t="s">
        <v>191</v>
      </c>
      <c r="F21" s="1" t="s">
        <v>28</v>
      </c>
      <c r="G21" s="1" t="s">
        <v>192</v>
      </c>
      <c r="H21" s="1" t="s">
        <v>53</v>
      </c>
      <c r="I21" s="1" t="s">
        <v>31</v>
      </c>
      <c r="J21" s="2">
        <v>45169</v>
      </c>
      <c r="K21">
        <v>0</v>
      </c>
      <c r="L21">
        <v>2237823.27</v>
      </c>
      <c r="M21">
        <v>0</v>
      </c>
    </row>
    <row r="22" spans="1:13">
      <c r="A22" s="1" t="s">
        <v>193</v>
      </c>
      <c r="B22" s="1" t="s">
        <v>15</v>
      </c>
      <c r="C22" s="1" t="s">
        <v>16</v>
      </c>
      <c r="D22" s="1" t="s">
        <v>193</v>
      </c>
      <c r="E22" s="1" t="s">
        <v>194</v>
      </c>
      <c r="F22" s="1" t="s">
        <v>28</v>
      </c>
      <c r="G22" s="1" t="s">
        <v>195</v>
      </c>
      <c r="H22" s="1" t="s">
        <v>196</v>
      </c>
      <c r="I22" s="1" t="s">
        <v>31</v>
      </c>
      <c r="J22" s="2">
        <v>36526</v>
      </c>
      <c r="K22">
        <v>0</v>
      </c>
      <c r="L22">
        <v>10560000</v>
      </c>
      <c r="M22">
        <v>0</v>
      </c>
    </row>
    <row r="23" spans="1:13">
      <c r="A23" s="1" t="s">
        <v>197</v>
      </c>
      <c r="B23" s="1" t="s">
        <v>15</v>
      </c>
      <c r="C23" s="1" t="s">
        <v>16</v>
      </c>
      <c r="D23" s="1" t="s">
        <v>197</v>
      </c>
      <c r="E23" s="1" t="s">
        <v>198</v>
      </c>
      <c r="F23" s="1" t="s">
        <v>22</v>
      </c>
      <c r="G23" s="1" t="s">
        <v>199</v>
      </c>
      <c r="H23" s="1" t="s">
        <v>154</v>
      </c>
      <c r="I23" s="1" t="s">
        <v>123</v>
      </c>
      <c r="J23" s="2">
        <v>46527</v>
      </c>
      <c r="K23">
        <v>14</v>
      </c>
      <c r="L23">
        <v>4981680</v>
      </c>
      <c r="M23">
        <v>69743520</v>
      </c>
    </row>
    <row r="24" spans="1:13">
      <c r="A24" s="1" t="s">
        <v>200</v>
      </c>
      <c r="B24" s="1" t="s">
        <v>15</v>
      </c>
      <c r="C24" s="1" t="s">
        <v>16</v>
      </c>
      <c r="D24" s="1" t="s">
        <v>200</v>
      </c>
      <c r="E24" s="1" t="s">
        <v>201</v>
      </c>
      <c r="F24" s="1" t="s">
        <v>22</v>
      </c>
      <c r="G24" s="1" t="s">
        <v>202</v>
      </c>
      <c r="H24" s="1" t="s">
        <v>203</v>
      </c>
      <c r="I24" s="1" t="s">
        <v>123</v>
      </c>
      <c r="J24" s="2">
        <v>45565</v>
      </c>
      <c r="K24">
        <v>0</v>
      </c>
      <c r="L24">
        <v>87855.32</v>
      </c>
      <c r="M24">
        <v>0</v>
      </c>
    </row>
    <row r="25" spans="1:13">
      <c r="A25" s="1" t="s">
        <v>204</v>
      </c>
      <c r="B25" s="1" t="s">
        <v>15</v>
      </c>
      <c r="C25" s="1" t="s">
        <v>16</v>
      </c>
      <c r="D25" s="1" t="s">
        <v>204</v>
      </c>
      <c r="E25" s="1" t="s">
        <v>205</v>
      </c>
      <c r="F25" s="1" t="s">
        <v>22</v>
      </c>
      <c r="G25" s="1" t="s">
        <v>206</v>
      </c>
      <c r="H25" s="1" t="s">
        <v>207</v>
      </c>
      <c r="I25" s="1" t="s">
        <v>31</v>
      </c>
      <c r="J25" s="2">
        <v>45352</v>
      </c>
      <c r="K25">
        <v>3000</v>
      </c>
      <c r="L25">
        <v>846.7</v>
      </c>
      <c r="M25">
        <v>2540100</v>
      </c>
    </row>
    <row r="26" spans="1:13">
      <c r="A26" s="1" t="s">
        <v>208</v>
      </c>
      <c r="B26" s="1" t="s">
        <v>15</v>
      </c>
      <c r="C26" s="1" t="s">
        <v>16</v>
      </c>
      <c r="D26" s="1" t="s">
        <v>208</v>
      </c>
      <c r="E26" s="1" t="s">
        <v>209</v>
      </c>
      <c r="F26" s="1" t="s">
        <v>22</v>
      </c>
      <c r="G26" s="1" t="s">
        <v>206</v>
      </c>
      <c r="H26" s="1" t="s">
        <v>210</v>
      </c>
      <c r="I26" s="1" t="s">
        <v>123</v>
      </c>
      <c r="J26" s="2">
        <v>36526</v>
      </c>
      <c r="K26">
        <v>0</v>
      </c>
      <c r="L26">
        <v>846.7</v>
      </c>
      <c r="M26">
        <v>0</v>
      </c>
    </row>
    <row r="27" spans="1:13">
      <c r="A27" s="1" t="s">
        <v>211</v>
      </c>
      <c r="B27" s="1" t="s">
        <v>15</v>
      </c>
      <c r="C27" s="1" t="s">
        <v>16</v>
      </c>
      <c r="D27" s="1" t="s">
        <v>211</v>
      </c>
      <c r="E27" s="1" t="s">
        <v>212</v>
      </c>
      <c r="F27" s="1" t="s">
        <v>22</v>
      </c>
      <c r="G27" s="1" t="s">
        <v>213</v>
      </c>
      <c r="H27" s="1" t="s">
        <v>87</v>
      </c>
      <c r="I27" s="1" t="s">
        <v>214</v>
      </c>
      <c r="J27" s="2">
        <v>44650</v>
      </c>
      <c r="K27">
        <v>50</v>
      </c>
      <c r="L27">
        <v>14460.5</v>
      </c>
      <c r="M27">
        <v>723025</v>
      </c>
    </row>
    <row r="28" spans="1:13">
      <c r="A28" s="1" t="s">
        <v>215</v>
      </c>
      <c r="B28" s="1" t="s">
        <v>15</v>
      </c>
      <c r="C28" s="1" t="s">
        <v>16</v>
      </c>
      <c r="D28" s="1" t="s">
        <v>215</v>
      </c>
      <c r="E28" s="1" t="s">
        <v>216</v>
      </c>
      <c r="F28" s="1" t="s">
        <v>22</v>
      </c>
      <c r="G28" s="1" t="s">
        <v>217</v>
      </c>
      <c r="H28" s="1" t="s">
        <v>218</v>
      </c>
      <c r="I28" s="1" t="s">
        <v>31</v>
      </c>
      <c r="J28" s="2">
        <v>36526</v>
      </c>
      <c r="K28">
        <v>53</v>
      </c>
      <c r="L28">
        <v>12197.79</v>
      </c>
      <c r="M28">
        <v>646482.87</v>
      </c>
    </row>
    <row r="29" spans="1:13">
      <c r="A29" s="1" t="s">
        <v>219</v>
      </c>
      <c r="B29" s="1" t="s">
        <v>15</v>
      </c>
      <c r="C29" s="1" t="s">
        <v>16</v>
      </c>
      <c r="D29" s="1" t="s">
        <v>219</v>
      </c>
      <c r="E29" s="1" t="s">
        <v>220</v>
      </c>
      <c r="F29" s="1" t="s">
        <v>22</v>
      </c>
      <c r="G29" s="1" t="s">
        <v>221</v>
      </c>
      <c r="H29" s="1" t="s">
        <v>30</v>
      </c>
      <c r="I29" s="1" t="s">
        <v>123</v>
      </c>
      <c r="J29" s="2">
        <v>46162</v>
      </c>
      <c r="K29">
        <v>219</v>
      </c>
      <c r="L29">
        <v>670.83</v>
      </c>
      <c r="M29">
        <v>146911.76999999999</v>
      </c>
    </row>
    <row r="30" spans="1:13">
      <c r="A30" s="1" t="s">
        <v>222</v>
      </c>
      <c r="B30" s="1" t="s">
        <v>15</v>
      </c>
      <c r="C30" s="1" t="s">
        <v>16</v>
      </c>
      <c r="D30" s="1" t="s">
        <v>222</v>
      </c>
      <c r="E30" s="1" t="s">
        <v>223</v>
      </c>
      <c r="F30" s="1" t="s">
        <v>22</v>
      </c>
      <c r="G30" s="1" t="s">
        <v>224</v>
      </c>
      <c r="H30" s="1" t="s">
        <v>30</v>
      </c>
      <c r="I30" s="1" t="s">
        <v>123</v>
      </c>
      <c r="J30" s="2">
        <v>36526</v>
      </c>
      <c r="K30">
        <v>0</v>
      </c>
      <c r="L30">
        <v>2083.33</v>
      </c>
      <c r="M30">
        <v>0</v>
      </c>
    </row>
    <row r="31" spans="1:13">
      <c r="A31" s="1" t="s">
        <v>225</v>
      </c>
      <c r="B31" s="1" t="s">
        <v>15</v>
      </c>
      <c r="C31" s="1" t="s">
        <v>16</v>
      </c>
      <c r="D31" s="1" t="s">
        <v>225</v>
      </c>
      <c r="E31" s="1" t="s">
        <v>226</v>
      </c>
      <c r="F31" s="1" t="s">
        <v>22</v>
      </c>
      <c r="G31" s="1" t="s">
        <v>227</v>
      </c>
      <c r="H31" s="1" t="s">
        <v>228</v>
      </c>
      <c r="I31" s="1" t="s">
        <v>31</v>
      </c>
      <c r="J31" s="2">
        <v>36526</v>
      </c>
      <c r="K31">
        <v>132</v>
      </c>
      <c r="L31">
        <v>5027</v>
      </c>
      <c r="M31">
        <v>663564</v>
      </c>
    </row>
    <row r="32" spans="1:13">
      <c r="A32" s="1" t="s">
        <v>229</v>
      </c>
      <c r="B32" s="1" t="s">
        <v>15</v>
      </c>
      <c r="C32" s="1" t="s">
        <v>16</v>
      </c>
      <c r="D32" s="1" t="s">
        <v>229</v>
      </c>
      <c r="E32" s="1" t="s">
        <v>226</v>
      </c>
      <c r="F32" s="1" t="s">
        <v>22</v>
      </c>
      <c r="G32" s="1" t="s">
        <v>227</v>
      </c>
      <c r="H32" s="1" t="s">
        <v>228</v>
      </c>
      <c r="I32" s="1" t="s">
        <v>31</v>
      </c>
      <c r="J32" s="2">
        <v>46417</v>
      </c>
      <c r="K32">
        <v>3120</v>
      </c>
      <c r="L32">
        <v>5579.97</v>
      </c>
      <c r="M32">
        <v>17409506.399999999</v>
      </c>
    </row>
    <row r="33" spans="1:14">
      <c r="A33" s="1" t="s">
        <v>230</v>
      </c>
      <c r="B33" s="1" t="s">
        <v>15</v>
      </c>
      <c r="C33" s="1" t="s">
        <v>16</v>
      </c>
      <c r="D33" s="1" t="s">
        <v>230</v>
      </c>
      <c r="E33" s="1" t="s">
        <v>231</v>
      </c>
      <c r="F33" s="1" t="s">
        <v>22</v>
      </c>
      <c r="G33" s="1" t="s">
        <v>232</v>
      </c>
      <c r="H33" s="1" t="s">
        <v>150</v>
      </c>
      <c r="I33" s="1" t="s">
        <v>31</v>
      </c>
      <c r="J33" s="2">
        <v>36526</v>
      </c>
      <c r="K33">
        <v>3</v>
      </c>
      <c r="L33">
        <v>160018.82999999999</v>
      </c>
      <c r="M33">
        <v>480056.49</v>
      </c>
    </row>
    <row r="34" spans="1:14">
      <c r="A34" s="1" t="s">
        <v>233</v>
      </c>
      <c r="B34" s="1" t="s">
        <v>15</v>
      </c>
      <c r="C34" s="1" t="s">
        <v>16</v>
      </c>
      <c r="D34" s="1" t="s">
        <v>233</v>
      </c>
      <c r="E34" s="1" t="s">
        <v>234</v>
      </c>
      <c r="F34" s="1" t="s">
        <v>22</v>
      </c>
      <c r="G34" s="1" t="s">
        <v>235</v>
      </c>
      <c r="H34" s="1" t="s">
        <v>236</v>
      </c>
      <c r="I34" s="1" t="s">
        <v>31</v>
      </c>
      <c r="J34" s="2">
        <v>36526</v>
      </c>
      <c r="K34">
        <v>23</v>
      </c>
      <c r="L34">
        <v>155678.5</v>
      </c>
      <c r="M34">
        <v>3580605.5</v>
      </c>
    </row>
    <row r="35" spans="1:14">
      <c r="A35" s="1" t="s">
        <v>237</v>
      </c>
      <c r="B35" s="1" t="s">
        <v>15</v>
      </c>
      <c r="C35" s="1" t="s">
        <v>16</v>
      </c>
      <c r="D35" s="1" t="s">
        <v>237</v>
      </c>
      <c r="E35" s="1" t="s">
        <v>238</v>
      </c>
      <c r="F35" s="1" t="s">
        <v>68</v>
      </c>
      <c r="G35" s="1" t="s">
        <v>239</v>
      </c>
      <c r="H35" s="1" t="s">
        <v>154</v>
      </c>
      <c r="I35" s="1" t="s">
        <v>31</v>
      </c>
      <c r="J35" s="2">
        <v>36526</v>
      </c>
      <c r="K35">
        <v>0</v>
      </c>
      <c r="L35">
        <v>4981680</v>
      </c>
      <c r="M35">
        <v>0</v>
      </c>
    </row>
    <row r="36" spans="1:14">
      <c r="A36" s="1" t="s">
        <v>240</v>
      </c>
      <c r="B36" s="1" t="s">
        <v>15</v>
      </c>
      <c r="C36" s="1" t="s">
        <v>16</v>
      </c>
      <c r="D36" s="1" t="s">
        <v>240</v>
      </c>
      <c r="E36" s="1" t="s">
        <v>241</v>
      </c>
      <c r="F36" s="1" t="s">
        <v>68</v>
      </c>
      <c r="G36" s="1" t="s">
        <v>242</v>
      </c>
      <c r="H36" s="1" t="s">
        <v>243</v>
      </c>
      <c r="I36" s="1" t="s">
        <v>31</v>
      </c>
      <c r="J36" s="2">
        <v>36526</v>
      </c>
      <c r="K36">
        <v>0</v>
      </c>
      <c r="L36">
        <v>6567769</v>
      </c>
      <c r="M36">
        <v>0</v>
      </c>
    </row>
    <row r="37" spans="1:14">
      <c r="A37" s="1" t="s">
        <v>244</v>
      </c>
      <c r="B37" s="1" t="s">
        <v>15</v>
      </c>
      <c r="C37" s="1" t="s">
        <v>16</v>
      </c>
      <c r="D37" s="1" t="s">
        <v>244</v>
      </c>
      <c r="E37" s="1" t="s">
        <v>245</v>
      </c>
      <c r="F37" s="1" t="s">
        <v>68</v>
      </c>
      <c r="G37" s="1" t="s">
        <v>246</v>
      </c>
      <c r="H37" s="1" t="s">
        <v>247</v>
      </c>
      <c r="I37" s="1" t="s">
        <v>123</v>
      </c>
      <c r="J37" s="2">
        <v>45657</v>
      </c>
      <c r="K37">
        <v>9</v>
      </c>
      <c r="L37">
        <v>1600000</v>
      </c>
      <c r="M37">
        <v>14400000</v>
      </c>
    </row>
    <row r="38" spans="1:14">
      <c r="A38" s="1" t="s">
        <v>248</v>
      </c>
      <c r="B38" s="1" t="s">
        <v>15</v>
      </c>
      <c r="C38" s="1" t="s">
        <v>16</v>
      </c>
      <c r="D38" s="1" t="s">
        <v>248</v>
      </c>
      <c r="E38" s="1" t="s">
        <v>249</v>
      </c>
      <c r="F38" s="1" t="s">
        <v>68</v>
      </c>
      <c r="G38" s="1" t="s">
        <v>250</v>
      </c>
      <c r="H38" s="1" t="s">
        <v>251</v>
      </c>
      <c r="I38" s="1" t="s">
        <v>31</v>
      </c>
      <c r="J38" s="2">
        <v>36526</v>
      </c>
      <c r="K38">
        <v>0</v>
      </c>
      <c r="L38">
        <v>3324955</v>
      </c>
      <c r="M38">
        <v>0</v>
      </c>
    </row>
    <row r="39" spans="1:14">
      <c r="A39" s="1" t="s">
        <v>252</v>
      </c>
      <c r="B39" s="1" t="s">
        <v>15</v>
      </c>
      <c r="C39" s="1" t="s">
        <v>16</v>
      </c>
      <c r="D39" s="1" t="s">
        <v>252</v>
      </c>
      <c r="E39" s="1" t="s">
        <v>253</v>
      </c>
      <c r="F39" s="1" t="s">
        <v>22</v>
      </c>
      <c r="G39" s="1" t="s">
        <v>254</v>
      </c>
      <c r="H39" s="1" t="s">
        <v>255</v>
      </c>
      <c r="I39" s="1" t="s">
        <v>31</v>
      </c>
      <c r="J39" s="2">
        <v>36526</v>
      </c>
      <c r="K39">
        <v>0</v>
      </c>
      <c r="L39">
        <v>1287658.1399999999</v>
      </c>
      <c r="M39">
        <v>0</v>
      </c>
    </row>
    <row r="40" spans="1:14">
      <c r="A40" s="1" t="s">
        <v>92</v>
      </c>
      <c r="B40" s="1" t="s">
        <v>15</v>
      </c>
      <c r="C40" s="1" t="s">
        <v>16</v>
      </c>
      <c r="D40" s="1" t="s">
        <v>92</v>
      </c>
      <c r="F40" s="1" t="s">
        <v>34</v>
      </c>
      <c r="G40" s="1" t="s">
        <v>93</v>
      </c>
      <c r="H40" s="1" t="s">
        <v>94</v>
      </c>
      <c r="I40" s="1" t="s">
        <v>95</v>
      </c>
      <c r="J40" s="2">
        <v>36526</v>
      </c>
      <c r="K40">
        <v>0</v>
      </c>
      <c r="L40">
        <v>1198800</v>
      </c>
      <c r="M40">
        <v>0</v>
      </c>
      <c r="N40" s="1" t="s">
        <v>96</v>
      </c>
    </row>
    <row r="41" spans="1:14">
      <c r="A41" s="1" t="s">
        <v>14</v>
      </c>
      <c r="B41" s="1" t="s">
        <v>15</v>
      </c>
      <c r="C41" s="1" t="s">
        <v>16</v>
      </c>
      <c r="D41" s="1" t="s">
        <v>14</v>
      </c>
      <c r="F41" s="1" t="s">
        <v>17</v>
      </c>
      <c r="G41" s="1" t="s">
        <v>18</v>
      </c>
      <c r="H41" s="1" t="s">
        <v>19</v>
      </c>
      <c r="I41" s="1" t="s">
        <v>20</v>
      </c>
      <c r="J41" s="2">
        <v>45920</v>
      </c>
      <c r="K41">
        <v>19</v>
      </c>
      <c r="L41">
        <v>2600</v>
      </c>
      <c r="M41">
        <v>49400</v>
      </c>
    </row>
    <row r="42" spans="1:14">
      <c r="A42" s="1" t="s">
        <v>85</v>
      </c>
      <c r="B42" s="1" t="s">
        <v>15</v>
      </c>
      <c r="C42" s="1" t="s">
        <v>16</v>
      </c>
      <c r="D42" s="1" t="s">
        <v>85</v>
      </c>
      <c r="F42" s="1" t="s">
        <v>22</v>
      </c>
      <c r="G42" s="1" t="s">
        <v>86</v>
      </c>
      <c r="H42" s="1" t="s">
        <v>87</v>
      </c>
      <c r="I42" s="1" t="s">
        <v>31</v>
      </c>
      <c r="J42" s="2">
        <v>36526</v>
      </c>
      <c r="K42">
        <v>1740</v>
      </c>
      <c r="L42">
        <v>4130.63</v>
      </c>
      <c r="M42">
        <v>7187296.2000000002</v>
      </c>
      <c r="N42" s="1" t="s">
        <v>88</v>
      </c>
    </row>
    <row r="43" spans="1:14">
      <c r="A43" s="1" t="s">
        <v>51</v>
      </c>
      <c r="B43" s="1" t="s">
        <v>15</v>
      </c>
      <c r="C43" s="1" t="s">
        <v>16</v>
      </c>
      <c r="D43" s="1" t="s">
        <v>51</v>
      </c>
      <c r="F43" s="1" t="s">
        <v>28</v>
      </c>
      <c r="G43" s="1" t="s">
        <v>52</v>
      </c>
      <c r="H43" s="1" t="s">
        <v>53</v>
      </c>
      <c r="I43" s="1" t="s">
        <v>31</v>
      </c>
      <c r="J43" s="2">
        <v>36526</v>
      </c>
      <c r="K43">
        <v>0</v>
      </c>
      <c r="L43">
        <v>1764844</v>
      </c>
      <c r="M43">
        <v>0</v>
      </c>
      <c r="N43" s="1" t="s">
        <v>54</v>
      </c>
    </row>
    <row r="44" spans="1:14">
      <c r="A44" s="1" t="s">
        <v>55</v>
      </c>
      <c r="B44" s="1" t="s">
        <v>15</v>
      </c>
      <c r="C44" s="1" t="s">
        <v>16</v>
      </c>
      <c r="D44" s="1" t="s">
        <v>55</v>
      </c>
      <c r="F44" s="1" t="s">
        <v>28</v>
      </c>
      <c r="G44" s="1" t="s">
        <v>56</v>
      </c>
      <c r="H44" s="1" t="s">
        <v>57</v>
      </c>
      <c r="I44" s="1" t="s">
        <v>58</v>
      </c>
      <c r="J44" s="2">
        <v>36526</v>
      </c>
      <c r="K44">
        <v>0</v>
      </c>
      <c r="L44">
        <v>11812498.199999999</v>
      </c>
      <c r="M44">
        <v>0</v>
      </c>
      <c r="N44" s="1" t="s">
        <v>59</v>
      </c>
    </row>
    <row r="45" spans="1:14">
      <c r="A45" s="1" t="s">
        <v>72</v>
      </c>
      <c r="B45" s="1" t="s">
        <v>15</v>
      </c>
      <c r="C45" s="1" t="s">
        <v>16</v>
      </c>
      <c r="D45" s="1" t="s">
        <v>72</v>
      </c>
      <c r="F45" s="1" t="s">
        <v>73</v>
      </c>
      <c r="G45" s="1" t="s">
        <v>74</v>
      </c>
      <c r="H45" s="1" t="s">
        <v>75</v>
      </c>
      <c r="I45" s="1" t="s">
        <v>76</v>
      </c>
      <c r="J45" s="2">
        <v>36526</v>
      </c>
      <c r="K45">
        <v>0</v>
      </c>
      <c r="L45">
        <v>3266</v>
      </c>
      <c r="M45">
        <v>0</v>
      </c>
    </row>
    <row r="46" spans="1:14">
      <c r="A46" s="1" t="s">
        <v>21</v>
      </c>
      <c r="B46" s="1" t="s">
        <v>15</v>
      </c>
      <c r="C46" s="1" t="s">
        <v>16</v>
      </c>
      <c r="D46" s="1" t="s">
        <v>21</v>
      </c>
      <c r="F46" s="1" t="s">
        <v>22</v>
      </c>
      <c r="G46" s="1" t="s">
        <v>23</v>
      </c>
      <c r="H46" s="1" t="s">
        <v>24</v>
      </c>
      <c r="I46" s="1" t="s">
        <v>25</v>
      </c>
      <c r="J46" s="2">
        <v>36526</v>
      </c>
      <c r="K46">
        <v>2</v>
      </c>
      <c r="L46">
        <v>1248750</v>
      </c>
      <c r="M46">
        <v>2497500</v>
      </c>
      <c r="N46" s="1" t="s">
        <v>26</v>
      </c>
    </row>
    <row r="47" spans="1:14">
      <c r="A47" s="1" t="s">
        <v>64</v>
      </c>
      <c r="B47" s="1" t="s">
        <v>15</v>
      </c>
      <c r="C47" s="1" t="s">
        <v>16</v>
      </c>
      <c r="D47" s="1" t="s">
        <v>64</v>
      </c>
      <c r="F47" s="1" t="s">
        <v>28</v>
      </c>
      <c r="G47" s="1" t="s">
        <v>65</v>
      </c>
      <c r="H47" s="1" t="s">
        <v>45</v>
      </c>
      <c r="I47" s="1" t="s">
        <v>31</v>
      </c>
      <c r="J47" s="2">
        <v>36526</v>
      </c>
      <c r="K47">
        <v>0</v>
      </c>
      <c r="L47">
        <v>5994000</v>
      </c>
      <c r="M47">
        <v>0</v>
      </c>
      <c r="N47" s="1" t="s">
        <v>66</v>
      </c>
    </row>
    <row r="48" spans="1:14">
      <c r="A48" s="1" t="s">
        <v>67</v>
      </c>
      <c r="B48" s="1" t="s">
        <v>15</v>
      </c>
      <c r="C48" s="1" t="s">
        <v>16</v>
      </c>
      <c r="D48" s="1" t="s">
        <v>67</v>
      </c>
      <c r="F48" s="1" t="s">
        <v>68</v>
      </c>
      <c r="G48" s="1" t="s">
        <v>69</v>
      </c>
      <c r="H48" s="1" t="s">
        <v>70</v>
      </c>
      <c r="I48" s="1" t="s">
        <v>31</v>
      </c>
      <c r="J48" s="2">
        <v>36526</v>
      </c>
      <c r="K48">
        <v>6</v>
      </c>
      <c r="L48">
        <v>2974800</v>
      </c>
      <c r="M48">
        <v>17848800</v>
      </c>
      <c r="N48" s="1" t="s">
        <v>71</v>
      </c>
    </row>
    <row r="49" spans="1:14">
      <c r="A49" s="1" t="s">
        <v>97</v>
      </c>
      <c r="B49" s="1" t="s">
        <v>15</v>
      </c>
      <c r="C49" s="1" t="s">
        <v>16</v>
      </c>
      <c r="D49" s="1" t="s">
        <v>97</v>
      </c>
      <c r="F49" s="1" t="s">
        <v>22</v>
      </c>
      <c r="G49" s="1" t="s">
        <v>98</v>
      </c>
      <c r="H49" s="1" t="s">
        <v>99</v>
      </c>
      <c r="I49" s="1" t="s">
        <v>31</v>
      </c>
      <c r="J49" s="2">
        <v>36526</v>
      </c>
      <c r="K49">
        <v>6</v>
      </c>
      <c r="L49">
        <v>74942.759999999995</v>
      </c>
      <c r="M49">
        <v>449656.56</v>
      </c>
    </row>
    <row r="50" spans="1:14">
      <c r="A50" s="1" t="s">
        <v>104</v>
      </c>
      <c r="B50" s="1" t="s">
        <v>15</v>
      </c>
      <c r="C50" s="1" t="s">
        <v>16</v>
      </c>
      <c r="D50" s="1" t="s">
        <v>104</v>
      </c>
      <c r="F50" s="1" t="s">
        <v>28</v>
      </c>
      <c r="G50" s="1" t="s">
        <v>105</v>
      </c>
      <c r="H50" s="1" t="s">
        <v>53</v>
      </c>
      <c r="I50" s="1" t="s">
        <v>31</v>
      </c>
      <c r="J50" s="2">
        <v>36526</v>
      </c>
      <c r="K50">
        <v>0</v>
      </c>
      <c r="L50">
        <v>503717</v>
      </c>
      <c r="M50">
        <v>0</v>
      </c>
      <c r="N50" s="1" t="s">
        <v>106</v>
      </c>
    </row>
    <row r="51" spans="1:14">
      <c r="A51" s="1" t="s">
        <v>47</v>
      </c>
      <c r="B51" s="1" t="s">
        <v>15</v>
      </c>
      <c r="C51" s="1" t="s">
        <v>16</v>
      </c>
      <c r="D51" s="1" t="s">
        <v>47</v>
      </c>
      <c r="F51" s="1" t="s">
        <v>22</v>
      </c>
      <c r="G51" s="1" t="s">
        <v>48</v>
      </c>
      <c r="H51" s="1" t="s">
        <v>49</v>
      </c>
      <c r="I51" s="1" t="s">
        <v>31</v>
      </c>
      <c r="J51" s="2">
        <v>36526</v>
      </c>
      <c r="K51">
        <v>30</v>
      </c>
      <c r="L51">
        <v>58275</v>
      </c>
      <c r="M51">
        <v>1748250</v>
      </c>
      <c r="N51" s="1" t="s">
        <v>50</v>
      </c>
    </row>
    <row r="52" spans="1:14">
      <c r="A52" s="1" t="s">
        <v>77</v>
      </c>
      <c r="B52" s="1" t="s">
        <v>15</v>
      </c>
      <c r="C52" s="1" t="s">
        <v>16</v>
      </c>
      <c r="D52" s="1" t="s">
        <v>77</v>
      </c>
      <c r="F52" s="1" t="s">
        <v>28</v>
      </c>
      <c r="G52" s="1" t="s">
        <v>78</v>
      </c>
      <c r="H52" s="1" t="s">
        <v>79</v>
      </c>
      <c r="I52" s="1" t="s">
        <v>31</v>
      </c>
      <c r="J52" s="2">
        <v>46497</v>
      </c>
      <c r="K52">
        <v>1</v>
      </c>
      <c r="L52">
        <v>1634808</v>
      </c>
      <c r="M52">
        <v>1634808</v>
      </c>
      <c r="N52" s="1" t="s">
        <v>80</v>
      </c>
    </row>
    <row r="53" spans="1:14">
      <c r="A53" s="1" t="s">
        <v>89</v>
      </c>
      <c r="B53" s="1" t="s">
        <v>15</v>
      </c>
      <c r="C53" s="1" t="s">
        <v>16</v>
      </c>
      <c r="D53" s="1" t="s">
        <v>89</v>
      </c>
      <c r="F53" s="1" t="s">
        <v>28</v>
      </c>
      <c r="G53" s="1" t="s">
        <v>90</v>
      </c>
      <c r="H53" s="1" t="s">
        <v>79</v>
      </c>
      <c r="I53" s="1" t="s">
        <v>31</v>
      </c>
      <c r="J53" s="2">
        <v>46497</v>
      </c>
      <c r="K53">
        <v>2</v>
      </c>
      <c r="L53">
        <v>2424240</v>
      </c>
      <c r="M53">
        <v>4848480</v>
      </c>
      <c r="N53" s="1" t="s">
        <v>91</v>
      </c>
    </row>
    <row r="54" spans="1:14">
      <c r="A54" s="1" t="s">
        <v>107</v>
      </c>
      <c r="B54" s="1" t="s">
        <v>15</v>
      </c>
      <c r="C54" s="1" t="s">
        <v>16</v>
      </c>
      <c r="D54" s="1" t="s">
        <v>107</v>
      </c>
      <c r="F54" s="1" t="s">
        <v>34</v>
      </c>
      <c r="G54" s="1" t="s">
        <v>108</v>
      </c>
      <c r="H54" s="1" t="s">
        <v>36</v>
      </c>
      <c r="I54" s="1" t="s">
        <v>37</v>
      </c>
      <c r="J54" s="2">
        <v>36526</v>
      </c>
      <c r="K54">
        <v>0</v>
      </c>
      <c r="L54">
        <v>11400</v>
      </c>
      <c r="M54">
        <v>0</v>
      </c>
      <c r="N54" s="1" t="s">
        <v>109</v>
      </c>
    </row>
    <row r="55" spans="1:14">
      <c r="A55" s="1" t="s">
        <v>33</v>
      </c>
      <c r="B55" s="1" t="s">
        <v>15</v>
      </c>
      <c r="C55" s="1" t="s">
        <v>16</v>
      </c>
      <c r="D55" s="1" t="s">
        <v>33</v>
      </c>
      <c r="F55" s="1" t="s">
        <v>34</v>
      </c>
      <c r="G55" s="1" t="s">
        <v>35</v>
      </c>
      <c r="H55" s="1" t="s">
        <v>36</v>
      </c>
      <c r="I55" s="1" t="s">
        <v>37</v>
      </c>
      <c r="J55" s="2">
        <v>36526</v>
      </c>
      <c r="K55">
        <v>0</v>
      </c>
      <c r="L55">
        <v>20900</v>
      </c>
      <c r="M55">
        <v>0</v>
      </c>
      <c r="N55" s="1" t="s">
        <v>38</v>
      </c>
    </row>
    <row r="56" spans="1:14">
      <c r="A56" s="1" t="s">
        <v>81</v>
      </c>
      <c r="B56" s="1" t="s">
        <v>15</v>
      </c>
      <c r="C56" s="1" t="s">
        <v>16</v>
      </c>
      <c r="D56" s="1" t="s">
        <v>81</v>
      </c>
      <c r="F56" s="1" t="s">
        <v>34</v>
      </c>
      <c r="G56" s="1" t="s">
        <v>82</v>
      </c>
      <c r="H56" s="1" t="s">
        <v>41</v>
      </c>
      <c r="I56" s="1" t="s">
        <v>83</v>
      </c>
      <c r="J56" s="2">
        <v>36526</v>
      </c>
      <c r="K56">
        <v>0</v>
      </c>
      <c r="L56">
        <v>100</v>
      </c>
      <c r="M56">
        <v>0</v>
      </c>
      <c r="N56" s="1" t="s">
        <v>84</v>
      </c>
    </row>
    <row r="57" spans="1:14">
      <c r="A57" s="1" t="s">
        <v>27</v>
      </c>
      <c r="B57" s="1" t="s">
        <v>15</v>
      </c>
      <c r="C57" s="1" t="s">
        <v>16</v>
      </c>
      <c r="D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2">
        <v>36526</v>
      </c>
      <c r="K57">
        <v>0</v>
      </c>
      <c r="L57">
        <v>7936500</v>
      </c>
      <c r="M57">
        <v>0</v>
      </c>
      <c r="N57" s="1" t="s">
        <v>32</v>
      </c>
    </row>
    <row r="58" spans="1:14">
      <c r="A58" s="1" t="s">
        <v>43</v>
      </c>
      <c r="B58" s="1" t="s">
        <v>15</v>
      </c>
      <c r="C58" s="1" t="s">
        <v>16</v>
      </c>
      <c r="D58" s="1" t="s">
        <v>43</v>
      </c>
      <c r="F58" s="1" t="s">
        <v>28</v>
      </c>
      <c r="G58" s="1" t="s">
        <v>44</v>
      </c>
      <c r="H58" s="1" t="s">
        <v>45</v>
      </c>
      <c r="I58" s="1" t="s">
        <v>31</v>
      </c>
      <c r="J58" s="2">
        <v>36526</v>
      </c>
      <c r="K58">
        <v>0</v>
      </c>
      <c r="L58">
        <v>4662000</v>
      </c>
      <c r="M58">
        <v>0</v>
      </c>
      <c r="N58" s="1" t="s">
        <v>46</v>
      </c>
    </row>
    <row r="59" spans="1:14">
      <c r="A59" s="1" t="s">
        <v>100</v>
      </c>
      <c r="B59" s="1" t="s">
        <v>15</v>
      </c>
      <c r="C59" s="1" t="s">
        <v>16</v>
      </c>
      <c r="D59" s="1" t="s">
        <v>100</v>
      </c>
      <c r="F59" s="1" t="s">
        <v>22</v>
      </c>
      <c r="G59" s="1" t="s">
        <v>101</v>
      </c>
      <c r="H59" s="1" t="s">
        <v>102</v>
      </c>
      <c r="I59" s="1" t="s">
        <v>31</v>
      </c>
      <c r="J59" s="2">
        <v>45585</v>
      </c>
      <c r="K59">
        <v>38</v>
      </c>
      <c r="L59">
        <v>111000</v>
      </c>
      <c r="M59">
        <v>4218000</v>
      </c>
      <c r="N59" s="1" t="s">
        <v>103</v>
      </c>
    </row>
    <row r="60" spans="1:14">
      <c r="A60" s="1" t="s">
        <v>60</v>
      </c>
      <c r="B60" s="1" t="s">
        <v>15</v>
      </c>
      <c r="C60" s="1" t="s">
        <v>16</v>
      </c>
      <c r="D60" s="1" t="s">
        <v>60</v>
      </c>
      <c r="F60" s="1" t="s">
        <v>28</v>
      </c>
      <c r="G60" s="1" t="s">
        <v>61</v>
      </c>
      <c r="H60" s="1" t="s">
        <v>62</v>
      </c>
      <c r="I60" s="1" t="s">
        <v>25</v>
      </c>
      <c r="J60" s="2">
        <v>36526</v>
      </c>
      <c r="K60">
        <v>0</v>
      </c>
      <c r="L60">
        <v>26957863</v>
      </c>
      <c r="M60">
        <v>0</v>
      </c>
      <c r="N60" s="1" t="s">
        <v>63</v>
      </c>
    </row>
    <row r="61" spans="1:14">
      <c r="A61" s="1" t="s">
        <v>39</v>
      </c>
      <c r="B61" s="1" t="s">
        <v>15</v>
      </c>
      <c r="C61" s="1" t="s">
        <v>16</v>
      </c>
      <c r="D61" s="1" t="s">
        <v>39</v>
      </c>
      <c r="F61" s="1" t="s">
        <v>22</v>
      </c>
      <c r="G61" s="1" t="s">
        <v>40</v>
      </c>
      <c r="H61" s="1" t="s">
        <v>41</v>
      </c>
      <c r="I61" s="1" t="s">
        <v>31</v>
      </c>
      <c r="J61" s="2">
        <v>36526</v>
      </c>
      <c r="K61">
        <v>0</v>
      </c>
      <c r="L61">
        <v>91908</v>
      </c>
      <c r="M61">
        <v>0</v>
      </c>
      <c r="N61" s="1" t="s">
        <v>42</v>
      </c>
    </row>
  </sheetData>
  <autoFilter ref="A1:N1">
    <sortState ref="A2:N61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>
      <selection activeCell="A2" sqref="A2"/>
    </sheetView>
  </sheetViews>
  <sheetFormatPr defaultRowHeight="14.4"/>
  <cols>
    <col min="1" max="1" width="11.109375" bestFit="1" customWidth="1"/>
    <col min="2" max="2" width="5" bestFit="1" customWidth="1"/>
    <col min="3" max="4" width="6.77734375" style="9" customWidth="1"/>
    <col min="5" max="5" width="5.6640625" bestFit="1" customWidth="1"/>
    <col min="6" max="6" width="5.44140625" bestFit="1" customWidth="1"/>
    <col min="7" max="7" width="6.44140625" bestFit="1" customWidth="1"/>
    <col min="8" max="8" width="12" bestFit="1" customWidth="1"/>
    <col min="9" max="9" width="15" bestFit="1" customWidth="1"/>
    <col min="10" max="10" width="49.33203125" bestFit="1" customWidth="1"/>
    <col min="11" max="11" width="22.77734375" bestFit="1" customWidth="1"/>
    <col min="12" max="12" width="13.5546875" bestFit="1" customWidth="1"/>
    <col min="13" max="13" width="10.5546875" bestFit="1" customWidth="1"/>
    <col min="14" max="14" width="10.6640625" bestFit="1" customWidth="1"/>
    <col min="15" max="15" width="11.33203125" bestFit="1" customWidth="1"/>
    <col min="16" max="16" width="11" bestFit="1" customWidth="1"/>
  </cols>
  <sheetData>
    <row r="1" spans="1:16" s="4" customFormat="1">
      <c r="A1" s="3" t="s">
        <v>13</v>
      </c>
      <c r="B1" s="3" t="s">
        <v>0</v>
      </c>
      <c r="C1" s="8"/>
      <c r="D1" s="8"/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1:16">
      <c r="A2" s="1" t="s">
        <v>88</v>
      </c>
      <c r="B2" s="1" t="s">
        <v>85</v>
      </c>
      <c r="C2" s="9" t="str">
        <f>CONCATENATE("update laporan_opname set id_inventory = ",A2," where id = ",B2,";")</f>
        <v>update laporan_opname set id_inventory = 13403 where id = 1073;</v>
      </c>
      <c r="D2" s="9" t="str">
        <f>CONCATENATE("update laporan_opname set katalog_kode = '",H2,"' where id = ",B2,";")</f>
        <v>update laporan_opname set katalog_kode = '80A126' where id = 1073;</v>
      </c>
      <c r="E2" s="1" t="s">
        <v>15</v>
      </c>
      <c r="F2" s="1" t="s">
        <v>16</v>
      </c>
      <c r="G2" s="1" t="s">
        <v>85</v>
      </c>
      <c r="H2" s="10" t="s">
        <v>264</v>
      </c>
      <c r="I2" s="1" t="s">
        <v>22</v>
      </c>
      <c r="J2" s="1" t="s">
        <v>86</v>
      </c>
      <c r="K2" s="1" t="s">
        <v>87</v>
      </c>
      <c r="L2" s="1" t="s">
        <v>31</v>
      </c>
      <c r="M2" s="2">
        <v>36526</v>
      </c>
      <c r="N2">
        <v>1740</v>
      </c>
      <c r="O2">
        <v>4130.63</v>
      </c>
      <c r="P2">
        <v>7187296.2000000002</v>
      </c>
    </row>
    <row r="3" spans="1:16">
      <c r="A3" s="1" t="s">
        <v>91</v>
      </c>
      <c r="B3" s="1" t="s">
        <v>89</v>
      </c>
      <c r="C3" s="9" t="str">
        <f t="shared" ref="C3:D28" si="0">CONCATENATE("update laporan_opname set id_inventory = ",A3," where id = ",B3,";")</f>
        <v>update laporan_opname set id_inventory = 13581 where id = 4698;</v>
      </c>
      <c r="D3" s="9" t="str">
        <f t="shared" ref="D3:D10" si="1">CONCATENATE("update laporan_opname set katalog_kode = '",H3,"' where id = ",B3,";")</f>
        <v>update laporan_opname set katalog_kode = '42M340' where id = 4698;</v>
      </c>
      <c r="E3" s="1" t="s">
        <v>15</v>
      </c>
      <c r="F3" s="1" t="s">
        <v>16</v>
      </c>
      <c r="G3" s="1" t="s">
        <v>89</v>
      </c>
      <c r="H3" s="10" t="s">
        <v>256</v>
      </c>
      <c r="I3" s="1" t="s">
        <v>28</v>
      </c>
      <c r="J3" s="1" t="s">
        <v>90</v>
      </c>
      <c r="K3" s="1" t="s">
        <v>79</v>
      </c>
      <c r="L3" s="1" t="s">
        <v>31</v>
      </c>
      <c r="M3" s="2">
        <v>46497</v>
      </c>
      <c r="N3">
        <v>2</v>
      </c>
      <c r="O3">
        <v>2424240</v>
      </c>
      <c r="P3">
        <v>4848480</v>
      </c>
    </row>
    <row r="4" spans="1:16">
      <c r="A4" s="1" t="s">
        <v>103</v>
      </c>
      <c r="B4" s="1" t="s">
        <v>100</v>
      </c>
      <c r="C4" s="9" t="str">
        <f t="shared" si="0"/>
        <v>update laporan_opname set id_inventory = 13551 where id = 1079;</v>
      </c>
      <c r="D4" s="9" t="str">
        <f t="shared" si="1"/>
        <v>update laporan_opname set katalog_kode = '80S013' where id = 1079;</v>
      </c>
      <c r="E4" s="1" t="s">
        <v>15</v>
      </c>
      <c r="F4" s="1" t="s">
        <v>16</v>
      </c>
      <c r="G4" s="1" t="s">
        <v>100</v>
      </c>
      <c r="H4" s="10" t="s">
        <v>257</v>
      </c>
      <c r="I4" s="1" t="s">
        <v>22</v>
      </c>
      <c r="J4" s="1" t="s">
        <v>101</v>
      </c>
      <c r="K4" s="1" t="s">
        <v>102</v>
      </c>
      <c r="L4" s="1" t="s">
        <v>31</v>
      </c>
      <c r="M4" s="2">
        <v>45585</v>
      </c>
      <c r="N4">
        <v>38</v>
      </c>
      <c r="O4">
        <v>111000</v>
      </c>
      <c r="P4">
        <v>4218000</v>
      </c>
    </row>
    <row r="5" spans="1:16">
      <c r="A5">
        <v>13213</v>
      </c>
      <c r="B5" s="1" t="s">
        <v>97</v>
      </c>
      <c r="C5" s="9" t="str">
        <f t="shared" si="0"/>
        <v>update laporan_opname set id_inventory = 13213 where id = 1035;</v>
      </c>
      <c r="D5" s="9" t="str">
        <f t="shared" si="1"/>
        <v>update laporan_opname set katalog_kode = '80F118' where id = 1035;</v>
      </c>
      <c r="E5" s="1" t="s">
        <v>15</v>
      </c>
      <c r="F5" s="1" t="s">
        <v>16</v>
      </c>
      <c r="G5" s="1" t="s">
        <v>97</v>
      </c>
      <c r="H5" s="11" t="s">
        <v>258</v>
      </c>
      <c r="I5" s="1" t="s">
        <v>22</v>
      </c>
      <c r="J5" s="1" t="s">
        <v>98</v>
      </c>
      <c r="K5" s="1" t="s">
        <v>99</v>
      </c>
      <c r="L5" s="1" t="s">
        <v>31</v>
      </c>
      <c r="M5" s="2">
        <v>36526</v>
      </c>
      <c r="N5">
        <v>6</v>
      </c>
      <c r="O5">
        <v>74942.759999999995</v>
      </c>
      <c r="P5">
        <v>449656.56</v>
      </c>
    </row>
    <row r="6" spans="1:16">
      <c r="A6" s="1" t="s">
        <v>26</v>
      </c>
      <c r="B6" s="1" t="s">
        <v>21</v>
      </c>
      <c r="C6" s="9" t="str">
        <f t="shared" si="0"/>
        <v>update laporan_opname set id_inventory = 13556 where id = 1080;</v>
      </c>
      <c r="D6" s="9" t="str">
        <f t="shared" si="1"/>
        <v>update laporan_opname set katalog_kode = '80C043' where id = 1080;</v>
      </c>
      <c r="E6" s="1" t="s">
        <v>15</v>
      </c>
      <c r="F6" s="1" t="s">
        <v>16</v>
      </c>
      <c r="G6" s="1" t="s">
        <v>21</v>
      </c>
      <c r="H6" s="11" t="s">
        <v>259</v>
      </c>
      <c r="I6" s="1" t="s">
        <v>22</v>
      </c>
      <c r="J6" s="1" t="s">
        <v>23</v>
      </c>
      <c r="K6" s="1" t="s">
        <v>24</v>
      </c>
      <c r="L6" s="1" t="s">
        <v>25</v>
      </c>
      <c r="M6" s="2">
        <v>36526</v>
      </c>
      <c r="N6">
        <v>2</v>
      </c>
      <c r="O6">
        <v>1248750</v>
      </c>
      <c r="P6">
        <v>2497500</v>
      </c>
    </row>
    <row r="7" spans="1:16">
      <c r="A7" s="1" t="s">
        <v>50</v>
      </c>
      <c r="B7" s="1" t="s">
        <v>47</v>
      </c>
      <c r="C7" s="9" t="str">
        <f t="shared" si="0"/>
        <v>update laporan_opname set id_inventory = 13688 where id = 1089;</v>
      </c>
      <c r="D7" s="9" t="str">
        <f t="shared" si="1"/>
        <v>update laporan_opname set katalog_kode = '80H140' where id = 1089;</v>
      </c>
      <c r="E7" s="1" t="s">
        <v>15</v>
      </c>
      <c r="F7" s="1" t="s">
        <v>16</v>
      </c>
      <c r="G7" s="1" t="s">
        <v>47</v>
      </c>
      <c r="H7" s="10" t="s">
        <v>260</v>
      </c>
      <c r="I7" s="1" t="s">
        <v>22</v>
      </c>
      <c r="J7" s="1" t="s">
        <v>48</v>
      </c>
      <c r="K7" s="1" t="s">
        <v>49</v>
      </c>
      <c r="L7" s="1" t="s">
        <v>31</v>
      </c>
      <c r="M7" s="2">
        <v>36526</v>
      </c>
      <c r="N7">
        <v>30</v>
      </c>
      <c r="O7">
        <v>58275</v>
      </c>
      <c r="P7">
        <v>1748250</v>
      </c>
    </row>
    <row r="8" spans="1:16">
      <c r="A8">
        <v>4</v>
      </c>
      <c r="B8" s="1" t="s">
        <v>14</v>
      </c>
      <c r="C8" s="9" t="str">
        <f t="shared" si="0"/>
        <v>update laporan_opname set id_inventory = 4 where id = 6671;</v>
      </c>
      <c r="D8" s="9" t="str">
        <f t="shared" si="1"/>
        <v>update laporan_opname set katalog_kode = '20A014' where id = 6671;</v>
      </c>
      <c r="E8" s="1" t="s">
        <v>15</v>
      </c>
      <c r="F8" s="1" t="s">
        <v>16</v>
      </c>
      <c r="G8" s="1" t="s">
        <v>14</v>
      </c>
      <c r="H8" s="10" t="s">
        <v>141</v>
      </c>
      <c r="I8" s="1" t="s">
        <v>17</v>
      </c>
      <c r="J8" s="1" t="s">
        <v>18</v>
      </c>
      <c r="K8" s="1" t="s">
        <v>19</v>
      </c>
      <c r="L8" s="1" t="s">
        <v>20</v>
      </c>
      <c r="M8" s="2">
        <v>45920</v>
      </c>
      <c r="N8">
        <v>19</v>
      </c>
      <c r="O8">
        <v>2600</v>
      </c>
      <c r="P8">
        <v>49400</v>
      </c>
    </row>
    <row r="9" spans="1:16">
      <c r="A9" s="1" t="s">
        <v>71</v>
      </c>
      <c r="B9" s="1" t="s">
        <v>67</v>
      </c>
      <c r="C9" s="9" t="str">
        <f t="shared" si="0"/>
        <v>update laporan_opname set id_inventory = 13122 where id = 5872;</v>
      </c>
      <c r="D9" s="9" t="str">
        <f t="shared" si="1"/>
        <v>update laporan_opname set katalog_kode = '81C327' where id = 5872;</v>
      </c>
      <c r="E9" s="1" t="s">
        <v>15</v>
      </c>
      <c r="F9" s="1" t="s">
        <v>16</v>
      </c>
      <c r="G9" s="1" t="s">
        <v>67</v>
      </c>
      <c r="H9" s="11" t="s">
        <v>261</v>
      </c>
      <c r="I9" s="1" t="s">
        <v>68</v>
      </c>
      <c r="J9" s="1" t="s">
        <v>69</v>
      </c>
      <c r="K9" s="1" t="s">
        <v>70</v>
      </c>
      <c r="L9" s="1" t="s">
        <v>31</v>
      </c>
      <c r="M9" s="2">
        <v>36526</v>
      </c>
      <c r="N9">
        <v>6</v>
      </c>
      <c r="O9">
        <v>2974800</v>
      </c>
      <c r="P9">
        <v>17848800</v>
      </c>
    </row>
    <row r="10" spans="1:16">
      <c r="A10" s="1" t="s">
        <v>80</v>
      </c>
      <c r="B10" s="1" t="s">
        <v>77</v>
      </c>
      <c r="C10" s="9" t="str">
        <f t="shared" si="0"/>
        <v>update laporan_opname set id_inventory = 13580 where id = 4697;</v>
      </c>
      <c r="D10" s="9" t="str">
        <f t="shared" si="1"/>
        <v>update laporan_opname set katalog_kode = '42M339' where id = 4697;</v>
      </c>
      <c r="E10" s="1" t="s">
        <v>15</v>
      </c>
      <c r="F10" s="1" t="s">
        <v>16</v>
      </c>
      <c r="G10" s="1" t="s">
        <v>77</v>
      </c>
      <c r="H10" s="11" t="s">
        <v>262</v>
      </c>
      <c r="I10" s="1" t="s">
        <v>28</v>
      </c>
      <c r="J10" s="1" t="s">
        <v>78</v>
      </c>
      <c r="K10" s="1" t="s">
        <v>79</v>
      </c>
      <c r="L10" s="1" t="s">
        <v>31</v>
      </c>
      <c r="M10" s="2">
        <v>46497</v>
      </c>
      <c r="N10">
        <v>1</v>
      </c>
      <c r="O10">
        <v>1634808</v>
      </c>
      <c r="P10">
        <v>1634808</v>
      </c>
    </row>
    <row r="11" spans="1:16">
      <c r="A11">
        <v>13316</v>
      </c>
      <c r="B11" s="1" t="s">
        <v>110</v>
      </c>
      <c r="C11" s="9" t="str">
        <f t="shared" si="0"/>
        <v>update laporan_opname set id_inventory = 13316 where id = 7373;</v>
      </c>
      <c r="D11" s="12" t="s">
        <v>263</v>
      </c>
      <c r="E11" s="1" t="s">
        <v>15</v>
      </c>
      <c r="F11" s="1" t="s">
        <v>16</v>
      </c>
      <c r="G11" s="1" t="s">
        <v>110</v>
      </c>
      <c r="H11" s="1" t="s">
        <v>111</v>
      </c>
      <c r="I11" s="1" t="s">
        <v>34</v>
      </c>
      <c r="J11" s="1" t="s">
        <v>112</v>
      </c>
      <c r="K11" s="1" t="s">
        <v>113</v>
      </c>
      <c r="L11" s="1" t="s">
        <v>114</v>
      </c>
      <c r="M11" s="2">
        <v>45199</v>
      </c>
      <c r="N11">
        <v>250</v>
      </c>
      <c r="O11">
        <v>9990</v>
      </c>
      <c r="P11">
        <v>2497500</v>
      </c>
    </row>
    <row r="12" spans="1:16">
      <c r="A12">
        <v>1690</v>
      </c>
      <c r="B12" s="1" t="s">
        <v>147</v>
      </c>
      <c r="C12" s="9" t="str">
        <f t="shared" si="0"/>
        <v>update laporan_opname set id_inventory = 1690 where id = 1485;</v>
      </c>
      <c r="D12" s="12" t="s">
        <v>263</v>
      </c>
      <c r="E12" s="1" t="s">
        <v>15</v>
      </c>
      <c r="F12" s="1" t="s">
        <v>16</v>
      </c>
      <c r="G12" s="1" t="s">
        <v>147</v>
      </c>
      <c r="H12" s="1" t="s">
        <v>148</v>
      </c>
      <c r="I12" s="1" t="s">
        <v>144</v>
      </c>
      <c r="J12" s="1" t="s">
        <v>149</v>
      </c>
      <c r="K12" s="1" t="s">
        <v>150</v>
      </c>
      <c r="L12" s="1" t="s">
        <v>123</v>
      </c>
      <c r="M12" s="2">
        <v>45473</v>
      </c>
      <c r="N12">
        <v>93</v>
      </c>
      <c r="O12">
        <v>507691.8</v>
      </c>
      <c r="P12">
        <v>47215337.399999999</v>
      </c>
    </row>
    <row r="13" spans="1:16">
      <c r="A13">
        <v>1691</v>
      </c>
      <c r="B13" s="1" t="s">
        <v>151</v>
      </c>
      <c r="C13" s="9" t="str">
        <f t="shared" si="0"/>
        <v>update laporan_opname set id_inventory = 1691 where id = 1486;</v>
      </c>
      <c r="D13" s="12" t="s">
        <v>263</v>
      </c>
      <c r="E13" s="1" t="s">
        <v>15</v>
      </c>
      <c r="F13" s="1" t="s">
        <v>16</v>
      </c>
      <c r="G13" s="1" t="s">
        <v>151</v>
      </c>
      <c r="H13" s="1" t="s">
        <v>152</v>
      </c>
      <c r="I13" s="1" t="s">
        <v>144</v>
      </c>
      <c r="J13" s="1" t="s">
        <v>153</v>
      </c>
      <c r="K13" s="1" t="s">
        <v>154</v>
      </c>
      <c r="L13" s="1" t="s">
        <v>123</v>
      </c>
      <c r="M13" s="2">
        <v>36526</v>
      </c>
      <c r="N13">
        <v>6</v>
      </c>
      <c r="O13">
        <v>521739.9</v>
      </c>
      <c r="P13">
        <v>3130439.4</v>
      </c>
    </row>
    <row r="14" spans="1:16">
      <c r="A14">
        <v>2057</v>
      </c>
      <c r="B14" s="1" t="s">
        <v>155</v>
      </c>
      <c r="C14" s="9" t="str">
        <f t="shared" si="0"/>
        <v>update laporan_opname set id_inventory = 2057 where id = 6577;</v>
      </c>
      <c r="D14" s="12" t="s">
        <v>263</v>
      </c>
      <c r="E14" s="1" t="s">
        <v>15</v>
      </c>
      <c r="F14" s="1" t="s">
        <v>16</v>
      </c>
      <c r="G14" s="1" t="s">
        <v>155</v>
      </c>
      <c r="H14" s="1" t="s">
        <v>156</v>
      </c>
      <c r="I14" s="1" t="s">
        <v>73</v>
      </c>
      <c r="J14" s="1" t="s">
        <v>157</v>
      </c>
      <c r="K14" s="1" t="s">
        <v>158</v>
      </c>
      <c r="L14" s="1" t="s">
        <v>159</v>
      </c>
      <c r="M14" s="2">
        <v>45746</v>
      </c>
      <c r="N14">
        <v>171</v>
      </c>
      <c r="O14">
        <v>4325</v>
      </c>
      <c r="P14">
        <v>739575</v>
      </c>
    </row>
    <row r="15" spans="1:16">
      <c r="A15">
        <v>6169</v>
      </c>
      <c r="B15" s="1" t="s">
        <v>160</v>
      </c>
      <c r="C15" s="9" t="str">
        <f t="shared" si="0"/>
        <v>update laporan_opname set id_inventory = 6169 where id = 6599;</v>
      </c>
      <c r="D15" s="12" t="s">
        <v>263</v>
      </c>
      <c r="E15" s="1" t="s">
        <v>15</v>
      </c>
      <c r="F15" s="1" t="s">
        <v>16</v>
      </c>
      <c r="G15" s="1" t="s">
        <v>160</v>
      </c>
      <c r="H15" s="1" t="s">
        <v>161</v>
      </c>
      <c r="I15" s="1" t="s">
        <v>73</v>
      </c>
      <c r="J15" s="1" t="s">
        <v>74</v>
      </c>
      <c r="K15" s="1" t="s">
        <v>75</v>
      </c>
      <c r="L15" s="1" t="s">
        <v>76</v>
      </c>
      <c r="M15" s="2">
        <v>45565</v>
      </c>
      <c r="N15">
        <v>8</v>
      </c>
      <c r="O15">
        <v>3295.69</v>
      </c>
      <c r="P15">
        <v>26365.52</v>
      </c>
    </row>
    <row r="16" spans="1:16">
      <c r="A16">
        <v>2420</v>
      </c>
      <c r="B16" s="1" t="s">
        <v>170</v>
      </c>
      <c r="C16" s="9" t="str">
        <f t="shared" si="0"/>
        <v>update laporan_opname set id_inventory = 2420 where id = 6578;</v>
      </c>
      <c r="D16" s="12" t="s">
        <v>263</v>
      </c>
      <c r="E16" s="1" t="s">
        <v>15</v>
      </c>
      <c r="F16" s="1" t="s">
        <v>16</v>
      </c>
      <c r="G16" s="1" t="s">
        <v>170</v>
      </c>
      <c r="H16" s="1" t="s">
        <v>171</v>
      </c>
      <c r="I16" s="1" t="s">
        <v>73</v>
      </c>
      <c r="J16" s="1" t="s">
        <v>172</v>
      </c>
      <c r="K16" s="1" t="s">
        <v>19</v>
      </c>
      <c r="L16" s="1" t="s">
        <v>76</v>
      </c>
      <c r="M16" s="2">
        <v>45413</v>
      </c>
      <c r="N16">
        <v>6</v>
      </c>
      <c r="O16">
        <v>6415.8</v>
      </c>
      <c r="P16">
        <v>38494.800000000003</v>
      </c>
    </row>
    <row r="17" spans="1:16">
      <c r="A17">
        <v>13368</v>
      </c>
      <c r="B17" s="1" t="s">
        <v>173</v>
      </c>
      <c r="C17" s="9" t="str">
        <f t="shared" si="0"/>
        <v>update laporan_opname set id_inventory = 13368 where id = 6669;</v>
      </c>
      <c r="D17" s="12" t="s">
        <v>263</v>
      </c>
      <c r="E17" s="1" t="s">
        <v>15</v>
      </c>
      <c r="F17" s="1" t="s">
        <v>16</v>
      </c>
      <c r="G17" s="1" t="s">
        <v>173</v>
      </c>
      <c r="H17" s="1" t="s">
        <v>174</v>
      </c>
      <c r="I17" s="1" t="s">
        <v>73</v>
      </c>
      <c r="J17" s="1" t="s">
        <v>175</v>
      </c>
      <c r="K17" s="1" t="s">
        <v>30</v>
      </c>
      <c r="L17" s="1" t="s">
        <v>76</v>
      </c>
      <c r="M17" s="2">
        <v>45199</v>
      </c>
      <c r="N17">
        <v>11</v>
      </c>
      <c r="O17">
        <v>34798.5</v>
      </c>
      <c r="P17">
        <v>382783.5</v>
      </c>
    </row>
    <row r="18" spans="1:16">
      <c r="A18">
        <v>1563</v>
      </c>
      <c r="B18" s="1" t="s">
        <v>182</v>
      </c>
      <c r="C18" s="9" t="str">
        <f t="shared" si="0"/>
        <v>update laporan_opname set id_inventory = 1563 where id = 4831;</v>
      </c>
      <c r="D18" s="12" t="s">
        <v>263</v>
      </c>
      <c r="E18" s="1" t="s">
        <v>15</v>
      </c>
      <c r="F18" s="1" t="s">
        <v>16</v>
      </c>
      <c r="G18" s="1" t="s">
        <v>182</v>
      </c>
      <c r="H18" s="1" t="s">
        <v>183</v>
      </c>
      <c r="I18" s="1" t="s">
        <v>184</v>
      </c>
      <c r="J18" s="1" t="s">
        <v>185</v>
      </c>
      <c r="K18" s="1" t="s">
        <v>138</v>
      </c>
      <c r="L18" s="1" t="s">
        <v>186</v>
      </c>
      <c r="M18" s="2">
        <v>36526</v>
      </c>
      <c r="N18">
        <v>70</v>
      </c>
      <c r="O18">
        <v>3622.21</v>
      </c>
      <c r="P18">
        <v>253554.7</v>
      </c>
    </row>
    <row r="19" spans="1:16">
      <c r="A19">
        <v>13618</v>
      </c>
      <c r="B19" s="1" t="s">
        <v>187</v>
      </c>
      <c r="C19" s="9" t="str">
        <f t="shared" si="0"/>
        <v>update laporan_opname set id_inventory = 13618 where id = 5176;</v>
      </c>
      <c r="D19" s="12" t="s">
        <v>263</v>
      </c>
      <c r="E19" s="1" t="s">
        <v>15</v>
      </c>
      <c r="F19" s="1" t="s">
        <v>16</v>
      </c>
      <c r="G19" s="1" t="s">
        <v>187</v>
      </c>
      <c r="H19" s="1" t="s">
        <v>188</v>
      </c>
      <c r="I19" s="1" t="s">
        <v>184</v>
      </c>
      <c r="J19" s="1" t="s">
        <v>185</v>
      </c>
      <c r="K19" s="1" t="s">
        <v>189</v>
      </c>
      <c r="L19" s="1" t="s">
        <v>186</v>
      </c>
      <c r="M19" s="2">
        <v>36526</v>
      </c>
      <c r="N19">
        <v>3620</v>
      </c>
      <c r="O19">
        <v>3574.2</v>
      </c>
      <c r="P19">
        <v>12938604</v>
      </c>
    </row>
    <row r="20" spans="1:16">
      <c r="A20">
        <v>4934</v>
      </c>
      <c r="B20" s="1" t="s">
        <v>197</v>
      </c>
      <c r="C20" s="9" t="str">
        <f t="shared" si="0"/>
        <v>update laporan_opname set id_inventory = 4934 where id = 348;</v>
      </c>
      <c r="D20" s="12" t="s">
        <v>263</v>
      </c>
      <c r="E20" s="1" t="s">
        <v>15</v>
      </c>
      <c r="F20" s="1" t="s">
        <v>16</v>
      </c>
      <c r="G20" s="1" t="s">
        <v>197</v>
      </c>
      <c r="H20" s="1" t="s">
        <v>198</v>
      </c>
      <c r="I20" s="1" t="s">
        <v>22</v>
      </c>
      <c r="J20" s="1" t="s">
        <v>199</v>
      </c>
      <c r="K20" s="1" t="s">
        <v>154</v>
      </c>
      <c r="L20" s="1" t="s">
        <v>123</v>
      </c>
      <c r="M20" s="2">
        <v>46527</v>
      </c>
      <c r="N20">
        <v>14</v>
      </c>
      <c r="O20">
        <v>4981680</v>
      </c>
      <c r="P20">
        <v>69743520</v>
      </c>
    </row>
    <row r="21" spans="1:16">
      <c r="A21">
        <v>9263</v>
      </c>
      <c r="B21" s="1" t="s">
        <v>204</v>
      </c>
      <c r="C21" s="9" t="str">
        <f t="shared" si="0"/>
        <v>update laporan_opname set id_inventory = 9263 where id = 520;</v>
      </c>
      <c r="D21" s="12" t="s">
        <v>263</v>
      </c>
      <c r="E21" s="1" t="s">
        <v>15</v>
      </c>
      <c r="F21" s="1" t="s">
        <v>16</v>
      </c>
      <c r="G21" s="1" t="s">
        <v>204</v>
      </c>
      <c r="H21" s="1" t="s">
        <v>205</v>
      </c>
      <c r="I21" s="1" t="s">
        <v>22</v>
      </c>
      <c r="J21" s="1" t="s">
        <v>206</v>
      </c>
      <c r="K21" s="1" t="s">
        <v>207</v>
      </c>
      <c r="L21" s="1" t="s">
        <v>31</v>
      </c>
      <c r="M21" s="2">
        <v>45352</v>
      </c>
      <c r="N21">
        <v>3000</v>
      </c>
      <c r="O21">
        <v>846.7</v>
      </c>
      <c r="P21">
        <v>2540100</v>
      </c>
    </row>
    <row r="22" spans="1:16">
      <c r="A22">
        <v>9725</v>
      </c>
      <c r="B22" s="1" t="s">
        <v>211</v>
      </c>
      <c r="C22" s="9" t="str">
        <f t="shared" si="0"/>
        <v>update laporan_opname set id_inventory = 9725 where id = 547;</v>
      </c>
      <c r="D22" s="12" t="s">
        <v>263</v>
      </c>
      <c r="E22" s="1" t="s">
        <v>15</v>
      </c>
      <c r="F22" s="1" t="s">
        <v>16</v>
      </c>
      <c r="G22" s="1" t="s">
        <v>211</v>
      </c>
      <c r="H22" s="1" t="s">
        <v>212</v>
      </c>
      <c r="I22" s="1" t="s">
        <v>22</v>
      </c>
      <c r="J22" s="1" t="s">
        <v>213</v>
      </c>
      <c r="K22" s="1" t="s">
        <v>87</v>
      </c>
      <c r="L22" s="1" t="s">
        <v>214</v>
      </c>
      <c r="M22" s="2">
        <v>44650</v>
      </c>
      <c r="N22">
        <v>50</v>
      </c>
      <c r="O22">
        <v>14460.5</v>
      </c>
      <c r="P22">
        <v>723025</v>
      </c>
    </row>
    <row r="23" spans="1:16" s="5" customFormat="1">
      <c r="A23" s="5">
        <v>13312</v>
      </c>
      <c r="B23" s="6" t="s">
        <v>215</v>
      </c>
      <c r="C23" s="9" t="str">
        <f t="shared" si="0"/>
        <v>update laporan_opname set id_inventory = 13312 where id = 1051;</v>
      </c>
      <c r="D23" s="12" t="s">
        <v>263</v>
      </c>
      <c r="E23" s="6" t="s">
        <v>15</v>
      </c>
      <c r="F23" s="6" t="s">
        <v>16</v>
      </c>
      <c r="G23" s="6" t="s">
        <v>215</v>
      </c>
      <c r="H23" s="6" t="s">
        <v>216</v>
      </c>
      <c r="I23" s="6" t="s">
        <v>22</v>
      </c>
      <c r="J23" s="6" t="s">
        <v>217</v>
      </c>
      <c r="K23" s="6" t="s">
        <v>218</v>
      </c>
      <c r="L23" s="6" t="s">
        <v>31</v>
      </c>
      <c r="M23" s="7">
        <v>36526</v>
      </c>
      <c r="N23" s="5">
        <v>53</v>
      </c>
      <c r="O23" s="5">
        <v>12197.79</v>
      </c>
      <c r="P23" s="5">
        <v>646482.87</v>
      </c>
    </row>
    <row r="24" spans="1:16">
      <c r="A24">
        <v>3810</v>
      </c>
      <c r="B24" s="1" t="s">
        <v>219</v>
      </c>
      <c r="C24" s="9" t="str">
        <f t="shared" si="0"/>
        <v>update laporan_opname set id_inventory = 3810 where id = 274;</v>
      </c>
      <c r="D24" s="12" t="s">
        <v>263</v>
      </c>
      <c r="E24" s="1" t="s">
        <v>15</v>
      </c>
      <c r="F24" s="1" t="s">
        <v>16</v>
      </c>
      <c r="G24" s="1" t="s">
        <v>219</v>
      </c>
      <c r="H24" s="1" t="s">
        <v>220</v>
      </c>
      <c r="I24" s="1" t="s">
        <v>22</v>
      </c>
      <c r="J24" s="1" t="s">
        <v>221</v>
      </c>
      <c r="K24" s="1" t="s">
        <v>30</v>
      </c>
      <c r="L24" s="1" t="s">
        <v>123</v>
      </c>
      <c r="M24" s="2">
        <v>46162</v>
      </c>
      <c r="N24">
        <v>219</v>
      </c>
      <c r="O24">
        <v>670.83</v>
      </c>
      <c r="P24">
        <v>146911.76999999999</v>
      </c>
    </row>
    <row r="25" spans="1:16" s="5" customFormat="1">
      <c r="A25" s="5">
        <v>13159</v>
      </c>
      <c r="B25" s="6" t="s">
        <v>229</v>
      </c>
      <c r="C25" s="9" t="str">
        <f t="shared" si="0"/>
        <v>update laporan_opname set id_inventory = 13159 where id = 1029;</v>
      </c>
      <c r="D25" s="12" t="s">
        <v>263</v>
      </c>
      <c r="E25" s="6" t="s">
        <v>15</v>
      </c>
      <c r="F25" s="6" t="s">
        <v>16</v>
      </c>
      <c r="G25" s="6" t="s">
        <v>229</v>
      </c>
      <c r="H25" s="6" t="s">
        <v>226</v>
      </c>
      <c r="I25" s="6" t="s">
        <v>22</v>
      </c>
      <c r="J25" s="6" t="s">
        <v>227</v>
      </c>
      <c r="K25" s="6" t="s">
        <v>228</v>
      </c>
      <c r="L25" s="6" t="s">
        <v>31</v>
      </c>
      <c r="M25" s="7">
        <v>46417</v>
      </c>
      <c r="N25" s="5">
        <v>3120</v>
      </c>
      <c r="O25" s="5">
        <v>5579.97</v>
      </c>
      <c r="P25" s="5">
        <v>17409506.399999999</v>
      </c>
    </row>
    <row r="26" spans="1:16" s="5" customFormat="1">
      <c r="A26" s="5">
        <v>13269</v>
      </c>
      <c r="B26" s="6" t="s">
        <v>225</v>
      </c>
      <c r="C26" s="9" t="str">
        <f t="shared" si="0"/>
        <v>update laporan_opname set id_inventory = 13269 where id = 1046;</v>
      </c>
      <c r="D26" s="12" t="s">
        <v>263</v>
      </c>
      <c r="E26" s="6" t="s">
        <v>15</v>
      </c>
      <c r="F26" s="6" t="s">
        <v>16</v>
      </c>
      <c r="G26" s="6" t="s">
        <v>225</v>
      </c>
      <c r="H26" s="6" t="s">
        <v>226</v>
      </c>
      <c r="I26" s="6" t="s">
        <v>22</v>
      </c>
      <c r="J26" s="6" t="s">
        <v>227</v>
      </c>
      <c r="K26" s="6" t="s">
        <v>228</v>
      </c>
      <c r="L26" s="6" t="s">
        <v>31</v>
      </c>
      <c r="M26" s="7">
        <v>36526</v>
      </c>
      <c r="N26" s="5">
        <v>132</v>
      </c>
      <c r="O26" s="5">
        <v>5027</v>
      </c>
      <c r="P26" s="5">
        <v>663564</v>
      </c>
    </row>
    <row r="27" spans="1:16">
      <c r="A27">
        <v>9683</v>
      </c>
      <c r="B27" s="1" t="s">
        <v>230</v>
      </c>
      <c r="C27" s="9" t="str">
        <f t="shared" si="0"/>
        <v>update laporan_opname set id_inventory = 9683 where id = 544;</v>
      </c>
      <c r="D27" s="12" t="s">
        <v>263</v>
      </c>
      <c r="E27" s="1" t="s">
        <v>15</v>
      </c>
      <c r="F27" s="1" t="s">
        <v>16</v>
      </c>
      <c r="G27" s="1" t="s">
        <v>230</v>
      </c>
      <c r="H27" s="1" t="s">
        <v>231</v>
      </c>
      <c r="I27" s="1" t="s">
        <v>22</v>
      </c>
      <c r="J27" s="1" t="s">
        <v>232</v>
      </c>
      <c r="K27" s="1" t="s">
        <v>150</v>
      </c>
      <c r="L27" s="1" t="s">
        <v>31</v>
      </c>
      <c r="M27" s="2">
        <v>36526</v>
      </c>
      <c r="N27">
        <v>3</v>
      </c>
      <c r="O27">
        <v>160018.82999999999</v>
      </c>
      <c r="P27">
        <v>480056.49</v>
      </c>
    </row>
    <row r="28" spans="1:16">
      <c r="A28">
        <v>1511</v>
      </c>
      <c r="B28" s="1" t="s">
        <v>244</v>
      </c>
      <c r="C28" s="9" t="str">
        <f t="shared" si="0"/>
        <v>update laporan_opname set id_inventory = 1511 where id = 5223;</v>
      </c>
      <c r="D28" s="12" t="s">
        <v>263</v>
      </c>
      <c r="E28" s="1" t="s">
        <v>15</v>
      </c>
      <c r="F28" s="1" t="s">
        <v>16</v>
      </c>
      <c r="G28" s="1" t="s">
        <v>244</v>
      </c>
      <c r="H28" s="1" t="s">
        <v>245</v>
      </c>
      <c r="I28" s="1" t="s">
        <v>68</v>
      </c>
      <c r="J28" s="1" t="s">
        <v>246</v>
      </c>
      <c r="K28" s="1" t="s">
        <v>247</v>
      </c>
      <c r="L28" s="1" t="s">
        <v>123</v>
      </c>
      <c r="M28" s="2">
        <v>45657</v>
      </c>
      <c r="N28">
        <v>9</v>
      </c>
      <c r="O28">
        <v>1600000</v>
      </c>
      <c r="P28">
        <v>14400000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Sheet1!_select_from_select_from_laporan_opname_where_id_inventory_is_nu_202302081423</vt:lpstr>
      <vt:lpstr>Sheet2!_select_from_select_from_laporan_opname_where_id_inventory_is_nu_202302081504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2023-02-08T07:23:29Z</dcterms:created>
  <dcterms:modified xsi:type="dcterms:W3CDTF">2023-02-08T09:13:57Z</dcterms:modified>
</cp:coreProperties>
</file>