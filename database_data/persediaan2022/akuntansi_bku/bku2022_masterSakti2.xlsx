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hared\ss\"/>
    </mc:Choice>
  </mc:AlternateContent>
  <xr:revisionPtr revIDLastSave="0" documentId="8_{78977B89-FE8F-4AF3-AE6B-9004E4168A55}" xr6:coauthVersionLast="47" xr6:coauthVersionMax="47" xr10:uidLastSave="{00000000-0000-0000-0000-000000000000}"/>
  <bookViews>
    <workbookView xWindow="-110" yWindow="-110" windowWidth="16220" windowHeight="8620" xr2:uid="{00000000-000D-0000-FFFF-FFFF00000000}"/>
  </bookViews>
  <sheets>
    <sheet name="InputKodeSakti" sheetId="2" r:id="rId1"/>
    <sheet name="refSAKTI" sheetId="4" r:id="rId2"/>
  </sheets>
  <definedNames>
    <definedName name="_select_max_teamTrmxDtl_id_katalog_as_kode_barang_trx_max_master_202212151125" localSheetId="0">InputKodeSakti!$A$2:$E$54</definedName>
  </definedNames>
  <calcPr calcId="181029"/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max_teamTrmxDtl_id_katalog_as_kode_barang_trx_max_master_202212151125" type="6" refreshedVersion="3" background="1" saveData="1">
    <textPr codePage="437" sourceFile="C:\data\jalurhospital\simgos2_add\DATASYNC\_select_max_teamTrmxDtl_id_katalog_as_kode_barang_trx_max_master_202212151125.csv" tab="0" comma="1">
      <textFields count="7">
        <textField type="text"/>
        <textField/>
        <textField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<sst xmlns="http://schemas.openxmlformats.org/spreadsheetml/2006/main" count="331" uniqueCount="207">
  <si>
    <t>kode_barang_trx</t>
  </si>
  <si>
    <t>nama_barang</t>
  </si>
  <si>
    <t>contoh_no_doc</t>
  </si>
  <si>
    <t>contoh_no_btb</t>
  </si>
  <si>
    <t>INPUT</t>
  </si>
  <si>
    <t>MASTER BARANG</t>
  </si>
  <si>
    <t>REFERENSI TRX PENERIMAAN di tahun 2022 s.d 15 Desember 2022</t>
  </si>
  <si>
    <t>REFERENSI KODE KELOMPOK BARANG APLIKASI SAKTI</t>
  </si>
  <si>
    <t>obat cair</t>
  </si>
  <si>
    <t>obat padat</t>
  </si>
  <si>
    <t>obat gas</t>
  </si>
  <si>
    <t>obat serbuk/tepung</t>
  </si>
  <si>
    <t>obat gel / salep</t>
  </si>
  <si>
    <t>alat/obat kontrasepsi keluarga berencana</t>
  </si>
  <si>
    <t>Non alat/obat kontrasepsi keluarga berencana</t>
  </si>
  <si>
    <t>obat lainnya</t>
  </si>
  <si>
    <t>KODE SAKTI</t>
  </si>
  <si>
    <t>URAIAN SAKTI</t>
  </si>
  <si>
    <t>kode SAKTI</t>
  </si>
  <si>
    <t>T00202111000255</t>
  </si>
  <si>
    <t>40F058</t>
  </si>
  <si>
    <t>FLAMICORT 40MG/ML INJ 1ML</t>
  </si>
  <si>
    <t>80N038.1</t>
  </si>
  <si>
    <t>NEEDLE NO 18 G ONEMED</t>
  </si>
  <si>
    <t>T00202111000019</t>
  </si>
  <si>
    <t>T00202110000405</t>
  </si>
  <si>
    <t>80N145</t>
  </si>
  <si>
    <t>NEEDLE COUNTER STERILE</t>
  </si>
  <si>
    <t>80N146</t>
  </si>
  <si>
    <t>NEEDLE COUNTER NON STERIL</t>
  </si>
  <si>
    <t>T00202109000212</t>
  </si>
  <si>
    <t>81S060</t>
  </si>
  <si>
    <t>SION BLUE (WIRE)</t>
  </si>
  <si>
    <t>T00202105000042</t>
  </si>
  <si>
    <t>40O032</t>
  </si>
  <si>
    <t>OMNIPAQUE 350MG/ML 100 ML</t>
  </si>
  <si>
    <t>T00202104000493</t>
  </si>
  <si>
    <t>40V053</t>
  </si>
  <si>
    <t>VICCILLIN SX INJ 1,5 G</t>
  </si>
  <si>
    <t>10V126</t>
  </si>
  <si>
    <t>VIPALBUMIN PLUS 5 G SACHET</t>
  </si>
  <si>
    <t>T00202111000413</t>
  </si>
  <si>
    <t>81S184</t>
  </si>
  <si>
    <t>SOFIA PLUS ASPIRATION CATH 125CM / STR DA6125ST</t>
  </si>
  <si>
    <t>T00202105000447</t>
  </si>
  <si>
    <t>81A118</t>
  </si>
  <si>
    <t>ANGIODYN KIT</t>
  </si>
  <si>
    <t>T00202109000227</t>
  </si>
  <si>
    <t>42T219</t>
  </si>
  <si>
    <t>TEN TITANIUM ELASTIC NAIL 475.915-935</t>
  </si>
  <si>
    <t>10O020.3</t>
  </si>
  <si>
    <t>OSCAL KAPSUL 0,5 MCG</t>
  </si>
  <si>
    <t>T00202107000370</t>
  </si>
  <si>
    <t>T00202107000089</t>
  </si>
  <si>
    <t>70T001</t>
  </si>
  <si>
    <t>TARIVID OTIC</t>
  </si>
  <si>
    <t>T00202109000322</t>
  </si>
  <si>
    <t>10M176</t>
  </si>
  <si>
    <t>METHYLPHENIDATE HCL TAB 10MG</t>
  </si>
  <si>
    <t>T00202112000090</t>
  </si>
  <si>
    <t>81V015</t>
  </si>
  <si>
    <t>VISTA BRITE TIP XB 4 / 6 F (670-056-00)</t>
  </si>
  <si>
    <t>T00202112000154</t>
  </si>
  <si>
    <t>81V007</t>
  </si>
  <si>
    <t>VISTA BRITE TIP JL 4 / 6 F (670-004-00)</t>
  </si>
  <si>
    <t>81V009</t>
  </si>
  <si>
    <t>VISTA BRITE TIP JR 3.5 / 6 F (670-080-00)</t>
  </si>
  <si>
    <t>T00202111000028</t>
  </si>
  <si>
    <t>80P192</t>
  </si>
  <si>
    <t>PHYSIO MESH OPEN 10X10 CM (OPHY 1010)</t>
  </si>
  <si>
    <t>T00202111000037</t>
  </si>
  <si>
    <t>10L187</t>
  </si>
  <si>
    <t>LORATADIN TABLET 10MG</t>
  </si>
  <si>
    <t>T00202111000090</t>
  </si>
  <si>
    <t>T00202111000034</t>
  </si>
  <si>
    <t>40D024</t>
  </si>
  <si>
    <t>DEXAMETHASON AMP. 5 mg</t>
  </si>
  <si>
    <t>T00202103000439</t>
  </si>
  <si>
    <t>422011</t>
  </si>
  <si>
    <t>2.0MM X 11MM FULLY THREADED SCREW 331.2011</t>
  </si>
  <si>
    <t>42O035.01</t>
  </si>
  <si>
    <t>OFFSET PLT LEFT LOCKING 2,0MM 333.2008</t>
  </si>
  <si>
    <t>42S134</t>
  </si>
  <si>
    <t>STRAIGHT PLATE 16 H 210.0034</t>
  </si>
  <si>
    <t>T00202110000534</t>
  </si>
  <si>
    <t>80T102</t>
  </si>
  <si>
    <t>TRACHEOSTOMY FEN KIT NO. 8.0  812/080</t>
  </si>
  <si>
    <t>T00202110000150</t>
  </si>
  <si>
    <t>15S098</t>
  </si>
  <si>
    <t>SALMONELLA FIBRILE ANTIGEN (H-A,H-B,H-D,O-A,O-B,O-C,O-D,H-C)</t>
  </si>
  <si>
    <t>T00202103000496</t>
  </si>
  <si>
    <t>15H052</t>
  </si>
  <si>
    <t>HEMATOXILLEN 500 ML</t>
  </si>
  <si>
    <t>42C1000.55</t>
  </si>
  <si>
    <t>CORTEX SCREW 2.7 X 15MM (358.2715)</t>
  </si>
  <si>
    <t>T00202104000390</t>
  </si>
  <si>
    <t>10E103</t>
  </si>
  <si>
    <t>ETORICOXIB TAB 120MG</t>
  </si>
  <si>
    <t>T00202105000397</t>
  </si>
  <si>
    <t>10I758</t>
  </si>
  <si>
    <t>IBUPROFEN 200MG TAB</t>
  </si>
  <si>
    <t>10E101</t>
  </si>
  <si>
    <t>ETORICOXIB TAB 60MG</t>
  </si>
  <si>
    <t>10E102</t>
  </si>
  <si>
    <t>ETORICOXIB TAB 90MG</t>
  </si>
  <si>
    <t>T00202103000285</t>
  </si>
  <si>
    <t>42F094</t>
  </si>
  <si>
    <t>FULLY THREADED SCREW 1.6X7MM (331.1607)</t>
  </si>
  <si>
    <t>42P381.01</t>
  </si>
  <si>
    <t>PLT 6HL 1.5MM PLT-1006 (A31124)</t>
  </si>
  <si>
    <t>42F095</t>
  </si>
  <si>
    <t>FULLY THREADED SCREW 1.6X8MM (331.1608)</t>
  </si>
  <si>
    <t>42F096</t>
  </si>
  <si>
    <t>FULLY THREADED SCREW 1.6X9MM (331.1609)</t>
  </si>
  <si>
    <t>42S313.01</t>
  </si>
  <si>
    <t>SCR RG 1,5 X 4MM BB SCR-1220(A31142)</t>
  </si>
  <si>
    <t>42S314.01</t>
  </si>
  <si>
    <t>SCR RG 1,5 X 6MM BB SCR-1221(A31143)</t>
  </si>
  <si>
    <t>T00202109000497</t>
  </si>
  <si>
    <t>42S324</t>
  </si>
  <si>
    <t>SCREW LAG 1,2X11MM 332.1211</t>
  </si>
  <si>
    <t>T00202109000422</t>
  </si>
  <si>
    <t>424008</t>
  </si>
  <si>
    <t>4 HOLE VDR STANDART PLATE, LEFT 355.0111</t>
  </si>
  <si>
    <t>40S071</t>
  </si>
  <si>
    <t>SOJOURN 250 ML</t>
  </si>
  <si>
    <t>T00202108000409</t>
  </si>
  <si>
    <t>40P012.028</t>
  </si>
  <si>
    <t>PROPOFOL LIPURO 1%</t>
  </si>
  <si>
    <t>T00202108000018</t>
  </si>
  <si>
    <t>T00202111000059</t>
  </si>
  <si>
    <t>42C948</t>
  </si>
  <si>
    <t>CORTEX SCREW  2.4 X 20 MM 358.2420</t>
  </si>
  <si>
    <t>T00202105000118</t>
  </si>
  <si>
    <t>80I101</t>
  </si>
  <si>
    <t>INNOQ ULTRASOUND GEL 5 KG</t>
  </si>
  <si>
    <t>80I102</t>
  </si>
  <si>
    <t>INNOQ ULTRASOUND GEL 260 G</t>
  </si>
  <si>
    <t>T00202110000257</t>
  </si>
  <si>
    <t>81V046</t>
  </si>
  <si>
    <t>VENA TECH LP</t>
  </si>
  <si>
    <t>80U030</t>
  </si>
  <si>
    <t>UNI-GRAFT 16 X 8 L.40 CM</t>
  </si>
  <si>
    <t>80U036</t>
  </si>
  <si>
    <t>UNI-GRAFT 18 X 9 L.40 CM</t>
  </si>
  <si>
    <t>T00202108000341</t>
  </si>
  <si>
    <t>T00202111000352</t>
  </si>
  <si>
    <t>42F076</t>
  </si>
  <si>
    <t>FULLY THR SCREW 1,2MMX8MM 331.1208 (A31036)</t>
  </si>
  <si>
    <t>421044.01</t>
  </si>
  <si>
    <t>1.2MM X 12MM LAG SCREW 332.1212</t>
  </si>
  <si>
    <t>42L779.01</t>
  </si>
  <si>
    <t>LAG SCREW 1.2MM X 8MM 322.1208</t>
  </si>
  <si>
    <t>421045</t>
  </si>
  <si>
    <t>1.2MM X 14MM FULLY THREADED SCREW 331.1214</t>
  </si>
  <si>
    <t>insert into masterf_katalog_sakti ( kode, nama_barang, kode_sakti ) values (</t>
  </si>
  <si>
    <t>insert into masterf_katalog_sakti ( kode, nama_barang, kode_sakti ) values ('10E101','ETORICOXIB TAB 60MG','1010401002');</t>
  </si>
  <si>
    <t>insert into masterf_katalog_sakti ( kode, nama_barang, kode_sakti ) values ('10E102','ETORICOXIB TAB 90MG','1010401002');</t>
  </si>
  <si>
    <t>insert into masterf_katalog_sakti ( kode, nama_barang, kode_sakti ) values ('10E103','ETORICOXIB TAB 120MG','1010401002');</t>
  </si>
  <si>
    <t>insert into masterf_katalog_sakti ( kode, nama_barang, kode_sakti ) values ('10I758','IBUPROFEN 200MG TAB','1010401002');</t>
  </si>
  <si>
    <t>insert into masterf_katalog_sakti ( kode, nama_barang, kode_sakti ) values ('10L187','LORATADIN TABLET 10MG','1010401002');</t>
  </si>
  <si>
    <t>insert into masterf_katalog_sakti ( kode, nama_barang, kode_sakti ) values ('10M176','METHYLPHENIDATE HCL TAB 10MG','1010401002');</t>
  </si>
  <si>
    <t>insert into masterf_katalog_sakti ( kode, nama_barang, kode_sakti ) values ('10O020.3','OSCAL KAPSUL 0,5 MCG','1010401002');</t>
  </si>
  <si>
    <t>insert into masterf_katalog_sakti ( kode, nama_barang, kode_sakti ) values ('10V126','VIPALBUMIN PLUS 5 G SACHET','1010401002');</t>
  </si>
  <si>
    <t>insert into masterf_katalog_sakti ( kode, nama_barang, kode_sakti ) values ('15H052','HEMATOXILLEN 500 ML','');</t>
  </si>
  <si>
    <t>insert into masterf_katalog_sakti ( kode, nama_barang, kode_sakti ) values ('15S098','SALMONELLA FIBRILE ANTIGEN (H-A,H-B,H-D,O-A,O-B,O-C,O-D,H-C)','');</t>
  </si>
  <si>
    <t>insert into masterf_katalog_sakti ( kode, nama_barang, kode_sakti ) values ('40D024','DEXAMETHASON AMP. 5 mg','1010401001');</t>
  </si>
  <si>
    <t>insert into masterf_katalog_sakti ( kode, nama_barang, kode_sakti ) values ('40F058','FLAMICORT 40MG/ML INJ 1ML','1010401001');</t>
  </si>
  <si>
    <t>insert into masterf_katalog_sakti ( kode, nama_barang, kode_sakti ) values ('40O032','OMNIPAQUE 350MG/ML 100 ML','1010401001');</t>
  </si>
  <si>
    <t>insert into masterf_katalog_sakti ( kode, nama_barang, kode_sakti ) values ('40P012.028','PROPOFOL LIPURO 1%','1010401001');</t>
  </si>
  <si>
    <t>insert into masterf_katalog_sakti ( kode, nama_barang, kode_sakti ) values ('40S071','SOJOURN 250 ML','1010401001');</t>
  </si>
  <si>
    <t>insert into masterf_katalog_sakti ( kode, nama_barang, kode_sakti ) values ('40V053','VICCILLIN SX INJ 1,5 G','1010401001');</t>
  </si>
  <si>
    <t>insert into masterf_katalog_sakti ( kode, nama_barang, kode_sakti ) values ('421044.01','1.2MM X 12MM LAG SCREW 332.1212','1010401999');</t>
  </si>
  <si>
    <t>insert into masterf_katalog_sakti ( kode, nama_barang, kode_sakti ) values ('421045','1.2MM X 14MM FULLY THREADED SCREW 331.1214','1010401999');</t>
  </si>
  <si>
    <t>insert into masterf_katalog_sakti ( kode, nama_barang, kode_sakti ) values ('422011','2.0MM X 11MM FULLY THREADED SCREW 331.2011','1010401999');</t>
  </si>
  <si>
    <t>insert into masterf_katalog_sakti ( kode, nama_barang, kode_sakti ) values ('424008','4 HOLE VDR STANDART PLATE, LEFT 355.0111','1010401999');</t>
  </si>
  <si>
    <t>insert into masterf_katalog_sakti ( kode, nama_barang, kode_sakti ) values ('42C1000.55','CORTEX SCREW 2.7 X 15MM (358.2715)','1010401999');</t>
  </si>
  <si>
    <t>insert into masterf_katalog_sakti ( kode, nama_barang, kode_sakti ) values ('42C948','CORTEX SCREW  2.4 X 20 MM 358.2420','1010401999');</t>
  </si>
  <si>
    <t>insert into masterf_katalog_sakti ( kode, nama_barang, kode_sakti ) values ('42F076','FULLY THR SCREW 1,2MMX8MM 331.1208 (A31036)','1010401999');</t>
  </si>
  <si>
    <t>insert into masterf_katalog_sakti ( kode, nama_barang, kode_sakti ) values ('42F094','FULLY THREADED SCREW 1.6X7MM (331.1607)','1010401999');</t>
  </si>
  <si>
    <t>insert into masterf_katalog_sakti ( kode, nama_barang, kode_sakti ) values ('42F095','FULLY THREADED SCREW 1.6X8MM (331.1608)','1010401999');</t>
  </si>
  <si>
    <t>insert into masterf_katalog_sakti ( kode, nama_barang, kode_sakti ) values ('42F096','FULLY THREADED SCREW 1.6X9MM (331.1609)','1010401999');</t>
  </si>
  <si>
    <t>insert into masterf_katalog_sakti ( kode, nama_barang, kode_sakti ) values ('42L779.01','LAG SCREW 1.2MM X 8MM 322.1208','1010401999');</t>
  </si>
  <si>
    <t>insert into masterf_katalog_sakti ( kode, nama_barang, kode_sakti ) values ('42O035.01','OFFSET PLT LEFT LOCKING 2,0MM 333.2008','1010401999');</t>
  </si>
  <si>
    <t>insert into masterf_katalog_sakti ( kode, nama_barang, kode_sakti ) values ('42P381.01','PLT 6HL 1.5MM PLT-1006 (A31124)','1010401999');</t>
  </si>
  <si>
    <t>insert into masterf_katalog_sakti ( kode, nama_barang, kode_sakti ) values ('42S134','STRAIGHT PLATE 16 H 210.0034','1010401999');</t>
  </si>
  <si>
    <t>insert into masterf_katalog_sakti ( kode, nama_barang, kode_sakti ) values ('42S313.01','SCR RG 1,5 X 4MM BB SCR-1220(A31142)','1010401999');</t>
  </si>
  <si>
    <t>insert into masterf_katalog_sakti ( kode, nama_barang, kode_sakti ) values ('42S314.01','SCR RG 1,5 X 6MM BB SCR-1221(A31143)','1010401999');</t>
  </si>
  <si>
    <t>insert into masterf_katalog_sakti ( kode, nama_barang, kode_sakti ) values ('42S324','SCREW LAG 1,2X11MM 332.1211','1010401999');</t>
  </si>
  <si>
    <t>insert into masterf_katalog_sakti ( kode, nama_barang, kode_sakti ) values ('42T219','TEN TITANIUM ELASTIC NAIL 475.915-935','1010401999');</t>
  </si>
  <si>
    <t>insert into masterf_katalog_sakti ( kode, nama_barang, kode_sakti ) values ('70T001','TARIVID OTIC','1010401001');</t>
  </si>
  <si>
    <t>insert into masterf_katalog_sakti ( kode, nama_barang, kode_sakti ) values ('80I101','INNOQ ULTRASOUND GEL 5 KG','1010401005');</t>
  </si>
  <si>
    <t>insert into masterf_katalog_sakti ( kode, nama_barang, kode_sakti ) values ('80I102','INNOQ ULTRASOUND GEL 260 G','1010401005');</t>
  </si>
  <si>
    <t>insert into masterf_katalog_sakti ( kode, nama_barang, kode_sakti ) values ('80N038.1','NEEDLE NO 18 G ONEMED','1010401999');</t>
  </si>
  <si>
    <t>insert into masterf_katalog_sakti ( kode, nama_barang, kode_sakti ) values ('80N145','NEEDLE COUNTER STERILE','1010401999');</t>
  </si>
  <si>
    <t>insert into masterf_katalog_sakti ( kode, nama_barang, kode_sakti ) values ('80N146','NEEDLE COUNTER NON STERIL','1010401999');</t>
  </si>
  <si>
    <t>insert into masterf_katalog_sakti ( kode, nama_barang, kode_sakti ) values ('80P192','PHYSIO MESH OPEN 10X10 CM (OPHY 1010)','1010401999');</t>
  </si>
  <si>
    <t>insert into masterf_katalog_sakti ( kode, nama_barang, kode_sakti ) values ('80T102','TRACHEOSTOMY FEN KIT NO. 8.0  812/080','1010401999');</t>
  </si>
  <si>
    <t>insert into masterf_katalog_sakti ( kode, nama_barang, kode_sakti ) values ('80U030','UNI-GRAFT 16 X 8 L.40 CM','1010401999');</t>
  </si>
  <si>
    <t>insert into masterf_katalog_sakti ( kode, nama_barang, kode_sakti ) values ('80U036','UNI-GRAFT 18 X 9 L.40 CM','1010401999');</t>
  </si>
  <si>
    <t>insert into masterf_katalog_sakti ( kode, nama_barang, kode_sakti ) values ('81A118','ANGIODYN KIT','1010401999');</t>
  </si>
  <si>
    <t>insert into masterf_katalog_sakti ( kode, nama_barang, kode_sakti ) values ('81S060','SION BLUE (WIRE)','1010401999');</t>
  </si>
  <si>
    <t>insert into masterf_katalog_sakti ( kode, nama_barang, kode_sakti ) values ('81S184','SOFIA PLUS ASPIRATION CATH 125CM / STR DA6125ST','1010401999');</t>
  </si>
  <si>
    <t>insert into masterf_katalog_sakti ( kode, nama_barang, kode_sakti ) values ('81V007','VISTA BRITE TIP JL 4 / 6 F (670-004-00)','1010401999');</t>
  </si>
  <si>
    <t>insert into masterf_katalog_sakti ( kode, nama_barang, kode_sakti ) values ('81V009','VISTA BRITE TIP JR 3.5 / 6 F (670-080-00)','1010401999');</t>
  </si>
  <si>
    <t>insert into masterf_katalog_sakti ( kode, nama_barang, kode_sakti ) values ('81V015','VISTA BRITE TIP XB 4 / 6 F (670-056-00)','1010401999');</t>
  </si>
  <si>
    <t>insert into masterf_katalog_sakti ( kode, nama_barang, kode_sakti ) values ('81V046','VENA TECH LP','1010401999');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</si>
</sst>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1" fillId="4" borderId="0" xfId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0" xfId="0" quotePrefix="1"/>
    <xf numFmtId="0" fontId="2" fillId="3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teamTrmxDtl_id_katalog_as_kode_barang_trx_max_master_202212151125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C1" workbookViewId="0">
      <selection activeCell="H3" sqref="H3"/>
    </sheetView>
  </sheetViews>
  <sheetFormatPr defaultRowHeight="14.5" x14ac:dyDescent="0.35"/>
  <cols>
    <col min="1" max="1" width="16.54296875" customWidth="1"/>
    <col min="2" max="2" width="72.81640625" bestFit="1" customWidth="1"/>
    <col min="3" max="3" width="17.6328125" style="7" customWidth="1"/>
    <col min="4" max="4" width="16.81640625" style="3" customWidth="1"/>
    <col min="5" max="5" width="17.36328125" style="3" customWidth="1"/>
  </cols>
  <sheetData>
    <row r="1" spans="1:8" s="2" customFormat="1" x14ac:dyDescent="0.35">
      <c r="A1" s="10" t="s">
        <v>5</v>
      </c>
      <c r="B1" s="10"/>
      <c r="C1" s="7" t="s">
        <v>4</v>
      </c>
      <c r="D1" s="10" t="s">
        <v>6</v>
      </c>
      <c r="E1" s="10"/>
    </row>
    <row r="2" spans="1:8" s="4" customFormat="1" x14ac:dyDescent="0.35">
      <c r="A2" s="6" t="s">
        <v>0</v>
      </c>
      <c r="B2" s="5" t="s">
        <v>1</v>
      </c>
      <c r="C2" s="7" t="s">
        <v>18</v>
      </c>
      <c r="D2" s="6" t="s">
        <v>2</v>
      </c>
      <c r="E2" s="6" t="s">
        <v>3</v>
      </c>
    </row>
    <row r="3" spans="1:8" x14ac:dyDescent="0.35">
      <c r="A3" s="1" t="s">
        <v>101</v>
      </c>
      <c r="B3" t="s">
        <v>102</v>
      </c>
      <c r="C3" s="3">
        <v>1010401002</v>
      </c>
      <c r="D3" s="1" t="s">
        <v>95</v>
      </c>
      <c r="E3" s="1" t="s">
        <v>95</v>
      </c>
      <c r="F3" s="9" t="s">
        <v>155</v>
      </c>
      <c r="G3" t="str">
        <f>CONCATENATE(F3,"'",A3,"','",B3,"','",C3,"');")</f>
        <v>insert into masterf_katalog_sakti ( kode, nama_barang, kode_sakti ) values ('10E101','ETORICOXIB TAB 60MG','1010401002');</v>
      </c>
      <c r="H3" t="s">
        <v>156</v>
      </c>
    </row>
    <row r="4" spans="1:8" x14ac:dyDescent="0.35">
      <c r="A4" s="1" t="s">
        <v>103</v>
      </c>
      <c r="B4" t="s">
        <v>104</v>
      </c>
      <c r="C4" s="3">
        <v>1010401002</v>
      </c>
      <c r="D4" s="1" t="s">
        <v>95</v>
      </c>
      <c r="E4" s="1" t="s">
        <v>95</v>
      </c>
      <c r="F4" s="9" t="s">
        <v>155</v>
      </c>
      <c r="G4" t="str">
        <f t="shared" ref="G4:G54" si="0">CONCATENATE(F4,"'",A4,"','",B4,"','",C4,"');")</f>
        <v>insert into masterf_katalog_sakti ( kode, nama_barang, kode_sakti ) values ('10E102','ETORICOXIB TAB 90MG','1010401002');</v>
      </c>
      <c r="H4" t="s">
        <v>157</v>
      </c>
    </row>
    <row r="5" spans="1:8" x14ac:dyDescent="0.35">
      <c r="A5" s="1" t="s">
        <v>96</v>
      </c>
      <c r="B5" t="s">
        <v>97</v>
      </c>
      <c r="C5" s="3">
        <v>1010401002</v>
      </c>
      <c r="D5" s="1" t="s">
        <v>95</v>
      </c>
      <c r="E5" s="1" t="s">
        <v>95</v>
      </c>
      <c r="F5" s="9" t="s">
        <v>155</v>
      </c>
      <c r="G5" t="str">
        <f t="shared" si="0"/>
        <v>insert into masterf_katalog_sakti ( kode, nama_barang, kode_sakti ) values ('10E103','ETORICOXIB TAB 120MG','1010401002');</v>
      </c>
      <c r="H5" t="s">
        <v>158</v>
      </c>
    </row>
    <row r="6" spans="1:8" x14ac:dyDescent="0.35">
      <c r="A6" s="1" t="s">
        <v>99</v>
      </c>
      <c r="B6" t="s">
        <v>100</v>
      </c>
      <c r="C6" s="3">
        <v>1010401002</v>
      </c>
      <c r="D6" s="1" t="s">
        <v>98</v>
      </c>
      <c r="E6" s="1" t="s">
        <v>98</v>
      </c>
      <c r="F6" s="9" t="s">
        <v>155</v>
      </c>
      <c r="G6" t="str">
        <f t="shared" si="0"/>
        <v>insert into masterf_katalog_sakti ( kode, nama_barang, kode_sakti ) values ('10I758','IBUPROFEN 200MG TAB','1010401002');</v>
      </c>
      <c r="H6" t="s">
        <v>159</v>
      </c>
    </row>
    <row r="7" spans="1:8" x14ac:dyDescent="0.35">
      <c r="A7" s="1" t="s">
        <v>71</v>
      </c>
      <c r="B7" t="s">
        <v>72</v>
      </c>
      <c r="C7" s="3">
        <v>1010401002</v>
      </c>
      <c r="D7" s="1" t="s">
        <v>70</v>
      </c>
      <c r="E7" s="1" t="s">
        <v>70</v>
      </c>
      <c r="F7" s="9" t="s">
        <v>155</v>
      </c>
      <c r="G7" t="str">
        <f t="shared" si="0"/>
        <v>insert into masterf_katalog_sakti ( kode, nama_barang, kode_sakti ) values ('10L187','LORATADIN TABLET 10MG','1010401002');</v>
      </c>
      <c r="H7" t="s">
        <v>160</v>
      </c>
    </row>
    <row r="8" spans="1:8" x14ac:dyDescent="0.35">
      <c r="A8" s="1" t="s">
        <v>71</v>
      </c>
      <c r="B8" t="s">
        <v>72</v>
      </c>
      <c r="C8" s="3">
        <v>1010401002</v>
      </c>
      <c r="D8" s="1" t="s">
        <v>73</v>
      </c>
      <c r="E8" s="1" t="s">
        <v>73</v>
      </c>
      <c r="F8" s="9" t="s">
        <v>155</v>
      </c>
      <c r="G8" t="str">
        <f t="shared" si="0"/>
        <v>insert into masterf_katalog_sakti ( kode, nama_barang, kode_sakti ) values ('10L187','LORATADIN TABLET 10MG','1010401002');</v>
      </c>
      <c r="H8" t="s">
        <v>160</v>
      </c>
    </row>
    <row r="9" spans="1:8" x14ac:dyDescent="0.35">
      <c r="A9" s="1" t="s">
        <v>57</v>
      </c>
      <c r="B9" t="s">
        <v>58</v>
      </c>
      <c r="C9" s="3">
        <v>1010401002</v>
      </c>
      <c r="D9" s="1" t="s">
        <v>56</v>
      </c>
      <c r="E9" s="1" t="s">
        <v>56</v>
      </c>
      <c r="F9" s="9" t="s">
        <v>155</v>
      </c>
      <c r="G9" t="str">
        <f t="shared" si="0"/>
        <v>insert into masterf_katalog_sakti ( kode, nama_barang, kode_sakti ) values ('10M176','METHYLPHENIDATE HCL TAB 10MG','1010401002');</v>
      </c>
      <c r="H9" t="s">
        <v>161</v>
      </c>
    </row>
    <row r="10" spans="1:8" x14ac:dyDescent="0.35">
      <c r="A10" s="1" t="s">
        <v>50</v>
      </c>
      <c r="B10" t="s">
        <v>51</v>
      </c>
      <c r="C10" s="3">
        <v>1010401002</v>
      </c>
      <c r="D10" s="1" t="s">
        <v>52</v>
      </c>
      <c r="E10" s="1" t="s">
        <v>52</v>
      </c>
      <c r="F10" s="9" t="s">
        <v>155</v>
      </c>
      <c r="G10" t="str">
        <f t="shared" si="0"/>
        <v>insert into masterf_katalog_sakti ( kode, nama_barang, kode_sakti ) values ('10O020.3','OSCAL KAPSUL 0,5 MCG','1010401002');</v>
      </c>
      <c r="H10" t="s">
        <v>162</v>
      </c>
    </row>
    <row r="11" spans="1:8" x14ac:dyDescent="0.35">
      <c r="A11" s="1" t="s">
        <v>39</v>
      </c>
      <c r="B11" t="s">
        <v>40</v>
      </c>
      <c r="C11" s="3">
        <v>1010401002</v>
      </c>
      <c r="D11" s="1" t="s">
        <v>33</v>
      </c>
      <c r="E11" s="1" t="s">
        <v>33</v>
      </c>
      <c r="F11" s="9" t="s">
        <v>155</v>
      </c>
      <c r="G11" t="str">
        <f t="shared" si="0"/>
        <v>insert into masterf_katalog_sakti ( kode, nama_barang, kode_sakti ) values ('10V126','VIPALBUMIN PLUS 5 G SACHET','1010401002');</v>
      </c>
      <c r="H11" t="s">
        <v>163</v>
      </c>
    </row>
    <row r="12" spans="1:8" x14ac:dyDescent="0.35">
      <c r="A12" s="1" t="s">
        <v>91</v>
      </c>
      <c r="B12" t="s">
        <v>92</v>
      </c>
      <c r="C12" s="8"/>
      <c r="D12" s="1" t="s">
        <v>90</v>
      </c>
      <c r="E12" s="1" t="s">
        <v>90</v>
      </c>
      <c r="F12" s="9" t="s">
        <v>155</v>
      </c>
      <c r="G12" t="str">
        <f t="shared" si="0"/>
        <v>insert into masterf_katalog_sakti ( kode, nama_barang, kode_sakti ) values ('15H052','HEMATOXILLEN 500 ML','');</v>
      </c>
      <c r="H12" t="s">
        <v>164</v>
      </c>
    </row>
    <row r="13" spans="1:8" x14ac:dyDescent="0.35">
      <c r="A13" s="1" t="s">
        <v>88</v>
      </c>
      <c r="B13" t="s">
        <v>89</v>
      </c>
      <c r="C13" s="8"/>
      <c r="D13" s="1" t="s">
        <v>87</v>
      </c>
      <c r="E13" s="1" t="s">
        <v>87</v>
      </c>
      <c r="F13" s="9" t="s">
        <v>155</v>
      </c>
      <c r="G13" t="str">
        <f t="shared" si="0"/>
        <v>insert into masterf_katalog_sakti ( kode, nama_barang, kode_sakti ) values ('15S098','SALMONELLA FIBRILE ANTIGEN (H-A,H-B,H-D,O-A,O-B,O-C,O-D,H-C)','');</v>
      </c>
      <c r="H13" t="s">
        <v>165</v>
      </c>
    </row>
    <row r="14" spans="1:8" x14ac:dyDescent="0.35">
      <c r="A14" s="1" t="s">
        <v>75</v>
      </c>
      <c r="B14" t="s">
        <v>76</v>
      </c>
      <c r="C14" s="3">
        <v>1010401001</v>
      </c>
      <c r="D14" s="1" t="s">
        <v>74</v>
      </c>
      <c r="E14" s="1" t="s">
        <v>74</v>
      </c>
      <c r="F14" s="9" t="s">
        <v>155</v>
      </c>
      <c r="G14" t="str">
        <f t="shared" si="0"/>
        <v>insert into masterf_katalog_sakti ( kode, nama_barang, kode_sakti ) values ('40D024','DEXAMETHASON AMP. 5 mg','1010401001');</v>
      </c>
      <c r="H14" t="s">
        <v>166</v>
      </c>
    </row>
    <row r="15" spans="1:8" x14ac:dyDescent="0.35">
      <c r="A15" s="1" t="s">
        <v>20</v>
      </c>
      <c r="B15" t="s">
        <v>21</v>
      </c>
      <c r="C15" s="3">
        <v>1010401001</v>
      </c>
      <c r="D15" s="1" t="s">
        <v>19</v>
      </c>
      <c r="E15" s="1" t="s">
        <v>19</v>
      </c>
      <c r="F15" s="9" t="s">
        <v>155</v>
      </c>
      <c r="G15" t="str">
        <f t="shared" si="0"/>
        <v>insert into masterf_katalog_sakti ( kode, nama_barang, kode_sakti ) values ('40F058','FLAMICORT 40MG/ML INJ 1ML','1010401001');</v>
      </c>
      <c r="H15" t="s">
        <v>167</v>
      </c>
    </row>
    <row r="16" spans="1:8" x14ac:dyDescent="0.35">
      <c r="A16" s="1" t="s">
        <v>34</v>
      </c>
      <c r="B16" t="s">
        <v>35</v>
      </c>
      <c r="C16" s="3">
        <v>1010401001</v>
      </c>
      <c r="D16" s="1" t="s">
        <v>33</v>
      </c>
      <c r="E16" s="1" t="s">
        <v>33</v>
      </c>
      <c r="F16" s="9" t="s">
        <v>155</v>
      </c>
      <c r="G16" t="str">
        <f t="shared" si="0"/>
        <v>insert into masterf_katalog_sakti ( kode, nama_barang, kode_sakti ) values ('40O032','OMNIPAQUE 350MG/ML 100 ML','1010401001');</v>
      </c>
      <c r="H16" t="s">
        <v>168</v>
      </c>
    </row>
    <row r="17" spans="1:8" x14ac:dyDescent="0.35">
      <c r="A17" s="1" t="s">
        <v>127</v>
      </c>
      <c r="B17" t="s">
        <v>128</v>
      </c>
      <c r="C17" s="3">
        <v>1010401001</v>
      </c>
      <c r="D17" s="1" t="s">
        <v>129</v>
      </c>
      <c r="E17" s="1" t="s">
        <v>129</v>
      </c>
      <c r="F17" s="9" t="s">
        <v>155</v>
      </c>
      <c r="G17" t="str">
        <f t="shared" si="0"/>
        <v>insert into masterf_katalog_sakti ( kode, nama_barang, kode_sakti ) values ('40P012.028','PROPOFOL LIPURO 1%','1010401001');</v>
      </c>
      <c r="H17" t="s">
        <v>169</v>
      </c>
    </row>
    <row r="18" spans="1:8" x14ac:dyDescent="0.35">
      <c r="A18" s="1" t="s">
        <v>124</v>
      </c>
      <c r="B18" t="s">
        <v>125</v>
      </c>
      <c r="C18" s="3">
        <v>1010401001</v>
      </c>
      <c r="D18" s="1" t="s">
        <v>126</v>
      </c>
      <c r="E18" s="1" t="s">
        <v>126</v>
      </c>
      <c r="F18" s="9" t="s">
        <v>155</v>
      </c>
      <c r="G18" t="str">
        <f t="shared" si="0"/>
        <v>insert into masterf_katalog_sakti ( kode, nama_barang, kode_sakti ) values ('40S071','SOJOURN 250 ML','1010401001');</v>
      </c>
      <c r="H18" t="s">
        <v>170</v>
      </c>
    </row>
    <row r="19" spans="1:8" x14ac:dyDescent="0.35">
      <c r="A19" s="1" t="s">
        <v>37</v>
      </c>
      <c r="B19" t="s">
        <v>38</v>
      </c>
      <c r="C19" s="3">
        <v>1010401001</v>
      </c>
      <c r="D19" s="1" t="s">
        <v>36</v>
      </c>
      <c r="E19" s="1" t="s">
        <v>36</v>
      </c>
      <c r="F19" s="9" t="s">
        <v>155</v>
      </c>
      <c r="G19" t="str">
        <f t="shared" si="0"/>
        <v>insert into masterf_katalog_sakti ( kode, nama_barang, kode_sakti ) values ('40V053','VICCILLIN SX INJ 1,5 G','1010401001');</v>
      </c>
      <c r="H19" t="s">
        <v>171</v>
      </c>
    </row>
    <row r="20" spans="1:8" x14ac:dyDescent="0.35">
      <c r="A20" s="1" t="s">
        <v>149</v>
      </c>
      <c r="B20" t="s">
        <v>150</v>
      </c>
      <c r="C20" s="3">
        <v>1010401999</v>
      </c>
      <c r="D20" s="1" t="s">
        <v>146</v>
      </c>
      <c r="E20" s="1" t="s">
        <v>146</v>
      </c>
      <c r="F20" s="9" t="s">
        <v>155</v>
      </c>
      <c r="G20" t="str">
        <f t="shared" si="0"/>
        <v>insert into masterf_katalog_sakti ( kode, nama_barang, kode_sakti ) values ('421044.01','1.2MM X 12MM LAG SCREW 332.1212','1010401999');</v>
      </c>
      <c r="H20" t="s">
        <v>172</v>
      </c>
    </row>
    <row r="21" spans="1:8" x14ac:dyDescent="0.35">
      <c r="A21" s="1" t="s">
        <v>153</v>
      </c>
      <c r="B21" t="s">
        <v>154</v>
      </c>
      <c r="C21" s="3">
        <v>1010401999</v>
      </c>
      <c r="D21" s="1" t="s">
        <v>146</v>
      </c>
      <c r="E21" s="1" t="s">
        <v>146</v>
      </c>
      <c r="F21" s="9" t="s">
        <v>155</v>
      </c>
      <c r="G21" t="str">
        <f t="shared" si="0"/>
        <v>insert into masterf_katalog_sakti ( kode, nama_barang, kode_sakti ) values ('421045','1.2MM X 14MM FULLY THREADED SCREW 331.1214','1010401999');</v>
      </c>
      <c r="H21" t="s">
        <v>173</v>
      </c>
    </row>
    <row r="22" spans="1:8" x14ac:dyDescent="0.35">
      <c r="A22" s="1" t="s">
        <v>78</v>
      </c>
      <c r="B22" t="s">
        <v>79</v>
      </c>
      <c r="C22" s="3">
        <v>1010401999</v>
      </c>
      <c r="D22" s="1" t="s">
        <v>105</v>
      </c>
      <c r="E22" s="1" t="s">
        <v>105</v>
      </c>
      <c r="F22" s="9" t="s">
        <v>155</v>
      </c>
      <c r="G22" t="str">
        <f t="shared" si="0"/>
        <v>insert into masterf_katalog_sakti ( kode, nama_barang, kode_sakti ) values ('422011','2.0MM X 11MM FULLY THREADED SCREW 331.2011','1010401999');</v>
      </c>
      <c r="H22" t="s">
        <v>174</v>
      </c>
    </row>
    <row r="23" spans="1:8" x14ac:dyDescent="0.35">
      <c r="A23" s="1" t="s">
        <v>122</v>
      </c>
      <c r="B23" t="s">
        <v>123</v>
      </c>
      <c r="C23" s="3">
        <v>1010401999</v>
      </c>
      <c r="D23" s="1" t="s">
        <v>121</v>
      </c>
      <c r="E23" s="1" t="s">
        <v>121</v>
      </c>
      <c r="F23" s="9" t="s">
        <v>155</v>
      </c>
      <c r="G23" t="str">
        <f t="shared" si="0"/>
        <v>insert into masterf_katalog_sakti ( kode, nama_barang, kode_sakti ) values ('424008','4 HOLE VDR STANDART PLATE, LEFT 355.0111','1010401999');</v>
      </c>
      <c r="H23" t="s">
        <v>175</v>
      </c>
    </row>
    <row r="24" spans="1:8" x14ac:dyDescent="0.35">
      <c r="A24" s="1" t="s">
        <v>93</v>
      </c>
      <c r="B24" t="s">
        <v>94</v>
      </c>
      <c r="C24" s="3">
        <v>1010401999</v>
      </c>
      <c r="D24" s="1" t="s">
        <v>121</v>
      </c>
      <c r="E24" s="1" t="s">
        <v>121</v>
      </c>
      <c r="F24" s="9" t="s">
        <v>155</v>
      </c>
      <c r="G24" t="str">
        <f t="shared" si="0"/>
        <v>insert into masterf_katalog_sakti ( kode, nama_barang, kode_sakti ) values ('42C1000.55','CORTEX SCREW 2.7 X 15MM (358.2715)','1010401999');</v>
      </c>
      <c r="H24" t="s">
        <v>176</v>
      </c>
    </row>
    <row r="25" spans="1:8" x14ac:dyDescent="0.35">
      <c r="A25" s="1" t="s">
        <v>131</v>
      </c>
      <c r="B25" t="s">
        <v>132</v>
      </c>
      <c r="C25" s="3">
        <v>1010401999</v>
      </c>
      <c r="D25" s="1" t="s">
        <v>130</v>
      </c>
      <c r="E25" s="1" t="s">
        <v>130</v>
      </c>
      <c r="F25" s="9" t="s">
        <v>155</v>
      </c>
      <c r="G25" t="str">
        <f t="shared" si="0"/>
        <v>insert into masterf_katalog_sakti ( kode, nama_barang, kode_sakti ) values ('42C948','CORTEX SCREW  2.4 X 20 MM 358.2420','1010401999');</v>
      </c>
      <c r="H25" t="s">
        <v>177</v>
      </c>
    </row>
    <row r="26" spans="1:8" x14ac:dyDescent="0.35">
      <c r="A26" s="1" t="s">
        <v>147</v>
      </c>
      <c r="B26" t="s">
        <v>148</v>
      </c>
      <c r="C26" s="3">
        <v>1010401999</v>
      </c>
      <c r="D26" s="1" t="s">
        <v>146</v>
      </c>
      <c r="E26" s="1" t="s">
        <v>146</v>
      </c>
      <c r="F26" s="9" t="s">
        <v>155</v>
      </c>
      <c r="G26" t="str">
        <f t="shared" si="0"/>
        <v>insert into masterf_katalog_sakti ( kode, nama_barang, kode_sakti ) values ('42F076','FULLY THR SCREW 1,2MMX8MM 331.1208 (A31036)','1010401999');</v>
      </c>
      <c r="H26" t="s">
        <v>178</v>
      </c>
    </row>
    <row r="27" spans="1:8" x14ac:dyDescent="0.35">
      <c r="A27" s="1" t="s">
        <v>106</v>
      </c>
      <c r="B27" t="s">
        <v>107</v>
      </c>
      <c r="C27" s="3">
        <v>1010401999</v>
      </c>
      <c r="D27" s="1" t="s">
        <v>105</v>
      </c>
      <c r="E27" s="1" t="s">
        <v>105</v>
      </c>
      <c r="F27" s="9" t="s">
        <v>155</v>
      </c>
      <c r="G27" t="str">
        <f t="shared" si="0"/>
        <v>insert into masterf_katalog_sakti ( kode, nama_barang, kode_sakti ) values ('42F094','FULLY THREADED SCREW 1.6X7MM (331.1607)','1010401999');</v>
      </c>
      <c r="H27" t="s">
        <v>179</v>
      </c>
    </row>
    <row r="28" spans="1:8" x14ac:dyDescent="0.35">
      <c r="A28" s="1" t="s">
        <v>110</v>
      </c>
      <c r="B28" t="s">
        <v>111</v>
      </c>
      <c r="C28" s="3">
        <v>1010401999</v>
      </c>
      <c r="D28" s="1" t="s">
        <v>105</v>
      </c>
      <c r="E28" s="1" t="s">
        <v>105</v>
      </c>
      <c r="F28" s="9" t="s">
        <v>155</v>
      </c>
      <c r="G28" t="str">
        <f t="shared" si="0"/>
        <v>insert into masterf_katalog_sakti ( kode, nama_barang, kode_sakti ) values ('42F095','FULLY THREADED SCREW 1.6X8MM (331.1608)','1010401999');</v>
      </c>
      <c r="H28" t="s">
        <v>180</v>
      </c>
    </row>
    <row r="29" spans="1:8" x14ac:dyDescent="0.35">
      <c r="A29" s="1" t="s">
        <v>112</v>
      </c>
      <c r="B29" t="s">
        <v>113</v>
      </c>
      <c r="C29" s="3">
        <v>1010401999</v>
      </c>
      <c r="D29" s="1" t="s">
        <v>105</v>
      </c>
      <c r="E29" s="1" t="s">
        <v>105</v>
      </c>
      <c r="F29" s="9" t="s">
        <v>155</v>
      </c>
      <c r="G29" t="str">
        <f t="shared" si="0"/>
        <v>insert into masterf_katalog_sakti ( kode, nama_barang, kode_sakti ) values ('42F096','FULLY THREADED SCREW 1.6X9MM (331.1609)','1010401999');</v>
      </c>
      <c r="H29" t="s">
        <v>181</v>
      </c>
    </row>
    <row r="30" spans="1:8" x14ac:dyDescent="0.35">
      <c r="A30" s="1" t="s">
        <v>151</v>
      </c>
      <c r="B30" t="s">
        <v>152</v>
      </c>
      <c r="C30" s="3">
        <v>1010401999</v>
      </c>
      <c r="D30" s="1" t="s">
        <v>146</v>
      </c>
      <c r="E30" s="1" t="s">
        <v>146</v>
      </c>
      <c r="F30" s="9" t="s">
        <v>155</v>
      </c>
      <c r="G30" t="str">
        <f t="shared" si="0"/>
        <v>insert into masterf_katalog_sakti ( kode, nama_barang, kode_sakti ) values ('42L779.01','LAG SCREW 1.2MM X 8MM 322.1208','1010401999');</v>
      </c>
      <c r="H30" t="s">
        <v>182</v>
      </c>
    </row>
    <row r="31" spans="1:8" x14ac:dyDescent="0.35">
      <c r="A31" s="1" t="s">
        <v>80</v>
      </c>
      <c r="B31" t="s">
        <v>81</v>
      </c>
      <c r="C31" s="3">
        <v>1010401999</v>
      </c>
      <c r="D31" s="1" t="s">
        <v>77</v>
      </c>
      <c r="E31" s="1" t="s">
        <v>77</v>
      </c>
      <c r="F31" s="9" t="s">
        <v>155</v>
      </c>
      <c r="G31" t="str">
        <f t="shared" si="0"/>
        <v>insert into masterf_katalog_sakti ( kode, nama_barang, kode_sakti ) values ('42O035.01','OFFSET PLT LEFT LOCKING 2,0MM 333.2008','1010401999');</v>
      </c>
      <c r="H31" t="s">
        <v>183</v>
      </c>
    </row>
    <row r="32" spans="1:8" x14ac:dyDescent="0.35">
      <c r="A32" s="1" t="s">
        <v>108</v>
      </c>
      <c r="B32" t="s">
        <v>109</v>
      </c>
      <c r="C32" s="3">
        <v>1010401999</v>
      </c>
      <c r="D32" s="1" t="s">
        <v>105</v>
      </c>
      <c r="E32" s="1" t="s">
        <v>105</v>
      </c>
      <c r="F32" s="9" t="s">
        <v>155</v>
      </c>
      <c r="G32" t="str">
        <f t="shared" si="0"/>
        <v>insert into masterf_katalog_sakti ( kode, nama_barang, kode_sakti ) values ('42P381.01','PLT 6HL 1.5MM PLT-1006 (A31124)','1010401999');</v>
      </c>
      <c r="H32" t="s">
        <v>184</v>
      </c>
    </row>
    <row r="33" spans="1:8" x14ac:dyDescent="0.35">
      <c r="A33" s="1" t="s">
        <v>82</v>
      </c>
      <c r="B33" t="s">
        <v>83</v>
      </c>
      <c r="C33" s="3">
        <v>1010401999</v>
      </c>
      <c r="D33" s="1" t="s">
        <v>77</v>
      </c>
      <c r="E33" s="1" t="s">
        <v>77</v>
      </c>
      <c r="F33" s="9" t="s">
        <v>155</v>
      </c>
      <c r="G33" t="str">
        <f t="shared" si="0"/>
        <v>insert into masterf_katalog_sakti ( kode, nama_barang, kode_sakti ) values ('42S134','STRAIGHT PLATE 16 H 210.0034','1010401999');</v>
      </c>
      <c r="H33" t="s">
        <v>185</v>
      </c>
    </row>
    <row r="34" spans="1:8" x14ac:dyDescent="0.35">
      <c r="A34" s="1" t="s">
        <v>114</v>
      </c>
      <c r="B34" t="s">
        <v>115</v>
      </c>
      <c r="C34" s="3">
        <v>1010401999</v>
      </c>
      <c r="D34" s="1" t="s">
        <v>105</v>
      </c>
      <c r="E34" s="1" t="s">
        <v>105</v>
      </c>
      <c r="F34" s="9" t="s">
        <v>155</v>
      </c>
      <c r="G34" t="str">
        <f t="shared" si="0"/>
        <v>insert into masterf_katalog_sakti ( kode, nama_barang, kode_sakti ) values ('42S313.01','SCR RG 1,5 X 4MM BB SCR-1220(A31142)','1010401999');</v>
      </c>
      <c r="H34" t="s">
        <v>186</v>
      </c>
    </row>
    <row r="35" spans="1:8" x14ac:dyDescent="0.35">
      <c r="A35" s="1" t="s">
        <v>116</v>
      </c>
      <c r="B35" t="s">
        <v>117</v>
      </c>
      <c r="C35" s="3">
        <v>1010401999</v>
      </c>
      <c r="D35" s="1" t="s">
        <v>105</v>
      </c>
      <c r="E35" s="1" t="s">
        <v>105</v>
      </c>
      <c r="F35" s="9" t="s">
        <v>155</v>
      </c>
      <c r="G35" t="str">
        <f t="shared" si="0"/>
        <v>insert into masterf_katalog_sakti ( kode, nama_barang, kode_sakti ) values ('42S314.01','SCR RG 1,5 X 6MM BB SCR-1221(A31143)','1010401999');</v>
      </c>
      <c r="H35" t="s">
        <v>187</v>
      </c>
    </row>
    <row r="36" spans="1:8" x14ac:dyDescent="0.35">
      <c r="A36" s="1" t="s">
        <v>119</v>
      </c>
      <c r="B36" t="s">
        <v>120</v>
      </c>
      <c r="C36" s="3">
        <v>1010401999</v>
      </c>
      <c r="D36" s="1" t="s">
        <v>118</v>
      </c>
      <c r="E36" s="1" t="s">
        <v>118</v>
      </c>
      <c r="F36" s="9" t="s">
        <v>155</v>
      </c>
      <c r="G36" t="str">
        <f t="shared" si="0"/>
        <v>insert into masterf_katalog_sakti ( kode, nama_barang, kode_sakti ) values ('42S324','SCREW LAG 1,2X11MM 332.1211','1010401999');</v>
      </c>
      <c r="H36" t="s">
        <v>188</v>
      </c>
    </row>
    <row r="37" spans="1:8" x14ac:dyDescent="0.35">
      <c r="A37" s="1" t="s">
        <v>48</v>
      </c>
      <c r="B37" t="s">
        <v>49</v>
      </c>
      <c r="C37" s="3">
        <v>1010401999</v>
      </c>
      <c r="D37" s="1" t="s">
        <v>47</v>
      </c>
      <c r="E37" s="1" t="s">
        <v>47</v>
      </c>
      <c r="F37" s="9" t="s">
        <v>155</v>
      </c>
      <c r="G37" t="str">
        <f t="shared" si="0"/>
        <v>insert into masterf_katalog_sakti ( kode, nama_barang, kode_sakti ) values ('42T219','TEN TITANIUM ELASTIC NAIL 475.915-935','1010401999');</v>
      </c>
      <c r="H37" t="s">
        <v>189</v>
      </c>
    </row>
    <row r="38" spans="1:8" x14ac:dyDescent="0.35">
      <c r="A38" s="1" t="s">
        <v>54</v>
      </c>
      <c r="B38" t="s">
        <v>55</v>
      </c>
      <c r="C38" s="3">
        <v>1010401001</v>
      </c>
      <c r="D38" s="1" t="s">
        <v>53</v>
      </c>
      <c r="E38" s="1" t="s">
        <v>53</v>
      </c>
      <c r="F38" s="9" t="s">
        <v>155</v>
      </c>
      <c r="G38" t="str">
        <f t="shared" si="0"/>
        <v>insert into masterf_katalog_sakti ( kode, nama_barang, kode_sakti ) values ('70T001','TARIVID OTIC','1010401001');</v>
      </c>
      <c r="H38" t="s">
        <v>190</v>
      </c>
    </row>
    <row r="39" spans="1:8" x14ac:dyDescent="0.35">
      <c r="A39" s="1" t="s">
        <v>134</v>
      </c>
      <c r="B39" t="s">
        <v>135</v>
      </c>
      <c r="C39" s="3">
        <v>1010401005</v>
      </c>
      <c r="D39" s="1" t="s">
        <v>133</v>
      </c>
      <c r="E39" s="1" t="s">
        <v>133</v>
      </c>
      <c r="F39" s="9" t="s">
        <v>155</v>
      </c>
      <c r="G39" t="str">
        <f t="shared" si="0"/>
        <v>insert into masterf_katalog_sakti ( kode, nama_barang, kode_sakti ) values ('80I101','INNOQ ULTRASOUND GEL 5 KG','1010401005');</v>
      </c>
      <c r="H39" t="s">
        <v>191</v>
      </c>
    </row>
    <row r="40" spans="1:8" x14ac:dyDescent="0.35">
      <c r="A40" s="1" t="s">
        <v>136</v>
      </c>
      <c r="B40" t="s">
        <v>137</v>
      </c>
      <c r="C40" s="3">
        <v>1010401005</v>
      </c>
      <c r="D40" s="1" t="s">
        <v>133</v>
      </c>
      <c r="E40" s="1" t="s">
        <v>133</v>
      </c>
      <c r="F40" s="9" t="s">
        <v>155</v>
      </c>
      <c r="G40" t="str">
        <f t="shared" si="0"/>
        <v>insert into masterf_katalog_sakti ( kode, nama_barang, kode_sakti ) values ('80I102','INNOQ ULTRASOUND GEL 260 G','1010401005');</v>
      </c>
      <c r="H40" t="s">
        <v>192</v>
      </c>
    </row>
    <row r="41" spans="1:8" x14ac:dyDescent="0.35">
      <c r="A41" s="1" t="s">
        <v>22</v>
      </c>
      <c r="B41" t="s">
        <v>23</v>
      </c>
      <c r="C41" s="3">
        <v>1010401999</v>
      </c>
      <c r="D41" s="1" t="s">
        <v>24</v>
      </c>
      <c r="E41" s="1" t="s">
        <v>24</v>
      </c>
      <c r="F41" s="9" t="s">
        <v>155</v>
      </c>
      <c r="G41" t="str">
        <f t="shared" si="0"/>
        <v>insert into masterf_katalog_sakti ( kode, nama_barang, kode_sakti ) values ('80N038.1','NEEDLE NO 18 G ONEMED','1010401999');</v>
      </c>
      <c r="H41" t="s">
        <v>193</v>
      </c>
    </row>
    <row r="42" spans="1:8" x14ac:dyDescent="0.35">
      <c r="A42" s="1" t="s">
        <v>26</v>
      </c>
      <c r="B42" t="s">
        <v>27</v>
      </c>
      <c r="C42" s="3">
        <v>1010401999</v>
      </c>
      <c r="D42" s="1" t="s">
        <v>25</v>
      </c>
      <c r="E42" s="1" t="s">
        <v>25</v>
      </c>
      <c r="F42" s="9" t="s">
        <v>155</v>
      </c>
      <c r="G42" t="str">
        <f t="shared" si="0"/>
        <v>insert into masterf_katalog_sakti ( kode, nama_barang, kode_sakti ) values ('80N145','NEEDLE COUNTER STERILE','1010401999');</v>
      </c>
      <c r="H42" t="s">
        <v>194</v>
      </c>
    </row>
    <row r="43" spans="1:8" x14ac:dyDescent="0.35">
      <c r="A43" s="1" t="s">
        <v>28</v>
      </c>
      <c r="B43" t="s">
        <v>29</v>
      </c>
      <c r="C43" s="3">
        <v>1010401999</v>
      </c>
      <c r="D43" s="1" t="s">
        <v>25</v>
      </c>
      <c r="E43" s="1" t="s">
        <v>25</v>
      </c>
      <c r="F43" s="9" t="s">
        <v>155</v>
      </c>
      <c r="G43" t="str">
        <f t="shared" si="0"/>
        <v>insert into masterf_katalog_sakti ( kode, nama_barang, kode_sakti ) values ('80N146','NEEDLE COUNTER NON STERIL','1010401999');</v>
      </c>
      <c r="H43" t="s">
        <v>195</v>
      </c>
    </row>
    <row r="44" spans="1:8" x14ac:dyDescent="0.35">
      <c r="A44" s="1" t="s">
        <v>68</v>
      </c>
      <c r="B44" t="s">
        <v>69</v>
      </c>
      <c r="C44" s="3">
        <v>1010401999</v>
      </c>
      <c r="D44" s="1" t="s">
        <v>67</v>
      </c>
      <c r="E44" s="1" t="s">
        <v>67</v>
      </c>
      <c r="F44" s="9" t="s">
        <v>155</v>
      </c>
      <c r="G44" t="str">
        <f t="shared" si="0"/>
        <v>insert into masterf_katalog_sakti ( kode, nama_barang, kode_sakti ) values ('80P192','PHYSIO MESH OPEN 10X10 CM (OPHY 1010)','1010401999');</v>
      </c>
      <c r="H44" t="s">
        <v>196</v>
      </c>
    </row>
    <row r="45" spans="1:8" x14ac:dyDescent="0.35">
      <c r="A45" s="1" t="s">
        <v>85</v>
      </c>
      <c r="B45" t="s">
        <v>86</v>
      </c>
      <c r="C45" s="3">
        <v>1010401999</v>
      </c>
      <c r="D45" s="1" t="s">
        <v>84</v>
      </c>
      <c r="E45" s="1" t="s">
        <v>84</v>
      </c>
      <c r="F45" s="9" t="s">
        <v>155</v>
      </c>
      <c r="G45" t="str">
        <f t="shared" si="0"/>
        <v>insert into masterf_katalog_sakti ( kode, nama_barang, kode_sakti ) values ('80T102','TRACHEOSTOMY FEN KIT NO. 8.0  812/080','1010401999');</v>
      </c>
      <c r="H45" t="s">
        <v>197</v>
      </c>
    </row>
    <row r="46" spans="1:8" x14ac:dyDescent="0.35">
      <c r="A46" s="1" t="s">
        <v>141</v>
      </c>
      <c r="B46" t="s">
        <v>142</v>
      </c>
      <c r="C46" s="3">
        <v>1010401999</v>
      </c>
      <c r="D46" s="1" t="s">
        <v>145</v>
      </c>
      <c r="E46" s="1" t="s">
        <v>145</v>
      </c>
      <c r="F46" s="9" t="s">
        <v>155</v>
      </c>
      <c r="G46" t="str">
        <f t="shared" si="0"/>
        <v>insert into masterf_katalog_sakti ( kode, nama_barang, kode_sakti ) values ('80U030','UNI-GRAFT 16 X 8 L.40 CM','1010401999');</v>
      </c>
      <c r="H46" t="s">
        <v>198</v>
      </c>
    </row>
    <row r="47" spans="1:8" x14ac:dyDescent="0.35">
      <c r="A47" s="1" t="s">
        <v>143</v>
      </c>
      <c r="B47" t="s">
        <v>144</v>
      </c>
      <c r="C47" s="3">
        <v>1010401999</v>
      </c>
      <c r="D47" s="1" t="s">
        <v>138</v>
      </c>
      <c r="E47" s="1" t="s">
        <v>138</v>
      </c>
      <c r="F47" s="9" t="s">
        <v>155</v>
      </c>
      <c r="G47" t="str">
        <f t="shared" si="0"/>
        <v>insert into masterf_katalog_sakti ( kode, nama_barang, kode_sakti ) values ('80U036','UNI-GRAFT 18 X 9 L.40 CM','1010401999');</v>
      </c>
      <c r="H47" t="s">
        <v>199</v>
      </c>
    </row>
    <row r="48" spans="1:8" x14ac:dyDescent="0.35">
      <c r="A48" s="1" t="s">
        <v>45</v>
      </c>
      <c r="B48" t="s">
        <v>46</v>
      </c>
      <c r="C48" s="3">
        <v>1010401999</v>
      </c>
      <c r="D48" s="1" t="s">
        <v>44</v>
      </c>
      <c r="E48" s="1" t="s">
        <v>44</v>
      </c>
      <c r="F48" s="9" t="s">
        <v>155</v>
      </c>
      <c r="G48" t="str">
        <f t="shared" si="0"/>
        <v>insert into masterf_katalog_sakti ( kode, nama_barang, kode_sakti ) values ('81A118','ANGIODYN KIT','1010401999');</v>
      </c>
      <c r="H48" t="s">
        <v>200</v>
      </c>
    </row>
    <row r="49" spans="1:8" x14ac:dyDescent="0.35">
      <c r="A49" s="1" t="s">
        <v>31</v>
      </c>
      <c r="B49" t="s">
        <v>32</v>
      </c>
      <c r="C49" s="3">
        <v>1010401999</v>
      </c>
      <c r="D49" s="1" t="s">
        <v>30</v>
      </c>
      <c r="E49" s="1" t="s">
        <v>30</v>
      </c>
      <c r="F49" s="9" t="s">
        <v>155</v>
      </c>
      <c r="G49" t="str">
        <f t="shared" si="0"/>
        <v>insert into masterf_katalog_sakti ( kode, nama_barang, kode_sakti ) values ('81S060','SION BLUE (WIRE)','1010401999');</v>
      </c>
      <c r="H49" t="s">
        <v>201</v>
      </c>
    </row>
    <row r="50" spans="1:8" x14ac:dyDescent="0.35">
      <c r="A50" s="1" t="s">
        <v>42</v>
      </c>
      <c r="B50" t="s">
        <v>43</v>
      </c>
      <c r="C50" s="3">
        <v>1010401999</v>
      </c>
      <c r="D50" s="1" t="s">
        <v>41</v>
      </c>
      <c r="E50" s="1" t="s">
        <v>41</v>
      </c>
      <c r="F50" s="9" t="s">
        <v>155</v>
      </c>
      <c r="G50" t="str">
        <f t="shared" si="0"/>
        <v>insert into masterf_katalog_sakti ( kode, nama_barang, kode_sakti ) values ('81S184','SOFIA PLUS ASPIRATION CATH 125CM / STR DA6125ST','1010401999');</v>
      </c>
      <c r="H50" t="s">
        <v>202</v>
      </c>
    </row>
    <row r="51" spans="1:8" x14ac:dyDescent="0.35">
      <c r="A51" s="1" t="s">
        <v>63</v>
      </c>
      <c r="B51" t="s">
        <v>64</v>
      </c>
      <c r="C51" s="3">
        <v>1010401999</v>
      </c>
      <c r="D51" s="1" t="s">
        <v>59</v>
      </c>
      <c r="E51" s="1" t="s">
        <v>59</v>
      </c>
      <c r="F51" s="9" t="s">
        <v>155</v>
      </c>
      <c r="G51" t="str">
        <f t="shared" si="0"/>
        <v>insert into masterf_katalog_sakti ( kode, nama_barang, kode_sakti ) values ('81V007','VISTA BRITE TIP JL 4 / 6 F (670-004-00)','1010401999');</v>
      </c>
      <c r="H51" t="s">
        <v>203</v>
      </c>
    </row>
    <row r="52" spans="1:8" x14ac:dyDescent="0.35">
      <c r="A52" s="1" t="s">
        <v>65</v>
      </c>
      <c r="B52" t="s">
        <v>66</v>
      </c>
      <c r="C52" s="3">
        <v>1010401999</v>
      </c>
      <c r="D52" s="1" t="s">
        <v>62</v>
      </c>
      <c r="E52" s="1" t="s">
        <v>62</v>
      </c>
      <c r="F52" s="9" t="s">
        <v>155</v>
      </c>
      <c r="G52" t="str">
        <f t="shared" si="0"/>
        <v>insert into masterf_katalog_sakti ( kode, nama_barang, kode_sakti ) values ('81V009','VISTA BRITE TIP JR 3.5 / 6 F (670-080-00)','1010401999');</v>
      </c>
      <c r="H52" t="s">
        <v>204</v>
      </c>
    </row>
    <row r="53" spans="1:8" x14ac:dyDescent="0.35">
      <c r="A53" s="1" t="s">
        <v>60</v>
      </c>
      <c r="B53" t="s">
        <v>61</v>
      </c>
      <c r="C53" s="3">
        <v>1010401999</v>
      </c>
      <c r="D53" s="1" t="s">
        <v>62</v>
      </c>
      <c r="E53" s="1" t="s">
        <v>62</v>
      </c>
      <c r="F53" s="9" t="s">
        <v>155</v>
      </c>
      <c r="G53" t="str">
        <f t="shared" si="0"/>
        <v>insert into masterf_katalog_sakti ( kode, nama_barang, kode_sakti ) values ('81V015','VISTA BRITE TIP XB 4 / 6 F (670-056-00)','1010401999');</v>
      </c>
      <c r="H53" t="s">
        <v>205</v>
      </c>
    </row>
    <row r="54" spans="1:8" x14ac:dyDescent="0.35">
      <c r="A54" s="1" t="s">
        <v>139</v>
      </c>
      <c r="B54" t="s">
        <v>140</v>
      </c>
      <c r="C54" s="3">
        <v>1010401999</v>
      </c>
      <c r="D54" s="1" t="s">
        <v>138</v>
      </c>
      <c r="E54" s="1" t="s">
        <v>138</v>
      </c>
      <c r="F54" s="9" t="s">
        <v>155</v>
      </c>
      <c r="G54" t="str">
        <f t="shared" si="0"/>
        <v>insert into masterf_katalog_sakti ( kode, nama_barang, kode_sakti ) values ('81V046','VENA TECH LP','1010401999');</v>
      </c>
      <c r="H54" t="s">
        <v>206</v>
      </c>
    </row>
  </sheetData>
  <sortState xmlns:xlrd2="http://schemas.microsoft.com/office/spreadsheetml/2017/richdata2" ref="A3:J54">
    <sortCondition ref="A3:A54"/>
  </sortState>
  <mergeCells count="2">
    <mergeCell ref="D1:E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3" sqref="A3"/>
    </sheetView>
  </sheetViews>
  <sheetFormatPr defaultRowHeight="14.5" x14ac:dyDescent="0.35"/>
  <cols>
    <col min="1" max="1" width="15.453125" customWidth="1"/>
    <col min="2" max="2" width="40" bestFit="1" customWidth="1"/>
  </cols>
  <sheetData>
    <row r="1" spans="1:2" x14ac:dyDescent="0.35">
      <c r="A1" s="2" t="s">
        <v>7</v>
      </c>
      <c r="B1" s="2"/>
    </row>
    <row r="2" spans="1:2" x14ac:dyDescent="0.35">
      <c r="A2" s="2" t="s">
        <v>16</v>
      </c>
      <c r="B2" s="2" t="s">
        <v>17</v>
      </c>
    </row>
    <row r="3" spans="1:2" x14ac:dyDescent="0.35">
      <c r="A3" s="3">
        <v>1010401001</v>
      </c>
      <c r="B3" t="s">
        <v>8</v>
      </c>
    </row>
    <row r="4" spans="1:2" x14ac:dyDescent="0.35">
      <c r="A4" s="3">
        <v>1010401002</v>
      </c>
      <c r="B4" t="s">
        <v>9</v>
      </c>
    </row>
    <row r="5" spans="1:2" x14ac:dyDescent="0.35">
      <c r="A5" s="3">
        <v>1010401003</v>
      </c>
      <c r="B5" t="s">
        <v>10</v>
      </c>
    </row>
    <row r="6" spans="1:2" x14ac:dyDescent="0.35">
      <c r="A6" s="3">
        <v>1010401001</v>
      </c>
      <c r="B6" t="s">
        <v>11</v>
      </c>
    </row>
    <row r="7" spans="1:2" x14ac:dyDescent="0.35">
      <c r="A7" s="3">
        <v>1010401005</v>
      </c>
      <c r="B7" t="s">
        <v>12</v>
      </c>
    </row>
    <row r="8" spans="1:2" x14ac:dyDescent="0.35">
      <c r="A8" s="3">
        <v>1010401006</v>
      </c>
      <c r="B8" t="s">
        <v>13</v>
      </c>
    </row>
    <row r="9" spans="1:2" x14ac:dyDescent="0.35">
      <c r="A9" s="3">
        <v>1010401007</v>
      </c>
      <c r="B9" t="s">
        <v>14</v>
      </c>
    </row>
    <row r="10" spans="1:2" x14ac:dyDescent="0.35">
      <c r="A10" s="3">
        <v>1010401999</v>
      </c>
      <c r="B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InputKodeSakti</vt:lpstr>
      <vt:lpstr>refSAKTI</vt:lpstr>
      <vt:lpstr>InputKodeSakti!_select_max_teamTrmxDtl_id_katalog_as_kode_barang_trx_max_master_202212151125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2022-12-15T04:21:05Z</dcterms:created>
  <dcterms:modified xsi:type="dcterms:W3CDTF">2023-01-06T02:42:34Z</dcterms:modified>
</cp:coreProperties>
</file>