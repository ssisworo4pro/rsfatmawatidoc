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90" yWindow="-90" windowWidth="19420" windowHeight="11020" activeTab="2"/>
  </bookViews>
  <sheets>
    <sheet name="konsepPerhitungan" sheetId="4" r:id="rId1"/>
    <sheet name="ruang" sheetId="5" r:id="rId2"/>
    <sheet name="data" sheetId="3" r:id="rId3"/>
    <sheet name="nilai" sheetId="7" r:id="rId4"/>
    <sheet name="perKSM" sheetId="9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8" i="9" l="1"/>
  <c r="G230" i="9"/>
  <c r="G205" i="9"/>
  <c r="G175" i="9"/>
  <c r="G143" i="9"/>
  <c r="G110" i="9"/>
  <c r="G73" i="9"/>
  <c r="G38" i="9"/>
  <c r="E4" i="7"/>
  <c r="E5" i="7"/>
  <c r="E6" i="7"/>
  <c r="E7" i="7"/>
  <c r="E8" i="7"/>
  <c r="E9" i="7"/>
  <c r="E10" i="7"/>
  <c r="E11" i="7"/>
  <c r="E12" i="7"/>
  <c r="E13" i="7"/>
  <c r="E3" i="7"/>
  <c r="E14" i="7" s="1"/>
  <c r="D14" i="7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" i="3"/>
  <c r="H3" i="3"/>
  <c r="H4" i="3"/>
  <c r="H5" i="3"/>
  <c r="H6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7" i="3"/>
</calcChain>
</file>

<file path=xl/sharedStrings.xml><?xml version="1.0" encoding="utf-8"?>
<sst xmlns="http://schemas.openxmlformats.org/spreadsheetml/2006/main" count="5182" uniqueCount="1198">
  <si>
    <t>IGD</t>
  </si>
  <si>
    <t>DIRECT</t>
  </si>
  <si>
    <t>INDIRECT</t>
  </si>
  <si>
    <t>NORM</t>
  </si>
  <si>
    <t>Kunjungan BOUGENVILLE DIAG. CENTER</t>
  </si>
  <si>
    <t>Tindakan BOUGENVILLE DIAG. CENTER</t>
  </si>
  <si>
    <t>Kunjungan Instalasi Bedah Sentral</t>
  </si>
  <si>
    <t>Tindakan Instalasi Bedah Sentral</t>
  </si>
  <si>
    <t>Operasi Instalasi Bedah Sentral</t>
  </si>
  <si>
    <t>Kunjungan Instalasi Bougenville</t>
  </si>
  <si>
    <t>Kunjungan Instalasi Farmasi</t>
  </si>
  <si>
    <t>Kunjungan Instalasi Laboratorium</t>
  </si>
  <si>
    <t>Tindakan Instalasi Laboratorium</t>
  </si>
  <si>
    <t>Kunjungan Instalasi Radiologi Terpadu</t>
  </si>
  <si>
    <t>Tindakan Instalasi Radiologi Terpadu</t>
  </si>
  <si>
    <t>Kunjungan Instalasi Rawat Darurat</t>
  </si>
  <si>
    <t>Tindakan Instalasi Rawat Darurat</t>
  </si>
  <si>
    <t>Kunjungan Instalasi Rehabilitasi Medik</t>
  </si>
  <si>
    <t>Tindakan Instalasi Rehabilitasi Medik</t>
  </si>
  <si>
    <t>Kunjungan RI ICCU</t>
  </si>
  <si>
    <t>Hari Rawat RI ICCU</t>
  </si>
  <si>
    <t>Tindakan RI ICCU</t>
  </si>
  <si>
    <t>Kunjungan RI ICU</t>
  </si>
  <si>
    <t>Hari Rawat RI ICU</t>
  </si>
  <si>
    <t>Tindakan RI ICU</t>
  </si>
  <si>
    <t>Kunjungan RI Instalasi Rawat Inap</t>
  </si>
  <si>
    <t>Hari Rawat RI Instalasi Rawat Inap</t>
  </si>
  <si>
    <t>Tindakan RI Instalasi Rawat Inap</t>
  </si>
  <si>
    <t>Kunjungan RI NICU/PICU</t>
  </si>
  <si>
    <t>Hari Rawat RI NICU/PICU</t>
  </si>
  <si>
    <t>Tindakan RI NICU/PICU</t>
  </si>
  <si>
    <t>Kunjungan RJ Instalasi Rawat Jalan</t>
  </si>
  <si>
    <t>Tindakan RJ Instalasi Rawat Jalan</t>
  </si>
  <si>
    <t>TOTAL</t>
  </si>
  <si>
    <t>BPJS</t>
  </si>
  <si>
    <t>NON-BPJS</t>
  </si>
  <si>
    <t>D-BPJS</t>
  </si>
  <si>
    <t>D-N-BPJS</t>
  </si>
  <si>
    <t>I-BPJS</t>
  </si>
  <si>
    <t>I-N-BPJS</t>
  </si>
  <si>
    <t>URAIAN</t>
  </si>
  <si>
    <t>Instalasi Farmasi</t>
  </si>
  <si>
    <t>Depo IGD</t>
  </si>
  <si>
    <t>Instalasi Rawat Darurat</t>
  </si>
  <si>
    <t>0902R0010123V000043</t>
  </si>
  <si>
    <t>AKHTAR FARZAN RABBANI</t>
  </si>
  <si>
    <t>Laki-Laki</t>
  </si>
  <si>
    <t>26/03/2022</t>
  </si>
  <si>
    <t>BPJS / JKN</t>
  </si>
  <si>
    <t>Depo Teratai</t>
  </si>
  <si>
    <t>Instalasi Rawat Inap</t>
  </si>
  <si>
    <t>Teratai - Lt.III Utara</t>
  </si>
  <si>
    <t>0902R0011222V026103</t>
  </si>
  <si>
    <t>GABRIEL MARCELLO ESP SITUMEANG</t>
  </si>
  <si>
    <t>0902R0010123V000048</t>
  </si>
  <si>
    <t>HANY SUHAENI</t>
  </si>
  <si>
    <t>Perempuan</t>
  </si>
  <si>
    <t>20/03/1968</t>
  </si>
  <si>
    <t>Teratai - Lt.III Sel</t>
  </si>
  <si>
    <t>0902R0011222V028292</t>
  </si>
  <si>
    <t>RUBY HAFSHOH NURAZIZAH</t>
  </si>
  <si>
    <t>19/09/2019</t>
  </si>
  <si>
    <t>Instalasi Laboratorium</t>
  </si>
  <si>
    <t>Lab 24 Jam</t>
  </si>
  <si>
    <t>0902R0010123V000049</t>
  </si>
  <si>
    <t>IRFAN TONI</t>
  </si>
  <si>
    <t>0902R0010123V000033</t>
  </si>
  <si>
    <t>SRI SULUNG NDARI SE, MM, HJ</t>
  </si>
  <si>
    <t>17/02/1954</t>
  </si>
  <si>
    <t>0902R0011222V028274</t>
  </si>
  <si>
    <t>MUHAMAD HANAN PUTRA SETIAWAN</t>
  </si>
  <si>
    <t>31/05/2022</t>
  </si>
  <si>
    <t>Instalasi Radiologi Terpadu</t>
  </si>
  <si>
    <t>Radiologi Emergency</t>
  </si>
  <si>
    <t>Prof.Soelarto - Lt.6</t>
  </si>
  <si>
    <t>0902R0010123V000838</t>
  </si>
  <si>
    <t>R.ERMANSYAH ACHMAD</t>
  </si>
  <si>
    <t>20/04/1950</t>
  </si>
  <si>
    <t>IRI  Lt 2  - ICCU</t>
  </si>
  <si>
    <t>0902R0011222V028362</t>
  </si>
  <si>
    <t>ARYO PRAYITNO</t>
  </si>
  <si>
    <t>13/08/1972</t>
  </si>
  <si>
    <t>0902R0011222V024861</t>
  </si>
  <si>
    <t>MARYAM</t>
  </si>
  <si>
    <t>Prof.Soelarto - Lt.2</t>
  </si>
  <si>
    <t>MUHLASIN</t>
  </si>
  <si>
    <t>22/10/1998</t>
  </si>
  <si>
    <t>TUNAI</t>
  </si>
  <si>
    <t>Prof.Soelarto - Lt.3</t>
  </si>
  <si>
    <t>0902R0011222V027722</t>
  </si>
  <si>
    <t>KHODIJAH</t>
  </si>
  <si>
    <t>16/09/1981</t>
  </si>
  <si>
    <t>Depo Bougenville</t>
  </si>
  <si>
    <t>0902R0011222V013037</t>
  </si>
  <si>
    <t>MUHAMMAD AMMAR ZAIDAN</t>
  </si>
  <si>
    <t>14/05/2017</t>
  </si>
  <si>
    <t>0902R0010123V000008</t>
  </si>
  <si>
    <t>NURYANTI</t>
  </si>
  <si>
    <t>30/06/1973</t>
  </si>
  <si>
    <t>Prof.Soelarto - Lt.4</t>
  </si>
  <si>
    <t>0902R0010123V001025</t>
  </si>
  <si>
    <t>NENGSIH NURHASANAH</t>
  </si>
  <si>
    <t>HCU IGD - Lt 1</t>
  </si>
  <si>
    <t>0902R0010123V000945</t>
  </si>
  <si>
    <t>MUHAMMAD YUSUF</t>
  </si>
  <si>
    <t>HERMAN PRIHATIN</t>
  </si>
  <si>
    <t>30/06/1978</t>
  </si>
  <si>
    <t>Jasa Raharja Cab DKI Jkt, PT</t>
  </si>
  <si>
    <t>VK</t>
  </si>
  <si>
    <t>RENI OKTAVIANA</t>
  </si>
  <si>
    <t>HCU IGD - Lt 2</t>
  </si>
  <si>
    <t>0902R0011222V028352</t>
  </si>
  <si>
    <t>NURLAELAH HM  HJ</t>
  </si>
  <si>
    <t>Depo Anggrek</t>
  </si>
  <si>
    <t>Teratai - Lt.V Sel</t>
  </si>
  <si>
    <t>0902R0011222V008660</t>
  </si>
  <si>
    <t>IIN INDRAYATI</t>
  </si>
  <si>
    <t>FORENSIK PEMULASARAN JENAZAH</t>
  </si>
  <si>
    <t>Forensik Pemulasaran Jenazah</t>
  </si>
  <si>
    <t>HIDAYAT DJALIL</t>
  </si>
  <si>
    <t>Instalasi Rawat Jalan</t>
  </si>
  <si>
    <t>Penyakit Dalam</t>
  </si>
  <si>
    <t>0902R0010123V000030</t>
  </si>
  <si>
    <t>RIA JAYANTI</t>
  </si>
  <si>
    <t>21/01/1995</t>
  </si>
  <si>
    <t>0902R0011222V028127</t>
  </si>
  <si>
    <t>YETTY HERAWATI SUDJONO</t>
  </si>
  <si>
    <t>29/01/1949</t>
  </si>
  <si>
    <t>0902R0011222V028391</t>
  </si>
  <si>
    <t>LAMANIM SARAGIH</t>
  </si>
  <si>
    <t>0902R0010123V000028</t>
  </si>
  <si>
    <t>TUMIAR TAMPUBOLON</t>
  </si>
  <si>
    <t>29/05/1956</t>
  </si>
  <si>
    <t>0902R0010123V000046</t>
  </si>
  <si>
    <t>AYU VITA FEBRIYANTI</t>
  </si>
  <si>
    <t>13/01/2016</t>
  </si>
  <si>
    <t>0902R0010123V000732</t>
  </si>
  <si>
    <t>INDAHYATI</t>
  </si>
  <si>
    <t>0902R0011222V024872</t>
  </si>
  <si>
    <t>KASMIRAH</t>
  </si>
  <si>
    <t>0902R0010123V000038</t>
  </si>
  <si>
    <t>SOFIA AHMAD</t>
  </si>
  <si>
    <t>15/07/1950</t>
  </si>
  <si>
    <t>0902R0010123V000026</t>
  </si>
  <si>
    <t>MOHAMMAD RAMDHANI</t>
  </si>
  <si>
    <t>26/07/2012</t>
  </si>
  <si>
    <t>0902R0010123V000044</t>
  </si>
  <si>
    <t>SUMARTI</t>
  </si>
  <si>
    <t>0902R0011222V023629</t>
  </si>
  <si>
    <t>ETI SAFITRI</t>
  </si>
  <si>
    <t>Anggrek 3</t>
  </si>
  <si>
    <t>0902R0011222V019726</t>
  </si>
  <si>
    <t>RIZKI AYU EXACTI</t>
  </si>
  <si>
    <t>Anggrek 2</t>
  </si>
  <si>
    <t>0902R0010123V000881</t>
  </si>
  <si>
    <t>NINA FITRIANTI</t>
  </si>
  <si>
    <t>18/09/1989</t>
  </si>
  <si>
    <t>Teratai - Lt.IV Sel</t>
  </si>
  <si>
    <t>16/01/2023</t>
  </si>
  <si>
    <t>0902R0010123V000892</t>
  </si>
  <si>
    <t xml:space="preserve">MOH TOHIR </t>
  </si>
  <si>
    <t>DECKY RIDARTA =1858092</t>
  </si>
  <si>
    <t>15/12/1976</t>
  </si>
  <si>
    <t>Teratai - Lt.V Utara</t>
  </si>
  <si>
    <t>0902R0011222V021248</t>
  </si>
  <si>
    <t>BUDI SJAFITRI</t>
  </si>
  <si>
    <t>29/09/1963</t>
  </si>
  <si>
    <t>0902R0011222V027789</t>
  </si>
  <si>
    <t>HIDAYAT SUDIRDJA</t>
  </si>
  <si>
    <t>Teratai - Lt.VI Sel</t>
  </si>
  <si>
    <t>0902R0011222V028386</t>
  </si>
  <si>
    <t xml:space="preserve">MARIYAM </t>
  </si>
  <si>
    <t>0902R0011222V027037</t>
  </si>
  <si>
    <t>BAGAS GILANG RAMADHAN</t>
  </si>
  <si>
    <t>21/12/1999</t>
  </si>
  <si>
    <t>0902R0011222V028356</t>
  </si>
  <si>
    <t>SRI NINGSIH</t>
  </si>
  <si>
    <t>28/05/1980</t>
  </si>
  <si>
    <t>0902R0010123V000032</t>
  </si>
  <si>
    <t>MELOT BT SIIH</t>
  </si>
  <si>
    <t>0902R0011222V028336</t>
  </si>
  <si>
    <t>RAFFA RIVANO FULVIAN ATHALLAH</t>
  </si>
  <si>
    <t>22/10/2008</t>
  </si>
  <si>
    <t>0902R0010123V000009</t>
  </si>
  <si>
    <t xml:space="preserve">YUAN FADHILAH FAZA </t>
  </si>
  <si>
    <t>0902R0011222V017152</t>
  </si>
  <si>
    <t>HARYANTI</t>
  </si>
  <si>
    <t>IW Non Covid IGD</t>
  </si>
  <si>
    <t>0902R0011222V015490</t>
  </si>
  <si>
    <t>SUKRI ROZALI B RONGGO</t>
  </si>
  <si>
    <t>0902R0010123V000634</t>
  </si>
  <si>
    <t>MAKNUN</t>
  </si>
  <si>
    <t>0902R0010123V000665</t>
  </si>
  <si>
    <t>0902R0010123V000050</t>
  </si>
  <si>
    <t>YETTI MULYANA</t>
  </si>
  <si>
    <t>24/09/1950</t>
  </si>
  <si>
    <t>0902R0010123V000051</t>
  </si>
  <si>
    <t>DEMINGGAS JULIANA LATUHARHARY</t>
  </si>
  <si>
    <t>30/04/1942</t>
  </si>
  <si>
    <t>0902R0010123V000052</t>
  </si>
  <si>
    <t>MARLINA ELIDA NABABAN</t>
  </si>
  <si>
    <t>0902R0010123V000937</t>
  </si>
  <si>
    <t>PMI / LABU DARAH</t>
  </si>
  <si>
    <t>PMI / Labu Darah</t>
  </si>
  <si>
    <t>0902R0011222V027640</t>
  </si>
  <si>
    <t>KINTARTO</t>
  </si>
  <si>
    <t>0902R0011222V028375</t>
  </si>
  <si>
    <t>0902R0010123V000479</t>
  </si>
  <si>
    <t>0902R0010123V000015</t>
  </si>
  <si>
    <t>MUHAMAD SABIL</t>
  </si>
  <si>
    <t>27/09/2005</t>
  </si>
  <si>
    <t>IRI  Lt 4  - ICU</t>
  </si>
  <si>
    <t>0902R0011222V021232</t>
  </si>
  <si>
    <t>MUHAMMAD TURANGGA</t>
  </si>
  <si>
    <t>29/09/1995</t>
  </si>
  <si>
    <t>IRI  Lt 3  - PICU</t>
  </si>
  <si>
    <t>0902R0011222V028351</t>
  </si>
  <si>
    <t>SYIFFA WARDANY</t>
  </si>
  <si>
    <t>0902R0011222V013793</t>
  </si>
  <si>
    <t>YASMIN</t>
  </si>
  <si>
    <t>20/10/2010</t>
  </si>
  <si>
    <t>0902R0011122V024660</t>
  </si>
  <si>
    <t>PUTRI GIANTY DEWINTA</t>
  </si>
  <si>
    <t>0902R0010123V001147</t>
  </si>
  <si>
    <t>0902R0011222V028365</t>
  </si>
  <si>
    <t>ASTATIK MUTMAINAH</t>
  </si>
  <si>
    <t>0902R0011222V023516</t>
  </si>
  <si>
    <t>TARMUZI ROHMANI</t>
  </si>
  <si>
    <t>0902R0010123V000053</t>
  </si>
  <si>
    <t>ALISAH BINTI ALI</t>
  </si>
  <si>
    <t>24/11/1944</t>
  </si>
  <si>
    <t>Teratai - Lt.II Utara</t>
  </si>
  <si>
    <t>0902R0011222V027010</t>
  </si>
  <si>
    <t>SRI HARTATI</t>
  </si>
  <si>
    <t>21/01/1961</t>
  </si>
  <si>
    <t>Anggrek 6 (ICU Tkn Neg Tnp Venti)</t>
  </si>
  <si>
    <t>3171012ICC2212008C</t>
  </si>
  <si>
    <t>ATIH</t>
  </si>
  <si>
    <t>19/12/1963</t>
  </si>
  <si>
    <t>KLB COVID19</t>
  </si>
  <si>
    <t>Anggrek 6 (ICU Tkn Neg Dgn Venti)</t>
  </si>
  <si>
    <t>0902R0011222V028359</t>
  </si>
  <si>
    <t>UJANG</t>
  </si>
  <si>
    <t>3171012ICC22120096</t>
  </si>
  <si>
    <t>MUHAMMAD GIBRAN</t>
  </si>
  <si>
    <t>15/02/1994</t>
  </si>
  <si>
    <t>3171012ICC22120093</t>
  </si>
  <si>
    <t>ARMINIUS FIRMANSYAH</t>
  </si>
  <si>
    <t>0902R0011222V019814</t>
  </si>
  <si>
    <t>MANSIAH</t>
  </si>
  <si>
    <t>25/07/1960</t>
  </si>
  <si>
    <t>0902R0011222V017166</t>
  </si>
  <si>
    <t>MARWI</t>
  </si>
  <si>
    <t>0902R0010123V000054</t>
  </si>
  <si>
    <t>NANANG KOSIM</t>
  </si>
  <si>
    <t>29/01/1987</t>
  </si>
  <si>
    <t>0902R0011222V024744</t>
  </si>
  <si>
    <t>SARIPIN</t>
  </si>
  <si>
    <t>0902R0011222V028044</t>
  </si>
  <si>
    <t>WISHNU SATRIYO HUTOMO</t>
  </si>
  <si>
    <t>0902R0011222V024124</t>
  </si>
  <si>
    <t>HAMZAH MADROI</t>
  </si>
  <si>
    <t>25/12/1956</t>
  </si>
  <si>
    <t>0902R0011222V028387</t>
  </si>
  <si>
    <t>RAINAN BIN SUMIN</t>
  </si>
  <si>
    <t>20/01/1961</t>
  </si>
  <si>
    <t>0902R0011222V019715</t>
  </si>
  <si>
    <t xml:space="preserve">DASLI </t>
  </si>
  <si>
    <t>0902R0011222V018583</t>
  </si>
  <si>
    <t>KUSWARA</t>
  </si>
  <si>
    <t>24/05/1993</t>
  </si>
  <si>
    <t>0902R0011222V019071</t>
  </si>
  <si>
    <t>M FUAD HASYIM</t>
  </si>
  <si>
    <t>0902R0011222V011460</t>
  </si>
  <si>
    <t>SOMAT</t>
  </si>
  <si>
    <t>31/12/1951</t>
  </si>
  <si>
    <t>0902R0011222V026885</t>
  </si>
  <si>
    <t>ALIF ALFITRA</t>
  </si>
  <si>
    <t>0902R0011222V028390</t>
  </si>
  <si>
    <t>PAULUS SIDHARTAWAN</t>
  </si>
  <si>
    <t>26/02/1975</t>
  </si>
  <si>
    <t>IRI  Lt 2 - HCU Bedah</t>
  </si>
  <si>
    <t>0902R0011222V019154</t>
  </si>
  <si>
    <t>HERMAWAN</t>
  </si>
  <si>
    <t>19/12/1951</t>
  </si>
  <si>
    <t>0902R0011222V008190</t>
  </si>
  <si>
    <t xml:space="preserve">RACHMAT </t>
  </si>
  <si>
    <t>0902R0011222V023509</t>
  </si>
  <si>
    <t>SRI NURHANDARI</t>
  </si>
  <si>
    <t>SUWARNO</t>
  </si>
  <si>
    <t>Jamkesda Kota Depok</t>
  </si>
  <si>
    <t>0902R0011222V018064</t>
  </si>
  <si>
    <t>HARIO HENDRO PURNOMO</t>
  </si>
  <si>
    <t>25/09/1962</t>
  </si>
  <si>
    <t>0902R0011222V024742</t>
  </si>
  <si>
    <t>EDISON DAELI</t>
  </si>
  <si>
    <t>25/01/1967</t>
  </si>
  <si>
    <t>0902R0011222V028332</t>
  </si>
  <si>
    <t>NAFEEZA SABRINA DARMAWAN</t>
  </si>
  <si>
    <t>18/11/2022</t>
  </si>
  <si>
    <t>0902R0011222V027659</t>
  </si>
  <si>
    <t>NURSIDAH</t>
  </si>
  <si>
    <t>0902R0011222V026679</t>
  </si>
  <si>
    <t>THERESIA LIMI SIRINGO RINGO</t>
  </si>
  <si>
    <t>14/06/1969</t>
  </si>
  <si>
    <t>MOHAMMAD HABIB</t>
  </si>
  <si>
    <t>21/10/1986</t>
  </si>
  <si>
    <t>0902R0011222V023388</t>
  </si>
  <si>
    <t>NOVA SILVIA</t>
  </si>
  <si>
    <t>30/09/1998</t>
  </si>
  <si>
    <t>0902R0011222V028392</t>
  </si>
  <si>
    <t>FARIDA SIPRIN</t>
  </si>
  <si>
    <t>24/02/1946</t>
  </si>
  <si>
    <t>0902R0011222V018376</t>
  </si>
  <si>
    <t>N. KOMARIYAH</t>
  </si>
  <si>
    <t>15/07/1963</t>
  </si>
  <si>
    <t>0902R0011222V026055</t>
  </si>
  <si>
    <t>WASRI</t>
  </si>
  <si>
    <t>Anggrek 5 - HCU Zona 1</t>
  </si>
  <si>
    <t>0902R0011222V026930</t>
  </si>
  <si>
    <t>LIU EDY CANDRA KUSUMA</t>
  </si>
  <si>
    <t>21/12/1968</t>
  </si>
  <si>
    <t>Prof.Soelarto - Lt.1</t>
  </si>
  <si>
    <t>0902R0010123V001110</t>
  </si>
  <si>
    <t>ANGGITA CAHYANI</t>
  </si>
  <si>
    <t>17/06/2003</t>
  </si>
  <si>
    <t>0902R0011222V023694</t>
  </si>
  <si>
    <t>ISTIQOMAH</t>
  </si>
  <si>
    <t>0902R0011222V010018</t>
  </si>
  <si>
    <t>GURES</t>
  </si>
  <si>
    <t>25/01/1980</t>
  </si>
  <si>
    <t>0902R0011222V017125</t>
  </si>
  <si>
    <t>RIZKI ACHYAR</t>
  </si>
  <si>
    <t>13/11/1985</t>
  </si>
  <si>
    <t>0902R0011222V023628</t>
  </si>
  <si>
    <t>AHMAD RIDWAN</t>
  </si>
  <si>
    <t>20/06/1962</t>
  </si>
  <si>
    <t>0902R0010123V000428</t>
  </si>
  <si>
    <t>MAIMUNAH</t>
  </si>
  <si>
    <t>0902R0010123V000599</t>
  </si>
  <si>
    <t>DEWI HENDARTI</t>
  </si>
  <si>
    <t>14/12/1968</t>
  </si>
  <si>
    <t>RACHMALIA KHOIRUNISYA</t>
  </si>
  <si>
    <t>31/08/2007</t>
  </si>
  <si>
    <t>0902R0011222V019734</t>
  </si>
  <si>
    <t>HARYANTO</t>
  </si>
  <si>
    <t>0902R0011222V023625</t>
  </si>
  <si>
    <t>EKA NIA REJEKI</t>
  </si>
  <si>
    <t>0902R0011222V020488</t>
  </si>
  <si>
    <t>DARWIYATI</t>
  </si>
  <si>
    <t>0902R0011222V022265</t>
  </si>
  <si>
    <t>ANGGA DEWI MOESONO</t>
  </si>
  <si>
    <t>28/04/1940</t>
  </si>
  <si>
    <t>0902R0011222V016518</t>
  </si>
  <si>
    <t>ABD HAKIM</t>
  </si>
  <si>
    <t>0902R0011222V022356</t>
  </si>
  <si>
    <t>DEDEN WAHYUDI</t>
  </si>
  <si>
    <t>0902R0011222V023638</t>
  </si>
  <si>
    <t>WIJI ISMOYO</t>
  </si>
  <si>
    <t>Thalassaemia</t>
  </si>
  <si>
    <t>0902R0011222V027300</t>
  </si>
  <si>
    <t>ROHILI</t>
  </si>
  <si>
    <t>0902R0011222V027308</t>
  </si>
  <si>
    <t>ABIDZAN FATIN AL-FALAH</t>
  </si>
  <si>
    <t>18/09/2010</t>
  </si>
  <si>
    <t>0902R0011222V004568</t>
  </si>
  <si>
    <t>MUNASIK</t>
  </si>
  <si>
    <t>0902R0011222V027314</t>
  </si>
  <si>
    <t>CETTA ABRISAM JUANDRIANS</t>
  </si>
  <si>
    <t>22/06/2020</t>
  </si>
  <si>
    <t>0902R0011222V028327</t>
  </si>
  <si>
    <t>ROHMAH</t>
  </si>
  <si>
    <t>13/01/1962</t>
  </si>
  <si>
    <t>0902R0011022V020623</t>
  </si>
  <si>
    <t>MUHAMMAD HAIKAL</t>
  </si>
  <si>
    <t>16/07/2021</t>
  </si>
  <si>
    <t>0902R0011222V028379</t>
  </si>
  <si>
    <t xml:space="preserve">ADRIEL FRIDONALD HORISANTO </t>
  </si>
  <si>
    <t>20/10/2014</t>
  </si>
  <si>
    <t>0902R0011222V027730</t>
  </si>
  <si>
    <t>MUHAMMAD SYABIL A'ZAWAWI OKTAVIANSYAH</t>
  </si>
  <si>
    <t>0902R0010123V000826</t>
  </si>
  <si>
    <t>ANNISA SATIA ALFIANI</t>
  </si>
  <si>
    <t>18/06/1995</t>
  </si>
  <si>
    <t>0902R0011222V028368</t>
  </si>
  <si>
    <t>LAURENSUS JAYA</t>
  </si>
  <si>
    <t>14/02/1993</t>
  </si>
  <si>
    <t>Rini Rinondom Supit</t>
  </si>
  <si>
    <t>25/09/1961</t>
  </si>
  <si>
    <t>Tunai Bedah Prima</t>
  </si>
  <si>
    <t>Anak</t>
  </si>
  <si>
    <t>0902R0010123V000064</t>
  </si>
  <si>
    <t>MUHAMMAD DANIS RADITIA RASKA</t>
  </si>
  <si>
    <t>0902R0010123V000065</t>
  </si>
  <si>
    <t>SITI FADYA ANINDA</t>
  </si>
  <si>
    <t>31/07/2016</t>
  </si>
  <si>
    <t>TUJUAN.INST</t>
  </si>
  <si>
    <t>TUJUAN.RUANG</t>
  </si>
  <si>
    <t>DAFTAR.RUANG</t>
  </si>
  <si>
    <t>DAFTAR.INST</t>
  </si>
  <si>
    <t>MASUK</t>
  </si>
  <si>
    <t>PULANG</t>
  </si>
  <si>
    <t>HAPER</t>
  </si>
  <si>
    <t>H-BPJS</t>
  </si>
  <si>
    <t>H-N-BPJS</t>
  </si>
  <si>
    <t>KUNJ</t>
  </si>
  <si>
    <t>NO.PEND</t>
  </si>
  <si>
    <t>NO.SEP</t>
  </si>
  <si>
    <t>NAMA</t>
  </si>
  <si>
    <t>JK</t>
  </si>
  <si>
    <t>TGL.LAHIR</t>
  </si>
  <si>
    <t>TGL.MASUK</t>
  </si>
  <si>
    <t>CARABAYAR</t>
  </si>
  <si>
    <t>ISNU</t>
  </si>
  <si>
    <t>0902R0010123V000066</t>
  </si>
  <si>
    <t>PRAMA MAHARDIKA LASMANA PUTRA</t>
  </si>
  <si>
    <t>14/01/2019</t>
  </si>
  <si>
    <t>0902R0010123V000067</t>
  </si>
  <si>
    <t>NAFIZA RAFFA QADRIYA</t>
  </si>
  <si>
    <t>25/07/2016</t>
  </si>
  <si>
    <t>0902R0011222V025981</t>
  </si>
  <si>
    <t>ARWAN DINATA</t>
  </si>
  <si>
    <t>26/05/1984</t>
  </si>
  <si>
    <t>0902R0011222V026889</t>
  </si>
  <si>
    <t>ABDUL ROCHIM</t>
  </si>
  <si>
    <t>0902R0010123V000068</t>
  </si>
  <si>
    <t>JANUAR DIMAS DARMANI</t>
  </si>
  <si>
    <t>26/01/2013</t>
  </si>
  <si>
    <t>0902R0011222V021256</t>
  </si>
  <si>
    <t>LIM A KUIJ</t>
  </si>
  <si>
    <t>0902R0010123V000069</t>
  </si>
  <si>
    <t>SAMBANYU BENING</t>
  </si>
  <si>
    <t>24/12/2017</t>
  </si>
  <si>
    <t>0902R0010123V000070</t>
  </si>
  <si>
    <t>FAIRUZ PUADI SAPUTRA</t>
  </si>
  <si>
    <t>31/12/2011</t>
  </si>
  <si>
    <t>0902R0010123V000020</t>
  </si>
  <si>
    <t>BUDININGSIH SARASWATI</t>
  </si>
  <si>
    <t>15/02/1953</t>
  </si>
  <si>
    <t>0902R0010123V000071</t>
  </si>
  <si>
    <t>AYU NUR RAISAH</t>
  </si>
  <si>
    <t>0902R0011222V023377</t>
  </si>
  <si>
    <t>BARINGIN TUA MANURUNG</t>
  </si>
  <si>
    <t>0902R0010123V000072</t>
  </si>
  <si>
    <t>MUHAMAD EZRA WAHYUDI</t>
  </si>
  <si>
    <t>0902R0010123V000073</t>
  </si>
  <si>
    <t>ELISA DWI NURFANI</t>
  </si>
  <si>
    <t>0902R0011222V028360</t>
  </si>
  <si>
    <t>IZZUL NURIL SYA'BAN</t>
  </si>
  <si>
    <t>19/04/2020</t>
  </si>
  <si>
    <t>0902R0011222V028348</t>
  </si>
  <si>
    <t>MUKHLASIN</t>
  </si>
  <si>
    <t>0902R0010123V000074</t>
  </si>
  <si>
    <t>SAID AGIL AZZAMZAMI</t>
  </si>
  <si>
    <t>Hemodialisa</t>
  </si>
  <si>
    <t>0902R0010123V000874</t>
  </si>
  <si>
    <t>NIA KURNIAWATI</t>
  </si>
  <si>
    <t>0902R0010123V000075</t>
  </si>
  <si>
    <t>HANNASOPHIE RASYUQA &lt;===014981</t>
  </si>
  <si>
    <t>14/07/2014</t>
  </si>
  <si>
    <t>0902R0010123V000045</t>
  </si>
  <si>
    <t>FAHRUDDIN</t>
  </si>
  <si>
    <t>30/04/1977</t>
  </si>
  <si>
    <t>0902R0010123V000870</t>
  </si>
  <si>
    <t>SUROTO</t>
  </si>
  <si>
    <t>30/04/1969</t>
  </si>
  <si>
    <t>0902R0010123V000076</t>
  </si>
  <si>
    <t>NABILA AZZAHRA MUBAROK</t>
  </si>
  <si>
    <t>0902R0010123V000817</t>
  </si>
  <si>
    <t>TJITJIH WITARSIH</t>
  </si>
  <si>
    <t>14/04/1950</t>
  </si>
  <si>
    <t>0902R0011222V025742</t>
  </si>
  <si>
    <t>SURATI ROJALI</t>
  </si>
  <si>
    <t>0902R0010123V000077</t>
  </si>
  <si>
    <t>AHMAD ZIDAN</t>
  </si>
  <si>
    <t>0902R0010123V000812</t>
  </si>
  <si>
    <t>HARTONO</t>
  </si>
  <si>
    <t>25/03/1968</t>
  </si>
  <si>
    <t>0902R0010123V000078</t>
  </si>
  <si>
    <t>QOWIYY ISNAENI HAKIM</t>
  </si>
  <si>
    <t>17/12/2011</t>
  </si>
  <si>
    <t>0902R0010123V000797</t>
  </si>
  <si>
    <t>GIMAN SUJONO,DRS</t>
  </si>
  <si>
    <t>0902R0010123V000899</t>
  </si>
  <si>
    <t>SUPRIYADI WIDAGDO</t>
  </si>
  <si>
    <t>23/08/1954</t>
  </si>
  <si>
    <t>0902R0010123V000079</t>
  </si>
  <si>
    <t>SYAHFIEA NUR ROMZI</t>
  </si>
  <si>
    <t>21/01/2016</t>
  </si>
  <si>
    <t>0902R0011222V023619</t>
  </si>
  <si>
    <t>ROTUA TAMPUBOLON</t>
  </si>
  <si>
    <t>29/01/1957</t>
  </si>
  <si>
    <t>0902R0010123V000801</t>
  </si>
  <si>
    <t>ARINTO SATRYO HARUNO</t>
  </si>
  <si>
    <t>0902R0010123V000080</t>
  </si>
  <si>
    <t>MUHAMMAD DZAKI ROMZI</t>
  </si>
  <si>
    <t>0902R0010123V000786</t>
  </si>
  <si>
    <t>EKO RIYADI, SH</t>
  </si>
  <si>
    <t>29/05/1987</t>
  </si>
  <si>
    <t>0902R0010123V000082</t>
  </si>
  <si>
    <t>AJI KURNIAWAN</t>
  </si>
  <si>
    <t>14/10/2012</t>
  </si>
  <si>
    <t>0902R0010123V000774</t>
  </si>
  <si>
    <t>RINI YULIANTI</t>
  </si>
  <si>
    <t>18/07/1978</t>
  </si>
  <si>
    <t>0902R0010123V000762</t>
  </si>
  <si>
    <t>DRI GUNAWAN</t>
  </si>
  <si>
    <t>0902R0010123V000086</t>
  </si>
  <si>
    <t>ATHARRAZKA COSTACURTA HARIYANTO</t>
  </si>
  <si>
    <t>15/06/2020</t>
  </si>
  <si>
    <t>0902R0010123V000361</t>
  </si>
  <si>
    <t>ADILA FAUZIA</t>
  </si>
  <si>
    <t>19/02/1968</t>
  </si>
  <si>
    <t>0902R0010123V000747</t>
  </si>
  <si>
    <t>SETIYONO</t>
  </si>
  <si>
    <t>14/09/1981</t>
  </si>
  <si>
    <t>0902R0010123V000088</t>
  </si>
  <si>
    <t>MUHAMAD AL FATIR</t>
  </si>
  <si>
    <t>14/12/2008</t>
  </si>
  <si>
    <t>0902R0010123V000089</t>
  </si>
  <si>
    <t>MUHAMAD RIZKI</t>
  </si>
  <si>
    <t>25/10/2012</t>
  </si>
  <si>
    <t>0902R0010123V000560</t>
  </si>
  <si>
    <t xml:space="preserve">TARYANTI </t>
  </si>
  <si>
    <t>16/04/1982</t>
  </si>
  <si>
    <t>0902R0010123V000522</t>
  </si>
  <si>
    <t>ROSMIYARNI</t>
  </si>
  <si>
    <t>0902R0010123V000482</t>
  </si>
  <si>
    <t>IDA GUSNIDA Z</t>
  </si>
  <si>
    <t>0902R0010123V000403</t>
  </si>
  <si>
    <t>DIYARTI SAINIH</t>
  </si>
  <si>
    <t>0902R0010123V000388</t>
  </si>
  <si>
    <t>HARIYANTO MISKAM HADI=&gt;1787913</t>
  </si>
  <si>
    <t>25/10/1954</t>
  </si>
  <si>
    <t>0902R0010123V000383</t>
  </si>
  <si>
    <t xml:space="preserve">SANIAH </t>
  </si>
  <si>
    <t>18/11/1949</t>
  </si>
  <si>
    <t>0902R0010123V000370</t>
  </si>
  <si>
    <t>RUDIANTO TRINUGRAHARSO</t>
  </si>
  <si>
    <t>13/05/1967</t>
  </si>
  <si>
    <t>Prof.Soelarto - Lt.5</t>
  </si>
  <si>
    <t>0902R0011222V028369</t>
  </si>
  <si>
    <t>SITI MUCHYAR</t>
  </si>
  <si>
    <t>16/02/1942</t>
  </si>
  <si>
    <t>Radiologi Induk</t>
  </si>
  <si>
    <t>Sub Bedah Urologi</t>
  </si>
  <si>
    <t>0902R0011222V009280</t>
  </si>
  <si>
    <t>MIRA YUNI YANTI</t>
  </si>
  <si>
    <t>0902R0011222V022823</t>
  </si>
  <si>
    <t>FAUZI, SMHK</t>
  </si>
  <si>
    <t>0902R0011222V023299</t>
  </si>
  <si>
    <t>SYALWA AULIA PUTRI</t>
  </si>
  <si>
    <t>26/07/2008</t>
  </si>
  <si>
    <t>Ambulance</t>
  </si>
  <si>
    <t>Ambulance Jenazah</t>
  </si>
  <si>
    <t>0902R0011222V027251</t>
  </si>
  <si>
    <t>USNI</t>
  </si>
  <si>
    <t>0902R0011222V026065</t>
  </si>
  <si>
    <t>SYLVIA LOPPIES</t>
  </si>
  <si>
    <t>18/03/1947</t>
  </si>
  <si>
    <t xml:space="preserve">Lab Induk </t>
  </si>
  <si>
    <t>Orthopaedi</t>
  </si>
  <si>
    <t>0902R0011222V017532</t>
  </si>
  <si>
    <t>MUHAMMAD AIDHIL BELVAMIRO</t>
  </si>
  <si>
    <t>Gigi dan Mulut</t>
  </si>
  <si>
    <t>0902R0011222V025135</t>
  </si>
  <si>
    <t>APRILLIA ROSALINA DEVI</t>
  </si>
  <si>
    <t>21/04/1988</t>
  </si>
  <si>
    <t>0902R0011222V016776</t>
  </si>
  <si>
    <t>ELI SUGIARTI</t>
  </si>
  <si>
    <t>18/03/1938</t>
  </si>
  <si>
    <t>0902R0011222V024617</t>
  </si>
  <si>
    <t xml:space="preserve">RINGGO PRAGITA GUMILAR </t>
  </si>
  <si>
    <t>23/11/2021</t>
  </si>
  <si>
    <t>0902R0011222V026413</t>
  </si>
  <si>
    <t>NIKEN WIRA WINATA</t>
  </si>
  <si>
    <t>14/10/2015</t>
  </si>
  <si>
    <t>0902R0011222V025666</t>
  </si>
  <si>
    <t>SUGIARTI</t>
  </si>
  <si>
    <t>0902R0011222V019527</t>
  </si>
  <si>
    <t>ROSMAIDA LIMBONG</t>
  </si>
  <si>
    <t>0902R0011222V027710</t>
  </si>
  <si>
    <t>MUHAMMAD FAUZI ABDULLAH</t>
  </si>
  <si>
    <t>29/11/2004</t>
  </si>
  <si>
    <t xml:space="preserve">Instalasi Griya Husada </t>
  </si>
  <si>
    <t>Penyakit Dalam (IGH)</t>
  </si>
  <si>
    <t>0902R0011222V027016</t>
  </si>
  <si>
    <t>MARMI SURODIHARDJO</t>
  </si>
  <si>
    <t>29/09/1955</t>
  </si>
  <si>
    <t>Instalasi Rehabilitasi Medik</t>
  </si>
  <si>
    <t>Rehabilitasi Medik</t>
  </si>
  <si>
    <t>0902R0010123V000107</t>
  </si>
  <si>
    <t>RATNAWATI</t>
  </si>
  <si>
    <t>0902R0011122V024061</t>
  </si>
  <si>
    <t>Anak (IGH)</t>
  </si>
  <si>
    <t>ZALFA SALSABILA</t>
  </si>
  <si>
    <t>30/05/2006</t>
  </si>
  <si>
    <t>0902R0010123V000093</t>
  </si>
  <si>
    <t>SURYATI=&gt;01564299</t>
  </si>
  <si>
    <t>0902R0010123V000620</t>
  </si>
  <si>
    <t>0902R0010123V000351</t>
  </si>
  <si>
    <t>MARIA KRISTAWATI</t>
  </si>
  <si>
    <t>27/11/1963</t>
  </si>
  <si>
    <t>Fisioterapi</t>
  </si>
  <si>
    <t>0902R0010123V000117</t>
  </si>
  <si>
    <t>DWI KUSUMASTUTI</t>
  </si>
  <si>
    <t>0902R0011222V005938</t>
  </si>
  <si>
    <t>RETNO UTAMI RAHAYU</t>
  </si>
  <si>
    <t>Terapi Okupasi</t>
  </si>
  <si>
    <t>0902R0010123V000108</t>
  </si>
  <si>
    <t>HAIDAR PUTRA HERMAWAN</t>
  </si>
  <si>
    <t>31/08/2018</t>
  </si>
  <si>
    <t>0902R0010123V000104</t>
  </si>
  <si>
    <t>ALIM MUDIN</t>
  </si>
  <si>
    <t>26/11/1994</t>
  </si>
  <si>
    <t>Bedah Orthopedi (IGH)</t>
  </si>
  <si>
    <t>SENTOT SUBAGIO</t>
  </si>
  <si>
    <t>31/12/1958</t>
  </si>
  <si>
    <t>0902R0010123V000369</t>
  </si>
  <si>
    <t>KURNIAWATI</t>
  </si>
  <si>
    <t>14/10/1982</t>
  </si>
  <si>
    <t>Terapi Wicara</t>
  </si>
  <si>
    <t>0902R0010123V000103</t>
  </si>
  <si>
    <t>FILLIO AZRIL YUFA RAMADHAN</t>
  </si>
  <si>
    <t>28/05/2017</t>
  </si>
  <si>
    <t>0902R0010123V000099</t>
  </si>
  <si>
    <t>TRI SETIYANI</t>
  </si>
  <si>
    <t>28/05/1965</t>
  </si>
  <si>
    <t>0902R0011122V025152</t>
  </si>
  <si>
    <t>ROHMADI</t>
  </si>
  <si>
    <t>25/03/1959</t>
  </si>
  <si>
    <t>0902R0010123V000090</t>
  </si>
  <si>
    <t>HETTY SETIAWATI</t>
  </si>
  <si>
    <t>0902R0010123V000127</t>
  </si>
  <si>
    <t>DINDA KARUNIA SOMANTRI</t>
  </si>
  <si>
    <t>22/08/1994</t>
  </si>
  <si>
    <t>0902R0011122V022854</t>
  </si>
  <si>
    <t>ARFAN PUTRA MARZUKI</t>
  </si>
  <si>
    <t>MAY ULLY TERESA SILALAHI</t>
  </si>
  <si>
    <t>0902R0011222V021993</t>
  </si>
  <si>
    <t>TEDI ROYANI</t>
  </si>
  <si>
    <t>0902R0010123V000121</t>
  </si>
  <si>
    <t>SRI WAHYUNINGSIH</t>
  </si>
  <si>
    <t>0902R0011022V020144</t>
  </si>
  <si>
    <t>MARRISCA CYNTHIA SANDHORA</t>
  </si>
  <si>
    <t>0902R0011222V002650</t>
  </si>
  <si>
    <t>LOREN ANDREAS</t>
  </si>
  <si>
    <t>0902R0011222V028199</t>
  </si>
  <si>
    <t>AULIA CALIANA AREETA</t>
  </si>
  <si>
    <t>19/08/2022</t>
  </si>
  <si>
    <t>0902R0011222V004446</t>
  </si>
  <si>
    <t>E M A H</t>
  </si>
  <si>
    <t>Kebidanan dan Kandungan</t>
  </si>
  <si>
    <t>0902R0011222V014299</t>
  </si>
  <si>
    <t>ROSIAH</t>
  </si>
  <si>
    <t>Mata</t>
  </si>
  <si>
    <t>0902R0011222V006617</t>
  </si>
  <si>
    <t>INDAH</t>
  </si>
  <si>
    <t>16/06/1982</t>
  </si>
  <si>
    <t>0902R0010123V000125</t>
  </si>
  <si>
    <t>RATIH MAYANGSARI</t>
  </si>
  <si>
    <t>19/05/1991</t>
  </si>
  <si>
    <t>Saraf</t>
  </si>
  <si>
    <t>0902R0010922V019396</t>
  </si>
  <si>
    <t>WIDYA YANTI</t>
  </si>
  <si>
    <t>24/02/1979</t>
  </si>
  <si>
    <t>0902R0011022V017686</t>
  </si>
  <si>
    <t>PAULA ITA SULISTYANI</t>
  </si>
  <si>
    <t>15/01/1965</t>
  </si>
  <si>
    <t>0902R0011122V026524</t>
  </si>
  <si>
    <t>IHSAN FAHREZA</t>
  </si>
  <si>
    <t>0902R0010123V000134</t>
  </si>
  <si>
    <t>TITIS DWI LESTARI</t>
  </si>
  <si>
    <t>13/11/1996</t>
  </si>
  <si>
    <t>0902R0010123V000129</t>
  </si>
  <si>
    <t>HENDRI EDIONO</t>
  </si>
  <si>
    <t>14/05/1965</t>
  </si>
  <si>
    <t>0902R0010123V000132</t>
  </si>
  <si>
    <t>LIS NILANSARI</t>
  </si>
  <si>
    <t>0902R0011122V021129</t>
  </si>
  <si>
    <t>SUMADI</t>
  </si>
  <si>
    <t>0902R0010123V000137</t>
  </si>
  <si>
    <t>ELFIRA CHANDRA</t>
  </si>
  <si>
    <t>0902R0011022V012350</t>
  </si>
  <si>
    <t>ANITA</t>
  </si>
  <si>
    <t>0902R0011122V007204</t>
  </si>
  <si>
    <t>RR NIKEN ARTAMI</t>
  </si>
  <si>
    <t>24/03/1987</t>
  </si>
  <si>
    <t>Instalasi Bedah Sentral</t>
  </si>
  <si>
    <t>OK Elektif</t>
  </si>
  <si>
    <t>0902R0011222V027218</t>
  </si>
  <si>
    <t>0902R0010123V000163</t>
  </si>
  <si>
    <t>ANWAR HUNUS SAKTI</t>
  </si>
  <si>
    <t>0902R0011222V026449</t>
  </si>
  <si>
    <t>YUNITA IRAWAN</t>
  </si>
  <si>
    <t>0902R0011222V028167</t>
  </si>
  <si>
    <t>DIANA HUTAURUK</t>
  </si>
  <si>
    <t>0902R0011222V009161</t>
  </si>
  <si>
    <t>0902R0011222V028349</t>
  </si>
  <si>
    <t>ABDUL RAZAK</t>
  </si>
  <si>
    <t>30/12/1958</t>
  </si>
  <si>
    <t>0902R0010123V000152</t>
  </si>
  <si>
    <t>AGUS IRAWATI, DRA</t>
  </si>
  <si>
    <t>0902R0011222V009176</t>
  </si>
  <si>
    <t>0902R0011222V028372</t>
  </si>
  <si>
    <t>MANTINAH</t>
  </si>
  <si>
    <t>31/12/1959</t>
  </si>
  <si>
    <t>0902R0010123V000154</t>
  </si>
  <si>
    <t>MUHAMAD AZKA MUNANDAR</t>
  </si>
  <si>
    <t>Sub Bedah Digestif</t>
  </si>
  <si>
    <t>0902R0011222V022848</t>
  </si>
  <si>
    <t>NUR'ALAM</t>
  </si>
  <si>
    <t>0902R0010123V000143</t>
  </si>
  <si>
    <t>JEREMIAH HINSA HAMONANGAN SUTOPO</t>
  </si>
  <si>
    <t>29/03/2020</t>
  </si>
  <si>
    <t>Sub Bedah Onk/Kanker</t>
  </si>
  <si>
    <t>0902R0011222V010950</t>
  </si>
  <si>
    <t>NGATEMI PRAYITNO</t>
  </si>
  <si>
    <t>28/07/1974</t>
  </si>
  <si>
    <t>BOUGENVILLE DIAG. CENTER</t>
  </si>
  <si>
    <t>Bougenville Diag. Center</t>
  </si>
  <si>
    <t>0902R0011122V027834</t>
  </si>
  <si>
    <t>DIAN SALINDRI</t>
  </si>
  <si>
    <t>22/05/1984</t>
  </si>
  <si>
    <t>0902R0011122V027797</t>
  </si>
  <si>
    <t>SRI KUNTI MULJANI</t>
  </si>
  <si>
    <t>20/06/1952</t>
  </si>
  <si>
    <t>0902R0011222V027033</t>
  </si>
  <si>
    <t>AGUS INDARDJONO, IR</t>
  </si>
  <si>
    <t>0902R0011122V024727</t>
  </si>
  <si>
    <t>SUMARNI</t>
  </si>
  <si>
    <t>0902R0011222V024105</t>
  </si>
  <si>
    <t>ALHUSEN KURNIAWAN</t>
  </si>
  <si>
    <t>28/12/2017</t>
  </si>
  <si>
    <t>Sub Bedah Onkologi/Tumor (IGH)</t>
  </si>
  <si>
    <t>0902R0011222V026115</t>
  </si>
  <si>
    <t>DJURIAH</t>
  </si>
  <si>
    <t>14/12/1959</t>
  </si>
  <si>
    <t>0902R0011222V026582</t>
  </si>
  <si>
    <t>SUKARDI</t>
  </si>
  <si>
    <t>27/12/1970</t>
  </si>
  <si>
    <t>0902R0010123V000166</t>
  </si>
  <si>
    <t>MUHAROH MUGENI MARJUKI</t>
  </si>
  <si>
    <t>15/03/1961</t>
  </si>
  <si>
    <t>0902R0011222V025132</t>
  </si>
  <si>
    <t>CYNTTHIA EVAN ANGGRAENI</t>
  </si>
  <si>
    <t>0902R0011222V011114</t>
  </si>
  <si>
    <t>SRI MAMIE ATMODJO  GB KE=&gt;1827287</t>
  </si>
  <si>
    <t>19/01/1941</t>
  </si>
  <si>
    <t>0902R0010123V000179</t>
  </si>
  <si>
    <t>MARIHOT HOLOMOAN</t>
  </si>
  <si>
    <t>14/07/1960</t>
  </si>
  <si>
    <t>0902R0011222V028371</t>
  </si>
  <si>
    <t>JAYANG KIRIM</t>
  </si>
  <si>
    <t>13/12/1965</t>
  </si>
  <si>
    <t>Paru</t>
  </si>
  <si>
    <t>0902R0011222V006174</t>
  </si>
  <si>
    <t>ATIA FITRI FEBRIANTI</t>
  </si>
  <si>
    <t>0902R0011222V009267</t>
  </si>
  <si>
    <t>0902R0011222V022096</t>
  </si>
  <si>
    <t>SULIMI SHOLEH</t>
  </si>
  <si>
    <t>21/05/1968</t>
  </si>
  <si>
    <t>0902R0011222V028278</t>
  </si>
  <si>
    <t>MU'ARIF WS</t>
  </si>
  <si>
    <t>14/08/1965</t>
  </si>
  <si>
    <t>0902R0010123V000180</t>
  </si>
  <si>
    <t>RIZQAN PATRIA UTAMA</t>
  </si>
  <si>
    <t>0902R0011222V009209</t>
  </si>
  <si>
    <t>NUR ASIYAH</t>
  </si>
  <si>
    <t>19/08/1967</t>
  </si>
  <si>
    <t>0902R0011222V024143</t>
  </si>
  <si>
    <t xml:space="preserve">SAMSURI </t>
  </si>
  <si>
    <t>Depo IRJ LT 1</t>
  </si>
  <si>
    <t>Sub Bedah Vaskuler</t>
  </si>
  <si>
    <t>0902R0011222V020225</t>
  </si>
  <si>
    <t>KUSTI</t>
  </si>
  <si>
    <t>28/08/1965</t>
  </si>
  <si>
    <t>Bedah Umum</t>
  </si>
  <si>
    <t>0902R0011222V027470</t>
  </si>
  <si>
    <t>PRANA TUNGGA</t>
  </si>
  <si>
    <t>15/04/1961</t>
  </si>
  <si>
    <t>0902R0010123V000216</t>
  </si>
  <si>
    <t>ABDUL AJIS</t>
  </si>
  <si>
    <t>31/07/1988</t>
  </si>
  <si>
    <t>0902R0011222V000313</t>
  </si>
  <si>
    <t>WAN MAIZA NELLYWATI</t>
  </si>
  <si>
    <t>0902R0010123V001107</t>
  </si>
  <si>
    <t>FATHUR BUDI ALTAMIS</t>
  </si>
  <si>
    <t>0902R0011222V020612</t>
  </si>
  <si>
    <t>HAURANISSA AMALIA DIEN</t>
  </si>
  <si>
    <t>16/11/1996</t>
  </si>
  <si>
    <t>Kulit dan Kelamin</t>
  </si>
  <si>
    <t>HAFIZH NUHA MAKARIM</t>
  </si>
  <si>
    <t>26/09/2001</t>
  </si>
  <si>
    <t>0902R0011222V009155</t>
  </si>
  <si>
    <t>0902R0010123V000091</t>
  </si>
  <si>
    <t>ROHANI HODIJAH</t>
  </si>
  <si>
    <t>20/02/1958</t>
  </si>
  <si>
    <t>0902R0011222V013597</t>
  </si>
  <si>
    <t>SUPARTI HJ  AMD, PD,SHI</t>
  </si>
  <si>
    <t>0902R0010123V000188</t>
  </si>
  <si>
    <t>RAZKA LANGIT RAMADHAN</t>
  </si>
  <si>
    <t>17/05/2020</t>
  </si>
  <si>
    <t>LEONOVA MARLIUS</t>
  </si>
  <si>
    <t>13/05/1960</t>
  </si>
  <si>
    <t>IKI PERMANA</t>
  </si>
  <si>
    <t>SUTARNO</t>
  </si>
  <si>
    <t>25/12/1966</t>
  </si>
  <si>
    <t>0902R0010123V000982</t>
  </si>
  <si>
    <t>MIRZA AIMAN YUSUF</t>
  </si>
  <si>
    <t>17/06/2015</t>
  </si>
  <si>
    <t>0902R0011222V005821</t>
  </si>
  <si>
    <t>SUDARSONO</t>
  </si>
  <si>
    <t>31/08/1970</t>
  </si>
  <si>
    <t>0902R0011222V001410</t>
  </si>
  <si>
    <t>TIAMSA SIREGAR</t>
  </si>
  <si>
    <t>0902R0011222V009165</t>
  </si>
  <si>
    <t>0902R0010123V000239</t>
  </si>
  <si>
    <t>SURYA ABUBAKAR</t>
  </si>
  <si>
    <t>23/05/1961</t>
  </si>
  <si>
    <t>0902R0010123V000411</t>
  </si>
  <si>
    <t>HENDRIYANI</t>
  </si>
  <si>
    <t>0902R0011122V014442</t>
  </si>
  <si>
    <t>TONI HIDAYAT SIDIK</t>
  </si>
  <si>
    <t>13/06/1989</t>
  </si>
  <si>
    <t>0902R0011222V022946</t>
  </si>
  <si>
    <t>FITRIYANA</t>
  </si>
  <si>
    <t>18/08/1981</t>
  </si>
  <si>
    <t>0902R0010123V000448</t>
  </si>
  <si>
    <t>R RATNA JULIA</t>
  </si>
  <si>
    <t>0902R0011222V005406</t>
  </si>
  <si>
    <t>ACHMAD MARASABESSY</t>
  </si>
  <si>
    <t>14/09/1944</t>
  </si>
  <si>
    <t>0902R0011122V027831</t>
  </si>
  <si>
    <t>YOETO PRANOTO</t>
  </si>
  <si>
    <t>20/05/1953</t>
  </si>
  <si>
    <t>SERKAN OZTURK</t>
  </si>
  <si>
    <t>0902R0010123V000420</t>
  </si>
  <si>
    <t>WIDITRA FETTY MARGARET</t>
  </si>
  <si>
    <t>27/02/1990</t>
  </si>
  <si>
    <t>0902R0011222V026429</t>
  </si>
  <si>
    <t>MARHAMAH DJAMBEK</t>
  </si>
  <si>
    <t>0902R0010123V000248</t>
  </si>
  <si>
    <t>FITRIYANA TAUFIK</t>
  </si>
  <si>
    <t>22/09/1976</t>
  </si>
  <si>
    <t>0902R0011122V025194</t>
  </si>
  <si>
    <t>DEDE ROHAYAT</t>
  </si>
  <si>
    <t>0902R0011222V002471</t>
  </si>
  <si>
    <t>Kunjungan</t>
  </si>
  <si>
    <t>OK Cito</t>
  </si>
  <si>
    <t>Instalasi Bougenville</t>
  </si>
  <si>
    <t>Depo Griya Husada</t>
  </si>
  <si>
    <t>Depo IBS</t>
  </si>
  <si>
    <t>Depo IRJ LT 3</t>
  </si>
  <si>
    <t>Depo Metadon</t>
  </si>
  <si>
    <t>Depo OK CITO</t>
  </si>
  <si>
    <t>Depo Produksi</t>
  </si>
  <si>
    <t>Gudang Expired</t>
  </si>
  <si>
    <t>Lab MCU</t>
  </si>
  <si>
    <t>Patologi Anatomi</t>
  </si>
  <si>
    <t>ISPA</t>
  </si>
  <si>
    <t>Klub Jantung</t>
  </si>
  <si>
    <t>Ortotik Prostetik</t>
  </si>
  <si>
    <t>Psikologi</t>
  </si>
  <si>
    <t>RI ICCU</t>
  </si>
  <si>
    <t>RI ICU</t>
  </si>
  <si>
    <t>RI Instalasi Rawat Inap</t>
  </si>
  <si>
    <t>Anggrek 1</t>
  </si>
  <si>
    <t>Anggrek 3 Isolasi Tanpa Tekanan Negatif</t>
  </si>
  <si>
    <t>Anggrek 6 (Isolasi Tek Negatif)</t>
  </si>
  <si>
    <t>IRI  Lt 3 - HCU,R.Boarding Kebid</t>
  </si>
  <si>
    <t>IRI  Lt 3 - R. Perinatologi</t>
  </si>
  <si>
    <t>IRI Lt 3 - HCU Anak</t>
  </si>
  <si>
    <t>IRI Lt 3 - Rawat Obstetri</t>
  </si>
  <si>
    <t>M 1 ICU Non Venti COVID</t>
  </si>
  <si>
    <t>M 5 Isolasi COVID</t>
  </si>
  <si>
    <t>M6 VK Covid</t>
  </si>
  <si>
    <t>Stroke Unit</t>
  </si>
  <si>
    <t>RI NICU/PICU</t>
  </si>
  <si>
    <t>Anggrek 6 (NICU Tkn Neg Tnp Venti)</t>
  </si>
  <si>
    <t>Anggrek 6 (PICU Tkn Neg Dgn Venti)</t>
  </si>
  <si>
    <t>IRI Lt 3 - NICU</t>
  </si>
  <si>
    <t>IRI Lt 3 - NICU Non Venti</t>
  </si>
  <si>
    <t>IRI Lt 3 - NICU Venti</t>
  </si>
  <si>
    <t>RJ Instalasi Rawat Jalan</t>
  </si>
  <si>
    <t>Akupuntur (IGH)</t>
  </si>
  <si>
    <t>Anestesi</t>
  </si>
  <si>
    <t>Anestesi (IGH)</t>
  </si>
  <si>
    <t>Bedah Saraf</t>
  </si>
  <si>
    <t>Bedah Saraf (IGH)</t>
  </si>
  <si>
    <t>Bedah Umum (IGH)</t>
  </si>
  <si>
    <t>Bougenville MCU</t>
  </si>
  <si>
    <t>Cath Lab</t>
  </si>
  <si>
    <t>Edukasi / PLDT</t>
  </si>
  <si>
    <t>Fatma Kencana (PKBRS)</t>
  </si>
  <si>
    <t>Gigi dan Mulut (IGH)</t>
  </si>
  <si>
    <t>Gigi Ortho</t>
  </si>
  <si>
    <t>Gigi Prothesa</t>
  </si>
  <si>
    <t>Gizi</t>
  </si>
  <si>
    <t>Gizi / PLDT</t>
  </si>
  <si>
    <t>Gizi IGH</t>
  </si>
  <si>
    <t>ISPA (IGH)</t>
  </si>
  <si>
    <t>Jantung</t>
  </si>
  <si>
    <t>Jantung (IGH)</t>
  </si>
  <si>
    <t>Jiwa</t>
  </si>
  <si>
    <t>Jiwa (IGH)</t>
  </si>
  <si>
    <t>Kanker / PPKT</t>
  </si>
  <si>
    <t>Kebidanan dan Kandungan (IGH)</t>
  </si>
  <si>
    <t>Kedokteran Okupasi</t>
  </si>
  <si>
    <t>Kedokteran Okupasi (IGH)</t>
  </si>
  <si>
    <t>Khemoterapi</t>
  </si>
  <si>
    <t>Klinik Kaki Diabetes</t>
  </si>
  <si>
    <t xml:space="preserve">Konsul ICU </t>
  </si>
  <si>
    <t>Kulit dan Kelamin (IGH)</t>
  </si>
  <si>
    <t>Mata (IGH)</t>
  </si>
  <si>
    <t>Mata ODC</t>
  </si>
  <si>
    <t>Metadon</t>
  </si>
  <si>
    <t>Paru (IGH)</t>
  </si>
  <si>
    <t>Penyakit Dalam CAPD</t>
  </si>
  <si>
    <t>PPRA</t>
  </si>
  <si>
    <t>Rehabilitasi Medik (IGH)</t>
  </si>
  <si>
    <t>Saraf (IGH)</t>
  </si>
  <si>
    <t>Sentra Vaksinasi (IGH)</t>
  </si>
  <si>
    <t>Sub Anak Endokrin</t>
  </si>
  <si>
    <t>Sub Anak Gastroenterologi</t>
  </si>
  <si>
    <t>Sub Anak Gizi dan Metabolik</t>
  </si>
  <si>
    <t>Sub Anak Hematologi</t>
  </si>
  <si>
    <t>Sub Anak Imunologi</t>
  </si>
  <si>
    <t>Sub Anak Infeksi</t>
  </si>
  <si>
    <t>Sub Anak Kardiogi</t>
  </si>
  <si>
    <t>Sub Anak Neprologi</t>
  </si>
  <si>
    <t>Sub Anak Neurologi</t>
  </si>
  <si>
    <t>Sub Anak Paru</t>
  </si>
  <si>
    <t>Sub Anak Pediatrik Sosial</t>
  </si>
  <si>
    <t>Sub Anak Saraf</t>
  </si>
  <si>
    <t>Sub Bedah Anak</t>
  </si>
  <si>
    <t>Sub Bedah Anak (IGH)</t>
  </si>
  <si>
    <t>Sub Bedah Digestif (IGH)</t>
  </si>
  <si>
    <t>Sub Bedah Plastik</t>
  </si>
  <si>
    <t>Sub Bedah Plastik (IGH)</t>
  </si>
  <si>
    <t>Sub Bedah Thorak (IGH)</t>
  </si>
  <si>
    <t>Sub Bedah Thorax</t>
  </si>
  <si>
    <t>Sub Bedah Urologi (IGH)</t>
  </si>
  <si>
    <t>Sub Bedah Vaskuler (IGH)</t>
  </si>
  <si>
    <t>Sub Mata Retina</t>
  </si>
  <si>
    <t>Sub Ortho Anak</t>
  </si>
  <si>
    <t>Sub Ortho Kaki</t>
  </si>
  <si>
    <t>Sub Ortho Lengan Atas dan Bahu</t>
  </si>
  <si>
    <t>Sub Ortho Lengan Bawah dan Siku</t>
  </si>
  <si>
    <t>Sub Ortho Lutut</t>
  </si>
  <si>
    <t>Sub Ortho Paha dan Pinggul</t>
  </si>
  <si>
    <t>Sub Ortho Tulang Belakang</t>
  </si>
  <si>
    <t>Sub Ortho Tumor</t>
  </si>
  <si>
    <t>Sub PD Alergi Imunologi</t>
  </si>
  <si>
    <t>Sub PD Bag DM</t>
  </si>
  <si>
    <t>Sub PD Bag Endokrin</t>
  </si>
  <si>
    <t>Sub PD Bag Gastro Hepatologi</t>
  </si>
  <si>
    <t>Sub PD Bag Ginjal Hipertensi</t>
  </si>
  <si>
    <t>Sub PD Bag Hemato Onko Medik</t>
  </si>
  <si>
    <t>Sub PD Bag Infeksi</t>
  </si>
  <si>
    <t>Sub PD Bag Rematologi</t>
  </si>
  <si>
    <t>Sub PD Dalam Endokrin</t>
  </si>
  <si>
    <t>Sub PD Gastro Entero Hepatologi</t>
  </si>
  <si>
    <t>Sub PD Geriatri</t>
  </si>
  <si>
    <t>Sub PD Rhematologi</t>
  </si>
  <si>
    <t>Sub PD Tropik Infeksi</t>
  </si>
  <si>
    <t>TBRO</t>
  </si>
  <si>
    <t>THT</t>
  </si>
  <si>
    <t>THT (IGH)</t>
  </si>
  <si>
    <t>Tim Paliatif</t>
  </si>
  <si>
    <t>Tumbang</t>
  </si>
  <si>
    <t>Unit Kardiovasculer Intervensi</t>
  </si>
  <si>
    <t>UPPA (Unit Pelayanan Perempuan dan Anak)</t>
  </si>
  <si>
    <t>Wijaya Kusuma</t>
  </si>
  <si>
    <t>INSTALASI</t>
  </si>
  <si>
    <t>RUANGAN</t>
  </si>
  <si>
    <t>JENIS</t>
  </si>
  <si>
    <t>Dokter Umum</t>
  </si>
  <si>
    <t>K2023032032</t>
  </si>
  <si>
    <t>Zulfadly Sayuti Wiyaka</t>
  </si>
  <si>
    <t>Visite</t>
  </si>
  <si>
    <t xml:space="preserve">X ray C.Arm  </t>
  </si>
  <si>
    <t>Radiologi</t>
  </si>
  <si>
    <t>Westri Elfilia Arthanti</t>
  </si>
  <si>
    <t>Whole Spine AP/ Lateral  (Induk)</t>
  </si>
  <si>
    <t>Forensik dan Medikolegal</t>
  </si>
  <si>
    <t>Retno Sawitri</t>
  </si>
  <si>
    <t>Sertifikat Medis Penyebab Kematian (SMPK)</t>
  </si>
  <si>
    <t>Silmi Kaffah</t>
  </si>
  <si>
    <t>Yuniarti</t>
  </si>
  <si>
    <t>Interna</t>
  </si>
  <si>
    <t>K2022111001</t>
  </si>
  <si>
    <t>Santi Sumihar Rumondang Parhusip</t>
  </si>
  <si>
    <t>Rianita</t>
  </si>
  <si>
    <t>Bedah Tumor</t>
  </si>
  <si>
    <t>M. Yadi Permana</t>
  </si>
  <si>
    <t>K2022022019</t>
  </si>
  <si>
    <t>Tumpal Yansen Sihombing</t>
  </si>
  <si>
    <t>Ginjal-Hipertensi</t>
  </si>
  <si>
    <t>Elizabeth Yasmine Wardoyo</t>
  </si>
  <si>
    <t>Jantung dan Pembuluh Darah</t>
  </si>
  <si>
    <t>K2022121001</t>
  </si>
  <si>
    <t>Siti Irma Mashitah</t>
  </si>
  <si>
    <t>Mohamad Tiya Romli</t>
  </si>
  <si>
    <t>Rehab Medik</t>
  </si>
  <si>
    <t>K2022102002</t>
  </si>
  <si>
    <t>Yani Damayanti</t>
  </si>
  <si>
    <t>Endokrin-Metabolik-Diabetes</t>
  </si>
  <si>
    <t>Marina Epriliawati</t>
  </si>
  <si>
    <t>K2022092006</t>
  </si>
  <si>
    <t>Pribadyo</t>
  </si>
  <si>
    <t>Vitrectomy</t>
  </si>
  <si>
    <t>Bedah Digestif</t>
  </si>
  <si>
    <t>Aditomo Widarso</t>
  </si>
  <si>
    <t>Anastesi</t>
  </si>
  <si>
    <t>K2021012002</t>
  </si>
  <si>
    <t>Bedah Vaskuler</t>
  </si>
  <si>
    <t>Witra Irfan</t>
  </si>
  <si>
    <t>Kulit &amp; Kelamin</t>
  </si>
  <si>
    <t>Yufanti Sujudi</t>
  </si>
  <si>
    <t>Bedah Orthopedi</t>
  </si>
  <si>
    <t>Yoshi Pratama Djaja</t>
  </si>
  <si>
    <t>Bedah Urologi</t>
  </si>
  <si>
    <t>Yonas Immanuel Hutasoit</t>
  </si>
  <si>
    <t>Toni Agus Setiono</t>
  </si>
  <si>
    <t>Obgyn</t>
  </si>
  <si>
    <t>K2023011001</t>
  </si>
  <si>
    <t>Sylahuddin</t>
  </si>
  <si>
    <t>Bedah Plastik</t>
  </si>
  <si>
    <t>K2021082002</t>
  </si>
  <si>
    <t>Sara Ester Triatmoko</t>
  </si>
  <si>
    <t>Bedah Anak</t>
  </si>
  <si>
    <t>Nanok Edi Susilo</t>
  </si>
  <si>
    <t>Pemeriksaan Dokter Spesialis Konsultan</t>
  </si>
  <si>
    <t>THT-KL</t>
  </si>
  <si>
    <t>K2020011001</t>
  </si>
  <si>
    <t>Zainal Adhim</t>
  </si>
  <si>
    <t>Bedah Thorax dan Vasculer</t>
  </si>
  <si>
    <t>Widya Trianita Suwatri</t>
  </si>
  <si>
    <t>Ika Sri Nurtantri</t>
  </si>
  <si>
    <t>Gigi</t>
  </si>
  <si>
    <t>Penyakit Tropik-Infeksi</t>
  </si>
  <si>
    <t>Ifael Yerosias Mauleti</t>
  </si>
  <si>
    <t>Hematologi-Onkologi Medik</t>
  </si>
  <si>
    <t>Diah Ari Safitri</t>
  </si>
  <si>
    <t>Sarwanti</t>
  </si>
  <si>
    <t>Tindakan Suntik / Injeksi Intravena (UE)</t>
  </si>
  <si>
    <t>Enos Hagogoan Siburian</t>
  </si>
  <si>
    <t>Pemeriksaan Dokter Spesialis</t>
  </si>
  <si>
    <t>Tindakan Transfusi (Thalassaemia)</t>
  </si>
  <si>
    <t>Shynta Dewiyana Hantogo</t>
  </si>
  <si>
    <t>Konsultasi Rawat Inap</t>
  </si>
  <si>
    <t>Tindakan Suntikan / Injeksi Intravena Langsung</t>
  </si>
  <si>
    <t>Ida Ayu Made Kshanti Dharma Paramita</t>
  </si>
  <si>
    <t>Wawancara</t>
  </si>
  <si>
    <t>Wini Widiani</t>
  </si>
  <si>
    <t>Urodinamik Flow/Flow EMG</t>
  </si>
  <si>
    <t xml:space="preserve">Trans Thoracal Biopsi  (TTB) / Aspirasi </t>
  </si>
  <si>
    <t>Elida Sari Siburian</t>
  </si>
  <si>
    <t>VC / Jaringan Besar (Batas Sayatan) (B.Prima)</t>
  </si>
  <si>
    <t>Maysam Irawati</t>
  </si>
  <si>
    <t>Spirometri</t>
  </si>
  <si>
    <t>Dany K Ramdhan</t>
  </si>
  <si>
    <t>Perawatan Luka Sedang</t>
  </si>
  <si>
    <t>Tindakan Suntikan / Injeksi Intramuscular</t>
  </si>
  <si>
    <t>Pratiwi Andayani</t>
  </si>
  <si>
    <t>Adianto Nugroho</t>
  </si>
  <si>
    <t>Pemeriksaan (UE/IGD)</t>
  </si>
  <si>
    <t>K2022042002</t>
  </si>
  <si>
    <t>Konsultasi (UE/IGD)</t>
  </si>
  <si>
    <t>Nanny Rachmat</t>
  </si>
  <si>
    <t>Syamsu Hudaya</t>
  </si>
  <si>
    <t>WSD (VK)</t>
  </si>
  <si>
    <t>K2022011001</t>
  </si>
  <si>
    <t>Zeta Auriga</t>
  </si>
  <si>
    <t>ZONA I (0 - 30 km)</t>
  </si>
  <si>
    <t>K2023032031</t>
  </si>
  <si>
    <t>Wash Eritrosit (WE) dengan NAT</t>
  </si>
  <si>
    <t>WSD</t>
  </si>
  <si>
    <t>Vascular Doppler (VD) (GH)</t>
  </si>
  <si>
    <t>Uji Latih Kardiorespirasi</t>
  </si>
  <si>
    <t>Wide Exicion Tumor Kulit/ Soft Tissue (B.Onkologi - B.Prima)</t>
  </si>
  <si>
    <t>QTY</t>
  </si>
  <si>
    <t>NILAI</t>
  </si>
  <si>
    <t>Widal ( Infeksi lain )</t>
  </si>
  <si>
    <t>Vascular Doppler (VD)</t>
  </si>
  <si>
    <t>Stress Echo : Exercise Stress Echo</t>
  </si>
  <si>
    <t>Ligasi Varices Esofagus Anes</t>
  </si>
  <si>
    <t>Asri Dwi Rachmawati</t>
  </si>
  <si>
    <t>Konsultasi Dokter Spesialis</t>
  </si>
  <si>
    <t>Ugi Sugiri</t>
  </si>
  <si>
    <t>Echocardiography</t>
  </si>
  <si>
    <t>FNAB (Fine Needle Aspiration Biopsi) (GH)</t>
  </si>
  <si>
    <t>Gastroenterologi-Hepatologi</t>
  </si>
  <si>
    <t>Edi Mulyana</t>
  </si>
  <si>
    <t>Anggraini Permata Sari</t>
  </si>
  <si>
    <t>Rectosigmoidoscopy</t>
  </si>
  <si>
    <t>Malvin Emeraldi</t>
  </si>
  <si>
    <t>Konsultasi Dokter Umum</t>
  </si>
  <si>
    <t>Sita Asri Rasad</t>
  </si>
  <si>
    <t>Wide excision keganasan maksilofasial + rekonstruksi</t>
  </si>
  <si>
    <t>Ramadina Karunia Algamar</t>
  </si>
  <si>
    <t>Timpanoplasti Tipe II</t>
  </si>
  <si>
    <t>Rofi Yuldi Saunar</t>
  </si>
  <si>
    <t>VATS (Video Assisted Thoracoscopic Surgery)</t>
  </si>
  <si>
    <t>Tyroidectomie</t>
  </si>
  <si>
    <t>Tindakan Suntik / Injeksi Intravena Langsung</t>
  </si>
  <si>
    <t>Ilham Ramadhan</t>
  </si>
  <si>
    <t>Sequestrectomy</t>
  </si>
  <si>
    <t>Achyar</t>
  </si>
  <si>
    <t>Yulia Miftahul Janna</t>
  </si>
  <si>
    <t>Non SMF</t>
  </si>
  <si>
    <t>Aprillia Eka Puspita</t>
  </si>
  <si>
    <t>Sirkumsisi Anak</t>
  </si>
  <si>
    <t>Yuri Feharsal</t>
  </si>
  <si>
    <t>Trans Vaginal Hystrectomie</t>
  </si>
  <si>
    <t>Bronkoskopi Melalui Stoma</t>
  </si>
  <si>
    <t>Dieby Adrisyel</t>
  </si>
  <si>
    <t>Drinase Insisi</t>
  </si>
  <si>
    <t>Skoliosis Vertebra dan Tumor Medulla Spinalis (IOM)</t>
  </si>
  <si>
    <t xml:space="preserve">Packed Red Cell (PRC) dengan NAT </t>
  </si>
  <si>
    <t>Fresh Frozen Plasma ( FFP ) dengan NAT</t>
  </si>
  <si>
    <t>Biopsi Jaringan Sedang Tumor Mammae (B.Prima)</t>
  </si>
  <si>
    <t>Plebotomi untuk Terapi</t>
  </si>
  <si>
    <t>Devi Arofah Mumtazah</t>
  </si>
  <si>
    <t>Ratih Pahlesia</t>
  </si>
  <si>
    <t>Pengolahan Labu Darah</t>
  </si>
  <si>
    <t>K2017112004</t>
  </si>
  <si>
    <t>Patologi Klinik</t>
  </si>
  <si>
    <t>Veronica Fridawati</t>
  </si>
  <si>
    <t>TCM SARS CoV2</t>
  </si>
  <si>
    <t>Nuraini Irma Susanti</t>
  </si>
  <si>
    <t>Pelvis (IGD)</t>
  </si>
  <si>
    <t>Faisal Mi raj</t>
  </si>
  <si>
    <t>Thorax Foto Dewasa-Kcl-(Induk-RSF-GH)</t>
  </si>
  <si>
    <t>Toraks Foto Dewasa (IGD)</t>
  </si>
  <si>
    <t>K2021011001</t>
  </si>
  <si>
    <t>Andriani Putri Bestari</t>
  </si>
  <si>
    <t>USG Abdomen</t>
  </si>
  <si>
    <t>WSD (UE)</t>
  </si>
  <si>
    <t>Visum et Repertum  (UE)</t>
  </si>
  <si>
    <t>Repair Hecting (VK)</t>
  </si>
  <si>
    <t>Pasang Catheter pada Retensio Urine (UE)</t>
  </si>
  <si>
    <t>Pasang Triple / Double Lumen</t>
  </si>
  <si>
    <t>K2022092003</t>
  </si>
  <si>
    <t>Ernawati</t>
  </si>
  <si>
    <t>K2022022018</t>
  </si>
  <si>
    <t>Tindakan Suntik dg Skin Test (UE)</t>
  </si>
  <si>
    <t>K2020101003</t>
  </si>
  <si>
    <t>I Ketut Sukarata</t>
  </si>
  <si>
    <t>Eko Hadi Waluyojati</t>
  </si>
  <si>
    <t>Lusiya Ningsih S</t>
  </si>
  <si>
    <t>Konsultasi SARS-CoV2 dr. Spesialis (UE)</t>
  </si>
  <si>
    <t>Trombolisis IV luar jam kerja / On Call</t>
  </si>
  <si>
    <t>Didik Librianto</t>
  </si>
  <si>
    <t>Terapi Latihan dengan Beban (Penguatan)</t>
  </si>
  <si>
    <t>Erlina</t>
  </si>
  <si>
    <t>Modalitas: Ultrasound (US), Infrared (IRR), Paraffin bath</t>
  </si>
  <si>
    <t>Utami Purbasari</t>
  </si>
  <si>
    <t>Terapi Latihan Aktif Muskuloskeletal Lainnya</t>
  </si>
  <si>
    <t>R. Devy Siahaan</t>
  </si>
  <si>
    <t>Agus Hadi Sihabudin</t>
  </si>
  <si>
    <t>Sudirman Kasiwijang</t>
  </si>
  <si>
    <t>Fitriany Darwis</t>
  </si>
  <si>
    <t>Maryatul Choirah</t>
  </si>
  <si>
    <t>Psikoterapi Suportif</t>
  </si>
  <si>
    <t>K2022041001</t>
  </si>
  <si>
    <t>Reza Tigor Manurung</t>
  </si>
  <si>
    <t>Anti Dharmayanti</t>
  </si>
  <si>
    <t>K2022012005</t>
  </si>
  <si>
    <t>Resusitasi Cairan</t>
  </si>
  <si>
    <t>K2020102002</t>
  </si>
  <si>
    <t>Tri Fajari Agustini</t>
  </si>
  <si>
    <t>Ukuh Tri Anjarsari</t>
  </si>
  <si>
    <t>Rena Amelia Sjam</t>
  </si>
  <si>
    <t>Pasang Ventilator</t>
  </si>
  <si>
    <t>Fitriani Nasution</t>
  </si>
  <si>
    <t>YAG Laser</t>
  </si>
  <si>
    <t>Vaxigrip Yunior</t>
  </si>
  <si>
    <t>Taslim Poniman</t>
  </si>
  <si>
    <t>Tipiskan Bibir 2</t>
  </si>
  <si>
    <t>USG Vaskuler diagnostic</t>
  </si>
  <si>
    <t>Wonosari (amb jenazah)</t>
  </si>
  <si>
    <t>Vital Pulpectomy</t>
  </si>
  <si>
    <t>Slimming Treatment (Paket 4 x)</t>
  </si>
  <si>
    <t>Uji Penisilin</t>
  </si>
  <si>
    <t>Ni Ketut Rupini</t>
  </si>
  <si>
    <t>Vaginal Toilet (IVA Test) Program Kemkes</t>
  </si>
  <si>
    <t>K20101020113</t>
  </si>
  <si>
    <t>Trans Thoracal Biopsi (TTB)/Aspirasi (GH)</t>
  </si>
  <si>
    <t>Phlebotomi</t>
  </si>
  <si>
    <t>Krisna</t>
  </si>
  <si>
    <t>TACE/TACI (Trans Arterial Chemo Embolization/ Trans Arterial Chemo Infusion)</t>
  </si>
  <si>
    <t>Trakeoskopi dengan BSO melalui Stoma Trakeostomi</t>
  </si>
  <si>
    <t>KSM</t>
  </si>
  <si>
    <t>CONTOH.NIP</t>
  </si>
  <si>
    <t>CONTOH.NAMA</t>
  </si>
  <si>
    <t>CONTOH.PEMERIKSAAN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</si>
</sst>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1" applyNumberFormat="1" applyFont="1"/>
    <xf numFmtId="0" fontId="2" fillId="2" borderId="0" xfId="2"/>
    <xf numFmtId="165" fontId="0" fillId="3" borderId="0" xfId="1" applyNumberFormat="1" applyFont="1" applyFill="1"/>
    <xf numFmtId="165" fontId="0" fillId="0" borderId="0" xfId="1" applyNumberFormat="1" applyFont="1" applyFill="1"/>
    <xf numFmtId="0" fontId="3" fillId="0" borderId="0" xfId="0" applyFont="1"/>
    <xf numFmtId="0" fontId="3" fillId="3" borderId="0" xfId="0" applyFont="1" applyFill="1"/>
    <xf numFmtId="0" fontId="3" fillId="0" borderId="0" xfId="0" applyFont="1" applyFill="1"/>
    <xf numFmtId="165" fontId="5" fillId="0" borderId="0" xfId="1" applyNumberFormat="1" applyFont="1"/>
    <xf numFmtId="165" fontId="5" fillId="3" borderId="0" xfId="1" applyNumberFormat="1" applyFont="1" applyFill="1"/>
    <xf numFmtId="165" fontId="5" fillId="0" borderId="0" xfId="1" applyNumberFormat="1" applyFont="1" applyFill="1"/>
    <xf numFmtId="0" fontId="3" fillId="4" borderId="0" xfId="0" applyFont="1" applyFill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5" fontId="4" fillId="4" borderId="0" xfId="1" applyNumberFormat="1" applyFont="1" applyFill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5" fontId="3" fillId="0" borderId="0" xfId="1" applyNumberFormat="1" applyFont="1"/>
    <xf numFmtId="165" fontId="3" fillId="5" borderId="0" xfId="1" applyNumberFormat="1" applyFont="1" applyFill="1"/>
    <xf numFmtId="165" fontId="0" fillId="5" borderId="0" xfId="1" applyNumberFormat="1" applyFont="1" applyFill="1"/>
    <xf numFmtId="43" fontId="5" fillId="0" borderId="0" xfId="1" applyNumberFormat="1" applyFont="1" applyFill="1"/>
    <xf numFmtId="43" fontId="3" fillId="5" borderId="0" xfId="1" applyNumberFormat="1" applyFont="1" applyFill="1"/>
    <xf numFmtId="10" fontId="0" fillId="0" borderId="0" xfId="3" applyNumberFormat="1" applyFont="1"/>
    <xf numFmtId="10" fontId="3" fillId="0" borderId="0" xfId="0" applyNumberFormat="1" applyFont="1"/>
    <xf numFmtId="1" fontId="0" fillId="0" borderId="0" xfId="0" applyNumberFormat="1" applyAlignment="1">
      <alignment horizontal="center"/>
    </xf>
    <xf numFmtId="165" fontId="6" fillId="0" borderId="0" xfId="1" applyNumberFormat="1" applyFont="1"/>
    <xf numFmtId="165" fontId="7" fillId="0" borderId="0" xfId="1" applyNumberFormat="1" applyFont="1"/>
    <xf numFmtId="165" fontId="7" fillId="5" borderId="0" xfId="1" applyNumberFormat="1" applyFont="1" applyFill="1"/>
  </cellXfs>
  <cellStyles count="4">
    <cellStyle name="Comma" xfId="1" builtinId="3"/>
    <cellStyle name="Good" xfId="2" builtinId="2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02"/>
  <sheetViews>
    <sheetView workbookViewId="0"/>
  </sheetViews>
  <sheetFormatPr defaultRowHeight="14.5" x14ac:dyDescent="0.35"/>
  <cols>
    <col min="1" max="1" width="5.453125" customWidth="1"/>
    <col min="2" max="2" width="30.36328125" bestFit="1" customWidth="1"/>
    <col min="3" max="3" width="26.54296875" bestFit="1" customWidth="1"/>
    <col min="4" max="4" width="23.90625" customWidth="1"/>
    <col min="5" max="5" width="29.6328125" bestFit="1" customWidth="1"/>
    <col min="6" max="6" width="9.453125" bestFit="1" customWidth="1"/>
    <col min="7" max="7" width="10.453125" bestFit="1" customWidth="1"/>
    <col min="18" max="18" width="13.1796875" customWidth="1"/>
    <col min="19" max="19" width="20.1796875" bestFit="1" customWidth="1"/>
    <col min="21" max="21" width="41.90625" bestFit="1" customWidth="1"/>
    <col min="22" max="22" width="10.453125" style="1" bestFit="1" customWidth="1"/>
    <col min="23" max="23" width="11.6328125" style="1" customWidth="1"/>
    <col min="24" max="24" width="15.08984375" style="1" customWidth="1"/>
    <col min="25" max="25" width="24.08984375" customWidth="1"/>
  </cols>
  <sheetData>
    <row r="2" spans="2:25" s="2" customFormat="1" x14ac:dyDescent="0.35">
      <c r="B2" s="13" t="s">
        <v>396</v>
      </c>
      <c r="C2" s="14" t="s">
        <v>397</v>
      </c>
      <c r="D2" s="14" t="s">
        <v>399</v>
      </c>
      <c r="E2" s="14" t="s">
        <v>398</v>
      </c>
      <c r="F2" s="14" t="s">
        <v>400</v>
      </c>
      <c r="G2" s="14" t="s">
        <v>401</v>
      </c>
      <c r="H2" s="14" t="s">
        <v>402</v>
      </c>
      <c r="I2" s="14" t="s">
        <v>403</v>
      </c>
      <c r="J2" s="14" t="s">
        <v>404</v>
      </c>
      <c r="K2" s="14" t="s">
        <v>405</v>
      </c>
      <c r="L2" s="14" t="s">
        <v>1</v>
      </c>
      <c r="M2" s="13" t="s">
        <v>36</v>
      </c>
      <c r="N2" s="14" t="s">
        <v>37</v>
      </c>
      <c r="O2" s="14" t="s">
        <v>2</v>
      </c>
      <c r="P2" s="14" t="s">
        <v>38</v>
      </c>
      <c r="Q2" s="13" t="s">
        <v>39</v>
      </c>
      <c r="R2" s="14" t="s">
        <v>406</v>
      </c>
      <c r="S2" s="14" t="s">
        <v>407</v>
      </c>
      <c r="T2" s="14" t="s">
        <v>3</v>
      </c>
      <c r="U2" s="14" t="s">
        <v>408</v>
      </c>
      <c r="V2" s="14" t="s">
        <v>409</v>
      </c>
      <c r="W2" s="14" t="s">
        <v>410</v>
      </c>
      <c r="X2" s="14" t="s">
        <v>411</v>
      </c>
      <c r="Y2" s="14" t="s">
        <v>412</v>
      </c>
    </row>
    <row r="3" spans="2:25" x14ac:dyDescent="0.35">
      <c r="B3" t="s">
        <v>41</v>
      </c>
      <c r="C3" t="s">
        <v>42</v>
      </c>
      <c r="D3" t="s">
        <v>43</v>
      </c>
      <c r="E3" t="s">
        <v>0</v>
      </c>
      <c r="F3" s="16">
        <v>44958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2301010132</v>
      </c>
      <c r="S3" t="s">
        <v>44</v>
      </c>
      <c r="T3">
        <v>1865669</v>
      </c>
      <c r="U3" t="s">
        <v>45</v>
      </c>
      <c r="V3" s="1" t="s">
        <v>46</v>
      </c>
      <c r="W3" s="1" t="s">
        <v>47</v>
      </c>
      <c r="X3" s="18">
        <v>44958</v>
      </c>
      <c r="Y3" t="s">
        <v>48</v>
      </c>
    </row>
    <row r="4" spans="2:25" x14ac:dyDescent="0.35">
      <c r="B4" t="s">
        <v>41</v>
      </c>
      <c r="C4" t="s">
        <v>49</v>
      </c>
      <c r="D4" t="s">
        <v>50</v>
      </c>
      <c r="E4" t="s">
        <v>51</v>
      </c>
      <c r="F4" s="16">
        <v>44958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2212271498</v>
      </c>
      <c r="S4" t="s">
        <v>52</v>
      </c>
      <c r="T4">
        <v>1858444</v>
      </c>
      <c r="U4" t="s">
        <v>53</v>
      </c>
      <c r="V4" s="1" t="s">
        <v>46</v>
      </c>
      <c r="W4" s="17">
        <v>38727</v>
      </c>
      <c r="X4" s="18">
        <v>44958.000694444447</v>
      </c>
      <c r="Y4" t="s">
        <v>48</v>
      </c>
    </row>
    <row r="5" spans="2:25" x14ac:dyDescent="0.35">
      <c r="B5" t="s">
        <v>43</v>
      </c>
      <c r="C5" t="s">
        <v>0</v>
      </c>
      <c r="D5" t="s">
        <v>43</v>
      </c>
      <c r="E5" t="s">
        <v>0</v>
      </c>
      <c r="F5" s="16">
        <v>44958</v>
      </c>
      <c r="G5" s="16">
        <v>44958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2301010148</v>
      </c>
      <c r="S5" t="s">
        <v>54</v>
      </c>
      <c r="T5">
        <v>1866830</v>
      </c>
      <c r="U5" t="s">
        <v>55</v>
      </c>
      <c r="V5" s="1" t="s">
        <v>56</v>
      </c>
      <c r="W5" s="1" t="s">
        <v>57</v>
      </c>
      <c r="X5" s="18">
        <v>44958.001388888886</v>
      </c>
      <c r="Y5" t="s">
        <v>48</v>
      </c>
    </row>
    <row r="6" spans="2:25" x14ac:dyDescent="0.35">
      <c r="B6" t="s">
        <v>41</v>
      </c>
      <c r="C6" t="s">
        <v>49</v>
      </c>
      <c r="D6" t="s">
        <v>50</v>
      </c>
      <c r="E6" t="s">
        <v>58</v>
      </c>
      <c r="F6" s="16">
        <v>44958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2212301149</v>
      </c>
      <c r="S6" t="s">
        <v>59</v>
      </c>
      <c r="T6">
        <v>1866177</v>
      </c>
      <c r="U6" t="s">
        <v>60</v>
      </c>
      <c r="V6" s="1" t="s">
        <v>56</v>
      </c>
      <c r="W6" s="1" t="s">
        <v>61</v>
      </c>
      <c r="X6" s="18">
        <v>44958.001388888886</v>
      </c>
      <c r="Y6" t="s">
        <v>48</v>
      </c>
    </row>
    <row r="7" spans="2:25" x14ac:dyDescent="0.35">
      <c r="B7" t="s">
        <v>62</v>
      </c>
      <c r="C7" t="s">
        <v>63</v>
      </c>
      <c r="D7" t="s">
        <v>43</v>
      </c>
      <c r="E7" t="s">
        <v>0</v>
      </c>
      <c r="F7" s="16">
        <v>44958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2301010150</v>
      </c>
      <c r="S7" t="s">
        <v>64</v>
      </c>
      <c r="T7">
        <v>1866831</v>
      </c>
      <c r="U7" t="s">
        <v>65</v>
      </c>
      <c r="V7" s="1" t="s">
        <v>46</v>
      </c>
      <c r="W7" s="17">
        <v>27249</v>
      </c>
      <c r="X7" s="18">
        <v>44958.001388888886</v>
      </c>
      <c r="Y7" t="s">
        <v>48</v>
      </c>
    </row>
    <row r="8" spans="2:25" x14ac:dyDescent="0.35">
      <c r="B8" t="s">
        <v>41</v>
      </c>
      <c r="C8" t="s">
        <v>42</v>
      </c>
      <c r="D8" t="s">
        <v>43</v>
      </c>
      <c r="E8" t="s">
        <v>0</v>
      </c>
      <c r="F8" s="16">
        <v>44958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2301010110</v>
      </c>
      <c r="S8" t="s">
        <v>66</v>
      </c>
      <c r="T8">
        <v>1556682</v>
      </c>
      <c r="U8" t="s">
        <v>67</v>
      </c>
      <c r="V8" s="1" t="s">
        <v>56</v>
      </c>
      <c r="W8" s="1" t="s">
        <v>68</v>
      </c>
      <c r="X8" s="18">
        <v>44958.002083333333</v>
      </c>
      <c r="Y8" t="s">
        <v>48</v>
      </c>
    </row>
    <row r="9" spans="2:25" x14ac:dyDescent="0.35">
      <c r="B9" t="s">
        <v>41</v>
      </c>
      <c r="C9" t="s">
        <v>49</v>
      </c>
      <c r="D9" t="s">
        <v>50</v>
      </c>
      <c r="E9" t="s">
        <v>51</v>
      </c>
      <c r="F9" s="16">
        <v>44958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2212310084</v>
      </c>
      <c r="S9" t="s">
        <v>69</v>
      </c>
      <c r="T9">
        <v>1848831</v>
      </c>
      <c r="U9" t="s">
        <v>70</v>
      </c>
      <c r="V9" s="1" t="s">
        <v>46</v>
      </c>
      <c r="W9" s="1" t="s">
        <v>71</v>
      </c>
      <c r="X9" s="18">
        <v>44958.00277777778</v>
      </c>
      <c r="Y9" t="s">
        <v>48</v>
      </c>
    </row>
    <row r="10" spans="2:25" x14ac:dyDescent="0.35">
      <c r="B10" t="s">
        <v>72</v>
      </c>
      <c r="C10" t="s">
        <v>73</v>
      </c>
      <c r="D10" t="s">
        <v>43</v>
      </c>
      <c r="E10" t="s">
        <v>0</v>
      </c>
      <c r="F10" s="16">
        <v>44958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2301010150</v>
      </c>
      <c r="S10" t="s">
        <v>64</v>
      </c>
      <c r="T10">
        <v>1866831</v>
      </c>
      <c r="U10" t="s">
        <v>65</v>
      </c>
      <c r="V10" s="1" t="s">
        <v>46</v>
      </c>
      <c r="W10" s="17">
        <v>27249</v>
      </c>
      <c r="X10" s="18">
        <v>44958.003472222219</v>
      </c>
      <c r="Y10" t="s">
        <v>48</v>
      </c>
    </row>
    <row r="11" spans="2:25" x14ac:dyDescent="0.35">
      <c r="B11" t="s">
        <v>41</v>
      </c>
      <c r="C11" t="s">
        <v>49</v>
      </c>
      <c r="D11" t="s">
        <v>50</v>
      </c>
      <c r="E11" t="s">
        <v>74</v>
      </c>
      <c r="F11" s="16">
        <v>44958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2301010138</v>
      </c>
      <c r="S11" t="s">
        <v>75</v>
      </c>
      <c r="T11">
        <v>750554</v>
      </c>
      <c r="U11" t="s">
        <v>76</v>
      </c>
      <c r="V11" s="1" t="s">
        <v>46</v>
      </c>
      <c r="W11" s="1" t="s">
        <v>77</v>
      </c>
      <c r="X11" s="18">
        <v>44958.004166666666</v>
      </c>
      <c r="Y11" t="s">
        <v>48</v>
      </c>
    </row>
    <row r="12" spans="2:25" x14ac:dyDescent="0.35">
      <c r="B12" t="s">
        <v>62</v>
      </c>
      <c r="C12" t="s">
        <v>63</v>
      </c>
      <c r="D12" t="s">
        <v>50</v>
      </c>
      <c r="E12" t="s">
        <v>78</v>
      </c>
      <c r="F12" s="16">
        <v>44958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2212310148</v>
      </c>
      <c r="S12" t="s">
        <v>79</v>
      </c>
      <c r="T12">
        <v>1702749</v>
      </c>
      <c r="U12" t="s">
        <v>80</v>
      </c>
      <c r="V12" s="1" t="s">
        <v>46</v>
      </c>
      <c r="W12" s="1" t="s">
        <v>81</v>
      </c>
      <c r="X12" s="18">
        <v>44958.007638888892</v>
      </c>
      <c r="Y12" t="s">
        <v>48</v>
      </c>
    </row>
    <row r="13" spans="2:25" x14ac:dyDescent="0.35">
      <c r="B13" t="s">
        <v>41</v>
      </c>
      <c r="C13" t="s">
        <v>49</v>
      </c>
      <c r="D13" t="s">
        <v>50</v>
      </c>
      <c r="E13" t="s">
        <v>51</v>
      </c>
      <c r="F13" s="16">
        <v>44958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2212270008</v>
      </c>
      <c r="S13" t="s">
        <v>82</v>
      </c>
      <c r="T13">
        <v>1811792</v>
      </c>
      <c r="U13" t="s">
        <v>83</v>
      </c>
      <c r="V13" s="1" t="s">
        <v>56</v>
      </c>
      <c r="W13" s="17">
        <v>43656</v>
      </c>
      <c r="X13" s="18">
        <v>44958.007638888892</v>
      </c>
      <c r="Y13" t="s">
        <v>48</v>
      </c>
    </row>
    <row r="14" spans="2:25" x14ac:dyDescent="0.35">
      <c r="B14" t="s">
        <v>62</v>
      </c>
      <c r="C14" t="s">
        <v>63</v>
      </c>
      <c r="D14" t="s">
        <v>43</v>
      </c>
      <c r="E14" t="s">
        <v>0</v>
      </c>
      <c r="F14" s="16">
        <v>44958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2301010150</v>
      </c>
      <c r="S14" t="s">
        <v>64</v>
      </c>
      <c r="T14">
        <v>1866831</v>
      </c>
      <c r="U14" t="s">
        <v>65</v>
      </c>
      <c r="V14" s="1" t="s">
        <v>46</v>
      </c>
      <c r="W14" s="17">
        <v>27249</v>
      </c>
      <c r="X14" s="18">
        <v>44958.008333333331</v>
      </c>
      <c r="Y14" t="s">
        <v>48</v>
      </c>
    </row>
    <row r="15" spans="2:25" x14ac:dyDescent="0.35">
      <c r="B15" t="s">
        <v>41</v>
      </c>
      <c r="C15" t="s">
        <v>49</v>
      </c>
      <c r="D15" t="s">
        <v>50</v>
      </c>
      <c r="E15" t="s">
        <v>84</v>
      </c>
      <c r="F15" s="16">
        <v>44958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2301010118</v>
      </c>
      <c r="T15">
        <v>1866808</v>
      </c>
      <c r="U15" t="s">
        <v>85</v>
      </c>
      <c r="V15" s="1" t="s">
        <v>46</v>
      </c>
      <c r="W15" s="1" t="s">
        <v>86</v>
      </c>
      <c r="X15" s="18">
        <v>44958.009027777778</v>
      </c>
      <c r="Y15" t="s">
        <v>87</v>
      </c>
    </row>
    <row r="16" spans="2:25" x14ac:dyDescent="0.35">
      <c r="B16" t="s">
        <v>62</v>
      </c>
      <c r="C16" t="s">
        <v>63</v>
      </c>
      <c r="D16" t="s">
        <v>50</v>
      </c>
      <c r="E16" t="s">
        <v>88</v>
      </c>
      <c r="F16" s="16">
        <v>44958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2212291228</v>
      </c>
      <c r="S16" t="s">
        <v>89</v>
      </c>
      <c r="T16">
        <v>1858870</v>
      </c>
      <c r="U16" t="s">
        <v>90</v>
      </c>
      <c r="V16" s="1" t="s">
        <v>56</v>
      </c>
      <c r="W16" s="1" t="s">
        <v>91</v>
      </c>
      <c r="X16" s="18">
        <v>44958.009027777778</v>
      </c>
      <c r="Y16" t="s">
        <v>48</v>
      </c>
    </row>
    <row r="17" spans="2:25" x14ac:dyDescent="0.35">
      <c r="B17" t="s">
        <v>41</v>
      </c>
      <c r="C17" t="s">
        <v>92</v>
      </c>
      <c r="D17" t="s">
        <v>50</v>
      </c>
      <c r="E17" t="s">
        <v>51</v>
      </c>
      <c r="F17" s="16">
        <v>44958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2212131655</v>
      </c>
      <c r="S17" t="s">
        <v>93</v>
      </c>
      <c r="T17">
        <v>1757895</v>
      </c>
      <c r="U17" t="s">
        <v>94</v>
      </c>
      <c r="V17" s="1" t="s">
        <v>46</v>
      </c>
      <c r="W17" s="1" t="s">
        <v>95</v>
      </c>
      <c r="X17" s="18">
        <v>44958.009722222225</v>
      </c>
      <c r="Y17" t="s">
        <v>48</v>
      </c>
    </row>
    <row r="18" spans="2:25" x14ac:dyDescent="0.35">
      <c r="B18" t="s">
        <v>41</v>
      </c>
      <c r="C18" t="s">
        <v>42</v>
      </c>
      <c r="D18" t="s">
        <v>43</v>
      </c>
      <c r="E18" t="s">
        <v>0</v>
      </c>
      <c r="F18" s="16">
        <v>44958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2301010048</v>
      </c>
      <c r="S18" t="s">
        <v>96</v>
      </c>
      <c r="T18">
        <v>1816940</v>
      </c>
      <c r="U18" t="s">
        <v>97</v>
      </c>
      <c r="V18" s="1" t="s">
        <v>56</v>
      </c>
      <c r="W18" s="1" t="s">
        <v>98</v>
      </c>
      <c r="X18" s="18">
        <v>44958.011111111111</v>
      </c>
      <c r="Y18" t="s">
        <v>48</v>
      </c>
    </row>
    <row r="19" spans="2:25" x14ac:dyDescent="0.35">
      <c r="B19" t="s">
        <v>41</v>
      </c>
      <c r="C19" t="s">
        <v>49</v>
      </c>
      <c r="D19" t="s">
        <v>50</v>
      </c>
      <c r="E19" t="s">
        <v>99</v>
      </c>
      <c r="F19" s="16">
        <v>44958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2301010141</v>
      </c>
      <c r="S19" t="s">
        <v>100</v>
      </c>
      <c r="T19">
        <v>1865734</v>
      </c>
      <c r="U19" t="s">
        <v>101</v>
      </c>
      <c r="V19" s="1" t="s">
        <v>56</v>
      </c>
      <c r="W19" s="17">
        <v>28256</v>
      </c>
      <c r="X19" s="18">
        <v>44958.011111111111</v>
      </c>
      <c r="Y19" t="s">
        <v>48</v>
      </c>
    </row>
    <row r="20" spans="2:25" x14ac:dyDescent="0.35">
      <c r="B20" t="s">
        <v>41</v>
      </c>
      <c r="C20" t="s">
        <v>42</v>
      </c>
      <c r="D20" t="s">
        <v>43</v>
      </c>
      <c r="E20" t="s">
        <v>0</v>
      </c>
      <c r="F20" s="16">
        <v>44958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2301010148</v>
      </c>
      <c r="S20" t="s">
        <v>54</v>
      </c>
      <c r="T20">
        <v>1866830</v>
      </c>
      <c r="U20" t="s">
        <v>55</v>
      </c>
      <c r="V20" s="1" t="s">
        <v>56</v>
      </c>
      <c r="W20" s="1" t="s">
        <v>57</v>
      </c>
      <c r="X20" s="18">
        <v>44958.012499999997</v>
      </c>
      <c r="Y20" t="s">
        <v>48</v>
      </c>
    </row>
    <row r="21" spans="2:25" x14ac:dyDescent="0.35">
      <c r="B21" t="s">
        <v>41</v>
      </c>
      <c r="C21" t="s">
        <v>42</v>
      </c>
      <c r="D21" t="s">
        <v>50</v>
      </c>
      <c r="E21" t="s">
        <v>102</v>
      </c>
      <c r="F21" s="16">
        <v>44958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2301010139</v>
      </c>
      <c r="S21" t="s">
        <v>103</v>
      </c>
      <c r="T21">
        <v>1767111</v>
      </c>
      <c r="U21" t="s">
        <v>104</v>
      </c>
      <c r="V21" s="1" t="s">
        <v>46</v>
      </c>
      <c r="W21" s="17">
        <v>36411</v>
      </c>
      <c r="X21" s="18">
        <v>44958.012499999997</v>
      </c>
      <c r="Y21" t="s">
        <v>48</v>
      </c>
    </row>
    <row r="22" spans="2:25" x14ac:dyDescent="0.35">
      <c r="B22" t="s">
        <v>72</v>
      </c>
      <c r="C22" t="s">
        <v>73</v>
      </c>
      <c r="D22" t="s">
        <v>43</v>
      </c>
      <c r="E22" t="s">
        <v>0</v>
      </c>
      <c r="F22" s="16">
        <v>44958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2301010145</v>
      </c>
      <c r="T22">
        <v>1866829</v>
      </c>
      <c r="U22" t="s">
        <v>105</v>
      </c>
      <c r="V22" s="1" t="s">
        <v>46</v>
      </c>
      <c r="W22" s="1" t="s">
        <v>106</v>
      </c>
      <c r="X22" s="18">
        <v>44958.012499999997</v>
      </c>
      <c r="Y22" t="s">
        <v>107</v>
      </c>
    </row>
    <row r="23" spans="2:25" x14ac:dyDescent="0.35">
      <c r="B23" t="s">
        <v>41</v>
      </c>
      <c r="C23" t="s">
        <v>42</v>
      </c>
      <c r="D23" t="s">
        <v>43</v>
      </c>
      <c r="E23" t="s">
        <v>0</v>
      </c>
      <c r="F23" s="16">
        <v>44958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2301010150</v>
      </c>
      <c r="S23" t="s">
        <v>64</v>
      </c>
      <c r="T23">
        <v>1866831</v>
      </c>
      <c r="U23" t="s">
        <v>65</v>
      </c>
      <c r="V23" s="1" t="s">
        <v>46</v>
      </c>
      <c r="W23" s="17">
        <v>27249</v>
      </c>
      <c r="X23" s="18">
        <v>44958.013194444444</v>
      </c>
      <c r="Y23" t="s">
        <v>48</v>
      </c>
    </row>
    <row r="24" spans="2:25" x14ac:dyDescent="0.35">
      <c r="B24" t="s">
        <v>41</v>
      </c>
      <c r="C24" t="s">
        <v>42</v>
      </c>
      <c r="D24" t="s">
        <v>43</v>
      </c>
      <c r="E24" t="s">
        <v>0</v>
      </c>
      <c r="F24" s="16">
        <v>44958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2301010110</v>
      </c>
      <c r="S24" t="s">
        <v>66</v>
      </c>
      <c r="T24">
        <v>1556682</v>
      </c>
      <c r="U24" t="s">
        <v>67</v>
      </c>
      <c r="V24" s="1" t="s">
        <v>56</v>
      </c>
      <c r="W24" s="1" t="s">
        <v>68</v>
      </c>
      <c r="X24" s="18">
        <v>44958.013194444444</v>
      </c>
      <c r="Y24" t="s">
        <v>48</v>
      </c>
    </row>
    <row r="25" spans="2:25" x14ac:dyDescent="0.35">
      <c r="B25" t="s">
        <v>41</v>
      </c>
      <c r="C25" t="s">
        <v>42</v>
      </c>
      <c r="D25" t="s">
        <v>43</v>
      </c>
      <c r="E25" t="s">
        <v>108</v>
      </c>
      <c r="F25" s="16">
        <v>44958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2301010142</v>
      </c>
      <c r="T25">
        <v>1866828</v>
      </c>
      <c r="U25" t="s">
        <v>109</v>
      </c>
      <c r="V25" s="1" t="s">
        <v>56</v>
      </c>
      <c r="W25" s="17">
        <v>36443</v>
      </c>
      <c r="X25" s="18">
        <v>44958.013194444444</v>
      </c>
      <c r="Y25" t="s">
        <v>87</v>
      </c>
    </row>
    <row r="26" spans="2:25" x14ac:dyDescent="0.35">
      <c r="B26" t="s">
        <v>41</v>
      </c>
      <c r="C26" t="s">
        <v>42</v>
      </c>
      <c r="D26" t="s">
        <v>43</v>
      </c>
      <c r="E26" t="s">
        <v>0</v>
      </c>
      <c r="F26" s="16">
        <v>44958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2301010148</v>
      </c>
      <c r="S26" t="s">
        <v>54</v>
      </c>
      <c r="T26">
        <v>1866830</v>
      </c>
      <c r="U26" t="s">
        <v>55</v>
      </c>
      <c r="V26" s="1" t="s">
        <v>56</v>
      </c>
      <c r="W26" s="1" t="s">
        <v>57</v>
      </c>
      <c r="X26" s="18">
        <v>44958.015277777777</v>
      </c>
      <c r="Y26" t="s">
        <v>48</v>
      </c>
    </row>
    <row r="27" spans="2:25" x14ac:dyDescent="0.35">
      <c r="B27" t="s">
        <v>62</v>
      </c>
      <c r="C27" t="s">
        <v>63</v>
      </c>
      <c r="D27" t="s">
        <v>50</v>
      </c>
      <c r="E27" t="s">
        <v>110</v>
      </c>
      <c r="F27" s="16">
        <v>44958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2301010059</v>
      </c>
      <c r="S27" t="s">
        <v>111</v>
      </c>
      <c r="T27">
        <v>1839616</v>
      </c>
      <c r="U27" t="s">
        <v>112</v>
      </c>
      <c r="V27" s="1" t="s">
        <v>56</v>
      </c>
      <c r="W27" s="17">
        <v>23412</v>
      </c>
      <c r="X27" s="18">
        <v>44958.017361111109</v>
      </c>
      <c r="Y27" t="s">
        <v>48</v>
      </c>
    </row>
    <row r="28" spans="2:25" x14ac:dyDescent="0.35">
      <c r="B28" t="s">
        <v>41</v>
      </c>
      <c r="C28" t="s">
        <v>113</v>
      </c>
      <c r="D28" t="s">
        <v>50</v>
      </c>
      <c r="E28" t="s">
        <v>114</v>
      </c>
      <c r="F28" s="16">
        <v>44958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2212081642</v>
      </c>
      <c r="S28" t="s">
        <v>115</v>
      </c>
      <c r="T28">
        <v>1860043</v>
      </c>
      <c r="U28" t="s">
        <v>116</v>
      </c>
      <c r="V28" s="1" t="s">
        <v>56</v>
      </c>
      <c r="W28" s="17">
        <v>21464</v>
      </c>
      <c r="X28" s="18">
        <v>44958.018055555556</v>
      </c>
      <c r="Y28" t="s">
        <v>48</v>
      </c>
    </row>
    <row r="29" spans="2:25" x14ac:dyDescent="0.35">
      <c r="B29" t="s">
        <v>117</v>
      </c>
      <c r="C29" t="s">
        <v>118</v>
      </c>
      <c r="D29" t="s">
        <v>117</v>
      </c>
      <c r="E29" t="s">
        <v>118</v>
      </c>
      <c r="F29" s="16">
        <v>44958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2301020004</v>
      </c>
      <c r="T29">
        <v>474820</v>
      </c>
      <c r="U29" t="s">
        <v>119</v>
      </c>
      <c r="V29" s="1" t="s">
        <v>46</v>
      </c>
      <c r="W29" s="17">
        <v>17992</v>
      </c>
      <c r="X29" s="18">
        <v>44958.019444444442</v>
      </c>
      <c r="Y29" t="s">
        <v>87</v>
      </c>
    </row>
    <row r="30" spans="2:25" x14ac:dyDescent="0.35">
      <c r="B30" t="s">
        <v>120</v>
      </c>
      <c r="C30" t="s">
        <v>121</v>
      </c>
      <c r="D30" t="s">
        <v>43</v>
      </c>
      <c r="E30" t="s">
        <v>0</v>
      </c>
      <c r="F30" s="16">
        <v>44958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2301010101</v>
      </c>
      <c r="S30" t="s">
        <v>122</v>
      </c>
      <c r="T30">
        <v>1861480</v>
      </c>
      <c r="U30" t="s">
        <v>123</v>
      </c>
      <c r="V30" s="1" t="s">
        <v>56</v>
      </c>
      <c r="W30" s="1" t="s">
        <v>124</v>
      </c>
      <c r="X30" s="18">
        <v>44958.019444444442</v>
      </c>
      <c r="Y30" t="s">
        <v>48</v>
      </c>
    </row>
    <row r="31" spans="2:25" x14ac:dyDescent="0.35">
      <c r="B31" t="s">
        <v>62</v>
      </c>
      <c r="C31" t="s">
        <v>63</v>
      </c>
      <c r="D31" t="s">
        <v>50</v>
      </c>
      <c r="E31" t="s">
        <v>110</v>
      </c>
      <c r="F31" s="16">
        <v>44958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2212291215</v>
      </c>
      <c r="S31" t="s">
        <v>125</v>
      </c>
      <c r="T31">
        <v>1864742</v>
      </c>
      <c r="U31" t="s">
        <v>126</v>
      </c>
      <c r="V31" s="1" t="s">
        <v>56</v>
      </c>
      <c r="W31" s="1" t="s">
        <v>127</v>
      </c>
      <c r="X31" s="18">
        <v>44958.019444444442</v>
      </c>
      <c r="Y31" t="s">
        <v>48</v>
      </c>
    </row>
    <row r="32" spans="2:25" x14ac:dyDescent="0.35">
      <c r="B32" t="s">
        <v>62</v>
      </c>
      <c r="C32" t="s">
        <v>63</v>
      </c>
      <c r="D32" t="s">
        <v>50</v>
      </c>
      <c r="E32" t="s">
        <v>110</v>
      </c>
      <c r="F32" s="16">
        <v>44958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2212310013</v>
      </c>
      <c r="S32" t="s">
        <v>128</v>
      </c>
      <c r="T32">
        <v>1762770</v>
      </c>
      <c r="U32" t="s">
        <v>129</v>
      </c>
      <c r="V32" s="1" t="s">
        <v>56</v>
      </c>
      <c r="W32" s="17">
        <v>12275</v>
      </c>
      <c r="X32" s="18">
        <v>44958.020138888889</v>
      </c>
      <c r="Y32" t="s">
        <v>48</v>
      </c>
    </row>
    <row r="33" spans="2:25" x14ac:dyDescent="0.35">
      <c r="B33" t="s">
        <v>41</v>
      </c>
      <c r="C33" t="s">
        <v>42</v>
      </c>
      <c r="D33" t="s">
        <v>43</v>
      </c>
      <c r="E33" t="s">
        <v>0</v>
      </c>
      <c r="F33" s="16">
        <v>44958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2301010150</v>
      </c>
      <c r="S33" t="s">
        <v>64</v>
      </c>
      <c r="T33">
        <v>1866831</v>
      </c>
      <c r="U33" t="s">
        <v>65</v>
      </c>
      <c r="V33" s="1" t="s">
        <v>46</v>
      </c>
      <c r="W33" s="17">
        <v>27249</v>
      </c>
      <c r="X33" s="18">
        <v>44958.021527777775</v>
      </c>
      <c r="Y33" t="s">
        <v>48</v>
      </c>
    </row>
    <row r="34" spans="2:25" x14ac:dyDescent="0.35">
      <c r="B34" t="s">
        <v>62</v>
      </c>
      <c r="C34" t="s">
        <v>63</v>
      </c>
      <c r="D34" t="s">
        <v>50</v>
      </c>
      <c r="E34" t="s">
        <v>110</v>
      </c>
      <c r="F34" s="16">
        <v>44958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2212310013</v>
      </c>
      <c r="S34" t="s">
        <v>128</v>
      </c>
      <c r="T34">
        <v>1762770</v>
      </c>
      <c r="U34" t="s">
        <v>129</v>
      </c>
      <c r="V34" s="1" t="s">
        <v>56</v>
      </c>
      <c r="W34" s="17">
        <v>12275</v>
      </c>
      <c r="X34" s="18">
        <v>44958.021527777775</v>
      </c>
      <c r="Y34" t="s">
        <v>48</v>
      </c>
    </row>
    <row r="35" spans="2:25" x14ac:dyDescent="0.35">
      <c r="B35" t="s">
        <v>41</v>
      </c>
      <c r="C35" t="s">
        <v>42</v>
      </c>
      <c r="D35" t="s">
        <v>43</v>
      </c>
      <c r="E35" t="s">
        <v>0</v>
      </c>
      <c r="F35" s="16">
        <v>44958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2301010100</v>
      </c>
      <c r="S35" t="s">
        <v>130</v>
      </c>
      <c r="T35">
        <v>1835755</v>
      </c>
      <c r="U35" t="s">
        <v>131</v>
      </c>
      <c r="V35" s="1" t="s">
        <v>56</v>
      </c>
      <c r="W35" s="1" t="s">
        <v>132</v>
      </c>
      <c r="X35" s="18">
        <v>44958.021527777775</v>
      </c>
      <c r="Y35" t="s">
        <v>48</v>
      </c>
    </row>
    <row r="36" spans="2:25" x14ac:dyDescent="0.35">
      <c r="B36" t="s">
        <v>62</v>
      </c>
      <c r="C36" t="s">
        <v>63</v>
      </c>
      <c r="D36" t="s">
        <v>43</v>
      </c>
      <c r="E36" t="s">
        <v>0</v>
      </c>
      <c r="F36" s="16">
        <v>44958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2301010144</v>
      </c>
      <c r="S36" t="s">
        <v>133</v>
      </c>
      <c r="T36">
        <v>1780714</v>
      </c>
      <c r="U36" t="s">
        <v>134</v>
      </c>
      <c r="V36" s="1" t="s">
        <v>56</v>
      </c>
      <c r="W36" s="1" t="s">
        <v>135</v>
      </c>
      <c r="X36" s="18">
        <v>44958.022222222222</v>
      </c>
      <c r="Y36" t="s">
        <v>48</v>
      </c>
    </row>
    <row r="37" spans="2:25" x14ac:dyDescent="0.35">
      <c r="B37" t="s">
        <v>41</v>
      </c>
      <c r="C37" t="s">
        <v>42</v>
      </c>
      <c r="D37" t="s">
        <v>50</v>
      </c>
      <c r="E37" t="s">
        <v>110</v>
      </c>
      <c r="F37" s="16">
        <v>44958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2301010146</v>
      </c>
      <c r="S37" t="s">
        <v>136</v>
      </c>
      <c r="T37">
        <v>1862792</v>
      </c>
      <c r="U37" t="s">
        <v>137</v>
      </c>
      <c r="V37" s="1" t="s">
        <v>56</v>
      </c>
      <c r="W37" s="17">
        <v>28704</v>
      </c>
      <c r="X37" s="18">
        <v>44958.022222222222</v>
      </c>
      <c r="Y37" t="s">
        <v>48</v>
      </c>
    </row>
    <row r="38" spans="2:25" x14ac:dyDescent="0.35">
      <c r="B38" t="s">
        <v>62</v>
      </c>
      <c r="C38" t="s">
        <v>63</v>
      </c>
      <c r="D38" t="s">
        <v>50</v>
      </c>
      <c r="E38" t="s">
        <v>110</v>
      </c>
      <c r="F38" s="16">
        <v>44958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2212270005</v>
      </c>
      <c r="S38" t="s">
        <v>138</v>
      </c>
      <c r="T38">
        <v>1866112</v>
      </c>
      <c r="U38" t="s">
        <v>139</v>
      </c>
      <c r="V38" s="1" t="s">
        <v>56</v>
      </c>
      <c r="W38" s="17">
        <v>24907</v>
      </c>
      <c r="X38" s="18">
        <v>44958.024305555555</v>
      </c>
      <c r="Y38" t="s">
        <v>48</v>
      </c>
    </row>
    <row r="39" spans="2:25" x14ac:dyDescent="0.35">
      <c r="B39" t="s">
        <v>41</v>
      </c>
      <c r="C39" t="s">
        <v>42</v>
      </c>
      <c r="D39" t="s">
        <v>43</v>
      </c>
      <c r="E39" t="s">
        <v>0</v>
      </c>
      <c r="F39" s="16">
        <v>44958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2301010115</v>
      </c>
      <c r="S39" t="s">
        <v>140</v>
      </c>
      <c r="T39">
        <v>1809195</v>
      </c>
      <c r="U39" t="s">
        <v>141</v>
      </c>
      <c r="V39" s="1" t="s">
        <v>56</v>
      </c>
      <c r="W39" s="1" t="s">
        <v>142</v>
      </c>
      <c r="X39" s="18">
        <v>44958.025694444441</v>
      </c>
      <c r="Y39" t="s">
        <v>48</v>
      </c>
    </row>
    <row r="40" spans="2:25" x14ac:dyDescent="0.35">
      <c r="B40" t="s">
        <v>41</v>
      </c>
      <c r="C40" t="s">
        <v>42</v>
      </c>
      <c r="D40" t="s">
        <v>43</v>
      </c>
      <c r="E40" t="s">
        <v>0</v>
      </c>
      <c r="F40" s="16">
        <v>44958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2301010093</v>
      </c>
      <c r="S40" t="s">
        <v>143</v>
      </c>
      <c r="T40">
        <v>1818393</v>
      </c>
      <c r="U40" t="s">
        <v>144</v>
      </c>
      <c r="V40" s="1" t="s">
        <v>46</v>
      </c>
      <c r="W40" s="1" t="s">
        <v>145</v>
      </c>
      <c r="X40" s="18">
        <v>44958.025694444441</v>
      </c>
      <c r="Y40" t="s">
        <v>48</v>
      </c>
    </row>
    <row r="41" spans="2:25" x14ac:dyDescent="0.35">
      <c r="B41" t="s">
        <v>41</v>
      </c>
      <c r="C41" t="s">
        <v>42</v>
      </c>
      <c r="D41" t="s">
        <v>43</v>
      </c>
      <c r="E41" t="s">
        <v>0</v>
      </c>
      <c r="F41" s="16">
        <v>44958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2301010133</v>
      </c>
      <c r="S41" t="s">
        <v>146</v>
      </c>
      <c r="T41">
        <v>1819405</v>
      </c>
      <c r="U41" t="s">
        <v>147</v>
      </c>
      <c r="V41" s="1" t="s">
        <v>56</v>
      </c>
      <c r="W41" s="17">
        <v>25605</v>
      </c>
      <c r="X41" s="18">
        <v>44958.02847222222</v>
      </c>
      <c r="Y41" t="s">
        <v>48</v>
      </c>
    </row>
    <row r="42" spans="2:25" x14ac:dyDescent="0.35">
      <c r="B42" t="s">
        <v>41</v>
      </c>
      <c r="C42" t="s">
        <v>49</v>
      </c>
      <c r="D42" t="s">
        <v>50</v>
      </c>
      <c r="E42" t="s">
        <v>88</v>
      </c>
      <c r="F42" s="16">
        <v>44958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2212250104</v>
      </c>
      <c r="S42" t="s">
        <v>148</v>
      </c>
      <c r="T42">
        <v>1865895</v>
      </c>
      <c r="U42" t="s">
        <v>149</v>
      </c>
      <c r="V42" s="1" t="s">
        <v>56</v>
      </c>
      <c r="W42" s="17">
        <v>27799</v>
      </c>
      <c r="X42" s="18">
        <v>44958.029166666667</v>
      </c>
      <c r="Y42" t="s">
        <v>48</v>
      </c>
    </row>
    <row r="43" spans="2:25" x14ac:dyDescent="0.35">
      <c r="B43" t="s">
        <v>41</v>
      </c>
      <c r="C43" t="s">
        <v>42</v>
      </c>
      <c r="D43" t="s">
        <v>43</v>
      </c>
      <c r="E43" t="s">
        <v>0</v>
      </c>
      <c r="F43" s="16">
        <v>44958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2301010150</v>
      </c>
      <c r="S43" t="s">
        <v>64</v>
      </c>
      <c r="T43">
        <v>1866831</v>
      </c>
      <c r="U43" t="s">
        <v>65</v>
      </c>
      <c r="V43" s="1" t="s">
        <v>46</v>
      </c>
      <c r="W43" s="17">
        <v>27249</v>
      </c>
      <c r="X43" s="18">
        <v>44958.029166666667</v>
      </c>
      <c r="Y43" t="s">
        <v>48</v>
      </c>
    </row>
    <row r="44" spans="2:25" x14ac:dyDescent="0.35">
      <c r="B44" t="s">
        <v>41</v>
      </c>
      <c r="C44" t="s">
        <v>113</v>
      </c>
      <c r="D44" t="s">
        <v>50</v>
      </c>
      <c r="E44" t="s">
        <v>150</v>
      </c>
      <c r="F44" s="16">
        <v>44958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2212201795</v>
      </c>
      <c r="S44" t="s">
        <v>151</v>
      </c>
      <c r="T44">
        <v>1865050</v>
      </c>
      <c r="U44" t="s">
        <v>152</v>
      </c>
      <c r="V44" s="1" t="s">
        <v>56</v>
      </c>
      <c r="W44" s="17">
        <v>33430</v>
      </c>
      <c r="X44" s="18">
        <v>44958.030555555553</v>
      </c>
      <c r="Y44" t="s">
        <v>48</v>
      </c>
    </row>
    <row r="45" spans="2:25" x14ac:dyDescent="0.35">
      <c r="B45" t="s">
        <v>62</v>
      </c>
      <c r="C45" t="s">
        <v>63</v>
      </c>
      <c r="D45" t="s">
        <v>43</v>
      </c>
      <c r="E45" t="s">
        <v>0</v>
      </c>
      <c r="F45" s="16">
        <v>44958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2301010148</v>
      </c>
      <c r="S45" t="s">
        <v>54</v>
      </c>
      <c r="T45">
        <v>1866830</v>
      </c>
      <c r="U45" t="s">
        <v>55</v>
      </c>
      <c r="V45" s="1" t="s">
        <v>56</v>
      </c>
      <c r="W45" s="1" t="s">
        <v>57</v>
      </c>
      <c r="X45" s="18">
        <v>44958.031944444447</v>
      </c>
      <c r="Y45" t="s">
        <v>48</v>
      </c>
    </row>
    <row r="46" spans="2:25" x14ac:dyDescent="0.35">
      <c r="B46" t="s">
        <v>41</v>
      </c>
      <c r="C46" t="s">
        <v>113</v>
      </c>
      <c r="D46" t="s">
        <v>50</v>
      </c>
      <c r="E46" t="s">
        <v>153</v>
      </c>
      <c r="F46" s="16">
        <v>44958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2301010149</v>
      </c>
      <c r="S46" t="s">
        <v>154</v>
      </c>
      <c r="T46">
        <v>1856968</v>
      </c>
      <c r="U46" t="s">
        <v>155</v>
      </c>
      <c r="V46" s="1" t="s">
        <v>56</v>
      </c>
      <c r="W46" s="1" t="s">
        <v>156</v>
      </c>
      <c r="X46" s="18">
        <v>44958.031944444447</v>
      </c>
      <c r="Y46" t="s">
        <v>48</v>
      </c>
    </row>
    <row r="47" spans="2:25" x14ac:dyDescent="0.35">
      <c r="B47" t="s">
        <v>72</v>
      </c>
      <c r="C47" t="s">
        <v>73</v>
      </c>
      <c r="D47" t="s">
        <v>43</v>
      </c>
      <c r="E47" t="s">
        <v>0</v>
      </c>
      <c r="F47" s="16">
        <v>44958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2301010148</v>
      </c>
      <c r="S47" t="s">
        <v>54</v>
      </c>
      <c r="T47">
        <v>1866830</v>
      </c>
      <c r="U47" t="s">
        <v>55</v>
      </c>
      <c r="V47" s="1" t="s">
        <v>56</v>
      </c>
      <c r="W47" s="1" t="s">
        <v>57</v>
      </c>
      <c r="X47" s="18">
        <v>44958.031944444447</v>
      </c>
      <c r="Y47" t="s">
        <v>48</v>
      </c>
    </row>
    <row r="48" spans="2:25" x14ac:dyDescent="0.35">
      <c r="B48" t="s">
        <v>50</v>
      </c>
      <c r="C48" t="s">
        <v>157</v>
      </c>
      <c r="D48" t="s">
        <v>50</v>
      </c>
      <c r="E48" t="s">
        <v>157</v>
      </c>
      <c r="F48" s="16">
        <v>44958</v>
      </c>
      <c r="G48" t="s">
        <v>158</v>
      </c>
      <c r="H48">
        <v>15</v>
      </c>
      <c r="I48">
        <v>15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2301020002</v>
      </c>
      <c r="S48" t="s">
        <v>159</v>
      </c>
      <c r="T48">
        <v>1857255</v>
      </c>
      <c r="U48" t="s">
        <v>160</v>
      </c>
      <c r="V48" s="1" t="s">
        <v>46</v>
      </c>
      <c r="W48" s="17">
        <v>22138</v>
      </c>
      <c r="X48" s="18">
        <v>44958.032638888886</v>
      </c>
      <c r="Y48" t="s">
        <v>48</v>
      </c>
    </row>
    <row r="49" spans="2:25" x14ac:dyDescent="0.35">
      <c r="B49" t="s">
        <v>117</v>
      </c>
      <c r="C49" t="s">
        <v>118</v>
      </c>
      <c r="D49" t="s">
        <v>117</v>
      </c>
      <c r="E49" t="s">
        <v>118</v>
      </c>
      <c r="F49" s="16">
        <v>44958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2301020007</v>
      </c>
      <c r="T49">
        <v>1866832</v>
      </c>
      <c r="U49" t="s">
        <v>161</v>
      </c>
      <c r="V49" s="1" t="s">
        <v>46</v>
      </c>
      <c r="W49" s="1" t="s">
        <v>162</v>
      </c>
      <c r="X49" s="18">
        <v>44958.032638888886</v>
      </c>
      <c r="Y49" t="s">
        <v>87</v>
      </c>
    </row>
    <row r="50" spans="2:25" x14ac:dyDescent="0.35">
      <c r="B50" t="s">
        <v>41</v>
      </c>
      <c r="C50" t="s">
        <v>113</v>
      </c>
      <c r="D50" t="s">
        <v>50</v>
      </c>
      <c r="E50" t="s">
        <v>163</v>
      </c>
      <c r="F50" s="16">
        <v>44958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2212211685</v>
      </c>
      <c r="S50" t="s">
        <v>164</v>
      </c>
      <c r="T50">
        <v>1853236</v>
      </c>
      <c r="U50" t="s">
        <v>165</v>
      </c>
      <c r="V50" s="1" t="s">
        <v>56</v>
      </c>
      <c r="W50" s="1" t="s">
        <v>166</v>
      </c>
      <c r="X50" s="18">
        <v>44958.032638888886</v>
      </c>
      <c r="Y50" t="s">
        <v>48</v>
      </c>
    </row>
    <row r="51" spans="2:25" x14ac:dyDescent="0.35">
      <c r="B51" t="s">
        <v>41</v>
      </c>
      <c r="C51" t="s">
        <v>42</v>
      </c>
      <c r="D51" t="s">
        <v>43</v>
      </c>
      <c r="E51" t="s">
        <v>0</v>
      </c>
      <c r="F51" s="16">
        <v>44958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2301010148</v>
      </c>
      <c r="S51" t="s">
        <v>54</v>
      </c>
      <c r="T51">
        <v>1866830</v>
      </c>
      <c r="U51" t="s">
        <v>55</v>
      </c>
      <c r="V51" s="1" t="s">
        <v>56</v>
      </c>
      <c r="W51" s="1" t="s">
        <v>57</v>
      </c>
      <c r="X51" s="18">
        <v>44958.03402777778</v>
      </c>
      <c r="Y51" t="s">
        <v>48</v>
      </c>
    </row>
    <row r="52" spans="2:25" x14ac:dyDescent="0.35">
      <c r="B52" t="s">
        <v>41</v>
      </c>
      <c r="C52" t="s">
        <v>113</v>
      </c>
      <c r="D52" t="s">
        <v>50</v>
      </c>
      <c r="E52" t="s">
        <v>150</v>
      </c>
      <c r="F52" s="16">
        <v>44958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2212291226</v>
      </c>
      <c r="S52" t="s">
        <v>167</v>
      </c>
      <c r="T52">
        <v>760714</v>
      </c>
      <c r="U52" t="s">
        <v>168</v>
      </c>
      <c r="V52" s="1" t="s">
        <v>46</v>
      </c>
      <c r="W52" s="17">
        <v>13946</v>
      </c>
      <c r="X52" s="18">
        <v>44958.035416666666</v>
      </c>
      <c r="Y52" t="s">
        <v>48</v>
      </c>
    </row>
    <row r="53" spans="2:25" x14ac:dyDescent="0.35">
      <c r="B53" t="s">
        <v>62</v>
      </c>
      <c r="C53" t="s">
        <v>63</v>
      </c>
      <c r="D53" t="s">
        <v>50</v>
      </c>
      <c r="E53" t="s">
        <v>169</v>
      </c>
      <c r="F53" s="16">
        <v>44958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2212300736</v>
      </c>
      <c r="S53" t="s">
        <v>170</v>
      </c>
      <c r="T53">
        <v>1857444</v>
      </c>
      <c r="U53" t="s">
        <v>171</v>
      </c>
      <c r="V53" s="1" t="s">
        <v>56</v>
      </c>
      <c r="W53" s="17">
        <v>21950</v>
      </c>
      <c r="X53" s="18">
        <v>44958.035416666666</v>
      </c>
      <c r="Y53" t="s">
        <v>48</v>
      </c>
    </row>
    <row r="54" spans="2:25" x14ac:dyDescent="0.35">
      <c r="B54" t="s">
        <v>62</v>
      </c>
      <c r="C54" t="s">
        <v>63</v>
      </c>
      <c r="D54" t="s">
        <v>50</v>
      </c>
      <c r="E54" t="s">
        <v>169</v>
      </c>
      <c r="F54" s="16">
        <v>44958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2212281616</v>
      </c>
      <c r="S54" t="s">
        <v>172</v>
      </c>
      <c r="T54">
        <v>1855742</v>
      </c>
      <c r="U54" t="s">
        <v>173</v>
      </c>
      <c r="V54" s="1" t="s">
        <v>46</v>
      </c>
      <c r="W54" s="1" t="s">
        <v>174</v>
      </c>
      <c r="X54" s="18">
        <v>44958.036805555559</v>
      </c>
      <c r="Y54" t="s">
        <v>48</v>
      </c>
    </row>
    <row r="55" spans="2:25" x14ac:dyDescent="0.35">
      <c r="B55" t="s">
        <v>62</v>
      </c>
      <c r="C55" t="s">
        <v>63</v>
      </c>
      <c r="D55" t="s">
        <v>50</v>
      </c>
      <c r="E55" t="s">
        <v>169</v>
      </c>
      <c r="F55" s="16">
        <v>44958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2212281616</v>
      </c>
      <c r="S55" t="s">
        <v>172</v>
      </c>
      <c r="T55">
        <v>1855742</v>
      </c>
      <c r="U55" t="s">
        <v>173</v>
      </c>
      <c r="V55" s="1" t="s">
        <v>46</v>
      </c>
      <c r="W55" s="1" t="s">
        <v>174</v>
      </c>
      <c r="X55" s="18">
        <v>44958.036805555559</v>
      </c>
      <c r="Y55" t="s">
        <v>48</v>
      </c>
    </row>
    <row r="56" spans="2:25" x14ac:dyDescent="0.35">
      <c r="B56" t="s">
        <v>41</v>
      </c>
      <c r="C56" t="s">
        <v>113</v>
      </c>
      <c r="D56" t="s">
        <v>50</v>
      </c>
      <c r="E56" t="s">
        <v>150</v>
      </c>
      <c r="F56" s="16">
        <v>44958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2212301157</v>
      </c>
      <c r="S56" t="s">
        <v>175</v>
      </c>
      <c r="T56">
        <v>1865807</v>
      </c>
      <c r="U56" t="s">
        <v>176</v>
      </c>
      <c r="V56" s="1" t="s">
        <v>56</v>
      </c>
      <c r="W56" s="1" t="s">
        <v>177</v>
      </c>
      <c r="X56" s="18">
        <v>44958.038194444445</v>
      </c>
      <c r="Y56" t="s">
        <v>48</v>
      </c>
    </row>
    <row r="57" spans="2:25" x14ac:dyDescent="0.35">
      <c r="B57" t="s">
        <v>120</v>
      </c>
      <c r="C57" t="s">
        <v>121</v>
      </c>
      <c r="D57" t="s">
        <v>43</v>
      </c>
      <c r="E57" t="s">
        <v>0</v>
      </c>
      <c r="F57" s="16">
        <v>44958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2301010107</v>
      </c>
      <c r="S57" t="s">
        <v>178</v>
      </c>
      <c r="T57">
        <v>1253018</v>
      </c>
      <c r="U57" t="s">
        <v>179</v>
      </c>
      <c r="V57" s="1" t="s">
        <v>56</v>
      </c>
      <c r="W57" s="17">
        <v>14103</v>
      </c>
      <c r="X57" s="18">
        <v>44958.040277777778</v>
      </c>
      <c r="Y57" t="s">
        <v>48</v>
      </c>
    </row>
    <row r="58" spans="2:25" x14ac:dyDescent="0.35">
      <c r="B58" t="s">
        <v>41</v>
      </c>
      <c r="C58" t="s">
        <v>49</v>
      </c>
      <c r="D58" t="s">
        <v>50</v>
      </c>
      <c r="E58" t="s">
        <v>157</v>
      </c>
      <c r="F58" s="16">
        <v>44958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2301020002</v>
      </c>
      <c r="S58" t="s">
        <v>159</v>
      </c>
      <c r="T58">
        <v>1857255</v>
      </c>
      <c r="U58" t="s">
        <v>160</v>
      </c>
      <c r="V58" s="1" t="s">
        <v>46</v>
      </c>
      <c r="W58" s="17">
        <v>22138</v>
      </c>
      <c r="X58" s="18">
        <v>44958.043055555558</v>
      </c>
      <c r="Y58" t="s">
        <v>48</v>
      </c>
    </row>
    <row r="59" spans="2:25" x14ac:dyDescent="0.35">
      <c r="B59" t="s">
        <v>41</v>
      </c>
      <c r="C59" t="s">
        <v>42</v>
      </c>
      <c r="D59" t="s">
        <v>43</v>
      </c>
      <c r="E59" t="s">
        <v>0</v>
      </c>
      <c r="F59" s="16">
        <v>44958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2212310158</v>
      </c>
      <c r="S59" t="s">
        <v>180</v>
      </c>
      <c r="T59">
        <v>1866796</v>
      </c>
      <c r="U59" t="s">
        <v>181</v>
      </c>
      <c r="V59" s="1" t="s">
        <v>46</v>
      </c>
      <c r="W59" s="1" t="s">
        <v>182</v>
      </c>
      <c r="X59" s="18">
        <v>44958.043749999997</v>
      </c>
      <c r="Y59" t="s">
        <v>48</v>
      </c>
    </row>
    <row r="60" spans="2:25" x14ac:dyDescent="0.35">
      <c r="B60" t="s">
        <v>41</v>
      </c>
      <c r="C60" t="s">
        <v>42</v>
      </c>
      <c r="D60" t="s">
        <v>43</v>
      </c>
      <c r="E60" t="s">
        <v>0</v>
      </c>
      <c r="F60" s="16">
        <v>44958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2301010050</v>
      </c>
      <c r="S60" t="s">
        <v>183</v>
      </c>
      <c r="T60">
        <v>1866814</v>
      </c>
      <c r="U60" t="s">
        <v>184</v>
      </c>
      <c r="V60" s="1" t="s">
        <v>46</v>
      </c>
      <c r="W60" s="17">
        <v>34427</v>
      </c>
      <c r="X60" s="18">
        <v>44958.047222222223</v>
      </c>
      <c r="Y60" t="s">
        <v>48</v>
      </c>
    </row>
    <row r="61" spans="2:25" x14ac:dyDescent="0.35">
      <c r="B61" t="s">
        <v>62</v>
      </c>
      <c r="C61" t="s">
        <v>63</v>
      </c>
      <c r="D61" t="s">
        <v>50</v>
      </c>
      <c r="E61" t="s">
        <v>88</v>
      </c>
      <c r="F61" s="16">
        <v>44958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2212180145</v>
      </c>
      <c r="S61" t="s">
        <v>185</v>
      </c>
      <c r="T61">
        <v>1864809</v>
      </c>
      <c r="U61" t="s">
        <v>186</v>
      </c>
      <c r="V61" s="1" t="s">
        <v>56</v>
      </c>
      <c r="W61" s="17">
        <v>25299</v>
      </c>
      <c r="X61" s="18">
        <v>44958.053472222222</v>
      </c>
      <c r="Y61" t="s">
        <v>48</v>
      </c>
    </row>
    <row r="62" spans="2:25" x14ac:dyDescent="0.35">
      <c r="B62" t="s">
        <v>62</v>
      </c>
      <c r="C62" t="s">
        <v>63</v>
      </c>
      <c r="D62" t="s">
        <v>50</v>
      </c>
      <c r="E62" t="s">
        <v>187</v>
      </c>
      <c r="F62" s="16">
        <v>44958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2212161389</v>
      </c>
      <c r="S62" t="s">
        <v>188</v>
      </c>
      <c r="T62">
        <v>1864576</v>
      </c>
      <c r="U62" t="s">
        <v>189</v>
      </c>
      <c r="V62" s="1" t="s">
        <v>46</v>
      </c>
      <c r="W62" s="17">
        <v>26789</v>
      </c>
      <c r="X62" s="18">
        <v>44958.054166666669</v>
      </c>
      <c r="Y62" t="s">
        <v>48</v>
      </c>
    </row>
    <row r="63" spans="2:25" x14ac:dyDescent="0.35">
      <c r="B63" t="s">
        <v>41</v>
      </c>
      <c r="C63" t="s">
        <v>42</v>
      </c>
      <c r="D63" t="s">
        <v>50</v>
      </c>
      <c r="E63" t="s">
        <v>102</v>
      </c>
      <c r="F63" s="16">
        <v>44958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2301010121</v>
      </c>
      <c r="S63" t="s">
        <v>190</v>
      </c>
      <c r="T63">
        <v>728228</v>
      </c>
      <c r="U63" t="s">
        <v>191</v>
      </c>
      <c r="V63" s="1" t="s">
        <v>56</v>
      </c>
      <c r="W63" s="17">
        <v>24506</v>
      </c>
      <c r="X63" s="18">
        <v>44958.055555555555</v>
      </c>
      <c r="Y63" t="s">
        <v>48</v>
      </c>
    </row>
    <row r="64" spans="2:25" x14ac:dyDescent="0.35">
      <c r="B64" t="s">
        <v>50</v>
      </c>
      <c r="C64" t="s">
        <v>88</v>
      </c>
      <c r="D64" t="s">
        <v>50</v>
      </c>
      <c r="E64" t="s">
        <v>88</v>
      </c>
      <c r="F64" s="16">
        <v>44958</v>
      </c>
      <c r="G64" s="16">
        <v>45261</v>
      </c>
      <c r="H64">
        <v>11</v>
      </c>
      <c r="I64">
        <v>11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2301020005</v>
      </c>
      <c r="S64" t="s">
        <v>192</v>
      </c>
      <c r="T64">
        <v>1816940</v>
      </c>
      <c r="U64" t="s">
        <v>97</v>
      </c>
      <c r="V64" s="1" t="s">
        <v>56</v>
      </c>
      <c r="W64" s="1" t="s">
        <v>98</v>
      </c>
      <c r="X64" s="18">
        <v>44958.056944444441</v>
      </c>
      <c r="Y64" t="s">
        <v>48</v>
      </c>
    </row>
    <row r="65" spans="2:25" x14ac:dyDescent="0.35">
      <c r="B65" t="s">
        <v>62</v>
      </c>
      <c r="C65" t="s">
        <v>63</v>
      </c>
      <c r="D65" t="s">
        <v>50</v>
      </c>
      <c r="E65" t="s">
        <v>187</v>
      </c>
      <c r="F65" s="16">
        <v>44958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2212161389</v>
      </c>
      <c r="S65" t="s">
        <v>188</v>
      </c>
      <c r="T65">
        <v>1864576</v>
      </c>
      <c r="U65" t="s">
        <v>189</v>
      </c>
      <c r="V65" s="1" t="s">
        <v>46</v>
      </c>
      <c r="W65" s="17">
        <v>26789</v>
      </c>
      <c r="X65" s="18">
        <v>44958.058333333334</v>
      </c>
      <c r="Y65" t="s">
        <v>48</v>
      </c>
    </row>
    <row r="66" spans="2:25" x14ac:dyDescent="0.35">
      <c r="B66" t="s">
        <v>41</v>
      </c>
      <c r="C66" t="s">
        <v>42</v>
      </c>
      <c r="D66" t="s">
        <v>43</v>
      </c>
      <c r="E66" t="s">
        <v>0</v>
      </c>
      <c r="F66" s="16">
        <v>44958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2301010132</v>
      </c>
      <c r="S66" t="s">
        <v>44</v>
      </c>
      <c r="T66">
        <v>1865669</v>
      </c>
      <c r="U66" t="s">
        <v>45</v>
      </c>
      <c r="V66" s="1" t="s">
        <v>46</v>
      </c>
      <c r="W66" s="1" t="s">
        <v>47</v>
      </c>
      <c r="X66" s="18">
        <v>44958.05972222222</v>
      </c>
      <c r="Y66" t="s">
        <v>48</v>
      </c>
    </row>
    <row r="67" spans="2:25" x14ac:dyDescent="0.35">
      <c r="B67" t="s">
        <v>43</v>
      </c>
      <c r="C67" t="s">
        <v>0</v>
      </c>
      <c r="D67" t="s">
        <v>43</v>
      </c>
      <c r="E67" t="s">
        <v>0</v>
      </c>
      <c r="F67" s="16">
        <v>44958</v>
      </c>
      <c r="G67" s="16">
        <v>44958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2301020009</v>
      </c>
      <c r="S67" t="s">
        <v>193</v>
      </c>
      <c r="T67">
        <v>1866833</v>
      </c>
      <c r="U67" t="s">
        <v>194</v>
      </c>
      <c r="V67" s="1" t="s">
        <v>56</v>
      </c>
      <c r="W67" s="1" t="s">
        <v>195</v>
      </c>
      <c r="X67" s="18">
        <v>44958.061111111114</v>
      </c>
      <c r="Y67" t="s">
        <v>48</v>
      </c>
    </row>
    <row r="68" spans="2:25" x14ac:dyDescent="0.35">
      <c r="B68" t="s">
        <v>41</v>
      </c>
      <c r="C68" t="s">
        <v>42</v>
      </c>
      <c r="D68" t="s">
        <v>43</v>
      </c>
      <c r="E68" t="s">
        <v>0</v>
      </c>
      <c r="F68" s="16">
        <v>44958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2301020009</v>
      </c>
      <c r="S68" t="s">
        <v>193</v>
      </c>
      <c r="T68">
        <v>1866833</v>
      </c>
      <c r="U68" t="s">
        <v>194</v>
      </c>
      <c r="V68" s="1" t="s">
        <v>56</v>
      </c>
      <c r="W68" s="1" t="s">
        <v>195</v>
      </c>
      <c r="X68" s="18">
        <v>44958.0625</v>
      </c>
      <c r="Y68" t="s">
        <v>48</v>
      </c>
    </row>
    <row r="69" spans="2:25" x14ac:dyDescent="0.35">
      <c r="B69" t="s">
        <v>43</v>
      </c>
      <c r="C69" t="s">
        <v>0</v>
      </c>
      <c r="D69" t="s">
        <v>43</v>
      </c>
      <c r="E69" t="s">
        <v>0</v>
      </c>
      <c r="F69" s="16">
        <v>44958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2301020010</v>
      </c>
      <c r="S69" t="s">
        <v>196</v>
      </c>
      <c r="T69">
        <v>744763</v>
      </c>
      <c r="U69" t="s">
        <v>197</v>
      </c>
      <c r="V69" s="1" t="s">
        <v>56</v>
      </c>
      <c r="W69" s="1" t="s">
        <v>198</v>
      </c>
      <c r="X69" s="18">
        <v>44958.067361111112</v>
      </c>
      <c r="Y69" t="s">
        <v>48</v>
      </c>
    </row>
    <row r="70" spans="2:25" x14ac:dyDescent="0.35">
      <c r="B70" t="s">
        <v>41</v>
      </c>
      <c r="C70" t="s">
        <v>42</v>
      </c>
      <c r="D70" t="s">
        <v>43</v>
      </c>
      <c r="E70" t="s">
        <v>0</v>
      </c>
      <c r="F70" s="16">
        <v>44958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2301020010</v>
      </c>
      <c r="S70" t="s">
        <v>196</v>
      </c>
      <c r="T70">
        <v>744763</v>
      </c>
      <c r="U70" t="s">
        <v>197</v>
      </c>
      <c r="V70" s="1" t="s">
        <v>56</v>
      </c>
      <c r="W70" s="1" t="s">
        <v>198</v>
      </c>
      <c r="X70" s="18">
        <v>44958.068749999999</v>
      </c>
      <c r="Y70" t="s">
        <v>48</v>
      </c>
    </row>
    <row r="71" spans="2:25" x14ac:dyDescent="0.35">
      <c r="B71" t="s">
        <v>43</v>
      </c>
      <c r="C71" t="s">
        <v>0</v>
      </c>
      <c r="D71" t="s">
        <v>43</v>
      </c>
      <c r="E71" t="s">
        <v>0</v>
      </c>
      <c r="F71" s="16">
        <v>44958</v>
      </c>
      <c r="G71" s="16">
        <v>44958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2301020012</v>
      </c>
      <c r="S71" t="s">
        <v>199</v>
      </c>
      <c r="T71">
        <v>1854619</v>
      </c>
      <c r="U71" t="s">
        <v>200</v>
      </c>
      <c r="V71" s="1" t="s">
        <v>56</v>
      </c>
      <c r="W71" s="17">
        <v>23986</v>
      </c>
      <c r="X71" s="18">
        <v>44958.070138888892</v>
      </c>
      <c r="Y71" t="s">
        <v>48</v>
      </c>
    </row>
    <row r="72" spans="2:25" x14ac:dyDescent="0.35">
      <c r="B72" t="s">
        <v>41</v>
      </c>
      <c r="C72" t="s">
        <v>42</v>
      </c>
      <c r="D72" t="s">
        <v>43</v>
      </c>
      <c r="E72" t="s">
        <v>0</v>
      </c>
      <c r="F72" s="16">
        <v>44958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2301010101</v>
      </c>
      <c r="S72" t="s">
        <v>122</v>
      </c>
      <c r="T72">
        <v>1861480</v>
      </c>
      <c r="U72" t="s">
        <v>123</v>
      </c>
      <c r="V72" s="1" t="s">
        <v>56</v>
      </c>
      <c r="W72" s="1" t="s">
        <v>124</v>
      </c>
      <c r="X72" s="18">
        <v>44958.073611111111</v>
      </c>
      <c r="Y72" t="s">
        <v>48</v>
      </c>
    </row>
    <row r="73" spans="2:25" x14ac:dyDescent="0.35">
      <c r="B73" t="s">
        <v>41</v>
      </c>
      <c r="C73" t="s">
        <v>42</v>
      </c>
      <c r="D73" t="s">
        <v>43</v>
      </c>
      <c r="E73" t="s">
        <v>0</v>
      </c>
      <c r="F73" s="16">
        <v>44958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2301020012</v>
      </c>
      <c r="S73" t="s">
        <v>199</v>
      </c>
      <c r="T73">
        <v>1854619</v>
      </c>
      <c r="U73" t="s">
        <v>200</v>
      </c>
      <c r="V73" s="1" t="s">
        <v>56</v>
      </c>
      <c r="W73" s="17">
        <v>23986</v>
      </c>
      <c r="X73" s="18">
        <v>44958.074305555558</v>
      </c>
      <c r="Y73" t="s">
        <v>48</v>
      </c>
    </row>
    <row r="74" spans="2:25" x14ac:dyDescent="0.35">
      <c r="B74" t="s">
        <v>62</v>
      </c>
      <c r="C74" t="s">
        <v>63</v>
      </c>
      <c r="D74" t="s">
        <v>43</v>
      </c>
      <c r="E74" t="s">
        <v>0</v>
      </c>
      <c r="F74" s="16">
        <v>44958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>
        <v>1</v>
      </c>
      <c r="Q74">
        <v>0</v>
      </c>
      <c r="R74">
        <v>2301010100</v>
      </c>
      <c r="S74" t="s">
        <v>130</v>
      </c>
      <c r="T74">
        <v>1835755</v>
      </c>
      <c r="U74" t="s">
        <v>131</v>
      </c>
      <c r="V74" s="1" t="s">
        <v>56</v>
      </c>
      <c r="W74" s="1" t="s">
        <v>132</v>
      </c>
      <c r="X74" s="18">
        <v>44958.075694444444</v>
      </c>
      <c r="Y74" t="s">
        <v>48</v>
      </c>
    </row>
    <row r="75" spans="2:25" x14ac:dyDescent="0.35">
      <c r="B75" t="s">
        <v>50</v>
      </c>
      <c r="C75" t="s">
        <v>114</v>
      </c>
      <c r="D75" t="s">
        <v>50</v>
      </c>
      <c r="E75" t="s">
        <v>114</v>
      </c>
      <c r="F75" s="16">
        <v>44958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2301020003</v>
      </c>
      <c r="S75" t="s">
        <v>201</v>
      </c>
      <c r="T75">
        <v>1556682</v>
      </c>
      <c r="U75" t="s">
        <v>67</v>
      </c>
      <c r="V75" s="1" t="s">
        <v>56</v>
      </c>
      <c r="W75" s="1" t="s">
        <v>68</v>
      </c>
      <c r="X75" s="18">
        <v>44958.07708333333</v>
      </c>
      <c r="Y75" t="s">
        <v>48</v>
      </c>
    </row>
    <row r="76" spans="2:25" x14ac:dyDescent="0.35">
      <c r="B76" t="s">
        <v>62</v>
      </c>
      <c r="C76" t="s">
        <v>63</v>
      </c>
      <c r="D76" t="s">
        <v>43</v>
      </c>
      <c r="E76" t="s">
        <v>0</v>
      </c>
      <c r="F76" s="16">
        <v>44958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</v>
      </c>
      <c r="P76">
        <v>1</v>
      </c>
      <c r="Q76">
        <v>0</v>
      </c>
      <c r="R76">
        <v>2301010148</v>
      </c>
      <c r="S76" t="s">
        <v>54</v>
      </c>
      <c r="T76">
        <v>1866830</v>
      </c>
      <c r="U76" t="s">
        <v>55</v>
      </c>
      <c r="V76" s="1" t="s">
        <v>56</v>
      </c>
      <c r="W76" s="1" t="s">
        <v>57</v>
      </c>
      <c r="X76" s="18">
        <v>44958.081250000003</v>
      </c>
      <c r="Y76" t="s">
        <v>48</v>
      </c>
    </row>
    <row r="77" spans="2:25" x14ac:dyDescent="0.35">
      <c r="B77" t="s">
        <v>202</v>
      </c>
      <c r="C77" t="s">
        <v>203</v>
      </c>
      <c r="D77" t="s">
        <v>50</v>
      </c>
      <c r="E77" t="s">
        <v>163</v>
      </c>
      <c r="F77" s="16">
        <v>44958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2212291248</v>
      </c>
      <c r="S77" t="s">
        <v>204</v>
      </c>
      <c r="T77">
        <v>639381</v>
      </c>
      <c r="U77" t="s">
        <v>205</v>
      </c>
      <c r="V77" s="1" t="s">
        <v>46</v>
      </c>
      <c r="W77" s="17">
        <v>23693</v>
      </c>
      <c r="X77" s="18">
        <v>44958.084027777775</v>
      </c>
      <c r="Y77" t="s">
        <v>48</v>
      </c>
    </row>
    <row r="78" spans="2:25" x14ac:dyDescent="0.35">
      <c r="B78" t="s">
        <v>50</v>
      </c>
      <c r="C78" t="s">
        <v>58</v>
      </c>
      <c r="D78" t="s">
        <v>50</v>
      </c>
      <c r="E78" t="s">
        <v>58</v>
      </c>
      <c r="F78" s="16">
        <v>44958</v>
      </c>
      <c r="G78" s="16">
        <v>45170</v>
      </c>
      <c r="H78">
        <v>8</v>
      </c>
      <c r="I78">
        <v>8</v>
      </c>
      <c r="J78">
        <v>0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2301020008</v>
      </c>
      <c r="S78" t="s">
        <v>206</v>
      </c>
      <c r="T78">
        <v>1866796</v>
      </c>
      <c r="U78" t="s">
        <v>181</v>
      </c>
      <c r="V78" s="1" t="s">
        <v>46</v>
      </c>
      <c r="W78" s="1" t="s">
        <v>182</v>
      </c>
      <c r="X78" s="18">
        <v>44958.084027777775</v>
      </c>
      <c r="Y78" t="s">
        <v>48</v>
      </c>
    </row>
    <row r="79" spans="2:25" x14ac:dyDescent="0.35">
      <c r="B79" t="s">
        <v>202</v>
      </c>
      <c r="C79" t="s">
        <v>203</v>
      </c>
      <c r="D79" t="s">
        <v>43</v>
      </c>
      <c r="E79" t="s">
        <v>0</v>
      </c>
      <c r="F79" s="16">
        <v>44958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2301010110</v>
      </c>
      <c r="S79" t="s">
        <v>66</v>
      </c>
      <c r="T79">
        <v>1556682</v>
      </c>
      <c r="U79" t="s">
        <v>67</v>
      </c>
      <c r="V79" s="1" t="s">
        <v>56</v>
      </c>
      <c r="W79" s="1" t="s">
        <v>68</v>
      </c>
      <c r="X79" s="18">
        <v>44958.084027777775</v>
      </c>
      <c r="Y79" t="s">
        <v>48</v>
      </c>
    </row>
    <row r="80" spans="2:25" x14ac:dyDescent="0.35">
      <c r="B80" t="s">
        <v>62</v>
      </c>
      <c r="C80" t="s">
        <v>63</v>
      </c>
      <c r="D80" t="s">
        <v>43</v>
      </c>
      <c r="E80" t="s">
        <v>0</v>
      </c>
      <c r="F80" s="16">
        <v>44958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>
        <v>1</v>
      </c>
      <c r="Q80">
        <v>0</v>
      </c>
      <c r="R80">
        <v>2301020010</v>
      </c>
      <c r="S80" t="s">
        <v>196</v>
      </c>
      <c r="T80">
        <v>744763</v>
      </c>
      <c r="U80" t="s">
        <v>197</v>
      </c>
      <c r="V80" s="1" t="s">
        <v>56</v>
      </c>
      <c r="W80" s="1" t="s">
        <v>198</v>
      </c>
      <c r="X80" s="18">
        <v>44958.084722222222</v>
      </c>
      <c r="Y80" t="s">
        <v>48</v>
      </c>
    </row>
    <row r="81" spans="2:25" x14ac:dyDescent="0.35">
      <c r="B81" t="s">
        <v>202</v>
      </c>
      <c r="C81" t="s">
        <v>203</v>
      </c>
      <c r="D81" t="s">
        <v>43</v>
      </c>
      <c r="E81" t="s">
        <v>0</v>
      </c>
      <c r="F81" s="16">
        <v>44958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2301010101</v>
      </c>
      <c r="S81" t="s">
        <v>122</v>
      </c>
      <c r="T81">
        <v>1861480</v>
      </c>
      <c r="U81" t="s">
        <v>123</v>
      </c>
      <c r="V81" s="1" t="s">
        <v>56</v>
      </c>
      <c r="W81" s="1" t="s">
        <v>124</v>
      </c>
      <c r="X81" s="18">
        <v>44958.085416666669</v>
      </c>
      <c r="Y81" t="s">
        <v>48</v>
      </c>
    </row>
    <row r="82" spans="2:25" x14ac:dyDescent="0.35">
      <c r="B82" t="s">
        <v>62</v>
      </c>
      <c r="C82" t="s">
        <v>63</v>
      </c>
      <c r="D82" t="s">
        <v>43</v>
      </c>
      <c r="E82" t="s">
        <v>0</v>
      </c>
      <c r="F82" s="16">
        <v>44958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2301020010</v>
      </c>
      <c r="S82" t="s">
        <v>196</v>
      </c>
      <c r="T82">
        <v>744763</v>
      </c>
      <c r="U82" t="s">
        <v>197</v>
      </c>
      <c r="V82" s="1" t="s">
        <v>56</v>
      </c>
      <c r="W82" s="1" t="s">
        <v>198</v>
      </c>
      <c r="X82" s="18">
        <v>44958.085416666669</v>
      </c>
      <c r="Y82" t="s">
        <v>48</v>
      </c>
    </row>
    <row r="83" spans="2:25" x14ac:dyDescent="0.35">
      <c r="B83" t="s">
        <v>50</v>
      </c>
      <c r="C83" t="s">
        <v>51</v>
      </c>
      <c r="D83" t="s">
        <v>50</v>
      </c>
      <c r="E83" t="s">
        <v>51</v>
      </c>
      <c r="F83" s="16">
        <v>44958</v>
      </c>
      <c r="H83">
        <v>0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2301020006</v>
      </c>
      <c r="S83" t="s">
        <v>207</v>
      </c>
      <c r="T83">
        <v>1865669</v>
      </c>
      <c r="U83" t="s">
        <v>45</v>
      </c>
      <c r="V83" s="1" t="s">
        <v>46</v>
      </c>
      <c r="W83" s="1" t="s">
        <v>47</v>
      </c>
      <c r="X83" s="18">
        <v>44958.085416666669</v>
      </c>
      <c r="Y83" t="s">
        <v>48</v>
      </c>
    </row>
    <row r="84" spans="2:25" x14ac:dyDescent="0.35">
      <c r="B84" t="s">
        <v>41</v>
      </c>
      <c r="C84" t="s">
        <v>42</v>
      </c>
      <c r="D84" t="s">
        <v>43</v>
      </c>
      <c r="E84" t="s">
        <v>0</v>
      </c>
      <c r="F84" s="16">
        <v>44958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2301010074</v>
      </c>
      <c r="S84" t="s">
        <v>208</v>
      </c>
      <c r="T84">
        <v>1866818</v>
      </c>
      <c r="U84" t="s">
        <v>209</v>
      </c>
      <c r="V84" s="1" t="s">
        <v>46</v>
      </c>
      <c r="W84" s="1" t="s">
        <v>210</v>
      </c>
      <c r="X84" s="18">
        <v>44958.086805555555</v>
      </c>
      <c r="Y84" t="s">
        <v>48</v>
      </c>
    </row>
    <row r="85" spans="2:25" x14ac:dyDescent="0.35">
      <c r="B85" t="s">
        <v>62</v>
      </c>
      <c r="C85" t="s">
        <v>63</v>
      </c>
      <c r="D85" t="s">
        <v>43</v>
      </c>
      <c r="E85" t="s">
        <v>0</v>
      </c>
      <c r="F85" s="16">
        <v>44958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2301010100</v>
      </c>
      <c r="S85" t="s">
        <v>130</v>
      </c>
      <c r="T85">
        <v>1835755</v>
      </c>
      <c r="U85" t="s">
        <v>131</v>
      </c>
      <c r="V85" s="1" t="s">
        <v>56</v>
      </c>
      <c r="W85" s="1" t="s">
        <v>132</v>
      </c>
      <c r="X85" s="18">
        <v>44958.086805555555</v>
      </c>
      <c r="Y85" t="s">
        <v>48</v>
      </c>
    </row>
    <row r="86" spans="2:25" x14ac:dyDescent="0.35">
      <c r="B86" t="s">
        <v>62</v>
      </c>
      <c r="C86" t="s">
        <v>63</v>
      </c>
      <c r="D86" t="s">
        <v>50</v>
      </c>
      <c r="E86" t="s">
        <v>211</v>
      </c>
      <c r="F86" s="16">
        <v>44958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2212211528</v>
      </c>
      <c r="S86" t="s">
        <v>212</v>
      </c>
      <c r="T86">
        <v>1865274</v>
      </c>
      <c r="U86" t="s">
        <v>213</v>
      </c>
      <c r="V86" s="1" t="s">
        <v>46</v>
      </c>
      <c r="W86" s="1" t="s">
        <v>214</v>
      </c>
      <c r="X86" s="18">
        <v>44958.087500000001</v>
      </c>
      <c r="Y86" t="s">
        <v>48</v>
      </c>
    </row>
    <row r="87" spans="2:25" x14ac:dyDescent="0.35">
      <c r="B87" t="s">
        <v>72</v>
      </c>
      <c r="C87" t="s">
        <v>73</v>
      </c>
      <c r="D87" t="s">
        <v>43</v>
      </c>
      <c r="E87" t="s">
        <v>0</v>
      </c>
      <c r="F87" s="16">
        <v>44958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2301020009</v>
      </c>
      <c r="S87" t="s">
        <v>193</v>
      </c>
      <c r="T87">
        <v>1866833</v>
      </c>
      <c r="U87" t="s">
        <v>194</v>
      </c>
      <c r="V87" s="1" t="s">
        <v>56</v>
      </c>
      <c r="W87" s="1" t="s">
        <v>195</v>
      </c>
      <c r="X87" s="18">
        <v>44958.088194444441</v>
      </c>
      <c r="Y87" t="s">
        <v>48</v>
      </c>
    </row>
    <row r="88" spans="2:25" x14ac:dyDescent="0.35">
      <c r="B88" t="s">
        <v>41</v>
      </c>
      <c r="C88" t="s">
        <v>92</v>
      </c>
      <c r="D88" t="s">
        <v>50</v>
      </c>
      <c r="E88" t="s">
        <v>215</v>
      </c>
      <c r="F88" s="16">
        <v>44958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2212310046</v>
      </c>
      <c r="S88" t="s">
        <v>216</v>
      </c>
      <c r="T88">
        <v>1839548</v>
      </c>
      <c r="U88" t="s">
        <v>217</v>
      </c>
      <c r="V88" s="1" t="s">
        <v>56</v>
      </c>
      <c r="W88" s="17">
        <v>39118</v>
      </c>
      <c r="X88" s="18">
        <v>44958.095138888886</v>
      </c>
      <c r="Y88" t="s">
        <v>48</v>
      </c>
    </row>
    <row r="89" spans="2:25" x14ac:dyDescent="0.35">
      <c r="B89" t="s">
        <v>41</v>
      </c>
      <c r="C89" t="s">
        <v>92</v>
      </c>
      <c r="D89" t="s">
        <v>50</v>
      </c>
      <c r="E89" t="s">
        <v>187</v>
      </c>
      <c r="F89" s="16">
        <v>44958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2212141796</v>
      </c>
      <c r="S89" t="s">
        <v>218</v>
      </c>
      <c r="T89">
        <v>971234</v>
      </c>
      <c r="U89" t="s">
        <v>219</v>
      </c>
      <c r="V89" s="1" t="s">
        <v>56</v>
      </c>
      <c r="W89" s="1" t="s">
        <v>220</v>
      </c>
      <c r="X89" s="18">
        <v>44958.095833333333</v>
      </c>
      <c r="Y89" t="s">
        <v>48</v>
      </c>
    </row>
    <row r="90" spans="2:25" x14ac:dyDescent="0.35">
      <c r="B90" t="s">
        <v>41</v>
      </c>
      <c r="C90" t="s">
        <v>92</v>
      </c>
      <c r="D90" t="s">
        <v>50</v>
      </c>
      <c r="E90" t="s">
        <v>215</v>
      </c>
      <c r="F90" s="16">
        <v>44958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2212310046</v>
      </c>
      <c r="S90" t="s">
        <v>216</v>
      </c>
      <c r="T90">
        <v>1839548</v>
      </c>
      <c r="U90" t="s">
        <v>217</v>
      </c>
      <c r="V90" s="1" t="s">
        <v>56</v>
      </c>
      <c r="W90" s="17">
        <v>39118</v>
      </c>
      <c r="X90" s="18">
        <v>44958.09652777778</v>
      </c>
      <c r="Y90" t="s">
        <v>48</v>
      </c>
    </row>
    <row r="91" spans="2:25" x14ac:dyDescent="0.35">
      <c r="B91" t="s">
        <v>41</v>
      </c>
      <c r="C91" t="s">
        <v>92</v>
      </c>
      <c r="D91" t="s">
        <v>50</v>
      </c>
      <c r="E91" t="s">
        <v>215</v>
      </c>
      <c r="F91" s="16">
        <v>44958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2211250020</v>
      </c>
      <c r="S91" t="s">
        <v>221</v>
      </c>
      <c r="T91">
        <v>1392995</v>
      </c>
      <c r="U91" t="s">
        <v>222</v>
      </c>
      <c r="V91" s="1" t="s">
        <v>56</v>
      </c>
      <c r="W91" s="17">
        <v>39143</v>
      </c>
      <c r="X91" s="18">
        <v>44958.097222222219</v>
      </c>
      <c r="Y91" t="s">
        <v>48</v>
      </c>
    </row>
    <row r="92" spans="2:25" x14ac:dyDescent="0.35">
      <c r="B92" t="s">
        <v>41</v>
      </c>
      <c r="C92" t="s">
        <v>42</v>
      </c>
      <c r="D92" t="s">
        <v>43</v>
      </c>
      <c r="E92" t="s">
        <v>0</v>
      </c>
      <c r="F92" s="16">
        <v>44958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  <c r="R92">
        <v>2301010107</v>
      </c>
      <c r="S92" t="s">
        <v>178</v>
      </c>
      <c r="T92">
        <v>1253018</v>
      </c>
      <c r="U92" t="s">
        <v>179</v>
      </c>
      <c r="V92" s="1" t="s">
        <v>56</v>
      </c>
      <c r="W92" s="17">
        <v>14103</v>
      </c>
      <c r="X92" s="18">
        <v>44958.101388888892</v>
      </c>
      <c r="Y92" t="s">
        <v>48</v>
      </c>
    </row>
    <row r="93" spans="2:25" x14ac:dyDescent="0.35">
      <c r="B93" t="s">
        <v>72</v>
      </c>
      <c r="C93" t="s">
        <v>73</v>
      </c>
      <c r="D93" t="s">
        <v>43</v>
      </c>
      <c r="E93" t="s">
        <v>0</v>
      </c>
      <c r="F93" s="16">
        <v>44958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2301020010</v>
      </c>
      <c r="S93" t="s">
        <v>196</v>
      </c>
      <c r="T93">
        <v>744763</v>
      </c>
      <c r="U93" t="s">
        <v>197</v>
      </c>
      <c r="V93" s="1" t="s">
        <v>56</v>
      </c>
      <c r="W93" s="1" t="s">
        <v>198</v>
      </c>
      <c r="X93" s="18">
        <v>44958.103472222225</v>
      </c>
      <c r="Y93" t="s">
        <v>48</v>
      </c>
    </row>
    <row r="94" spans="2:25" x14ac:dyDescent="0.35">
      <c r="B94" t="s">
        <v>41</v>
      </c>
      <c r="C94" t="s">
        <v>42</v>
      </c>
      <c r="D94" t="s">
        <v>43</v>
      </c>
      <c r="E94" t="s">
        <v>0</v>
      </c>
      <c r="F94" s="16">
        <v>44958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>
        <v>2301020010</v>
      </c>
      <c r="S94" t="s">
        <v>196</v>
      </c>
      <c r="T94">
        <v>744763</v>
      </c>
      <c r="U94" t="s">
        <v>197</v>
      </c>
      <c r="V94" s="1" t="s">
        <v>56</v>
      </c>
      <c r="W94" s="1" t="s">
        <v>198</v>
      </c>
      <c r="X94" s="18">
        <v>44958.107638888891</v>
      </c>
      <c r="Y94" t="s">
        <v>48</v>
      </c>
    </row>
    <row r="95" spans="2:25" x14ac:dyDescent="0.35">
      <c r="B95" t="s">
        <v>62</v>
      </c>
      <c r="C95" t="s">
        <v>63</v>
      </c>
      <c r="D95" t="s">
        <v>43</v>
      </c>
      <c r="E95" t="s">
        <v>0</v>
      </c>
      <c r="F95" s="16">
        <v>44958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  <c r="R95">
        <v>2301020009</v>
      </c>
      <c r="S95" t="s">
        <v>193</v>
      </c>
      <c r="T95">
        <v>1866833</v>
      </c>
      <c r="U95" t="s">
        <v>194</v>
      </c>
      <c r="V95" s="1" t="s">
        <v>56</v>
      </c>
      <c r="W95" s="1" t="s">
        <v>195</v>
      </c>
      <c r="X95" s="18">
        <v>44958.10833333333</v>
      </c>
      <c r="Y95" t="s">
        <v>48</v>
      </c>
    </row>
    <row r="96" spans="2:25" x14ac:dyDescent="0.35">
      <c r="B96" t="s">
        <v>50</v>
      </c>
      <c r="C96" t="s">
        <v>150</v>
      </c>
      <c r="D96" t="s">
        <v>50</v>
      </c>
      <c r="E96" t="s">
        <v>150</v>
      </c>
      <c r="F96" s="16">
        <v>44958</v>
      </c>
      <c r="H96">
        <v>0</v>
      </c>
      <c r="I96">
        <v>0</v>
      </c>
      <c r="J96">
        <v>0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2301020013</v>
      </c>
      <c r="S96" t="s">
        <v>223</v>
      </c>
      <c r="T96">
        <v>1861480</v>
      </c>
      <c r="U96" t="s">
        <v>123</v>
      </c>
      <c r="V96" s="1" t="s">
        <v>56</v>
      </c>
      <c r="W96" s="1" t="s">
        <v>124</v>
      </c>
      <c r="X96" s="18">
        <v>44958.109722222223</v>
      </c>
      <c r="Y96" t="s">
        <v>48</v>
      </c>
    </row>
    <row r="97" spans="2:25" x14ac:dyDescent="0.35">
      <c r="B97" t="s">
        <v>41</v>
      </c>
      <c r="C97" t="s">
        <v>113</v>
      </c>
      <c r="D97" t="s">
        <v>50</v>
      </c>
      <c r="E97" t="s">
        <v>150</v>
      </c>
      <c r="F97" s="16">
        <v>44958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1</v>
      </c>
      <c r="P97">
        <v>1</v>
      </c>
      <c r="Q97">
        <v>0</v>
      </c>
      <c r="R97">
        <v>2301020013</v>
      </c>
      <c r="S97" t="s">
        <v>223</v>
      </c>
      <c r="T97">
        <v>1861480</v>
      </c>
      <c r="U97" t="s">
        <v>123</v>
      </c>
      <c r="V97" s="1" t="s">
        <v>56</v>
      </c>
      <c r="W97" s="1" t="s">
        <v>124</v>
      </c>
      <c r="X97" s="18">
        <v>44958.117361111108</v>
      </c>
      <c r="Y97" t="s">
        <v>48</v>
      </c>
    </row>
    <row r="98" spans="2:25" x14ac:dyDescent="0.35">
      <c r="B98" t="s">
        <v>41</v>
      </c>
      <c r="C98" t="s">
        <v>42</v>
      </c>
      <c r="D98" t="s">
        <v>43</v>
      </c>
      <c r="E98" t="s">
        <v>0</v>
      </c>
      <c r="F98" s="16">
        <v>44958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2301010107</v>
      </c>
      <c r="S98" t="s">
        <v>178</v>
      </c>
      <c r="T98">
        <v>1253018</v>
      </c>
      <c r="U98" t="s">
        <v>179</v>
      </c>
      <c r="V98" s="1" t="s">
        <v>56</v>
      </c>
      <c r="W98" s="17">
        <v>14103</v>
      </c>
      <c r="X98" s="18">
        <v>44958.122916666667</v>
      </c>
      <c r="Y98" t="s">
        <v>48</v>
      </c>
    </row>
    <row r="99" spans="2:25" x14ac:dyDescent="0.35">
      <c r="B99" t="s">
        <v>62</v>
      </c>
      <c r="C99" t="s">
        <v>63</v>
      </c>
      <c r="D99" t="s">
        <v>50</v>
      </c>
      <c r="E99" t="s">
        <v>110</v>
      </c>
      <c r="F99" s="16">
        <v>44958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>
        <v>1</v>
      </c>
      <c r="Q99">
        <v>0</v>
      </c>
      <c r="R99">
        <v>2212310163</v>
      </c>
      <c r="S99" t="s">
        <v>224</v>
      </c>
      <c r="T99">
        <v>1866781</v>
      </c>
      <c r="U99" t="s">
        <v>225</v>
      </c>
      <c r="V99" s="1" t="s">
        <v>56</v>
      </c>
      <c r="W99" s="17">
        <v>22197</v>
      </c>
      <c r="X99" s="18">
        <v>44958.123611111114</v>
      </c>
      <c r="Y99" t="s">
        <v>48</v>
      </c>
    </row>
    <row r="100" spans="2:25" x14ac:dyDescent="0.35">
      <c r="B100" t="s">
        <v>62</v>
      </c>
      <c r="C100" t="s">
        <v>63</v>
      </c>
      <c r="D100" t="s">
        <v>50</v>
      </c>
      <c r="E100" t="s">
        <v>110</v>
      </c>
      <c r="F100" s="16">
        <v>44958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2212310163</v>
      </c>
      <c r="S100" t="s">
        <v>224</v>
      </c>
      <c r="T100">
        <v>1866781</v>
      </c>
      <c r="U100" t="s">
        <v>225</v>
      </c>
      <c r="V100" s="1" t="s">
        <v>56</v>
      </c>
      <c r="W100" s="17">
        <v>22197</v>
      </c>
      <c r="X100" s="18">
        <v>44958.123611111114</v>
      </c>
      <c r="Y100" t="s">
        <v>48</v>
      </c>
    </row>
    <row r="101" spans="2:25" x14ac:dyDescent="0.35">
      <c r="B101" t="s">
        <v>62</v>
      </c>
      <c r="C101" t="s">
        <v>63</v>
      </c>
      <c r="D101" t="s">
        <v>50</v>
      </c>
      <c r="E101" t="s">
        <v>110</v>
      </c>
      <c r="F101" s="16">
        <v>44958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2212310163</v>
      </c>
      <c r="S101" t="s">
        <v>224</v>
      </c>
      <c r="T101">
        <v>1866781</v>
      </c>
      <c r="U101" t="s">
        <v>225</v>
      </c>
      <c r="V101" s="1" t="s">
        <v>56</v>
      </c>
      <c r="W101" s="17">
        <v>22197</v>
      </c>
      <c r="X101" s="18">
        <v>44958.124305555553</v>
      </c>
      <c r="Y101" t="s">
        <v>48</v>
      </c>
    </row>
    <row r="102" spans="2:25" x14ac:dyDescent="0.35">
      <c r="B102" t="s">
        <v>62</v>
      </c>
      <c r="C102" t="s">
        <v>63</v>
      </c>
      <c r="D102" t="s">
        <v>50</v>
      </c>
      <c r="E102" t="s">
        <v>110</v>
      </c>
      <c r="F102" s="16">
        <v>44958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2212310163</v>
      </c>
      <c r="S102" t="s">
        <v>224</v>
      </c>
      <c r="T102">
        <v>1866781</v>
      </c>
      <c r="U102" t="s">
        <v>225</v>
      </c>
      <c r="V102" s="1" t="s">
        <v>56</v>
      </c>
      <c r="W102" s="17">
        <v>22197</v>
      </c>
      <c r="X102" s="18">
        <v>44958.124305555553</v>
      </c>
      <c r="Y102" t="s">
        <v>48</v>
      </c>
    </row>
    <row r="103" spans="2:25" x14ac:dyDescent="0.35">
      <c r="B103" t="s">
        <v>62</v>
      </c>
      <c r="C103" t="s">
        <v>63</v>
      </c>
      <c r="D103" t="s">
        <v>50</v>
      </c>
      <c r="E103" t="s">
        <v>110</v>
      </c>
      <c r="F103" s="16">
        <v>44958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2212310163</v>
      </c>
      <c r="S103" t="s">
        <v>224</v>
      </c>
      <c r="T103">
        <v>1866781</v>
      </c>
      <c r="U103" t="s">
        <v>225</v>
      </c>
      <c r="V103" s="1" t="s">
        <v>56</v>
      </c>
      <c r="W103" s="17">
        <v>22197</v>
      </c>
      <c r="X103" s="18">
        <v>44958.124305555553</v>
      </c>
      <c r="Y103" t="s">
        <v>48</v>
      </c>
    </row>
    <row r="104" spans="2:25" x14ac:dyDescent="0.35">
      <c r="B104" t="s">
        <v>62</v>
      </c>
      <c r="C104" t="s">
        <v>63</v>
      </c>
      <c r="D104" t="s">
        <v>50</v>
      </c>
      <c r="E104" t="s">
        <v>110</v>
      </c>
      <c r="F104" s="16">
        <v>44958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2212310163</v>
      </c>
      <c r="S104" t="s">
        <v>224</v>
      </c>
      <c r="T104">
        <v>1866781</v>
      </c>
      <c r="U104" t="s">
        <v>225</v>
      </c>
      <c r="V104" s="1" t="s">
        <v>56</v>
      </c>
      <c r="W104" s="17">
        <v>22197</v>
      </c>
      <c r="X104" s="18">
        <v>44958.125</v>
      </c>
      <c r="Y104" t="s">
        <v>48</v>
      </c>
    </row>
    <row r="105" spans="2:25" x14ac:dyDescent="0.35">
      <c r="B105" t="s">
        <v>62</v>
      </c>
      <c r="C105" t="s">
        <v>63</v>
      </c>
      <c r="D105" t="s">
        <v>50</v>
      </c>
      <c r="E105" t="s">
        <v>110</v>
      </c>
      <c r="F105" s="16">
        <v>44958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2212250099</v>
      </c>
      <c r="S105" t="s">
        <v>226</v>
      </c>
      <c r="T105">
        <v>245311</v>
      </c>
      <c r="U105" t="s">
        <v>227</v>
      </c>
      <c r="V105" s="1" t="s">
        <v>46</v>
      </c>
      <c r="W105" s="17">
        <v>25267</v>
      </c>
      <c r="X105" s="18">
        <v>44958.127083333333</v>
      </c>
      <c r="Y105" t="s">
        <v>48</v>
      </c>
    </row>
    <row r="106" spans="2:25" x14ac:dyDescent="0.35">
      <c r="B106" t="s">
        <v>62</v>
      </c>
      <c r="C106" t="s">
        <v>63</v>
      </c>
      <c r="D106" t="s">
        <v>50</v>
      </c>
      <c r="E106" t="s">
        <v>110</v>
      </c>
      <c r="F106" s="16">
        <v>44958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2212250099</v>
      </c>
      <c r="S106" t="s">
        <v>226</v>
      </c>
      <c r="T106">
        <v>245311</v>
      </c>
      <c r="U106" t="s">
        <v>227</v>
      </c>
      <c r="V106" s="1" t="s">
        <v>46</v>
      </c>
      <c r="W106" s="17">
        <v>25267</v>
      </c>
      <c r="X106" s="18">
        <v>44958.127083333333</v>
      </c>
      <c r="Y106" t="s">
        <v>48</v>
      </c>
    </row>
    <row r="107" spans="2:25" x14ac:dyDescent="0.35">
      <c r="B107" t="s">
        <v>62</v>
      </c>
      <c r="C107" t="s">
        <v>63</v>
      </c>
      <c r="D107" t="s">
        <v>50</v>
      </c>
      <c r="E107" t="s">
        <v>110</v>
      </c>
      <c r="F107" s="16">
        <v>44958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2212250099</v>
      </c>
      <c r="S107" t="s">
        <v>226</v>
      </c>
      <c r="T107">
        <v>245311</v>
      </c>
      <c r="U107" t="s">
        <v>227</v>
      </c>
      <c r="V107" s="1" t="s">
        <v>46</v>
      </c>
      <c r="W107" s="17">
        <v>25267</v>
      </c>
      <c r="X107" s="18">
        <v>44958.127083333333</v>
      </c>
      <c r="Y107" t="s">
        <v>48</v>
      </c>
    </row>
    <row r="108" spans="2:25" x14ac:dyDescent="0.35">
      <c r="B108" t="s">
        <v>62</v>
      </c>
      <c r="C108" t="s">
        <v>63</v>
      </c>
      <c r="D108" t="s">
        <v>50</v>
      </c>
      <c r="E108" t="s">
        <v>110</v>
      </c>
      <c r="F108" s="16">
        <v>44958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2212250099</v>
      </c>
      <c r="S108" t="s">
        <v>226</v>
      </c>
      <c r="T108">
        <v>245311</v>
      </c>
      <c r="U108" t="s">
        <v>227</v>
      </c>
      <c r="V108" s="1" t="s">
        <v>46</v>
      </c>
      <c r="W108" s="17">
        <v>25267</v>
      </c>
      <c r="X108" s="18">
        <v>44958.12777777778</v>
      </c>
      <c r="Y108" t="s">
        <v>48</v>
      </c>
    </row>
    <row r="109" spans="2:25" x14ac:dyDescent="0.35">
      <c r="B109" t="s">
        <v>62</v>
      </c>
      <c r="C109" t="s">
        <v>63</v>
      </c>
      <c r="D109" t="s">
        <v>50</v>
      </c>
      <c r="E109" t="s">
        <v>110</v>
      </c>
      <c r="F109" s="16">
        <v>44958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2301010059</v>
      </c>
      <c r="S109" t="s">
        <v>111</v>
      </c>
      <c r="T109">
        <v>1839616</v>
      </c>
      <c r="U109" t="s">
        <v>112</v>
      </c>
      <c r="V109" s="1" t="s">
        <v>56</v>
      </c>
      <c r="W109" s="17">
        <v>23412</v>
      </c>
      <c r="X109" s="18">
        <v>44958.128472222219</v>
      </c>
      <c r="Y109" t="s">
        <v>48</v>
      </c>
    </row>
    <row r="110" spans="2:25" x14ac:dyDescent="0.35">
      <c r="B110" t="s">
        <v>62</v>
      </c>
      <c r="C110" t="s">
        <v>63</v>
      </c>
      <c r="D110" t="s">
        <v>43</v>
      </c>
      <c r="E110" t="s">
        <v>0</v>
      </c>
      <c r="F110" s="16">
        <v>44958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2301010101</v>
      </c>
      <c r="S110" t="s">
        <v>122</v>
      </c>
      <c r="T110">
        <v>1861480</v>
      </c>
      <c r="U110" t="s">
        <v>123</v>
      </c>
      <c r="V110" s="1" t="s">
        <v>56</v>
      </c>
      <c r="W110" s="1" t="s">
        <v>124</v>
      </c>
      <c r="X110" s="18">
        <v>44958.130555555559</v>
      </c>
      <c r="Y110" t="s">
        <v>48</v>
      </c>
    </row>
    <row r="111" spans="2:25" x14ac:dyDescent="0.35">
      <c r="B111" t="s">
        <v>62</v>
      </c>
      <c r="C111" t="s">
        <v>63</v>
      </c>
      <c r="D111" t="s">
        <v>43</v>
      </c>
      <c r="E111" t="s">
        <v>0</v>
      </c>
      <c r="F111" s="16">
        <v>44958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2301020009</v>
      </c>
      <c r="S111" t="s">
        <v>193</v>
      </c>
      <c r="T111">
        <v>1866833</v>
      </c>
      <c r="U111" t="s">
        <v>194</v>
      </c>
      <c r="V111" s="1" t="s">
        <v>56</v>
      </c>
      <c r="W111" s="1" t="s">
        <v>195</v>
      </c>
      <c r="X111" s="18">
        <v>44958.133333333331</v>
      </c>
      <c r="Y111" t="s">
        <v>48</v>
      </c>
    </row>
    <row r="112" spans="2:25" x14ac:dyDescent="0.35">
      <c r="B112" t="s">
        <v>62</v>
      </c>
      <c r="C112" t="s">
        <v>63</v>
      </c>
      <c r="D112" t="s">
        <v>50</v>
      </c>
      <c r="E112" t="s">
        <v>88</v>
      </c>
      <c r="F112" s="16">
        <v>44958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2212180145</v>
      </c>
      <c r="S112" t="s">
        <v>185</v>
      </c>
      <c r="T112">
        <v>1864809</v>
      </c>
      <c r="U112" t="s">
        <v>186</v>
      </c>
      <c r="V112" s="1" t="s">
        <v>56</v>
      </c>
      <c r="W112" s="17">
        <v>25299</v>
      </c>
      <c r="X112" s="18">
        <v>44958.134722222225</v>
      </c>
      <c r="Y112" t="s">
        <v>48</v>
      </c>
    </row>
    <row r="113" spans="2:25" x14ac:dyDescent="0.35">
      <c r="B113" t="s">
        <v>43</v>
      </c>
      <c r="C113" t="s">
        <v>0</v>
      </c>
      <c r="D113" t="s">
        <v>43</v>
      </c>
      <c r="E113" t="s">
        <v>0</v>
      </c>
      <c r="F113" s="16">
        <v>44958</v>
      </c>
      <c r="G113" s="16">
        <v>44958</v>
      </c>
      <c r="H113">
        <v>1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2301020014</v>
      </c>
      <c r="S113" t="s">
        <v>228</v>
      </c>
      <c r="T113">
        <v>1866834</v>
      </c>
      <c r="U113" t="s">
        <v>229</v>
      </c>
      <c r="V113" s="1" t="s">
        <v>56</v>
      </c>
      <c r="W113" s="1" t="s">
        <v>230</v>
      </c>
      <c r="X113" s="18">
        <v>44958.142361111109</v>
      </c>
      <c r="Y113" t="s">
        <v>48</v>
      </c>
    </row>
    <row r="114" spans="2:25" x14ac:dyDescent="0.35">
      <c r="B114" t="s">
        <v>41</v>
      </c>
      <c r="C114" t="s">
        <v>42</v>
      </c>
      <c r="D114" t="s">
        <v>43</v>
      </c>
      <c r="E114" t="s">
        <v>0</v>
      </c>
      <c r="F114" s="16">
        <v>44958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2301020014</v>
      </c>
      <c r="S114" t="s">
        <v>228</v>
      </c>
      <c r="T114">
        <v>1866834</v>
      </c>
      <c r="U114" t="s">
        <v>229</v>
      </c>
      <c r="V114" s="1" t="s">
        <v>56</v>
      </c>
      <c r="W114" s="1" t="s">
        <v>230</v>
      </c>
      <c r="X114" s="18">
        <v>44958.144444444442</v>
      </c>
      <c r="Y114" t="s">
        <v>48</v>
      </c>
    </row>
    <row r="115" spans="2:25" x14ac:dyDescent="0.35">
      <c r="B115" t="s">
        <v>41</v>
      </c>
      <c r="C115" t="s">
        <v>49</v>
      </c>
      <c r="D115" t="s">
        <v>50</v>
      </c>
      <c r="E115" t="s">
        <v>231</v>
      </c>
      <c r="F115" s="16">
        <v>44958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2212281515</v>
      </c>
      <c r="S115" t="s">
        <v>232</v>
      </c>
      <c r="T115">
        <v>1858572</v>
      </c>
      <c r="U115" t="s">
        <v>233</v>
      </c>
      <c r="V115" s="1" t="s">
        <v>56</v>
      </c>
      <c r="W115" s="1" t="s">
        <v>234</v>
      </c>
      <c r="X115" s="18">
        <v>44958.154861111114</v>
      </c>
      <c r="Y115" t="s">
        <v>48</v>
      </c>
    </row>
    <row r="116" spans="2:25" x14ac:dyDescent="0.35">
      <c r="B116" t="s">
        <v>41</v>
      </c>
      <c r="C116" t="s">
        <v>42</v>
      </c>
      <c r="D116" t="s">
        <v>43</v>
      </c>
      <c r="E116" t="s">
        <v>0</v>
      </c>
      <c r="F116" s="16">
        <v>44958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2301020014</v>
      </c>
      <c r="S116" t="s">
        <v>228</v>
      </c>
      <c r="T116">
        <v>1866834</v>
      </c>
      <c r="U116" t="s">
        <v>229</v>
      </c>
      <c r="V116" s="1" t="s">
        <v>56</v>
      </c>
      <c r="W116" s="1" t="s">
        <v>230</v>
      </c>
      <c r="X116" s="18">
        <v>44958.15625</v>
      </c>
      <c r="Y116" t="s">
        <v>48</v>
      </c>
    </row>
    <row r="117" spans="2:25" x14ac:dyDescent="0.35">
      <c r="B117" t="s">
        <v>62</v>
      </c>
      <c r="C117" t="s">
        <v>63</v>
      </c>
      <c r="D117" t="s">
        <v>50</v>
      </c>
      <c r="E117" t="s">
        <v>235</v>
      </c>
      <c r="F117" s="16">
        <v>44958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2212261512</v>
      </c>
      <c r="S117" t="s">
        <v>236</v>
      </c>
      <c r="T117">
        <v>1419552</v>
      </c>
      <c r="U117" t="s">
        <v>237</v>
      </c>
      <c r="V117" s="1" t="s">
        <v>56</v>
      </c>
      <c r="W117" s="1" t="s">
        <v>238</v>
      </c>
      <c r="X117" s="18">
        <v>44958.160416666666</v>
      </c>
      <c r="Y117" t="s">
        <v>239</v>
      </c>
    </row>
    <row r="118" spans="2:25" x14ac:dyDescent="0.35">
      <c r="B118" t="s">
        <v>72</v>
      </c>
      <c r="C118" t="s">
        <v>73</v>
      </c>
      <c r="D118" t="s">
        <v>43</v>
      </c>
      <c r="E118" t="s">
        <v>0</v>
      </c>
      <c r="F118" s="16">
        <v>44958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2301020014</v>
      </c>
      <c r="S118" t="s">
        <v>228</v>
      </c>
      <c r="T118">
        <v>1866834</v>
      </c>
      <c r="U118" t="s">
        <v>229</v>
      </c>
      <c r="V118" s="1" t="s">
        <v>56</v>
      </c>
      <c r="W118" s="1" t="s">
        <v>230</v>
      </c>
      <c r="X118" s="18">
        <v>44958.161111111112</v>
      </c>
      <c r="Y118" t="s">
        <v>48</v>
      </c>
    </row>
    <row r="119" spans="2:25" x14ac:dyDescent="0.35">
      <c r="B119" t="s">
        <v>62</v>
      </c>
      <c r="C119" t="s">
        <v>63</v>
      </c>
      <c r="D119" t="s">
        <v>50</v>
      </c>
      <c r="E119" t="s">
        <v>240</v>
      </c>
      <c r="F119" s="16">
        <v>44958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2212310152</v>
      </c>
      <c r="S119" t="s">
        <v>241</v>
      </c>
      <c r="T119">
        <v>1866773</v>
      </c>
      <c r="U119" t="s">
        <v>242</v>
      </c>
      <c r="V119" s="1" t="s">
        <v>46</v>
      </c>
      <c r="W119" s="17">
        <v>20824</v>
      </c>
      <c r="X119" s="18">
        <v>44958.161805555559</v>
      </c>
      <c r="Y119" t="s">
        <v>48</v>
      </c>
    </row>
    <row r="120" spans="2:25" x14ac:dyDescent="0.35">
      <c r="B120" t="s">
        <v>62</v>
      </c>
      <c r="C120" t="s">
        <v>63</v>
      </c>
      <c r="D120" t="s">
        <v>50</v>
      </c>
      <c r="E120" t="s">
        <v>235</v>
      </c>
      <c r="F120" s="16">
        <v>44958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2212310095</v>
      </c>
      <c r="S120" t="s">
        <v>243</v>
      </c>
      <c r="T120">
        <v>1866776</v>
      </c>
      <c r="U120" t="s">
        <v>244</v>
      </c>
      <c r="V120" s="1" t="s">
        <v>46</v>
      </c>
      <c r="W120" s="1" t="s">
        <v>245</v>
      </c>
      <c r="X120" s="18">
        <v>44958.161805555559</v>
      </c>
      <c r="Y120" t="s">
        <v>239</v>
      </c>
    </row>
    <row r="121" spans="2:25" x14ac:dyDescent="0.35">
      <c r="B121" t="s">
        <v>62</v>
      </c>
      <c r="C121" t="s">
        <v>63</v>
      </c>
      <c r="D121" t="s">
        <v>50</v>
      </c>
      <c r="E121" t="s">
        <v>235</v>
      </c>
      <c r="F121" s="16">
        <v>44958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2212310008</v>
      </c>
      <c r="S121" t="s">
        <v>246</v>
      </c>
      <c r="T121">
        <v>1805287</v>
      </c>
      <c r="U121" t="s">
        <v>247</v>
      </c>
      <c r="V121" s="1" t="s">
        <v>46</v>
      </c>
      <c r="W121" s="17">
        <v>13642</v>
      </c>
      <c r="X121" s="18">
        <v>44958.163194444445</v>
      </c>
      <c r="Y121" t="s">
        <v>239</v>
      </c>
    </row>
    <row r="122" spans="2:25" x14ac:dyDescent="0.35">
      <c r="B122" t="s">
        <v>62</v>
      </c>
      <c r="C122" t="s">
        <v>63</v>
      </c>
      <c r="D122" t="s">
        <v>50</v>
      </c>
      <c r="E122" t="s">
        <v>187</v>
      </c>
      <c r="F122" s="16">
        <v>44958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2212211006</v>
      </c>
      <c r="S122" t="s">
        <v>248</v>
      </c>
      <c r="T122">
        <v>643501</v>
      </c>
      <c r="U122" t="s">
        <v>249</v>
      </c>
      <c r="V122" s="1" t="s">
        <v>56</v>
      </c>
      <c r="W122" s="1" t="s">
        <v>250</v>
      </c>
      <c r="X122" s="18">
        <v>44958.163888888892</v>
      </c>
      <c r="Y122" t="s">
        <v>48</v>
      </c>
    </row>
    <row r="123" spans="2:25" x14ac:dyDescent="0.35">
      <c r="B123" t="s">
        <v>62</v>
      </c>
      <c r="C123" t="s">
        <v>63</v>
      </c>
      <c r="D123" t="s">
        <v>50</v>
      </c>
      <c r="E123" t="s">
        <v>102</v>
      </c>
      <c r="F123" s="16">
        <v>44958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2212170313</v>
      </c>
      <c r="S123" t="s">
        <v>251</v>
      </c>
      <c r="T123">
        <v>1864740</v>
      </c>
      <c r="U123" t="s">
        <v>252</v>
      </c>
      <c r="V123" s="1" t="s">
        <v>46</v>
      </c>
      <c r="W123" s="17">
        <v>23965</v>
      </c>
      <c r="X123" s="18">
        <v>44958.163888888892</v>
      </c>
      <c r="Y123" t="s">
        <v>48</v>
      </c>
    </row>
    <row r="124" spans="2:25" x14ac:dyDescent="0.35">
      <c r="B124" t="s">
        <v>62</v>
      </c>
      <c r="C124" t="s">
        <v>63</v>
      </c>
      <c r="D124" t="s">
        <v>43</v>
      </c>
      <c r="E124" t="s">
        <v>0</v>
      </c>
      <c r="F124" s="16">
        <v>44958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2301020014</v>
      </c>
      <c r="S124" t="s">
        <v>228</v>
      </c>
      <c r="T124">
        <v>1866834</v>
      </c>
      <c r="U124" t="s">
        <v>229</v>
      </c>
      <c r="V124" s="1" t="s">
        <v>56</v>
      </c>
      <c r="W124" s="1" t="s">
        <v>230</v>
      </c>
      <c r="X124" s="18">
        <v>44958.164583333331</v>
      </c>
      <c r="Y124" t="s">
        <v>48</v>
      </c>
    </row>
    <row r="125" spans="2:25" x14ac:dyDescent="0.35">
      <c r="B125" t="s">
        <v>43</v>
      </c>
      <c r="C125" t="s">
        <v>0</v>
      </c>
      <c r="D125" t="s">
        <v>43</v>
      </c>
      <c r="E125" t="s">
        <v>0</v>
      </c>
      <c r="F125" s="16">
        <v>44958</v>
      </c>
      <c r="G125" s="16">
        <v>44958</v>
      </c>
      <c r="H125">
        <v>1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2301020015</v>
      </c>
      <c r="S125" t="s">
        <v>253</v>
      </c>
      <c r="T125">
        <v>1452351</v>
      </c>
      <c r="U125" t="s">
        <v>254</v>
      </c>
      <c r="V125" s="1" t="s">
        <v>46</v>
      </c>
      <c r="W125" s="1" t="s">
        <v>255</v>
      </c>
      <c r="X125" s="18">
        <v>44958.168055555558</v>
      </c>
      <c r="Y125" t="s">
        <v>48</v>
      </c>
    </row>
    <row r="126" spans="2:25" x14ac:dyDescent="0.35">
      <c r="B126" t="s">
        <v>41</v>
      </c>
      <c r="C126" t="s">
        <v>42</v>
      </c>
      <c r="D126" t="s">
        <v>43</v>
      </c>
      <c r="E126" t="s">
        <v>0</v>
      </c>
      <c r="F126" s="16">
        <v>44958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2301020015</v>
      </c>
      <c r="S126" t="s">
        <v>253</v>
      </c>
      <c r="T126">
        <v>1452351</v>
      </c>
      <c r="U126" t="s">
        <v>254</v>
      </c>
      <c r="V126" s="1" t="s">
        <v>46</v>
      </c>
      <c r="W126" s="1" t="s">
        <v>255</v>
      </c>
      <c r="X126" s="18">
        <v>44958.169444444444</v>
      </c>
      <c r="Y126" t="s">
        <v>48</v>
      </c>
    </row>
    <row r="127" spans="2:25" x14ac:dyDescent="0.35">
      <c r="B127" t="s">
        <v>62</v>
      </c>
      <c r="C127" t="s">
        <v>63</v>
      </c>
      <c r="D127" t="s">
        <v>50</v>
      </c>
      <c r="E127" t="s">
        <v>187</v>
      </c>
      <c r="F127" s="16">
        <v>44958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2212161389</v>
      </c>
      <c r="S127" t="s">
        <v>188</v>
      </c>
      <c r="T127">
        <v>1864576</v>
      </c>
      <c r="U127" t="s">
        <v>189</v>
      </c>
      <c r="V127" s="1" t="s">
        <v>46</v>
      </c>
      <c r="W127" s="17">
        <v>26789</v>
      </c>
      <c r="X127" s="18">
        <v>44958.170138888891</v>
      </c>
      <c r="Y127" t="s">
        <v>48</v>
      </c>
    </row>
    <row r="128" spans="2:25" x14ac:dyDescent="0.35">
      <c r="B128" t="s">
        <v>62</v>
      </c>
      <c r="C128" t="s">
        <v>63</v>
      </c>
      <c r="D128" t="s">
        <v>43</v>
      </c>
      <c r="E128" t="s">
        <v>0</v>
      </c>
      <c r="F128" s="16">
        <v>44958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2301020014</v>
      </c>
      <c r="S128" t="s">
        <v>228</v>
      </c>
      <c r="T128">
        <v>1866834</v>
      </c>
      <c r="U128" t="s">
        <v>229</v>
      </c>
      <c r="V128" s="1" t="s">
        <v>56</v>
      </c>
      <c r="W128" s="1" t="s">
        <v>230</v>
      </c>
      <c r="X128" s="18">
        <v>44958.17083333333</v>
      </c>
      <c r="Y128" t="s">
        <v>48</v>
      </c>
    </row>
    <row r="129" spans="2:25" x14ac:dyDescent="0.35">
      <c r="B129" t="s">
        <v>62</v>
      </c>
      <c r="C129" t="s">
        <v>63</v>
      </c>
      <c r="D129" t="s">
        <v>50</v>
      </c>
      <c r="E129" t="s">
        <v>102</v>
      </c>
      <c r="F129" s="16">
        <v>44958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2212261341</v>
      </c>
      <c r="S129" t="s">
        <v>256</v>
      </c>
      <c r="T129">
        <v>1865949</v>
      </c>
      <c r="U129" t="s">
        <v>257</v>
      </c>
      <c r="V129" s="1" t="s">
        <v>46</v>
      </c>
      <c r="W129" s="17">
        <v>26398</v>
      </c>
      <c r="X129" s="18">
        <v>44958.182638888888</v>
      </c>
      <c r="Y129" t="s">
        <v>48</v>
      </c>
    </row>
    <row r="130" spans="2:25" x14ac:dyDescent="0.35">
      <c r="B130" t="s">
        <v>62</v>
      </c>
      <c r="C130" t="s">
        <v>63</v>
      </c>
      <c r="D130" t="s">
        <v>50</v>
      </c>
      <c r="E130" t="s">
        <v>102</v>
      </c>
      <c r="F130" s="16">
        <v>44958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2212290708</v>
      </c>
      <c r="S130" t="s">
        <v>258</v>
      </c>
      <c r="T130">
        <v>1866540</v>
      </c>
      <c r="U130" t="s">
        <v>259</v>
      </c>
      <c r="V130" s="1" t="s">
        <v>46</v>
      </c>
      <c r="W130" s="17">
        <v>25265</v>
      </c>
      <c r="X130" s="18">
        <v>44958.183333333334</v>
      </c>
      <c r="Y130" t="s">
        <v>48</v>
      </c>
    </row>
    <row r="131" spans="2:25" x14ac:dyDescent="0.35">
      <c r="B131" t="s">
        <v>62</v>
      </c>
      <c r="C131" t="s">
        <v>63</v>
      </c>
      <c r="D131" t="s">
        <v>50</v>
      </c>
      <c r="E131" t="s">
        <v>102</v>
      </c>
      <c r="F131" s="16">
        <v>44958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2212240017</v>
      </c>
      <c r="S131" t="s">
        <v>260</v>
      </c>
      <c r="T131">
        <v>1865835</v>
      </c>
      <c r="U131" t="s">
        <v>261</v>
      </c>
      <c r="V131" s="1" t="s">
        <v>46</v>
      </c>
      <c r="W131" s="1" t="s">
        <v>262</v>
      </c>
      <c r="X131" s="18">
        <v>44958.184027777781</v>
      </c>
      <c r="Y131" t="s">
        <v>48</v>
      </c>
    </row>
    <row r="132" spans="2:25" x14ac:dyDescent="0.35">
      <c r="B132" t="s">
        <v>41</v>
      </c>
      <c r="C132" t="s">
        <v>42</v>
      </c>
      <c r="D132" t="s">
        <v>50</v>
      </c>
      <c r="E132" t="s">
        <v>102</v>
      </c>
      <c r="F132" s="16">
        <v>44958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2212290708</v>
      </c>
      <c r="S132" t="s">
        <v>258</v>
      </c>
      <c r="T132">
        <v>1866540</v>
      </c>
      <c r="U132" t="s">
        <v>259</v>
      </c>
      <c r="V132" s="1" t="s">
        <v>46</v>
      </c>
      <c r="W132" s="17">
        <v>25265</v>
      </c>
      <c r="X132" s="18">
        <v>44958.184027777781</v>
      </c>
      <c r="Y132" t="s">
        <v>48</v>
      </c>
    </row>
    <row r="133" spans="2:25" x14ac:dyDescent="0.35">
      <c r="B133" t="s">
        <v>41</v>
      </c>
      <c r="C133" t="s">
        <v>42</v>
      </c>
      <c r="D133" t="s">
        <v>50</v>
      </c>
      <c r="E133" t="s">
        <v>102</v>
      </c>
      <c r="F133" s="16">
        <v>44958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2301010027</v>
      </c>
      <c r="S133" t="s">
        <v>263</v>
      </c>
      <c r="T133">
        <v>1850984</v>
      </c>
      <c r="U133" t="s">
        <v>264</v>
      </c>
      <c r="V133" s="1" t="s">
        <v>46</v>
      </c>
      <c r="W133" s="1" t="s">
        <v>265</v>
      </c>
      <c r="X133" s="18">
        <v>44958.184027777781</v>
      </c>
      <c r="Y133" t="s">
        <v>48</v>
      </c>
    </row>
    <row r="134" spans="2:25" x14ac:dyDescent="0.35">
      <c r="B134" t="s">
        <v>62</v>
      </c>
      <c r="C134" t="s">
        <v>63</v>
      </c>
      <c r="D134" t="s">
        <v>50</v>
      </c>
      <c r="E134" t="s">
        <v>102</v>
      </c>
      <c r="F134" s="16">
        <v>44958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2212201801</v>
      </c>
      <c r="S134" t="s">
        <v>266</v>
      </c>
      <c r="T134">
        <v>1832142</v>
      </c>
      <c r="U134" t="s">
        <v>267</v>
      </c>
      <c r="V134" s="1" t="s">
        <v>46</v>
      </c>
      <c r="W134" s="17">
        <v>22647</v>
      </c>
      <c r="X134" s="18">
        <v>44958.185416666667</v>
      </c>
      <c r="Y134" t="s">
        <v>48</v>
      </c>
    </row>
    <row r="135" spans="2:25" x14ac:dyDescent="0.35">
      <c r="B135" t="s">
        <v>62</v>
      </c>
      <c r="C135" t="s">
        <v>63</v>
      </c>
      <c r="D135" t="s">
        <v>50</v>
      </c>
      <c r="E135" t="s">
        <v>153</v>
      </c>
      <c r="F135" s="16">
        <v>44958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2212161489</v>
      </c>
      <c r="S135" t="s">
        <v>268</v>
      </c>
      <c r="T135">
        <v>1864574</v>
      </c>
      <c r="U135" t="s">
        <v>269</v>
      </c>
      <c r="V135" s="1" t="s">
        <v>46</v>
      </c>
      <c r="W135" s="1" t="s">
        <v>270</v>
      </c>
      <c r="X135" s="18">
        <v>44958.185416666667</v>
      </c>
      <c r="Y135" t="s">
        <v>48</v>
      </c>
    </row>
    <row r="136" spans="2:25" x14ac:dyDescent="0.35">
      <c r="B136" t="s">
        <v>62</v>
      </c>
      <c r="C136" t="s">
        <v>63</v>
      </c>
      <c r="D136" t="s">
        <v>50</v>
      </c>
      <c r="E136" t="s">
        <v>84</v>
      </c>
      <c r="F136" s="16">
        <v>44958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2212191803</v>
      </c>
      <c r="S136" t="s">
        <v>271</v>
      </c>
      <c r="T136">
        <v>1854437</v>
      </c>
      <c r="U136" t="s">
        <v>272</v>
      </c>
      <c r="V136" s="1" t="s">
        <v>46</v>
      </c>
      <c r="W136" s="17">
        <v>25812</v>
      </c>
      <c r="X136" s="18">
        <v>44958.186111111114</v>
      </c>
      <c r="Y136" t="s">
        <v>48</v>
      </c>
    </row>
    <row r="137" spans="2:25" x14ac:dyDescent="0.35">
      <c r="B137" t="s">
        <v>62</v>
      </c>
      <c r="C137" t="s">
        <v>63</v>
      </c>
      <c r="D137" t="s">
        <v>50</v>
      </c>
      <c r="E137" t="s">
        <v>169</v>
      </c>
      <c r="F137" s="16">
        <v>44958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2212121622</v>
      </c>
      <c r="S137" t="s">
        <v>273</v>
      </c>
      <c r="T137">
        <v>1863757</v>
      </c>
      <c r="U137" t="s">
        <v>274</v>
      </c>
      <c r="V137" s="1" t="s">
        <v>46</v>
      </c>
      <c r="W137" s="1" t="s">
        <v>275</v>
      </c>
      <c r="X137" s="18">
        <v>44958.195833333331</v>
      </c>
      <c r="Y137" t="s">
        <v>48</v>
      </c>
    </row>
    <row r="138" spans="2:25" x14ac:dyDescent="0.35">
      <c r="B138" t="s">
        <v>62</v>
      </c>
      <c r="C138" t="s">
        <v>63</v>
      </c>
      <c r="D138" t="s">
        <v>50</v>
      </c>
      <c r="E138" t="s">
        <v>114</v>
      </c>
      <c r="F138" s="16">
        <v>44958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2212281641</v>
      </c>
      <c r="S138" t="s">
        <v>276</v>
      </c>
      <c r="T138">
        <v>1170499</v>
      </c>
      <c r="U138" t="s">
        <v>277</v>
      </c>
      <c r="V138" s="1" t="s">
        <v>46</v>
      </c>
      <c r="W138" s="17">
        <v>36469</v>
      </c>
      <c r="X138" s="18">
        <v>44958.196527777778</v>
      </c>
      <c r="Y138" t="s">
        <v>48</v>
      </c>
    </row>
    <row r="139" spans="2:25" x14ac:dyDescent="0.35">
      <c r="B139" t="s">
        <v>120</v>
      </c>
      <c r="C139" t="s">
        <v>121</v>
      </c>
      <c r="D139" t="s">
        <v>43</v>
      </c>
      <c r="E139" t="s">
        <v>0</v>
      </c>
      <c r="F139" s="16">
        <v>44958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2301010133</v>
      </c>
      <c r="S139" t="s">
        <v>146</v>
      </c>
      <c r="T139">
        <v>1819405</v>
      </c>
      <c r="U139" t="s">
        <v>147</v>
      </c>
      <c r="V139" s="1" t="s">
        <v>56</v>
      </c>
      <c r="W139" s="17">
        <v>25605</v>
      </c>
      <c r="X139" s="18">
        <v>44958.196527777778</v>
      </c>
      <c r="Y139" t="s">
        <v>48</v>
      </c>
    </row>
    <row r="140" spans="2:25" x14ac:dyDescent="0.35">
      <c r="B140" t="s">
        <v>62</v>
      </c>
      <c r="C140" t="s">
        <v>63</v>
      </c>
      <c r="D140" t="s">
        <v>50</v>
      </c>
      <c r="E140" t="s">
        <v>78</v>
      </c>
      <c r="F140" s="16">
        <v>44958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2301010080</v>
      </c>
      <c r="S140" t="s">
        <v>278</v>
      </c>
      <c r="T140">
        <v>1866801</v>
      </c>
      <c r="U140" t="s">
        <v>279</v>
      </c>
      <c r="V140" s="1" t="s">
        <v>46</v>
      </c>
      <c r="W140" s="1" t="s">
        <v>280</v>
      </c>
      <c r="X140" s="18">
        <v>44958.197222222225</v>
      </c>
      <c r="Y140" t="s">
        <v>48</v>
      </c>
    </row>
    <row r="141" spans="2:25" x14ac:dyDescent="0.35">
      <c r="B141" t="s">
        <v>62</v>
      </c>
      <c r="C141" t="s">
        <v>63</v>
      </c>
      <c r="D141" t="s">
        <v>50</v>
      </c>
      <c r="E141" t="s">
        <v>281</v>
      </c>
      <c r="F141" s="16">
        <v>44958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2212191793</v>
      </c>
      <c r="S141" t="s">
        <v>282</v>
      </c>
      <c r="T141">
        <v>1864825</v>
      </c>
      <c r="U141" t="s">
        <v>283</v>
      </c>
      <c r="V141" s="1" t="s">
        <v>46</v>
      </c>
      <c r="W141" s="1" t="s">
        <v>284</v>
      </c>
      <c r="X141" s="18">
        <v>44958.197222222225</v>
      </c>
      <c r="Y141" t="s">
        <v>48</v>
      </c>
    </row>
    <row r="142" spans="2:25" x14ac:dyDescent="0.35">
      <c r="B142" t="s">
        <v>62</v>
      </c>
      <c r="C142" t="s">
        <v>63</v>
      </c>
      <c r="D142" t="s">
        <v>50</v>
      </c>
      <c r="E142" t="s">
        <v>114</v>
      </c>
      <c r="F142" s="16">
        <v>44958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2212090044</v>
      </c>
      <c r="S142" t="s">
        <v>285</v>
      </c>
      <c r="T142">
        <v>1863358</v>
      </c>
      <c r="U142" t="s">
        <v>286</v>
      </c>
      <c r="V142" s="1" t="s">
        <v>46</v>
      </c>
      <c r="W142" s="17">
        <v>29136</v>
      </c>
      <c r="X142" s="18">
        <v>44958.197916666664</v>
      </c>
      <c r="Y142" t="s">
        <v>48</v>
      </c>
    </row>
    <row r="143" spans="2:25" x14ac:dyDescent="0.35">
      <c r="B143" t="s">
        <v>62</v>
      </c>
      <c r="C143" t="s">
        <v>63</v>
      </c>
      <c r="D143" t="s">
        <v>50</v>
      </c>
      <c r="E143" t="s">
        <v>150</v>
      </c>
      <c r="F143" s="16">
        <v>44958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2212260098</v>
      </c>
      <c r="S143" t="s">
        <v>287</v>
      </c>
      <c r="T143">
        <v>1865907</v>
      </c>
      <c r="U143" t="s">
        <v>288</v>
      </c>
      <c r="V143" s="1" t="s">
        <v>56</v>
      </c>
      <c r="W143" s="17">
        <v>18515</v>
      </c>
      <c r="X143" s="18">
        <v>44958.198611111111</v>
      </c>
      <c r="Y143" t="s">
        <v>48</v>
      </c>
    </row>
    <row r="144" spans="2:25" x14ac:dyDescent="0.35">
      <c r="B144" t="s">
        <v>41</v>
      </c>
      <c r="C144" t="s">
        <v>42</v>
      </c>
      <c r="D144" t="s">
        <v>43</v>
      </c>
      <c r="E144" t="s">
        <v>0</v>
      </c>
      <c r="F144" s="16">
        <v>44958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2301010148</v>
      </c>
      <c r="S144" t="s">
        <v>54</v>
      </c>
      <c r="T144">
        <v>1866830</v>
      </c>
      <c r="U144" t="s">
        <v>55</v>
      </c>
      <c r="V144" s="1" t="s">
        <v>56</v>
      </c>
      <c r="W144" s="1" t="s">
        <v>57</v>
      </c>
      <c r="X144" s="18">
        <v>44958.198611111111</v>
      </c>
      <c r="Y144" t="s">
        <v>48</v>
      </c>
    </row>
    <row r="145" spans="2:25" x14ac:dyDescent="0.35">
      <c r="B145" t="s">
        <v>62</v>
      </c>
      <c r="C145" t="s">
        <v>63</v>
      </c>
      <c r="D145" t="s">
        <v>50</v>
      </c>
      <c r="E145" t="s">
        <v>169</v>
      </c>
      <c r="F145" s="16">
        <v>44958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2212250081</v>
      </c>
      <c r="T145">
        <v>1865877</v>
      </c>
      <c r="U145" t="s">
        <v>289</v>
      </c>
      <c r="V145" s="1" t="s">
        <v>46</v>
      </c>
      <c r="W145" s="17">
        <v>24933</v>
      </c>
      <c r="X145" s="18">
        <v>44958.198611111111</v>
      </c>
      <c r="Y145" t="s">
        <v>290</v>
      </c>
    </row>
    <row r="146" spans="2:25" x14ac:dyDescent="0.35">
      <c r="B146" t="s">
        <v>62</v>
      </c>
      <c r="C146" t="s">
        <v>63</v>
      </c>
      <c r="D146" t="s">
        <v>50</v>
      </c>
      <c r="E146" t="s">
        <v>78</v>
      </c>
      <c r="F146" s="16">
        <v>44958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2212191806</v>
      </c>
      <c r="S146" t="s">
        <v>291</v>
      </c>
      <c r="T146">
        <v>1464522</v>
      </c>
      <c r="U146" t="s">
        <v>292</v>
      </c>
      <c r="V146" s="1" t="s">
        <v>46</v>
      </c>
      <c r="W146" s="1" t="s">
        <v>293</v>
      </c>
      <c r="X146" s="18">
        <v>44958.209027777775</v>
      </c>
      <c r="Y146" t="s">
        <v>48</v>
      </c>
    </row>
    <row r="147" spans="2:25" x14ac:dyDescent="0.35">
      <c r="B147" t="s">
        <v>62</v>
      </c>
      <c r="C147" t="s">
        <v>63</v>
      </c>
      <c r="D147" t="s">
        <v>50</v>
      </c>
      <c r="E147" t="s">
        <v>110</v>
      </c>
      <c r="F147" s="16">
        <v>44958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2212261526</v>
      </c>
      <c r="S147" t="s">
        <v>294</v>
      </c>
      <c r="T147">
        <v>1866019</v>
      </c>
      <c r="U147" t="s">
        <v>295</v>
      </c>
      <c r="V147" s="1" t="s">
        <v>46</v>
      </c>
      <c r="W147" s="1" t="s">
        <v>296</v>
      </c>
      <c r="X147" s="18">
        <v>44958.209722222222</v>
      </c>
      <c r="Y147" t="s">
        <v>48</v>
      </c>
    </row>
    <row r="148" spans="2:25" x14ac:dyDescent="0.35">
      <c r="B148" t="s">
        <v>62</v>
      </c>
      <c r="C148" t="s">
        <v>63</v>
      </c>
      <c r="D148" t="s">
        <v>50</v>
      </c>
      <c r="E148" t="s">
        <v>215</v>
      </c>
      <c r="F148" s="16">
        <v>44958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2212310046</v>
      </c>
      <c r="S148" t="s">
        <v>216</v>
      </c>
      <c r="T148">
        <v>1839548</v>
      </c>
      <c r="U148" t="s">
        <v>217</v>
      </c>
      <c r="V148" s="1" t="s">
        <v>56</v>
      </c>
      <c r="W148" s="17">
        <v>39118</v>
      </c>
      <c r="X148" s="18">
        <v>44958.212500000001</v>
      </c>
      <c r="Y148" t="s">
        <v>48</v>
      </c>
    </row>
    <row r="149" spans="2:25" x14ac:dyDescent="0.35">
      <c r="B149" t="s">
        <v>62</v>
      </c>
      <c r="C149" t="s">
        <v>63</v>
      </c>
      <c r="D149" t="s">
        <v>50</v>
      </c>
      <c r="E149" t="s">
        <v>215</v>
      </c>
      <c r="F149" s="16">
        <v>44958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2212310092</v>
      </c>
      <c r="S149" t="s">
        <v>297</v>
      </c>
      <c r="T149">
        <v>1866786</v>
      </c>
      <c r="U149" t="s">
        <v>298</v>
      </c>
      <c r="V149" s="1" t="s">
        <v>56</v>
      </c>
      <c r="W149" s="1" t="s">
        <v>299</v>
      </c>
      <c r="X149" s="18">
        <v>44958.213194444441</v>
      </c>
      <c r="Y149" t="s">
        <v>48</v>
      </c>
    </row>
    <row r="150" spans="2:25" x14ac:dyDescent="0.35">
      <c r="B150" t="s">
        <v>41</v>
      </c>
      <c r="C150" t="s">
        <v>49</v>
      </c>
      <c r="D150" t="s">
        <v>50</v>
      </c>
      <c r="E150" t="s">
        <v>169</v>
      </c>
      <c r="F150" s="16">
        <v>44958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0</v>
      </c>
      <c r="R150">
        <v>2212291245</v>
      </c>
      <c r="S150" t="s">
        <v>300</v>
      </c>
      <c r="T150">
        <v>1830300</v>
      </c>
      <c r="U150" t="s">
        <v>301</v>
      </c>
      <c r="V150" s="1" t="s">
        <v>56</v>
      </c>
      <c r="W150" s="17">
        <v>22560</v>
      </c>
      <c r="X150" s="18">
        <v>44958.213194444441</v>
      </c>
      <c r="Y150" t="s">
        <v>48</v>
      </c>
    </row>
    <row r="151" spans="2:25" x14ac:dyDescent="0.35">
      <c r="B151" t="s">
        <v>62</v>
      </c>
      <c r="C151" t="s">
        <v>63</v>
      </c>
      <c r="D151" t="s">
        <v>50</v>
      </c>
      <c r="E151" t="s">
        <v>187</v>
      </c>
      <c r="F151" s="16">
        <v>44958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1</v>
      </c>
      <c r="Q151">
        <v>0</v>
      </c>
      <c r="R151">
        <v>2212141796</v>
      </c>
      <c r="S151" t="s">
        <v>218</v>
      </c>
      <c r="T151">
        <v>971234</v>
      </c>
      <c r="U151" t="s">
        <v>219</v>
      </c>
      <c r="V151" s="1" t="s">
        <v>56</v>
      </c>
      <c r="W151" s="1" t="s">
        <v>220</v>
      </c>
      <c r="X151" s="18">
        <v>44958.213194444441</v>
      </c>
      <c r="Y151" t="s">
        <v>48</v>
      </c>
    </row>
    <row r="152" spans="2:25" x14ac:dyDescent="0.35">
      <c r="B152" t="s">
        <v>41</v>
      </c>
      <c r="C152" t="s">
        <v>49</v>
      </c>
      <c r="D152" t="s">
        <v>50</v>
      </c>
      <c r="E152" t="s">
        <v>231</v>
      </c>
      <c r="F152" s="16">
        <v>44958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0</v>
      </c>
      <c r="R152">
        <v>2212281523</v>
      </c>
      <c r="S152" t="s">
        <v>302</v>
      </c>
      <c r="T152">
        <v>1803295</v>
      </c>
      <c r="U152" t="s">
        <v>303</v>
      </c>
      <c r="V152" s="1" t="s">
        <v>56</v>
      </c>
      <c r="W152" s="1" t="s">
        <v>304</v>
      </c>
      <c r="X152" s="18">
        <v>44958.214583333334</v>
      </c>
      <c r="Y152" t="s">
        <v>48</v>
      </c>
    </row>
    <row r="153" spans="2:25" x14ac:dyDescent="0.35">
      <c r="B153" t="s">
        <v>62</v>
      </c>
      <c r="C153" t="s">
        <v>63</v>
      </c>
      <c r="D153" t="s">
        <v>50</v>
      </c>
      <c r="E153" t="s">
        <v>211</v>
      </c>
      <c r="F153" s="16">
        <v>44958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2212250087</v>
      </c>
      <c r="T153">
        <v>1865889</v>
      </c>
      <c r="U153" t="s">
        <v>305</v>
      </c>
      <c r="V153" s="1" t="s">
        <v>46</v>
      </c>
      <c r="W153" s="1" t="s">
        <v>306</v>
      </c>
      <c r="X153" s="18">
        <v>44958.21875</v>
      </c>
      <c r="Y153" t="s">
        <v>87</v>
      </c>
    </row>
    <row r="154" spans="2:25" x14ac:dyDescent="0.35">
      <c r="B154" t="s">
        <v>62</v>
      </c>
      <c r="C154" t="s">
        <v>63</v>
      </c>
      <c r="D154" t="s">
        <v>50</v>
      </c>
      <c r="E154" t="s">
        <v>211</v>
      </c>
      <c r="F154" s="16">
        <v>44958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0</v>
      </c>
      <c r="R154">
        <v>2212250113</v>
      </c>
      <c r="S154" t="s">
        <v>307</v>
      </c>
      <c r="T154">
        <v>1724658</v>
      </c>
      <c r="U154" t="s">
        <v>308</v>
      </c>
      <c r="V154" s="1" t="s">
        <v>56</v>
      </c>
      <c r="W154" s="1" t="s">
        <v>309</v>
      </c>
      <c r="X154" s="18">
        <v>44958.219444444447</v>
      </c>
      <c r="Y154" t="s">
        <v>48</v>
      </c>
    </row>
    <row r="155" spans="2:25" x14ac:dyDescent="0.35">
      <c r="B155" t="s">
        <v>41</v>
      </c>
      <c r="C155" t="s">
        <v>49</v>
      </c>
      <c r="D155" t="s">
        <v>50</v>
      </c>
      <c r="E155" t="s">
        <v>169</v>
      </c>
      <c r="F155" s="16">
        <v>44958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2212310097</v>
      </c>
      <c r="S155" t="s">
        <v>310</v>
      </c>
      <c r="T155">
        <v>1866690</v>
      </c>
      <c r="U155" t="s">
        <v>311</v>
      </c>
      <c r="V155" s="1" t="s">
        <v>56</v>
      </c>
      <c r="W155" s="1" t="s">
        <v>312</v>
      </c>
      <c r="X155" s="18">
        <v>44958.220138888886</v>
      </c>
      <c r="Y155" t="s">
        <v>48</v>
      </c>
    </row>
    <row r="156" spans="2:25" x14ac:dyDescent="0.35">
      <c r="B156" t="s">
        <v>62</v>
      </c>
      <c r="C156" t="s">
        <v>63</v>
      </c>
      <c r="D156" t="s">
        <v>50</v>
      </c>
      <c r="E156" t="s">
        <v>78</v>
      </c>
      <c r="F156" s="16">
        <v>44958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2212200072</v>
      </c>
      <c r="S156" t="s">
        <v>313</v>
      </c>
      <c r="T156">
        <v>1114712</v>
      </c>
      <c r="U156" t="s">
        <v>314</v>
      </c>
      <c r="V156" s="1" t="s">
        <v>56</v>
      </c>
      <c r="W156" s="1" t="s">
        <v>315</v>
      </c>
      <c r="X156" s="18">
        <v>44958.220138888886</v>
      </c>
      <c r="Y156" t="s">
        <v>48</v>
      </c>
    </row>
    <row r="157" spans="2:25" x14ac:dyDescent="0.35">
      <c r="B157" t="s">
        <v>62</v>
      </c>
      <c r="C157" t="s">
        <v>63</v>
      </c>
      <c r="D157" t="s">
        <v>50</v>
      </c>
      <c r="E157" t="s">
        <v>211</v>
      </c>
      <c r="F157" s="16">
        <v>44958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2212271599</v>
      </c>
      <c r="S157" t="s">
        <v>316</v>
      </c>
      <c r="T157">
        <v>1866379</v>
      </c>
      <c r="U157" t="s">
        <v>317</v>
      </c>
      <c r="V157" s="1" t="s">
        <v>56</v>
      </c>
      <c r="W157" s="17">
        <v>20249</v>
      </c>
      <c r="X157" s="18">
        <v>44958.222222222219</v>
      </c>
      <c r="Y157" t="s">
        <v>48</v>
      </c>
    </row>
    <row r="158" spans="2:25" x14ac:dyDescent="0.35">
      <c r="B158" t="s">
        <v>62</v>
      </c>
      <c r="C158" t="s">
        <v>63</v>
      </c>
      <c r="D158" t="s">
        <v>50</v>
      </c>
      <c r="E158" t="s">
        <v>318</v>
      </c>
      <c r="F158" s="16">
        <v>44958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2212281611</v>
      </c>
      <c r="S158" t="s">
        <v>319</v>
      </c>
      <c r="T158">
        <v>1866483</v>
      </c>
      <c r="U158" t="s">
        <v>320</v>
      </c>
      <c r="V158" s="1" t="s">
        <v>46</v>
      </c>
      <c r="W158" s="1" t="s">
        <v>321</v>
      </c>
      <c r="X158" s="18">
        <v>44958.222222222219</v>
      </c>
      <c r="Y158" t="s">
        <v>48</v>
      </c>
    </row>
    <row r="159" spans="2:25" x14ac:dyDescent="0.35">
      <c r="B159" t="s">
        <v>50</v>
      </c>
      <c r="C159" t="s">
        <v>322</v>
      </c>
      <c r="D159" t="s">
        <v>50</v>
      </c>
      <c r="E159" t="s">
        <v>322</v>
      </c>
      <c r="F159" s="16">
        <v>44958</v>
      </c>
      <c r="G159" s="16">
        <v>45017</v>
      </c>
      <c r="H159">
        <v>3</v>
      </c>
      <c r="I159">
        <v>3</v>
      </c>
      <c r="J159">
        <v>0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2301020001</v>
      </c>
      <c r="S159" t="s">
        <v>323</v>
      </c>
      <c r="T159">
        <v>1866817</v>
      </c>
      <c r="U159" t="s">
        <v>324</v>
      </c>
      <c r="V159" s="1" t="s">
        <v>56</v>
      </c>
      <c r="W159" s="1" t="s">
        <v>325</v>
      </c>
      <c r="X159" s="18">
        <v>44958.224999999999</v>
      </c>
      <c r="Y159" t="s">
        <v>48</v>
      </c>
    </row>
    <row r="160" spans="2:25" x14ac:dyDescent="0.35">
      <c r="B160" t="s">
        <v>62</v>
      </c>
      <c r="C160" t="s">
        <v>63</v>
      </c>
      <c r="D160" t="s">
        <v>50</v>
      </c>
      <c r="E160" t="s">
        <v>318</v>
      </c>
      <c r="F160" s="16">
        <v>44958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0</v>
      </c>
      <c r="R160">
        <v>2212250101</v>
      </c>
      <c r="S160" t="s">
        <v>326</v>
      </c>
      <c r="T160">
        <v>1748900</v>
      </c>
      <c r="U160" t="s">
        <v>327</v>
      </c>
      <c r="V160" s="1" t="s">
        <v>56</v>
      </c>
      <c r="W160" s="17">
        <v>19641</v>
      </c>
      <c r="X160" s="18">
        <v>44958.224999999999</v>
      </c>
      <c r="Y160" t="s">
        <v>48</v>
      </c>
    </row>
    <row r="161" spans="2:25" x14ac:dyDescent="0.35">
      <c r="B161" t="s">
        <v>62</v>
      </c>
      <c r="C161" t="s">
        <v>63</v>
      </c>
      <c r="D161" t="s">
        <v>50</v>
      </c>
      <c r="E161" t="s">
        <v>110</v>
      </c>
      <c r="F161" s="16">
        <v>44958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2212110154</v>
      </c>
      <c r="S161" t="s">
        <v>328</v>
      </c>
      <c r="T161">
        <v>1863737</v>
      </c>
      <c r="U161" t="s">
        <v>329</v>
      </c>
      <c r="V161" s="1" t="s">
        <v>46</v>
      </c>
      <c r="W161" s="1" t="s">
        <v>330</v>
      </c>
      <c r="X161" s="18">
        <v>44958.225694444445</v>
      </c>
      <c r="Y161" t="s">
        <v>48</v>
      </c>
    </row>
    <row r="162" spans="2:25" x14ac:dyDescent="0.35">
      <c r="B162" t="s">
        <v>62</v>
      </c>
      <c r="C162" t="s">
        <v>63</v>
      </c>
      <c r="D162" t="s">
        <v>50</v>
      </c>
      <c r="E162" t="s">
        <v>157</v>
      </c>
      <c r="F162" s="16">
        <v>44958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2212180029</v>
      </c>
      <c r="S162" t="s">
        <v>331</v>
      </c>
      <c r="T162">
        <v>1858323</v>
      </c>
      <c r="U162" t="s">
        <v>332</v>
      </c>
      <c r="V162" s="1" t="s">
        <v>46</v>
      </c>
      <c r="W162" s="1" t="s">
        <v>333</v>
      </c>
      <c r="X162" s="18">
        <v>44958.225694444445</v>
      </c>
      <c r="Y162" t="s">
        <v>48</v>
      </c>
    </row>
    <row r="163" spans="2:25" x14ac:dyDescent="0.35">
      <c r="B163" t="s">
        <v>41</v>
      </c>
      <c r="C163" t="s">
        <v>49</v>
      </c>
      <c r="D163" t="s">
        <v>50</v>
      </c>
      <c r="E163" t="s">
        <v>51</v>
      </c>
      <c r="F163" s="16">
        <v>44958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2212270008</v>
      </c>
      <c r="S163" t="s">
        <v>82</v>
      </c>
      <c r="T163">
        <v>1811792</v>
      </c>
      <c r="U163" t="s">
        <v>83</v>
      </c>
      <c r="V163" s="1" t="s">
        <v>56</v>
      </c>
      <c r="W163" s="17">
        <v>43656</v>
      </c>
      <c r="X163" s="18">
        <v>44958.226388888892</v>
      </c>
      <c r="Y163" t="s">
        <v>48</v>
      </c>
    </row>
    <row r="164" spans="2:25" x14ac:dyDescent="0.35">
      <c r="B164" t="s">
        <v>62</v>
      </c>
      <c r="C164" t="s">
        <v>63</v>
      </c>
      <c r="D164" t="s">
        <v>50</v>
      </c>
      <c r="E164" t="s">
        <v>163</v>
      </c>
      <c r="F164" s="16">
        <v>44958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2212250095</v>
      </c>
      <c r="S164" t="s">
        <v>334</v>
      </c>
      <c r="T164">
        <v>1865885</v>
      </c>
      <c r="U164" t="s">
        <v>335</v>
      </c>
      <c r="V164" s="1" t="s">
        <v>46</v>
      </c>
      <c r="W164" s="1" t="s">
        <v>336</v>
      </c>
      <c r="X164" s="18">
        <v>44958.226388888892</v>
      </c>
      <c r="Y164" t="s">
        <v>48</v>
      </c>
    </row>
    <row r="165" spans="2:25" x14ac:dyDescent="0.35">
      <c r="B165" t="s">
        <v>62</v>
      </c>
      <c r="C165" t="s">
        <v>63</v>
      </c>
      <c r="D165" t="s">
        <v>50</v>
      </c>
      <c r="E165" t="s">
        <v>102</v>
      </c>
      <c r="F165" s="16">
        <v>44958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2301010121</v>
      </c>
      <c r="S165" t="s">
        <v>190</v>
      </c>
      <c r="T165">
        <v>728228</v>
      </c>
      <c r="U165" t="s">
        <v>191</v>
      </c>
      <c r="V165" s="1" t="s">
        <v>56</v>
      </c>
      <c r="W165" s="17">
        <v>24506</v>
      </c>
      <c r="X165" s="18">
        <v>44958.227777777778</v>
      </c>
      <c r="Y165" t="s">
        <v>48</v>
      </c>
    </row>
    <row r="166" spans="2:25" x14ac:dyDescent="0.35">
      <c r="B166" t="s">
        <v>62</v>
      </c>
      <c r="C166" t="s">
        <v>63</v>
      </c>
      <c r="D166" t="s">
        <v>50</v>
      </c>
      <c r="E166" t="s">
        <v>231</v>
      </c>
      <c r="F166" s="16">
        <v>44958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2301010043</v>
      </c>
      <c r="S166" t="s">
        <v>337</v>
      </c>
      <c r="T166">
        <v>1174473</v>
      </c>
      <c r="U166" t="s">
        <v>338</v>
      </c>
      <c r="V166" s="1" t="s">
        <v>56</v>
      </c>
      <c r="W166" s="17">
        <v>26300</v>
      </c>
      <c r="X166" s="18">
        <v>44958.229166666664</v>
      </c>
      <c r="Y166" t="s">
        <v>48</v>
      </c>
    </row>
    <row r="167" spans="2:25" x14ac:dyDescent="0.35">
      <c r="B167" t="s">
        <v>62</v>
      </c>
      <c r="C167" t="s">
        <v>63</v>
      </c>
      <c r="D167" t="s">
        <v>50</v>
      </c>
      <c r="E167" t="s">
        <v>231</v>
      </c>
      <c r="F167" s="16">
        <v>44958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2301010052</v>
      </c>
      <c r="S167" t="s">
        <v>339</v>
      </c>
      <c r="T167">
        <v>1854666</v>
      </c>
      <c r="U167" t="s">
        <v>340</v>
      </c>
      <c r="V167" s="1" t="s">
        <v>56</v>
      </c>
      <c r="W167" s="1" t="s">
        <v>341</v>
      </c>
      <c r="X167" s="18">
        <v>44958.229861111111</v>
      </c>
      <c r="Y167" t="s">
        <v>48</v>
      </c>
    </row>
    <row r="168" spans="2:25" x14ac:dyDescent="0.35">
      <c r="B168" t="s">
        <v>62</v>
      </c>
      <c r="C168" t="s">
        <v>63</v>
      </c>
      <c r="D168" t="s">
        <v>43</v>
      </c>
      <c r="E168" t="s">
        <v>0</v>
      </c>
      <c r="F168" s="16">
        <v>44958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0</v>
      </c>
      <c r="R168">
        <v>2301010144</v>
      </c>
      <c r="S168" t="s">
        <v>133</v>
      </c>
      <c r="T168">
        <v>1780714</v>
      </c>
      <c r="U168" t="s">
        <v>134</v>
      </c>
      <c r="V168" s="1" t="s">
        <v>56</v>
      </c>
      <c r="W168" s="1" t="s">
        <v>135</v>
      </c>
      <c r="X168" s="18">
        <v>44958.229861111111</v>
      </c>
      <c r="Y168" t="s">
        <v>48</v>
      </c>
    </row>
    <row r="169" spans="2:25" x14ac:dyDescent="0.35">
      <c r="B169" t="s">
        <v>41</v>
      </c>
      <c r="C169" t="s">
        <v>42</v>
      </c>
      <c r="D169" t="s">
        <v>43</v>
      </c>
      <c r="E169" t="s">
        <v>0</v>
      </c>
      <c r="F169" s="16">
        <v>44958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2301010100</v>
      </c>
      <c r="S169" t="s">
        <v>130</v>
      </c>
      <c r="T169">
        <v>1835755</v>
      </c>
      <c r="U169" t="s">
        <v>131</v>
      </c>
      <c r="V169" s="1" t="s">
        <v>56</v>
      </c>
      <c r="W169" s="1" t="s">
        <v>132</v>
      </c>
      <c r="X169" s="18">
        <v>44958.234722222223</v>
      </c>
      <c r="Y169" t="s">
        <v>48</v>
      </c>
    </row>
    <row r="170" spans="2:25" x14ac:dyDescent="0.35">
      <c r="B170" t="s">
        <v>41</v>
      </c>
      <c r="C170" t="s">
        <v>49</v>
      </c>
      <c r="D170" t="s">
        <v>50</v>
      </c>
      <c r="E170" t="s">
        <v>114</v>
      </c>
      <c r="F170" s="16">
        <v>44958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2301020003</v>
      </c>
      <c r="S170" t="s">
        <v>201</v>
      </c>
      <c r="T170">
        <v>1556682</v>
      </c>
      <c r="U170" t="s">
        <v>67</v>
      </c>
      <c r="V170" s="1" t="s">
        <v>56</v>
      </c>
      <c r="W170" s="1" t="s">
        <v>68</v>
      </c>
      <c r="X170" s="18">
        <v>44958.234722222223</v>
      </c>
      <c r="Y170" t="s">
        <v>48</v>
      </c>
    </row>
    <row r="171" spans="2:25" x14ac:dyDescent="0.35">
      <c r="B171" t="s">
        <v>41</v>
      </c>
      <c r="C171" t="s">
        <v>42</v>
      </c>
      <c r="D171" t="s">
        <v>43</v>
      </c>
      <c r="E171" t="s">
        <v>0</v>
      </c>
      <c r="F171" s="16">
        <v>44958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2301010128</v>
      </c>
      <c r="T171">
        <v>1866825</v>
      </c>
      <c r="U171" t="s">
        <v>342</v>
      </c>
      <c r="V171" s="1" t="s">
        <v>56</v>
      </c>
      <c r="W171" s="1" t="s">
        <v>343</v>
      </c>
      <c r="X171" s="18">
        <v>44958.23541666667</v>
      </c>
      <c r="Y171" t="s">
        <v>48</v>
      </c>
    </row>
    <row r="172" spans="2:25" x14ac:dyDescent="0.35">
      <c r="B172" t="s">
        <v>62</v>
      </c>
      <c r="C172" t="s">
        <v>63</v>
      </c>
      <c r="D172" t="s">
        <v>50</v>
      </c>
      <c r="E172" t="s">
        <v>84</v>
      </c>
      <c r="F172" s="16">
        <v>44958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2212201833</v>
      </c>
      <c r="S172" t="s">
        <v>344</v>
      </c>
      <c r="T172">
        <v>1853051</v>
      </c>
      <c r="U172" t="s">
        <v>345</v>
      </c>
      <c r="V172" s="1" t="s">
        <v>46</v>
      </c>
      <c r="W172" s="17">
        <v>21013</v>
      </c>
      <c r="X172" s="18">
        <v>44958.236111111109</v>
      </c>
      <c r="Y172" t="s">
        <v>48</v>
      </c>
    </row>
    <row r="173" spans="2:25" x14ac:dyDescent="0.35">
      <c r="B173" t="s">
        <v>41</v>
      </c>
      <c r="C173" t="s">
        <v>49</v>
      </c>
      <c r="D173" t="s">
        <v>50</v>
      </c>
      <c r="E173" t="s">
        <v>114</v>
      </c>
      <c r="F173" s="16">
        <v>44958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2301020003</v>
      </c>
      <c r="S173" t="s">
        <v>201</v>
      </c>
      <c r="T173">
        <v>1556682</v>
      </c>
      <c r="U173" t="s">
        <v>67</v>
      </c>
      <c r="V173" s="1" t="s">
        <v>56</v>
      </c>
      <c r="W173" s="1" t="s">
        <v>68</v>
      </c>
      <c r="X173" s="18">
        <v>44958.236111111109</v>
      </c>
      <c r="Y173" t="s">
        <v>48</v>
      </c>
    </row>
    <row r="174" spans="2:25" x14ac:dyDescent="0.35">
      <c r="B174" t="s">
        <v>120</v>
      </c>
      <c r="C174" t="s">
        <v>121</v>
      </c>
      <c r="D174" t="s">
        <v>43</v>
      </c>
      <c r="E174" t="s">
        <v>0</v>
      </c>
      <c r="F174" s="16">
        <v>44958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2301010148</v>
      </c>
      <c r="S174" t="s">
        <v>54</v>
      </c>
      <c r="T174">
        <v>1866830</v>
      </c>
      <c r="U174" t="s">
        <v>55</v>
      </c>
      <c r="V174" s="1" t="s">
        <v>56</v>
      </c>
      <c r="W174" s="1" t="s">
        <v>57</v>
      </c>
      <c r="X174" s="18">
        <v>44958.236111111109</v>
      </c>
      <c r="Y174" t="s">
        <v>48</v>
      </c>
    </row>
    <row r="175" spans="2:25" x14ac:dyDescent="0.35">
      <c r="B175" t="s">
        <v>62</v>
      </c>
      <c r="C175" t="s">
        <v>63</v>
      </c>
      <c r="D175" t="s">
        <v>50</v>
      </c>
      <c r="E175" t="s">
        <v>157</v>
      </c>
      <c r="F175" s="16">
        <v>44958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2212250029</v>
      </c>
      <c r="S175" t="s">
        <v>346</v>
      </c>
      <c r="T175">
        <v>1540913</v>
      </c>
      <c r="U175" t="s">
        <v>347</v>
      </c>
      <c r="V175" s="1" t="s">
        <v>56</v>
      </c>
      <c r="W175" s="17">
        <v>35196</v>
      </c>
      <c r="X175" s="18">
        <v>44958.237500000003</v>
      </c>
      <c r="Y175" t="s">
        <v>48</v>
      </c>
    </row>
    <row r="176" spans="2:25" x14ac:dyDescent="0.35">
      <c r="B176" t="s">
        <v>41</v>
      </c>
      <c r="C176" t="s">
        <v>49</v>
      </c>
      <c r="D176" t="s">
        <v>50</v>
      </c>
      <c r="E176" t="s">
        <v>84</v>
      </c>
      <c r="F176" s="16">
        <v>44958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2212211641</v>
      </c>
      <c r="S176" t="s">
        <v>348</v>
      </c>
      <c r="T176">
        <v>1854452</v>
      </c>
      <c r="U176" t="s">
        <v>349</v>
      </c>
      <c r="V176" s="1" t="s">
        <v>56</v>
      </c>
      <c r="W176" s="17">
        <v>25603</v>
      </c>
      <c r="X176" s="18">
        <v>44958.239583333336</v>
      </c>
      <c r="Y176" t="s">
        <v>48</v>
      </c>
    </row>
    <row r="177" spans="2:25" x14ac:dyDescent="0.35">
      <c r="B177" t="s">
        <v>41</v>
      </c>
      <c r="C177" t="s">
        <v>49</v>
      </c>
      <c r="D177" t="s">
        <v>50</v>
      </c>
      <c r="E177" t="s">
        <v>88</v>
      </c>
      <c r="F177" s="16">
        <v>44958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2301020005</v>
      </c>
      <c r="S177" t="s">
        <v>192</v>
      </c>
      <c r="T177">
        <v>1816940</v>
      </c>
      <c r="U177" t="s">
        <v>97</v>
      </c>
      <c r="V177" s="1" t="s">
        <v>56</v>
      </c>
      <c r="W177" s="1" t="s">
        <v>98</v>
      </c>
      <c r="X177" s="18">
        <v>44958.239583333336</v>
      </c>
      <c r="Y177" t="s">
        <v>48</v>
      </c>
    </row>
    <row r="178" spans="2:25" x14ac:dyDescent="0.35">
      <c r="B178" t="s">
        <v>62</v>
      </c>
      <c r="C178" t="s">
        <v>63</v>
      </c>
      <c r="D178" t="s">
        <v>50</v>
      </c>
      <c r="E178" t="s">
        <v>163</v>
      </c>
      <c r="F178" s="16">
        <v>44958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2212230006</v>
      </c>
      <c r="S178" t="s">
        <v>350</v>
      </c>
      <c r="T178">
        <v>1194928</v>
      </c>
      <c r="U178" t="s">
        <v>351</v>
      </c>
      <c r="V178" s="1" t="s">
        <v>56</v>
      </c>
      <c r="W178" s="1" t="s">
        <v>352</v>
      </c>
      <c r="X178" s="18">
        <v>44958.243055555555</v>
      </c>
      <c r="Y178" t="s">
        <v>48</v>
      </c>
    </row>
    <row r="179" spans="2:25" x14ac:dyDescent="0.35">
      <c r="B179" t="s">
        <v>62</v>
      </c>
      <c r="C179" t="s">
        <v>63</v>
      </c>
      <c r="D179" t="s">
        <v>50</v>
      </c>
      <c r="E179" t="s">
        <v>163</v>
      </c>
      <c r="F179" s="16">
        <v>44958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2212211685</v>
      </c>
      <c r="S179" t="s">
        <v>164</v>
      </c>
      <c r="T179">
        <v>1853236</v>
      </c>
      <c r="U179" t="s">
        <v>165</v>
      </c>
      <c r="V179" s="1" t="s">
        <v>56</v>
      </c>
      <c r="W179" s="1" t="s">
        <v>166</v>
      </c>
      <c r="X179" s="18">
        <v>44958.243055555555</v>
      </c>
      <c r="Y179" t="s">
        <v>48</v>
      </c>
    </row>
    <row r="180" spans="2:25" x14ac:dyDescent="0.35">
      <c r="B180" t="s">
        <v>62</v>
      </c>
      <c r="C180" t="s">
        <v>63</v>
      </c>
      <c r="D180" t="s">
        <v>50</v>
      </c>
      <c r="E180" t="s">
        <v>150</v>
      </c>
      <c r="F180" s="16">
        <v>44958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2212180137</v>
      </c>
      <c r="S180" t="s">
        <v>353</v>
      </c>
      <c r="T180">
        <v>1863183</v>
      </c>
      <c r="U180" t="s">
        <v>354</v>
      </c>
      <c r="V180" s="1" t="s">
        <v>46</v>
      </c>
      <c r="W180" s="17">
        <v>29895</v>
      </c>
      <c r="X180" s="18">
        <v>44958.243055555555</v>
      </c>
      <c r="Y180" t="s">
        <v>48</v>
      </c>
    </row>
    <row r="181" spans="2:25" x14ac:dyDescent="0.35">
      <c r="B181" t="s">
        <v>62</v>
      </c>
      <c r="C181" t="s">
        <v>63</v>
      </c>
      <c r="D181" t="s">
        <v>50</v>
      </c>
      <c r="E181" t="s">
        <v>110</v>
      </c>
      <c r="F181" s="16">
        <v>44958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2212231345</v>
      </c>
      <c r="S181" t="s">
        <v>355</v>
      </c>
      <c r="T181">
        <v>1495168</v>
      </c>
      <c r="U181" t="s">
        <v>356</v>
      </c>
      <c r="V181" s="1" t="s">
        <v>46</v>
      </c>
      <c r="W181" s="17">
        <v>26946</v>
      </c>
      <c r="X181" s="18">
        <v>44958.243750000001</v>
      </c>
      <c r="Y181" t="s">
        <v>48</v>
      </c>
    </row>
    <row r="182" spans="2:25" x14ac:dyDescent="0.35">
      <c r="B182" t="s">
        <v>62</v>
      </c>
      <c r="C182" t="s">
        <v>63</v>
      </c>
      <c r="D182" t="s">
        <v>50</v>
      </c>
      <c r="E182" t="s">
        <v>150</v>
      </c>
      <c r="F182" s="16">
        <v>44958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2212250112</v>
      </c>
      <c r="S182" t="s">
        <v>357</v>
      </c>
      <c r="T182">
        <v>1865897</v>
      </c>
      <c r="U182" t="s">
        <v>358</v>
      </c>
      <c r="V182" s="1" t="s">
        <v>46</v>
      </c>
      <c r="W182" s="17">
        <v>21500</v>
      </c>
      <c r="X182" s="18">
        <v>44958.243750000001</v>
      </c>
      <c r="Y182" t="s">
        <v>48</v>
      </c>
    </row>
    <row r="183" spans="2:25" x14ac:dyDescent="0.35">
      <c r="B183" t="s">
        <v>202</v>
      </c>
      <c r="C183" t="s">
        <v>203</v>
      </c>
      <c r="D183" t="s">
        <v>120</v>
      </c>
      <c r="E183" t="s">
        <v>359</v>
      </c>
      <c r="F183" s="16">
        <v>44958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2212300032</v>
      </c>
      <c r="S183" t="s">
        <v>360</v>
      </c>
      <c r="T183">
        <v>1768823</v>
      </c>
      <c r="U183" t="s">
        <v>361</v>
      </c>
      <c r="V183" s="1" t="s">
        <v>46</v>
      </c>
      <c r="W183" s="17">
        <v>33492</v>
      </c>
      <c r="X183" s="18">
        <v>44958.246527777781</v>
      </c>
      <c r="Y183" t="s">
        <v>48</v>
      </c>
    </row>
    <row r="184" spans="2:25" x14ac:dyDescent="0.35">
      <c r="B184" t="s">
        <v>202</v>
      </c>
      <c r="C184" t="s">
        <v>203</v>
      </c>
      <c r="D184" t="s">
        <v>120</v>
      </c>
      <c r="E184" t="s">
        <v>359</v>
      </c>
      <c r="F184" s="16">
        <v>44958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2212300040</v>
      </c>
      <c r="S184" t="s">
        <v>362</v>
      </c>
      <c r="T184">
        <v>1415803</v>
      </c>
      <c r="U184" t="s">
        <v>363</v>
      </c>
      <c r="V184" s="1" t="s">
        <v>46</v>
      </c>
      <c r="W184" s="1" t="s">
        <v>364</v>
      </c>
      <c r="X184" s="18">
        <v>44958.24722222222</v>
      </c>
      <c r="Y184" t="s">
        <v>48</v>
      </c>
    </row>
    <row r="185" spans="2:25" x14ac:dyDescent="0.35">
      <c r="B185" t="s">
        <v>41</v>
      </c>
      <c r="C185" t="s">
        <v>49</v>
      </c>
      <c r="D185" t="s">
        <v>50</v>
      </c>
      <c r="E185" t="s">
        <v>157</v>
      </c>
      <c r="F185" s="16">
        <v>44958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2212061648</v>
      </c>
      <c r="S185" t="s">
        <v>365</v>
      </c>
      <c r="T185">
        <v>1862565</v>
      </c>
      <c r="U185" t="s">
        <v>366</v>
      </c>
      <c r="V185" s="1" t="s">
        <v>46</v>
      </c>
      <c r="W185" s="17">
        <v>27761</v>
      </c>
      <c r="X185" s="18">
        <v>44958.247916666667</v>
      </c>
      <c r="Y185" t="s">
        <v>48</v>
      </c>
    </row>
    <row r="186" spans="2:25" x14ac:dyDescent="0.35">
      <c r="B186" t="s">
        <v>72</v>
      </c>
      <c r="C186" t="s">
        <v>73</v>
      </c>
      <c r="D186" t="s">
        <v>50</v>
      </c>
      <c r="E186" t="s">
        <v>78</v>
      </c>
      <c r="F186" s="16">
        <v>44958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2212200072</v>
      </c>
      <c r="S186" t="s">
        <v>313</v>
      </c>
      <c r="T186">
        <v>1114712</v>
      </c>
      <c r="U186" t="s">
        <v>314</v>
      </c>
      <c r="V186" s="1" t="s">
        <v>56</v>
      </c>
      <c r="W186" s="1" t="s">
        <v>315</v>
      </c>
      <c r="X186" s="18">
        <v>44958.247916666667</v>
      </c>
      <c r="Y186" t="s">
        <v>48</v>
      </c>
    </row>
    <row r="187" spans="2:25" x14ac:dyDescent="0.35">
      <c r="B187" t="s">
        <v>202</v>
      </c>
      <c r="C187" t="s">
        <v>203</v>
      </c>
      <c r="D187" t="s">
        <v>120</v>
      </c>
      <c r="E187" t="s">
        <v>359</v>
      </c>
      <c r="F187" s="16">
        <v>44958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2212300046</v>
      </c>
      <c r="S187" t="s">
        <v>367</v>
      </c>
      <c r="T187">
        <v>1787748</v>
      </c>
      <c r="U187" t="s">
        <v>368</v>
      </c>
      <c r="V187" s="1" t="s">
        <v>46</v>
      </c>
      <c r="W187" s="1" t="s">
        <v>369</v>
      </c>
      <c r="X187" s="18">
        <v>44958.248611111114</v>
      </c>
      <c r="Y187" t="s">
        <v>48</v>
      </c>
    </row>
    <row r="188" spans="2:25" x14ac:dyDescent="0.35">
      <c r="B188" t="s">
        <v>41</v>
      </c>
      <c r="C188" t="s">
        <v>49</v>
      </c>
      <c r="D188" t="s">
        <v>50</v>
      </c>
      <c r="E188" t="s">
        <v>84</v>
      </c>
      <c r="F188" s="16">
        <v>44958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2212310083</v>
      </c>
      <c r="S188" t="s">
        <v>370</v>
      </c>
      <c r="T188">
        <v>1678499</v>
      </c>
      <c r="U188" t="s">
        <v>371</v>
      </c>
      <c r="V188" s="1" t="s">
        <v>56</v>
      </c>
      <c r="W188" s="1" t="s">
        <v>372</v>
      </c>
      <c r="X188" s="18">
        <v>44958.248611111114</v>
      </c>
      <c r="Y188" t="s">
        <v>48</v>
      </c>
    </row>
    <row r="189" spans="2:25" x14ac:dyDescent="0.35">
      <c r="B189" t="s">
        <v>72</v>
      </c>
      <c r="C189" t="s">
        <v>73</v>
      </c>
      <c r="D189" t="s">
        <v>50</v>
      </c>
      <c r="E189" t="s">
        <v>211</v>
      </c>
      <c r="F189" s="16">
        <v>44958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2212271599</v>
      </c>
      <c r="S189" t="s">
        <v>316</v>
      </c>
      <c r="T189">
        <v>1866379</v>
      </c>
      <c r="U189" t="s">
        <v>317</v>
      </c>
      <c r="V189" s="1" t="s">
        <v>56</v>
      </c>
      <c r="W189" s="17">
        <v>20249</v>
      </c>
      <c r="X189" s="18">
        <v>44958.249305555553</v>
      </c>
      <c r="Y189" t="s">
        <v>48</v>
      </c>
    </row>
    <row r="190" spans="2:25" x14ac:dyDescent="0.35">
      <c r="B190" t="s">
        <v>62</v>
      </c>
      <c r="C190" t="s">
        <v>63</v>
      </c>
      <c r="D190" t="s">
        <v>50</v>
      </c>
      <c r="E190" t="s">
        <v>215</v>
      </c>
      <c r="F190" s="16">
        <v>44958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2210240001</v>
      </c>
      <c r="S190" t="s">
        <v>373</v>
      </c>
      <c r="T190">
        <v>1856485</v>
      </c>
      <c r="U190" t="s">
        <v>374</v>
      </c>
      <c r="V190" s="1" t="s">
        <v>46</v>
      </c>
      <c r="W190" s="1" t="s">
        <v>375</v>
      </c>
      <c r="X190" s="18">
        <v>44958.25</v>
      </c>
      <c r="Y190" t="s">
        <v>48</v>
      </c>
    </row>
    <row r="191" spans="2:25" x14ac:dyDescent="0.35">
      <c r="B191" t="s">
        <v>41</v>
      </c>
      <c r="C191" t="s">
        <v>49</v>
      </c>
      <c r="D191" t="s">
        <v>50</v>
      </c>
      <c r="E191" t="s">
        <v>322</v>
      </c>
      <c r="F191" s="16">
        <v>44958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2301020001</v>
      </c>
      <c r="S191" t="s">
        <v>323</v>
      </c>
      <c r="T191">
        <v>1866817</v>
      </c>
      <c r="U191" t="s">
        <v>324</v>
      </c>
      <c r="V191" s="1" t="s">
        <v>56</v>
      </c>
      <c r="W191" s="1" t="s">
        <v>325</v>
      </c>
      <c r="X191" s="18">
        <v>44958.250694444447</v>
      </c>
      <c r="Y191" t="s">
        <v>48</v>
      </c>
    </row>
    <row r="192" spans="2:25" x14ac:dyDescent="0.35">
      <c r="B192" t="s">
        <v>41</v>
      </c>
      <c r="C192" t="s">
        <v>49</v>
      </c>
      <c r="D192" t="s">
        <v>50</v>
      </c>
      <c r="E192" t="s">
        <v>322</v>
      </c>
      <c r="F192" s="16">
        <v>44958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0</v>
      </c>
      <c r="R192">
        <v>2301020001</v>
      </c>
      <c r="S192" t="s">
        <v>323</v>
      </c>
      <c r="T192">
        <v>1866817</v>
      </c>
      <c r="U192" t="s">
        <v>324</v>
      </c>
      <c r="V192" s="1" t="s">
        <v>56</v>
      </c>
      <c r="W192" s="1" t="s">
        <v>325</v>
      </c>
      <c r="X192" s="18">
        <v>44958.251388888886</v>
      </c>
      <c r="Y192" t="s">
        <v>48</v>
      </c>
    </row>
    <row r="193" spans="2:25" x14ac:dyDescent="0.35">
      <c r="B193" t="s">
        <v>62</v>
      </c>
      <c r="C193" t="s">
        <v>63</v>
      </c>
      <c r="D193" t="s">
        <v>50</v>
      </c>
      <c r="E193" t="s">
        <v>215</v>
      </c>
      <c r="F193" s="16">
        <v>44958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2212310168</v>
      </c>
      <c r="S193" t="s">
        <v>376</v>
      </c>
      <c r="T193">
        <v>1866779</v>
      </c>
      <c r="U193" t="s">
        <v>377</v>
      </c>
      <c r="V193" s="1" t="s">
        <v>46</v>
      </c>
      <c r="W193" s="1" t="s">
        <v>378</v>
      </c>
      <c r="X193" s="18">
        <v>44958.251388888886</v>
      </c>
      <c r="Y193" t="s">
        <v>48</v>
      </c>
    </row>
    <row r="194" spans="2:25" x14ac:dyDescent="0.35">
      <c r="B194" t="s">
        <v>62</v>
      </c>
      <c r="C194" t="s">
        <v>63</v>
      </c>
      <c r="D194" t="s">
        <v>50</v>
      </c>
      <c r="E194" t="s">
        <v>187</v>
      </c>
      <c r="F194" s="16">
        <v>44958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2212300012</v>
      </c>
      <c r="S194" t="s">
        <v>379</v>
      </c>
      <c r="T194">
        <v>1862451</v>
      </c>
      <c r="U194" t="s">
        <v>380</v>
      </c>
      <c r="V194" s="1" t="s">
        <v>46</v>
      </c>
      <c r="W194" s="17">
        <v>40612</v>
      </c>
      <c r="X194" s="18">
        <v>44958.252083333333</v>
      </c>
      <c r="Y194" t="s">
        <v>48</v>
      </c>
    </row>
    <row r="195" spans="2:25" x14ac:dyDescent="0.35">
      <c r="B195" t="s">
        <v>62</v>
      </c>
      <c r="C195" t="s">
        <v>63</v>
      </c>
      <c r="D195" t="s">
        <v>50</v>
      </c>
      <c r="E195" t="s">
        <v>153</v>
      </c>
      <c r="F195" s="16">
        <v>44958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2301010026</v>
      </c>
      <c r="S195" t="s">
        <v>381</v>
      </c>
      <c r="T195">
        <v>1818463</v>
      </c>
      <c r="U195" t="s">
        <v>382</v>
      </c>
      <c r="V195" s="1" t="s">
        <v>56</v>
      </c>
      <c r="W195" s="1" t="s">
        <v>383</v>
      </c>
      <c r="X195" s="18">
        <v>44958.25277777778</v>
      </c>
      <c r="Y195" t="s">
        <v>48</v>
      </c>
    </row>
    <row r="196" spans="2:25" x14ac:dyDescent="0.35">
      <c r="B196" t="s">
        <v>62</v>
      </c>
      <c r="C196" t="s">
        <v>63</v>
      </c>
      <c r="D196" t="s">
        <v>50</v>
      </c>
      <c r="E196" t="s">
        <v>153</v>
      </c>
      <c r="F196" s="16">
        <v>44958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2301010025</v>
      </c>
      <c r="S196" t="s">
        <v>384</v>
      </c>
      <c r="T196">
        <v>1866798</v>
      </c>
      <c r="U196" t="s">
        <v>385</v>
      </c>
      <c r="V196" s="1" t="s">
        <v>46</v>
      </c>
      <c r="W196" s="1" t="s">
        <v>386</v>
      </c>
      <c r="X196" s="18">
        <v>44958.25277777778</v>
      </c>
      <c r="Y196" t="s">
        <v>48</v>
      </c>
    </row>
    <row r="197" spans="2:25" x14ac:dyDescent="0.35">
      <c r="B197" t="s">
        <v>62</v>
      </c>
      <c r="C197" t="s">
        <v>63</v>
      </c>
      <c r="D197" t="s">
        <v>50</v>
      </c>
      <c r="E197" t="s">
        <v>74</v>
      </c>
      <c r="F197" s="16">
        <v>44958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2301010077</v>
      </c>
      <c r="T197">
        <v>1850921</v>
      </c>
      <c r="U197" t="s">
        <v>387</v>
      </c>
      <c r="V197" s="1" t="s">
        <v>56</v>
      </c>
      <c r="W197" s="1" t="s">
        <v>388</v>
      </c>
      <c r="X197" s="18">
        <v>44958.253472222219</v>
      </c>
      <c r="Y197" t="s">
        <v>389</v>
      </c>
    </row>
    <row r="198" spans="2:25" x14ac:dyDescent="0.35">
      <c r="B198" t="s">
        <v>41</v>
      </c>
      <c r="C198" t="s">
        <v>42</v>
      </c>
      <c r="D198" t="s">
        <v>43</v>
      </c>
      <c r="E198" t="s">
        <v>0</v>
      </c>
      <c r="F198" s="16">
        <v>44958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2301010150</v>
      </c>
      <c r="S198" t="s">
        <v>64</v>
      </c>
      <c r="T198">
        <v>1866831</v>
      </c>
      <c r="U198" t="s">
        <v>65</v>
      </c>
      <c r="V198" s="1" t="s">
        <v>46</v>
      </c>
      <c r="W198" s="17">
        <v>27249</v>
      </c>
      <c r="X198" s="18">
        <v>44958.253472222219</v>
      </c>
      <c r="Y198" t="s">
        <v>48</v>
      </c>
    </row>
    <row r="199" spans="2:25" x14ac:dyDescent="0.35">
      <c r="B199" t="s">
        <v>62</v>
      </c>
      <c r="C199" t="s">
        <v>63</v>
      </c>
      <c r="D199" t="s">
        <v>50</v>
      </c>
      <c r="E199" t="s">
        <v>84</v>
      </c>
      <c r="F199" s="16">
        <v>44958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2212310083</v>
      </c>
      <c r="S199" t="s">
        <v>370</v>
      </c>
      <c r="T199">
        <v>1678499</v>
      </c>
      <c r="U199" t="s">
        <v>371</v>
      </c>
      <c r="V199" s="1" t="s">
        <v>56</v>
      </c>
      <c r="W199" s="1" t="s">
        <v>372</v>
      </c>
      <c r="X199" s="18">
        <v>44958.254166666666</v>
      </c>
      <c r="Y199" t="s">
        <v>48</v>
      </c>
    </row>
    <row r="200" spans="2:25" x14ac:dyDescent="0.35">
      <c r="B200" t="s">
        <v>62</v>
      </c>
      <c r="C200" t="s">
        <v>63</v>
      </c>
      <c r="D200" t="s">
        <v>50</v>
      </c>
      <c r="E200" t="s">
        <v>211</v>
      </c>
      <c r="F200" s="16">
        <v>44958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2212211528</v>
      </c>
      <c r="S200" t="s">
        <v>212</v>
      </c>
      <c r="T200">
        <v>1865274</v>
      </c>
      <c r="U200" t="s">
        <v>213</v>
      </c>
      <c r="V200" s="1" t="s">
        <v>46</v>
      </c>
      <c r="W200" s="1" t="s">
        <v>214</v>
      </c>
      <c r="X200" s="18">
        <v>44958.254861111112</v>
      </c>
      <c r="Y200" t="s">
        <v>48</v>
      </c>
    </row>
    <row r="201" spans="2:25" x14ac:dyDescent="0.35">
      <c r="B201" t="s">
        <v>120</v>
      </c>
      <c r="C201" t="s">
        <v>390</v>
      </c>
      <c r="D201" t="s">
        <v>120</v>
      </c>
      <c r="E201" t="s">
        <v>390</v>
      </c>
      <c r="F201" s="16">
        <v>44958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2301020025</v>
      </c>
      <c r="S201" t="s">
        <v>391</v>
      </c>
      <c r="T201">
        <v>1138545</v>
      </c>
      <c r="U201" t="s">
        <v>392</v>
      </c>
      <c r="V201" s="1" t="s">
        <v>46</v>
      </c>
      <c r="W201" s="17">
        <v>40606</v>
      </c>
      <c r="X201" s="18">
        <v>44958.254861111112</v>
      </c>
      <c r="Y201" t="s">
        <v>48</v>
      </c>
    </row>
    <row r="202" spans="2:25" x14ac:dyDescent="0.35">
      <c r="B202" t="s">
        <v>120</v>
      </c>
      <c r="C202" t="s">
        <v>390</v>
      </c>
      <c r="D202" t="s">
        <v>120</v>
      </c>
      <c r="E202" t="s">
        <v>390</v>
      </c>
      <c r="F202" s="16">
        <v>44958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2301020026</v>
      </c>
      <c r="S202" t="s">
        <v>393</v>
      </c>
      <c r="T202">
        <v>1477945</v>
      </c>
      <c r="U202" t="s">
        <v>394</v>
      </c>
      <c r="V202" s="1" t="s">
        <v>56</v>
      </c>
      <c r="W202" s="1" t="s">
        <v>395</v>
      </c>
      <c r="X202" s="18">
        <v>44958.256944444445</v>
      </c>
      <c r="Y202" t="s">
        <v>48</v>
      </c>
    </row>
    <row r="203" spans="2:25" x14ac:dyDescent="0.35">
      <c r="B203" t="s">
        <v>41</v>
      </c>
      <c r="C203" t="s">
        <v>42</v>
      </c>
      <c r="D203" t="s">
        <v>43</v>
      </c>
      <c r="E203" t="s">
        <v>0</v>
      </c>
      <c r="F203" s="16">
        <v>44958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2301010093</v>
      </c>
      <c r="S203" t="s">
        <v>143</v>
      </c>
      <c r="T203">
        <v>1818393</v>
      </c>
      <c r="U203" t="s">
        <v>144</v>
      </c>
      <c r="V203" s="1" t="s">
        <v>46</v>
      </c>
      <c r="W203" s="1" t="s">
        <v>145</v>
      </c>
      <c r="X203" s="18">
        <v>44958.257638888892</v>
      </c>
      <c r="Y203" t="s">
        <v>48</v>
      </c>
    </row>
    <row r="204" spans="2:25" x14ac:dyDescent="0.35">
      <c r="B204" t="s">
        <v>62</v>
      </c>
      <c r="C204" t="s">
        <v>63</v>
      </c>
      <c r="D204" t="s">
        <v>50</v>
      </c>
      <c r="E204" t="s">
        <v>84</v>
      </c>
      <c r="F204" s="16">
        <v>44958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2212281521</v>
      </c>
      <c r="T204">
        <v>1866302</v>
      </c>
      <c r="U204" t="s">
        <v>413</v>
      </c>
      <c r="V204" s="1" t="s">
        <v>46</v>
      </c>
      <c r="W204" s="17">
        <v>25691</v>
      </c>
      <c r="X204" s="18">
        <v>44958.258333333331</v>
      </c>
      <c r="Y204" t="s">
        <v>389</v>
      </c>
    </row>
    <row r="205" spans="2:25" x14ac:dyDescent="0.35">
      <c r="B205" t="s">
        <v>41</v>
      </c>
      <c r="C205" t="s">
        <v>49</v>
      </c>
      <c r="D205" t="s">
        <v>50</v>
      </c>
      <c r="E205" t="s">
        <v>231</v>
      </c>
      <c r="F205" s="16">
        <v>44958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2212281515</v>
      </c>
      <c r="S205" t="s">
        <v>232</v>
      </c>
      <c r="T205">
        <v>1858572</v>
      </c>
      <c r="U205" t="s">
        <v>233</v>
      </c>
      <c r="V205" s="1" t="s">
        <v>56</v>
      </c>
      <c r="W205" s="1" t="s">
        <v>234</v>
      </c>
      <c r="X205" s="18">
        <v>44958.258333333331</v>
      </c>
      <c r="Y205" t="s">
        <v>48</v>
      </c>
    </row>
    <row r="206" spans="2:25" x14ac:dyDescent="0.35">
      <c r="B206" t="s">
        <v>120</v>
      </c>
      <c r="C206" t="s">
        <v>390</v>
      </c>
      <c r="D206" t="s">
        <v>120</v>
      </c>
      <c r="E206" t="s">
        <v>390</v>
      </c>
      <c r="F206" s="16">
        <v>44958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2301020027</v>
      </c>
      <c r="S206" t="s">
        <v>414</v>
      </c>
      <c r="T206">
        <v>1709176</v>
      </c>
      <c r="U206" t="s">
        <v>415</v>
      </c>
      <c r="V206" s="1" t="s">
        <v>46</v>
      </c>
      <c r="W206" s="1" t="s">
        <v>416</v>
      </c>
      <c r="X206" s="18">
        <v>44958.258333333331</v>
      </c>
      <c r="Y206" t="s">
        <v>48</v>
      </c>
    </row>
    <row r="207" spans="2:25" x14ac:dyDescent="0.35">
      <c r="B207" t="s">
        <v>120</v>
      </c>
      <c r="C207" t="s">
        <v>390</v>
      </c>
      <c r="D207" t="s">
        <v>120</v>
      </c>
      <c r="E207" t="s">
        <v>390</v>
      </c>
      <c r="F207" s="16">
        <v>44958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2301020028</v>
      </c>
      <c r="S207" t="s">
        <v>417</v>
      </c>
      <c r="T207">
        <v>1762201</v>
      </c>
      <c r="U207" t="s">
        <v>418</v>
      </c>
      <c r="V207" s="1" t="s">
        <v>56</v>
      </c>
      <c r="W207" s="1" t="s">
        <v>419</v>
      </c>
      <c r="X207" s="18">
        <v>44958.259722222225</v>
      </c>
      <c r="Y207" t="s">
        <v>48</v>
      </c>
    </row>
    <row r="208" spans="2:25" x14ac:dyDescent="0.35">
      <c r="B208" t="s">
        <v>41</v>
      </c>
      <c r="C208" t="s">
        <v>49</v>
      </c>
      <c r="D208" t="s">
        <v>50</v>
      </c>
      <c r="E208" t="s">
        <v>84</v>
      </c>
      <c r="F208" s="16">
        <v>44958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2212280373</v>
      </c>
      <c r="S208" t="s">
        <v>420</v>
      </c>
      <c r="T208">
        <v>1803785</v>
      </c>
      <c r="U208" t="s">
        <v>421</v>
      </c>
      <c r="V208" s="1" t="s">
        <v>46</v>
      </c>
      <c r="W208" s="1" t="s">
        <v>422</v>
      </c>
      <c r="X208" s="18">
        <v>44958.260416666664</v>
      </c>
      <c r="Y208" t="s">
        <v>48</v>
      </c>
    </row>
    <row r="209" spans="2:25" x14ac:dyDescent="0.35">
      <c r="B209" t="s">
        <v>41</v>
      </c>
      <c r="C209" t="s">
        <v>49</v>
      </c>
      <c r="D209" t="s">
        <v>50</v>
      </c>
      <c r="E209" t="s">
        <v>88</v>
      </c>
      <c r="F209" s="16">
        <v>44958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2212290007</v>
      </c>
      <c r="S209" t="s">
        <v>423</v>
      </c>
      <c r="T209">
        <v>126397</v>
      </c>
      <c r="U209" t="s">
        <v>424</v>
      </c>
      <c r="V209" s="1" t="s">
        <v>46</v>
      </c>
      <c r="W209" s="17">
        <v>25788</v>
      </c>
      <c r="X209" s="18">
        <v>44958.261111111111</v>
      </c>
      <c r="Y209" t="s">
        <v>48</v>
      </c>
    </row>
    <row r="210" spans="2:25" x14ac:dyDescent="0.35">
      <c r="B210" t="s">
        <v>120</v>
      </c>
      <c r="C210" t="s">
        <v>390</v>
      </c>
      <c r="D210" t="s">
        <v>120</v>
      </c>
      <c r="E210" t="s">
        <v>390</v>
      </c>
      <c r="F210" s="16">
        <v>44958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2301020029</v>
      </c>
      <c r="S210" t="s">
        <v>425</v>
      </c>
      <c r="T210">
        <v>1202815</v>
      </c>
      <c r="U210" t="s">
        <v>426</v>
      </c>
      <c r="V210" s="1" t="s">
        <v>46</v>
      </c>
      <c r="W210" s="1" t="s">
        <v>427</v>
      </c>
      <c r="X210" s="18">
        <v>44958.261111111111</v>
      </c>
      <c r="Y210" t="s">
        <v>48</v>
      </c>
    </row>
    <row r="211" spans="2:25" x14ac:dyDescent="0.35">
      <c r="B211" t="s">
        <v>41</v>
      </c>
      <c r="C211" t="s">
        <v>49</v>
      </c>
      <c r="D211" t="s">
        <v>50</v>
      </c>
      <c r="E211" t="s">
        <v>88</v>
      </c>
      <c r="F211" s="16">
        <v>44958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2212221581</v>
      </c>
      <c r="S211" t="s">
        <v>428</v>
      </c>
      <c r="T211">
        <v>1865437</v>
      </c>
      <c r="U211" t="s">
        <v>429</v>
      </c>
      <c r="V211" s="1" t="s">
        <v>46</v>
      </c>
      <c r="W211" s="17">
        <v>18090</v>
      </c>
      <c r="X211" s="18">
        <v>44958.261805555558</v>
      </c>
      <c r="Y211" t="s">
        <v>48</v>
      </c>
    </row>
    <row r="212" spans="2:25" x14ac:dyDescent="0.35">
      <c r="B212" t="s">
        <v>120</v>
      </c>
      <c r="C212" t="s">
        <v>390</v>
      </c>
      <c r="D212" t="s">
        <v>120</v>
      </c>
      <c r="E212" t="s">
        <v>390</v>
      </c>
      <c r="F212" s="16">
        <v>44958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2301020030</v>
      </c>
      <c r="S212" t="s">
        <v>430</v>
      </c>
      <c r="T212">
        <v>1771188</v>
      </c>
      <c r="U212" t="s">
        <v>431</v>
      </c>
      <c r="V212" s="1" t="s">
        <v>46</v>
      </c>
      <c r="W212" s="1" t="s">
        <v>432</v>
      </c>
      <c r="X212" s="18">
        <v>44958.262499999997</v>
      </c>
      <c r="Y212" t="s">
        <v>48</v>
      </c>
    </row>
    <row r="213" spans="2:25" x14ac:dyDescent="0.35">
      <c r="B213" t="s">
        <v>120</v>
      </c>
      <c r="C213" t="s">
        <v>390</v>
      </c>
      <c r="D213" t="s">
        <v>120</v>
      </c>
      <c r="E213" t="s">
        <v>390</v>
      </c>
      <c r="F213" s="16">
        <v>44958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2301020031</v>
      </c>
      <c r="S213" t="s">
        <v>433</v>
      </c>
      <c r="T213">
        <v>1403388</v>
      </c>
      <c r="U213" t="s">
        <v>434</v>
      </c>
      <c r="V213" s="1" t="s">
        <v>46</v>
      </c>
      <c r="W213" s="1" t="s">
        <v>435</v>
      </c>
      <c r="X213" s="18">
        <v>44958.263888888891</v>
      </c>
      <c r="Y213" t="s">
        <v>48</v>
      </c>
    </row>
    <row r="214" spans="2:25" x14ac:dyDescent="0.35">
      <c r="B214" t="s">
        <v>41</v>
      </c>
      <c r="C214" t="s">
        <v>42</v>
      </c>
      <c r="D214" t="s">
        <v>43</v>
      </c>
      <c r="E214" t="s">
        <v>0</v>
      </c>
      <c r="F214" s="16">
        <v>44958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2301010083</v>
      </c>
      <c r="S214" t="s">
        <v>436</v>
      </c>
      <c r="T214">
        <v>264684</v>
      </c>
      <c r="U214" t="s">
        <v>437</v>
      </c>
      <c r="V214" s="1" t="s">
        <v>56</v>
      </c>
      <c r="W214" s="1" t="s">
        <v>438</v>
      </c>
      <c r="X214" s="18">
        <v>44958.26458333333</v>
      </c>
      <c r="Y214" t="s">
        <v>48</v>
      </c>
    </row>
    <row r="215" spans="2:25" x14ac:dyDescent="0.35">
      <c r="B215" t="s">
        <v>120</v>
      </c>
      <c r="C215" t="s">
        <v>390</v>
      </c>
      <c r="D215" t="s">
        <v>120</v>
      </c>
      <c r="E215" t="s">
        <v>390</v>
      </c>
      <c r="F215" s="16">
        <v>44958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2301020032</v>
      </c>
      <c r="S215" t="s">
        <v>439</v>
      </c>
      <c r="T215">
        <v>1832136</v>
      </c>
      <c r="U215" t="s">
        <v>440</v>
      </c>
      <c r="V215" s="1" t="s">
        <v>56</v>
      </c>
      <c r="W215" s="17">
        <v>44015</v>
      </c>
      <c r="X215" s="18">
        <v>44958.265277777777</v>
      </c>
      <c r="Y215" t="s">
        <v>48</v>
      </c>
    </row>
    <row r="216" spans="2:25" x14ac:dyDescent="0.35">
      <c r="B216" t="s">
        <v>62</v>
      </c>
      <c r="C216" t="s">
        <v>63</v>
      </c>
      <c r="D216" t="s">
        <v>50</v>
      </c>
      <c r="E216" t="s">
        <v>88</v>
      </c>
      <c r="F216" s="16">
        <v>44958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2212240209</v>
      </c>
      <c r="S216" t="s">
        <v>441</v>
      </c>
      <c r="T216">
        <v>1823453</v>
      </c>
      <c r="U216" t="s">
        <v>442</v>
      </c>
      <c r="V216" s="1" t="s">
        <v>46</v>
      </c>
      <c r="W216" s="17">
        <v>28463</v>
      </c>
      <c r="X216" s="18">
        <v>44958.265277777777</v>
      </c>
      <c r="Y216" t="s">
        <v>48</v>
      </c>
    </row>
    <row r="217" spans="2:25" x14ac:dyDescent="0.35">
      <c r="B217" t="s">
        <v>120</v>
      </c>
      <c r="C217" t="s">
        <v>390</v>
      </c>
      <c r="D217" t="s">
        <v>120</v>
      </c>
      <c r="E217" t="s">
        <v>390</v>
      </c>
      <c r="F217" s="16">
        <v>44958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2301020033</v>
      </c>
      <c r="S217" t="s">
        <v>443</v>
      </c>
      <c r="T217">
        <v>1742625</v>
      </c>
      <c r="U217" t="s">
        <v>444</v>
      </c>
      <c r="V217" s="1" t="s">
        <v>46</v>
      </c>
      <c r="W217" s="17">
        <v>42553</v>
      </c>
      <c r="X217" s="18">
        <v>44958.265972222223</v>
      </c>
      <c r="Y217" t="s">
        <v>48</v>
      </c>
    </row>
    <row r="218" spans="2:25" x14ac:dyDescent="0.35">
      <c r="B218" t="s">
        <v>120</v>
      </c>
      <c r="C218" t="s">
        <v>390</v>
      </c>
      <c r="D218" t="s">
        <v>120</v>
      </c>
      <c r="E218" t="s">
        <v>390</v>
      </c>
      <c r="F218" s="16">
        <v>44958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2301020034</v>
      </c>
      <c r="S218" t="s">
        <v>445</v>
      </c>
      <c r="T218">
        <v>1756037</v>
      </c>
      <c r="U218" t="s">
        <v>446</v>
      </c>
      <c r="V218" s="1" t="s">
        <v>56</v>
      </c>
      <c r="W218" s="17">
        <v>40455</v>
      </c>
      <c r="X218" s="18">
        <v>44958.267361111109</v>
      </c>
      <c r="Y218" t="s">
        <v>48</v>
      </c>
    </row>
    <row r="219" spans="2:25" x14ac:dyDescent="0.35">
      <c r="B219" t="s">
        <v>62</v>
      </c>
      <c r="C219" t="s">
        <v>63</v>
      </c>
      <c r="D219" t="s">
        <v>50</v>
      </c>
      <c r="E219" t="s">
        <v>51</v>
      </c>
      <c r="F219" s="16">
        <v>44958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2212310165</v>
      </c>
      <c r="S219" t="s">
        <v>447</v>
      </c>
      <c r="T219">
        <v>1866793</v>
      </c>
      <c r="U219" t="s">
        <v>448</v>
      </c>
      <c r="V219" s="1" t="s">
        <v>46</v>
      </c>
      <c r="W219" s="1" t="s">
        <v>449</v>
      </c>
      <c r="X219" s="18">
        <v>44958.267361111109</v>
      </c>
      <c r="Y219" t="s">
        <v>48</v>
      </c>
    </row>
    <row r="220" spans="2:25" x14ac:dyDescent="0.35">
      <c r="B220" t="s">
        <v>41</v>
      </c>
      <c r="C220" t="s">
        <v>113</v>
      </c>
      <c r="D220" t="s">
        <v>50</v>
      </c>
      <c r="E220" t="s">
        <v>150</v>
      </c>
      <c r="F220" s="16">
        <v>44958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2212310089</v>
      </c>
      <c r="S220" t="s">
        <v>450</v>
      </c>
      <c r="T220">
        <v>1842064</v>
      </c>
      <c r="U220" t="s">
        <v>451</v>
      </c>
      <c r="V220" s="1" t="s">
        <v>46</v>
      </c>
      <c r="W220" s="17">
        <v>24996</v>
      </c>
      <c r="X220" s="18">
        <v>44958.268055555556</v>
      </c>
      <c r="Y220" t="s">
        <v>48</v>
      </c>
    </row>
    <row r="221" spans="2:25" x14ac:dyDescent="0.35">
      <c r="B221" t="s">
        <v>120</v>
      </c>
      <c r="C221" t="s">
        <v>390</v>
      </c>
      <c r="D221" t="s">
        <v>120</v>
      </c>
      <c r="E221" t="s">
        <v>390</v>
      </c>
      <c r="F221" s="16">
        <v>44958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2301020035</v>
      </c>
      <c r="S221" t="s">
        <v>452</v>
      </c>
      <c r="T221">
        <v>1067076</v>
      </c>
      <c r="U221" t="s">
        <v>453</v>
      </c>
      <c r="V221" s="1" t="s">
        <v>46</v>
      </c>
      <c r="W221" s="17">
        <v>40463</v>
      </c>
      <c r="X221" s="18">
        <v>44958.268750000003</v>
      </c>
      <c r="Y221" t="s">
        <v>48</v>
      </c>
    </row>
    <row r="222" spans="2:25" x14ac:dyDescent="0.35">
      <c r="B222" t="s">
        <v>454</v>
      </c>
      <c r="C222" t="s">
        <v>454</v>
      </c>
      <c r="D222" t="s">
        <v>454</v>
      </c>
      <c r="E222" t="s">
        <v>454</v>
      </c>
      <c r="F222" s="16">
        <v>44958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2301020054</v>
      </c>
      <c r="S222" t="s">
        <v>455</v>
      </c>
      <c r="T222">
        <v>1509196</v>
      </c>
      <c r="U222" t="s">
        <v>456</v>
      </c>
      <c r="V222" s="1" t="s">
        <v>56</v>
      </c>
      <c r="W222" s="17">
        <v>30204</v>
      </c>
      <c r="X222" s="18">
        <v>44958.270138888889</v>
      </c>
      <c r="Y222" t="s">
        <v>48</v>
      </c>
    </row>
    <row r="223" spans="2:25" x14ac:dyDescent="0.35">
      <c r="B223" t="s">
        <v>120</v>
      </c>
      <c r="C223" t="s">
        <v>390</v>
      </c>
      <c r="D223" t="s">
        <v>120</v>
      </c>
      <c r="E223" t="s">
        <v>390</v>
      </c>
      <c r="F223" s="16">
        <v>44958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2301020036</v>
      </c>
      <c r="S223" t="s">
        <v>457</v>
      </c>
      <c r="T223">
        <v>1509586</v>
      </c>
      <c r="U223" t="s">
        <v>458</v>
      </c>
      <c r="V223" s="1" t="s">
        <v>56</v>
      </c>
      <c r="W223" s="1" t="s">
        <v>459</v>
      </c>
      <c r="X223" s="18">
        <v>44958.270138888889</v>
      </c>
      <c r="Y223" t="s">
        <v>48</v>
      </c>
    </row>
    <row r="224" spans="2:25" x14ac:dyDescent="0.35">
      <c r="B224" t="s">
        <v>41</v>
      </c>
      <c r="C224" t="s">
        <v>42</v>
      </c>
      <c r="D224" t="s">
        <v>43</v>
      </c>
      <c r="E224" t="s">
        <v>0</v>
      </c>
      <c r="F224" s="16">
        <v>44958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2301010140</v>
      </c>
      <c r="S224" t="s">
        <v>460</v>
      </c>
      <c r="T224">
        <v>1859428</v>
      </c>
      <c r="U224" t="s">
        <v>461</v>
      </c>
      <c r="V224" s="1" t="s">
        <v>46</v>
      </c>
      <c r="W224" s="1" t="s">
        <v>462</v>
      </c>
      <c r="X224" s="18">
        <v>44958.270138888889</v>
      </c>
      <c r="Y224" t="s">
        <v>48</v>
      </c>
    </row>
    <row r="225" spans="2:25" x14ac:dyDescent="0.35">
      <c r="B225" t="s">
        <v>41</v>
      </c>
      <c r="C225" t="s">
        <v>113</v>
      </c>
      <c r="D225" t="s">
        <v>50</v>
      </c>
      <c r="E225" t="s">
        <v>150</v>
      </c>
      <c r="F225" s="16">
        <v>44958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2301020013</v>
      </c>
      <c r="S225" t="s">
        <v>223</v>
      </c>
      <c r="T225">
        <v>1861480</v>
      </c>
      <c r="U225" t="s">
        <v>123</v>
      </c>
      <c r="V225" s="1" t="s">
        <v>56</v>
      </c>
      <c r="W225" s="1" t="s">
        <v>124</v>
      </c>
      <c r="X225" s="18">
        <v>44958.270138888889</v>
      </c>
      <c r="Y225" t="s">
        <v>48</v>
      </c>
    </row>
    <row r="226" spans="2:25" x14ac:dyDescent="0.35">
      <c r="B226" t="s">
        <v>454</v>
      </c>
      <c r="C226" t="s">
        <v>454</v>
      </c>
      <c r="D226" t="s">
        <v>454</v>
      </c>
      <c r="E226" t="s">
        <v>454</v>
      </c>
      <c r="F226" s="16">
        <v>44958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2301020055</v>
      </c>
      <c r="S226" t="s">
        <v>463</v>
      </c>
      <c r="T226">
        <v>1820020</v>
      </c>
      <c r="U226" t="s">
        <v>464</v>
      </c>
      <c r="V226" s="1" t="s">
        <v>46</v>
      </c>
      <c r="W226" s="1" t="s">
        <v>465</v>
      </c>
      <c r="X226" s="18">
        <v>44958.270833333336</v>
      </c>
      <c r="Y226" t="s">
        <v>48</v>
      </c>
    </row>
    <row r="227" spans="2:25" x14ac:dyDescent="0.35">
      <c r="B227" t="s">
        <v>120</v>
      </c>
      <c r="C227" t="s">
        <v>390</v>
      </c>
      <c r="D227" t="s">
        <v>120</v>
      </c>
      <c r="E227" t="s">
        <v>390</v>
      </c>
      <c r="F227" s="16">
        <v>44958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2301020037</v>
      </c>
      <c r="S227" t="s">
        <v>466</v>
      </c>
      <c r="T227">
        <v>1419372</v>
      </c>
      <c r="U227" t="s">
        <v>467</v>
      </c>
      <c r="V227" s="1" t="s">
        <v>56</v>
      </c>
      <c r="W227" s="17">
        <v>40028</v>
      </c>
      <c r="X227" s="18">
        <v>44958.271527777775</v>
      </c>
      <c r="Y227" t="s">
        <v>48</v>
      </c>
    </row>
    <row r="228" spans="2:25" x14ac:dyDescent="0.35">
      <c r="B228" t="s">
        <v>454</v>
      </c>
      <c r="C228" t="s">
        <v>454</v>
      </c>
      <c r="D228" t="s">
        <v>454</v>
      </c>
      <c r="E228" t="s">
        <v>454</v>
      </c>
      <c r="F228" s="16">
        <v>44958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2301020056</v>
      </c>
      <c r="S228" t="s">
        <v>468</v>
      </c>
      <c r="T228">
        <v>70496</v>
      </c>
      <c r="U228" t="s">
        <v>469</v>
      </c>
      <c r="V228" s="1" t="s">
        <v>56</v>
      </c>
      <c r="W228" s="1" t="s">
        <v>470</v>
      </c>
      <c r="X228" s="18">
        <v>44958.271527777775</v>
      </c>
      <c r="Y228" t="s">
        <v>48</v>
      </c>
    </row>
    <row r="229" spans="2:25" x14ac:dyDescent="0.35">
      <c r="B229" t="s">
        <v>41</v>
      </c>
      <c r="C229" t="s">
        <v>49</v>
      </c>
      <c r="D229" t="s">
        <v>50</v>
      </c>
      <c r="E229" t="s">
        <v>88</v>
      </c>
      <c r="F229" s="16">
        <v>44958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2212271478</v>
      </c>
      <c r="S229" t="s">
        <v>471</v>
      </c>
      <c r="T229">
        <v>1193714</v>
      </c>
      <c r="U229" t="s">
        <v>472</v>
      </c>
      <c r="V229" s="1" t="s">
        <v>56</v>
      </c>
      <c r="W229" s="17">
        <v>27006</v>
      </c>
      <c r="X229" s="18">
        <v>44958.271527777775</v>
      </c>
      <c r="Y229" t="s">
        <v>48</v>
      </c>
    </row>
    <row r="230" spans="2:25" x14ac:dyDescent="0.35">
      <c r="B230" t="s">
        <v>120</v>
      </c>
      <c r="C230" t="s">
        <v>390</v>
      </c>
      <c r="D230" t="s">
        <v>120</v>
      </c>
      <c r="E230" t="s">
        <v>390</v>
      </c>
      <c r="F230" s="16">
        <v>44958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2301020038</v>
      </c>
      <c r="S230" t="s">
        <v>473</v>
      </c>
      <c r="T230">
        <v>1792383</v>
      </c>
      <c r="U230" t="s">
        <v>474</v>
      </c>
      <c r="V230" s="1" t="s">
        <v>46</v>
      </c>
      <c r="W230" s="17">
        <v>42016</v>
      </c>
      <c r="X230" s="18">
        <v>44958.272916666669</v>
      </c>
      <c r="Y230" t="s">
        <v>48</v>
      </c>
    </row>
    <row r="231" spans="2:25" x14ac:dyDescent="0.35">
      <c r="B231" t="s">
        <v>454</v>
      </c>
      <c r="C231" t="s">
        <v>454</v>
      </c>
      <c r="D231" t="s">
        <v>454</v>
      </c>
      <c r="E231" t="s">
        <v>454</v>
      </c>
      <c r="F231" s="16">
        <v>44958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2301020057</v>
      </c>
      <c r="S231" t="s">
        <v>475</v>
      </c>
      <c r="T231">
        <v>1657997</v>
      </c>
      <c r="U231" t="s">
        <v>476</v>
      </c>
      <c r="V231" s="1" t="s">
        <v>46</v>
      </c>
      <c r="W231" s="1" t="s">
        <v>477</v>
      </c>
      <c r="X231" s="18">
        <v>44958.272916666669</v>
      </c>
      <c r="Y231" t="s">
        <v>48</v>
      </c>
    </row>
    <row r="232" spans="2:25" x14ac:dyDescent="0.35">
      <c r="B232" t="s">
        <v>120</v>
      </c>
      <c r="C232" t="s">
        <v>390</v>
      </c>
      <c r="D232" t="s">
        <v>120</v>
      </c>
      <c r="E232" t="s">
        <v>390</v>
      </c>
      <c r="F232" s="16">
        <v>44958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2301020039</v>
      </c>
      <c r="S232" t="s">
        <v>478</v>
      </c>
      <c r="T232">
        <v>1603506</v>
      </c>
      <c r="U232" t="s">
        <v>479</v>
      </c>
      <c r="V232" s="1" t="s">
        <v>46</v>
      </c>
      <c r="W232" s="1" t="s">
        <v>480</v>
      </c>
      <c r="X232" s="18">
        <v>44958.273611111108</v>
      </c>
      <c r="Y232" t="s">
        <v>48</v>
      </c>
    </row>
    <row r="233" spans="2:25" x14ac:dyDescent="0.35">
      <c r="B233" t="s">
        <v>454</v>
      </c>
      <c r="C233" t="s">
        <v>454</v>
      </c>
      <c r="D233" t="s">
        <v>454</v>
      </c>
      <c r="E233" t="s">
        <v>454</v>
      </c>
      <c r="F233" s="16">
        <v>44958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2301020058</v>
      </c>
      <c r="S233" t="s">
        <v>481</v>
      </c>
      <c r="T233">
        <v>1435238</v>
      </c>
      <c r="U233" t="s">
        <v>482</v>
      </c>
      <c r="V233" s="1" t="s">
        <v>46</v>
      </c>
      <c r="W233" s="17">
        <v>17788</v>
      </c>
      <c r="X233" s="18">
        <v>44958.274305555555</v>
      </c>
      <c r="Y233" t="s">
        <v>48</v>
      </c>
    </row>
    <row r="234" spans="2:25" x14ac:dyDescent="0.35">
      <c r="B234" t="s">
        <v>454</v>
      </c>
      <c r="C234" t="s">
        <v>454</v>
      </c>
      <c r="D234" t="s">
        <v>454</v>
      </c>
      <c r="E234" t="s">
        <v>454</v>
      </c>
      <c r="F234" s="16">
        <v>44958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2301020060</v>
      </c>
      <c r="S234" t="s">
        <v>483</v>
      </c>
      <c r="T234">
        <v>1375553</v>
      </c>
      <c r="U234" t="s">
        <v>484</v>
      </c>
      <c r="V234" s="1" t="s">
        <v>46</v>
      </c>
      <c r="W234" s="1" t="s">
        <v>485</v>
      </c>
      <c r="X234" s="18">
        <v>44958.275000000001</v>
      </c>
      <c r="Y234" t="s">
        <v>48</v>
      </c>
    </row>
    <row r="235" spans="2:25" x14ac:dyDescent="0.35">
      <c r="B235" t="s">
        <v>120</v>
      </c>
      <c r="C235" t="s">
        <v>390</v>
      </c>
      <c r="D235" t="s">
        <v>120</v>
      </c>
      <c r="E235" t="s">
        <v>390</v>
      </c>
      <c r="F235" s="16">
        <v>44958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2301020040</v>
      </c>
      <c r="S235" t="s">
        <v>486</v>
      </c>
      <c r="T235">
        <v>1757830</v>
      </c>
      <c r="U235" t="s">
        <v>487</v>
      </c>
      <c r="V235" s="1" t="s">
        <v>56</v>
      </c>
      <c r="W235" s="1" t="s">
        <v>488</v>
      </c>
      <c r="X235" s="18">
        <v>44958.275000000001</v>
      </c>
      <c r="Y235" t="s">
        <v>48</v>
      </c>
    </row>
    <row r="236" spans="2:25" x14ac:dyDescent="0.35">
      <c r="B236" t="s">
        <v>41</v>
      </c>
      <c r="C236" t="s">
        <v>49</v>
      </c>
      <c r="D236" t="s">
        <v>50</v>
      </c>
      <c r="E236" t="s">
        <v>211</v>
      </c>
      <c r="F236" s="16">
        <v>44958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2212240210</v>
      </c>
      <c r="S236" t="s">
        <v>489</v>
      </c>
      <c r="T236">
        <v>1865845</v>
      </c>
      <c r="U236" t="s">
        <v>490</v>
      </c>
      <c r="V236" s="1" t="s">
        <v>56</v>
      </c>
      <c r="W236" s="1" t="s">
        <v>491</v>
      </c>
      <c r="X236" s="18">
        <v>44958.275000000001</v>
      </c>
      <c r="Y236" t="s">
        <v>48</v>
      </c>
    </row>
    <row r="237" spans="2:25" x14ac:dyDescent="0.35">
      <c r="B237" t="s">
        <v>454</v>
      </c>
      <c r="C237" t="s">
        <v>454</v>
      </c>
      <c r="D237" t="s">
        <v>454</v>
      </c>
      <c r="E237" t="s">
        <v>454</v>
      </c>
      <c r="F237" s="16">
        <v>44958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2301020062</v>
      </c>
      <c r="S237" t="s">
        <v>492</v>
      </c>
      <c r="T237">
        <v>1688465</v>
      </c>
      <c r="U237" t="s">
        <v>493</v>
      </c>
      <c r="V237" s="1" t="s">
        <v>46</v>
      </c>
      <c r="W237" s="17">
        <v>29285</v>
      </c>
      <c r="X237" s="18">
        <v>44958.275694444441</v>
      </c>
      <c r="Y237" t="s">
        <v>48</v>
      </c>
    </row>
    <row r="238" spans="2:25" x14ac:dyDescent="0.35">
      <c r="B238" t="s">
        <v>120</v>
      </c>
      <c r="C238" t="s">
        <v>390</v>
      </c>
      <c r="D238" t="s">
        <v>120</v>
      </c>
      <c r="E238" t="s">
        <v>390</v>
      </c>
      <c r="F238" s="16">
        <v>44958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2301020041</v>
      </c>
      <c r="S238" t="s">
        <v>494</v>
      </c>
      <c r="T238">
        <v>1610842</v>
      </c>
      <c r="U238" t="s">
        <v>495</v>
      </c>
      <c r="V238" s="1" t="s">
        <v>46</v>
      </c>
      <c r="W238" s="17">
        <v>41456</v>
      </c>
      <c r="X238" s="18">
        <v>44958.276388888888</v>
      </c>
      <c r="Y238" t="s">
        <v>48</v>
      </c>
    </row>
    <row r="239" spans="2:25" x14ac:dyDescent="0.35">
      <c r="B239" t="s">
        <v>454</v>
      </c>
      <c r="C239" t="s">
        <v>454</v>
      </c>
      <c r="D239" t="s">
        <v>454</v>
      </c>
      <c r="E239" t="s">
        <v>454</v>
      </c>
      <c r="F239" s="16">
        <v>44958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2301020063</v>
      </c>
      <c r="S239" t="s">
        <v>496</v>
      </c>
      <c r="T239">
        <v>1750638</v>
      </c>
      <c r="U239" t="s">
        <v>497</v>
      </c>
      <c r="V239" s="1" t="s">
        <v>46</v>
      </c>
      <c r="W239" s="1" t="s">
        <v>498</v>
      </c>
      <c r="X239" s="18">
        <v>44958.277083333334</v>
      </c>
      <c r="Y239" t="s">
        <v>48</v>
      </c>
    </row>
    <row r="240" spans="2:25" x14ac:dyDescent="0.35">
      <c r="B240" t="s">
        <v>120</v>
      </c>
      <c r="C240" t="s">
        <v>390</v>
      </c>
      <c r="D240" t="s">
        <v>120</v>
      </c>
      <c r="E240" t="s">
        <v>390</v>
      </c>
      <c r="F240" s="16">
        <v>44958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2301020043</v>
      </c>
      <c r="S240" t="s">
        <v>499</v>
      </c>
      <c r="T240">
        <v>1513593</v>
      </c>
      <c r="U240" t="s">
        <v>500</v>
      </c>
      <c r="V240" s="1" t="s">
        <v>46</v>
      </c>
      <c r="W240" s="1" t="s">
        <v>501</v>
      </c>
      <c r="X240" s="18">
        <v>44958.277777777781</v>
      </c>
      <c r="Y240" t="s">
        <v>48</v>
      </c>
    </row>
    <row r="241" spans="2:25" x14ac:dyDescent="0.35">
      <c r="B241" t="s">
        <v>454</v>
      </c>
      <c r="C241" t="s">
        <v>454</v>
      </c>
      <c r="D241" t="s">
        <v>454</v>
      </c>
      <c r="E241" t="s">
        <v>454</v>
      </c>
      <c r="F241" s="16">
        <v>44958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2301020065</v>
      </c>
      <c r="S241" t="s">
        <v>502</v>
      </c>
      <c r="T241">
        <v>1770776</v>
      </c>
      <c r="U241" t="s">
        <v>503</v>
      </c>
      <c r="V241" s="1" t="s">
        <v>56</v>
      </c>
      <c r="W241" s="1" t="s">
        <v>504</v>
      </c>
      <c r="X241" s="18">
        <v>44958.277777777781</v>
      </c>
      <c r="Y241" t="s">
        <v>48</v>
      </c>
    </row>
    <row r="242" spans="2:25" x14ac:dyDescent="0.35">
      <c r="B242" t="s">
        <v>454</v>
      </c>
      <c r="C242" t="s">
        <v>454</v>
      </c>
      <c r="D242" t="s">
        <v>454</v>
      </c>
      <c r="E242" t="s">
        <v>454</v>
      </c>
      <c r="F242" s="16">
        <v>44958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2301020066</v>
      </c>
      <c r="S242" t="s">
        <v>505</v>
      </c>
      <c r="T242">
        <v>1774534</v>
      </c>
      <c r="U242" t="s">
        <v>506</v>
      </c>
      <c r="V242" s="1" t="s">
        <v>46</v>
      </c>
      <c r="W242" s="17">
        <v>23995</v>
      </c>
      <c r="X242" s="18">
        <v>44958.27847222222</v>
      </c>
      <c r="Y242" t="s">
        <v>48</v>
      </c>
    </row>
    <row r="243" spans="2:25" x14ac:dyDescent="0.35">
      <c r="B243" t="s">
        <v>120</v>
      </c>
      <c r="C243" t="s">
        <v>390</v>
      </c>
      <c r="D243" t="s">
        <v>120</v>
      </c>
      <c r="E243" t="s">
        <v>390</v>
      </c>
      <c r="F243" s="16">
        <v>44958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2301020047</v>
      </c>
      <c r="S243" t="s">
        <v>507</v>
      </c>
      <c r="T243">
        <v>1777758</v>
      </c>
      <c r="U243" t="s">
        <v>508</v>
      </c>
      <c r="V243" s="1" t="s">
        <v>46</v>
      </c>
      <c r="W243" s="1" t="s">
        <v>509</v>
      </c>
      <c r="X243" s="18">
        <v>44958.279166666667</v>
      </c>
      <c r="Y243" t="s">
        <v>48</v>
      </c>
    </row>
    <row r="244" spans="2:25" x14ac:dyDescent="0.35">
      <c r="B244" t="s">
        <v>454</v>
      </c>
      <c r="C244" t="s">
        <v>454</v>
      </c>
      <c r="D244" t="s">
        <v>454</v>
      </c>
      <c r="E244" t="s">
        <v>454</v>
      </c>
      <c r="F244" s="16">
        <v>44958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2301020067</v>
      </c>
      <c r="S244" t="s">
        <v>510</v>
      </c>
      <c r="T244">
        <v>856881</v>
      </c>
      <c r="U244" t="s">
        <v>511</v>
      </c>
      <c r="V244" s="1" t="s">
        <v>56</v>
      </c>
      <c r="W244" s="1" t="s">
        <v>512</v>
      </c>
      <c r="X244" s="18">
        <v>44958.279166666667</v>
      </c>
      <c r="Y244" t="s">
        <v>48</v>
      </c>
    </row>
    <row r="245" spans="2:25" x14ac:dyDescent="0.35">
      <c r="B245" t="s">
        <v>454</v>
      </c>
      <c r="C245" t="s">
        <v>454</v>
      </c>
      <c r="D245" t="s">
        <v>454</v>
      </c>
      <c r="E245" t="s">
        <v>454</v>
      </c>
      <c r="F245" s="16">
        <v>44958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2301020068</v>
      </c>
      <c r="S245" t="s">
        <v>513</v>
      </c>
      <c r="T245">
        <v>1762746</v>
      </c>
      <c r="U245" t="s">
        <v>514</v>
      </c>
      <c r="V245" s="1" t="s">
        <v>46</v>
      </c>
      <c r="W245" s="1" t="s">
        <v>515</v>
      </c>
      <c r="X245" s="18">
        <v>44958.279861111114</v>
      </c>
      <c r="Y245" t="s">
        <v>48</v>
      </c>
    </row>
    <row r="246" spans="2:25" x14ac:dyDescent="0.35">
      <c r="B246" t="s">
        <v>120</v>
      </c>
      <c r="C246" t="s">
        <v>390</v>
      </c>
      <c r="D246" t="s">
        <v>120</v>
      </c>
      <c r="E246" t="s">
        <v>390</v>
      </c>
      <c r="F246" s="16">
        <v>44958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2301020049</v>
      </c>
      <c r="S246" t="s">
        <v>516</v>
      </c>
      <c r="T246">
        <v>915655</v>
      </c>
      <c r="U246" t="s">
        <v>517</v>
      </c>
      <c r="V246" s="1" t="s">
        <v>46</v>
      </c>
      <c r="W246" s="1" t="s">
        <v>518</v>
      </c>
      <c r="X246" s="18">
        <v>44958.280555555553</v>
      </c>
      <c r="Y246" t="s">
        <v>48</v>
      </c>
    </row>
    <row r="247" spans="2:25" x14ac:dyDescent="0.35">
      <c r="B247" t="s">
        <v>41</v>
      </c>
      <c r="C247" t="s">
        <v>92</v>
      </c>
      <c r="D247" t="s">
        <v>50</v>
      </c>
      <c r="E247" t="s">
        <v>215</v>
      </c>
      <c r="F247" s="16">
        <v>44958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2212310046</v>
      </c>
      <c r="S247" t="s">
        <v>216</v>
      </c>
      <c r="T247">
        <v>1839548</v>
      </c>
      <c r="U247" t="s">
        <v>217</v>
      </c>
      <c r="V247" s="1" t="s">
        <v>56</v>
      </c>
      <c r="W247" s="17">
        <v>39118</v>
      </c>
      <c r="X247" s="18">
        <v>44958.28125</v>
      </c>
      <c r="Y247" t="s">
        <v>48</v>
      </c>
    </row>
    <row r="248" spans="2:25" x14ac:dyDescent="0.35">
      <c r="B248" t="s">
        <v>120</v>
      </c>
      <c r="C248" t="s">
        <v>390</v>
      </c>
      <c r="D248" t="s">
        <v>120</v>
      </c>
      <c r="E248" t="s">
        <v>390</v>
      </c>
      <c r="F248" s="16">
        <v>44958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2301020050</v>
      </c>
      <c r="S248" t="s">
        <v>519</v>
      </c>
      <c r="T248">
        <v>1628235</v>
      </c>
      <c r="U248" t="s">
        <v>520</v>
      </c>
      <c r="V248" s="1" t="s">
        <v>46</v>
      </c>
      <c r="W248" s="1" t="s">
        <v>521</v>
      </c>
      <c r="X248" s="18">
        <v>44958.28125</v>
      </c>
      <c r="Y248" t="s">
        <v>48</v>
      </c>
    </row>
    <row r="249" spans="2:25" x14ac:dyDescent="0.35">
      <c r="B249" t="s">
        <v>454</v>
      </c>
      <c r="C249" t="s">
        <v>454</v>
      </c>
      <c r="D249" t="s">
        <v>454</v>
      </c>
      <c r="E249" t="s">
        <v>454</v>
      </c>
      <c r="F249" s="16">
        <v>44958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2301020069</v>
      </c>
      <c r="S249" t="s">
        <v>522</v>
      </c>
      <c r="T249">
        <v>1165600</v>
      </c>
      <c r="U249" t="s">
        <v>523</v>
      </c>
      <c r="V249" s="1" t="s">
        <v>56</v>
      </c>
      <c r="W249" s="1" t="s">
        <v>524</v>
      </c>
      <c r="X249" s="18">
        <v>44958.28125</v>
      </c>
      <c r="Y249" t="s">
        <v>48</v>
      </c>
    </row>
    <row r="250" spans="2:25" x14ac:dyDescent="0.35">
      <c r="B250" t="s">
        <v>41</v>
      </c>
      <c r="C250" t="s">
        <v>92</v>
      </c>
      <c r="D250" t="s">
        <v>50</v>
      </c>
      <c r="E250" t="s">
        <v>215</v>
      </c>
      <c r="F250" s="16">
        <v>44958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2212310168</v>
      </c>
      <c r="S250" t="s">
        <v>376</v>
      </c>
      <c r="T250">
        <v>1866779</v>
      </c>
      <c r="U250" t="s">
        <v>377</v>
      </c>
      <c r="V250" s="1" t="s">
        <v>46</v>
      </c>
      <c r="W250" s="1" t="s">
        <v>378</v>
      </c>
      <c r="X250" s="18">
        <v>44958.282638888886</v>
      </c>
      <c r="Y250" t="s">
        <v>48</v>
      </c>
    </row>
    <row r="251" spans="2:25" x14ac:dyDescent="0.35">
      <c r="B251" t="s">
        <v>454</v>
      </c>
      <c r="C251" t="s">
        <v>454</v>
      </c>
      <c r="D251" t="s">
        <v>454</v>
      </c>
      <c r="E251" t="s">
        <v>454</v>
      </c>
      <c r="F251" s="16">
        <v>44958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2301020070</v>
      </c>
      <c r="S251" t="s">
        <v>525</v>
      </c>
      <c r="T251">
        <v>890023</v>
      </c>
      <c r="U251" t="s">
        <v>526</v>
      </c>
      <c r="V251" s="1" t="s">
        <v>56</v>
      </c>
      <c r="W251" s="17">
        <v>21283</v>
      </c>
      <c r="X251" s="18">
        <v>44958.282638888886</v>
      </c>
      <c r="Y251" t="s">
        <v>48</v>
      </c>
    </row>
    <row r="252" spans="2:25" x14ac:dyDescent="0.35">
      <c r="B252" t="s">
        <v>41</v>
      </c>
      <c r="C252" t="s">
        <v>42</v>
      </c>
      <c r="D252" t="s">
        <v>43</v>
      </c>
      <c r="E252" t="s">
        <v>0</v>
      </c>
      <c r="F252" s="16">
        <v>44958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2301010133</v>
      </c>
      <c r="S252" t="s">
        <v>146</v>
      </c>
      <c r="T252">
        <v>1819405</v>
      </c>
      <c r="U252" t="s">
        <v>147</v>
      </c>
      <c r="V252" s="1" t="s">
        <v>56</v>
      </c>
      <c r="W252" s="17">
        <v>25605</v>
      </c>
      <c r="X252" s="18">
        <v>44958.283333333333</v>
      </c>
      <c r="Y252" t="s">
        <v>48</v>
      </c>
    </row>
    <row r="253" spans="2:25" x14ac:dyDescent="0.35">
      <c r="B253" t="s">
        <v>41</v>
      </c>
      <c r="C253" t="s">
        <v>92</v>
      </c>
      <c r="D253" t="s">
        <v>50</v>
      </c>
      <c r="E253" t="s">
        <v>215</v>
      </c>
      <c r="F253" s="16">
        <v>44958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2212310092</v>
      </c>
      <c r="S253" t="s">
        <v>297</v>
      </c>
      <c r="T253">
        <v>1866786</v>
      </c>
      <c r="U253" t="s">
        <v>298</v>
      </c>
      <c r="V253" s="1" t="s">
        <v>56</v>
      </c>
      <c r="W253" s="1" t="s">
        <v>299</v>
      </c>
      <c r="X253" s="18">
        <v>44958.28402777778</v>
      </c>
      <c r="Y253" t="s">
        <v>48</v>
      </c>
    </row>
    <row r="254" spans="2:25" x14ac:dyDescent="0.35">
      <c r="B254" t="s">
        <v>454</v>
      </c>
      <c r="C254" t="s">
        <v>454</v>
      </c>
      <c r="D254" t="s">
        <v>454</v>
      </c>
      <c r="E254" t="s">
        <v>454</v>
      </c>
      <c r="F254" s="16">
        <v>44958</v>
      </c>
      <c r="H254">
        <v>0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2301020071</v>
      </c>
      <c r="S254" t="s">
        <v>527</v>
      </c>
      <c r="T254">
        <v>1790106</v>
      </c>
      <c r="U254" t="s">
        <v>528</v>
      </c>
      <c r="V254" s="1" t="s">
        <v>56</v>
      </c>
      <c r="W254" s="17">
        <v>19883</v>
      </c>
      <c r="X254" s="18">
        <v>44958.284722222219</v>
      </c>
      <c r="Y254" t="s">
        <v>48</v>
      </c>
    </row>
    <row r="255" spans="2:25" x14ac:dyDescent="0.35">
      <c r="B255" t="s">
        <v>454</v>
      </c>
      <c r="C255" t="s">
        <v>454</v>
      </c>
      <c r="D255" t="s">
        <v>454</v>
      </c>
      <c r="E255" t="s">
        <v>454</v>
      </c>
      <c r="F255" s="16">
        <v>44958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2301020073</v>
      </c>
      <c r="S255" t="s">
        <v>529</v>
      </c>
      <c r="T255">
        <v>1342214</v>
      </c>
      <c r="U255" t="s">
        <v>530</v>
      </c>
      <c r="V255" s="1" t="s">
        <v>56</v>
      </c>
      <c r="W255" s="17">
        <v>29808</v>
      </c>
      <c r="X255" s="18">
        <v>44958.286111111112</v>
      </c>
      <c r="Y255" t="s">
        <v>48</v>
      </c>
    </row>
    <row r="256" spans="2:25" x14ac:dyDescent="0.35">
      <c r="B256" t="s">
        <v>454</v>
      </c>
      <c r="C256" t="s">
        <v>454</v>
      </c>
      <c r="D256" t="s">
        <v>454</v>
      </c>
      <c r="E256" t="s">
        <v>454</v>
      </c>
      <c r="F256" s="16">
        <v>44958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2301020074</v>
      </c>
      <c r="S256" t="s">
        <v>531</v>
      </c>
      <c r="T256">
        <v>1407388</v>
      </c>
      <c r="U256" t="s">
        <v>532</v>
      </c>
      <c r="V256" s="1" t="s">
        <v>46</v>
      </c>
      <c r="W256" s="1" t="s">
        <v>533</v>
      </c>
      <c r="X256" s="18">
        <v>44958.286805555559</v>
      </c>
      <c r="Y256" t="s">
        <v>48</v>
      </c>
    </row>
    <row r="257" spans="2:25" x14ac:dyDescent="0.35">
      <c r="B257" t="s">
        <v>454</v>
      </c>
      <c r="C257" t="s">
        <v>454</v>
      </c>
      <c r="D257" t="s">
        <v>454</v>
      </c>
      <c r="E257" t="s">
        <v>454</v>
      </c>
      <c r="F257" s="16">
        <v>44958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2301020075</v>
      </c>
      <c r="S257" t="s">
        <v>534</v>
      </c>
      <c r="T257">
        <v>1509216</v>
      </c>
      <c r="U257" t="s">
        <v>535</v>
      </c>
      <c r="V257" s="1" t="s">
        <v>56</v>
      </c>
      <c r="W257" s="1" t="s">
        <v>536</v>
      </c>
      <c r="X257" s="18">
        <v>44958.288194444445</v>
      </c>
      <c r="Y257" t="s">
        <v>48</v>
      </c>
    </row>
    <row r="258" spans="2:25" x14ac:dyDescent="0.35">
      <c r="B258" t="s">
        <v>41</v>
      </c>
      <c r="C258" t="s">
        <v>42</v>
      </c>
      <c r="D258" t="s">
        <v>43</v>
      </c>
      <c r="E258" t="s">
        <v>0</v>
      </c>
      <c r="F258" s="16">
        <v>44958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2301010145</v>
      </c>
      <c r="T258">
        <v>1866829</v>
      </c>
      <c r="U258" t="s">
        <v>105</v>
      </c>
      <c r="V258" s="1" t="s">
        <v>46</v>
      </c>
      <c r="W258" s="1" t="s">
        <v>106</v>
      </c>
      <c r="X258" s="18">
        <v>44958.288888888892</v>
      </c>
      <c r="Y258" t="s">
        <v>107</v>
      </c>
    </row>
    <row r="259" spans="2:25" x14ac:dyDescent="0.35">
      <c r="B259" t="s">
        <v>454</v>
      </c>
      <c r="C259" t="s">
        <v>454</v>
      </c>
      <c r="D259" t="s">
        <v>454</v>
      </c>
      <c r="E259" t="s">
        <v>454</v>
      </c>
      <c r="F259" s="16">
        <v>44958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2301020077</v>
      </c>
      <c r="S259" t="s">
        <v>537</v>
      </c>
      <c r="T259">
        <v>1241942</v>
      </c>
      <c r="U259" t="s">
        <v>538</v>
      </c>
      <c r="V259" s="1" t="s">
        <v>46</v>
      </c>
      <c r="W259" s="1" t="s">
        <v>539</v>
      </c>
      <c r="X259" s="18">
        <v>44958.288888888892</v>
      </c>
      <c r="Y259" t="s">
        <v>48</v>
      </c>
    </row>
    <row r="260" spans="2:25" x14ac:dyDescent="0.35">
      <c r="B260" t="s">
        <v>41</v>
      </c>
      <c r="C260" t="s">
        <v>49</v>
      </c>
      <c r="D260" t="s">
        <v>50</v>
      </c>
      <c r="E260" t="s">
        <v>540</v>
      </c>
      <c r="F260" s="16">
        <v>44958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2301010008</v>
      </c>
      <c r="S260" t="s">
        <v>541</v>
      </c>
      <c r="T260">
        <v>283374</v>
      </c>
      <c r="U260" t="s">
        <v>542</v>
      </c>
      <c r="V260" s="1" t="s">
        <v>56</v>
      </c>
      <c r="W260" s="1" t="s">
        <v>543</v>
      </c>
      <c r="X260" s="18">
        <v>44958.289583333331</v>
      </c>
      <c r="Y260" t="s">
        <v>48</v>
      </c>
    </row>
    <row r="261" spans="2:25" x14ac:dyDescent="0.35">
      <c r="B261" t="s">
        <v>41</v>
      </c>
      <c r="C261" t="s">
        <v>42</v>
      </c>
      <c r="D261" t="s">
        <v>43</v>
      </c>
      <c r="E261" t="s">
        <v>0</v>
      </c>
      <c r="F261" s="16">
        <v>44958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2301010107</v>
      </c>
      <c r="S261" t="s">
        <v>178</v>
      </c>
      <c r="T261">
        <v>1253018</v>
      </c>
      <c r="U261" t="s">
        <v>179</v>
      </c>
      <c r="V261" s="1" t="s">
        <v>56</v>
      </c>
      <c r="W261" s="17">
        <v>14103</v>
      </c>
      <c r="X261" s="18">
        <v>44958.291666666664</v>
      </c>
      <c r="Y261" t="s">
        <v>48</v>
      </c>
    </row>
    <row r="262" spans="2:25" x14ac:dyDescent="0.35">
      <c r="B262" t="s">
        <v>72</v>
      </c>
      <c r="C262" t="s">
        <v>544</v>
      </c>
      <c r="D262" t="s">
        <v>120</v>
      </c>
      <c r="E262" t="s">
        <v>545</v>
      </c>
      <c r="F262" s="16">
        <v>44958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2212120304</v>
      </c>
      <c r="S262" t="s">
        <v>546</v>
      </c>
      <c r="T262">
        <v>1593491</v>
      </c>
      <c r="U262" t="s">
        <v>547</v>
      </c>
      <c r="V262" s="1" t="s">
        <v>56</v>
      </c>
      <c r="W262" s="17">
        <v>25605</v>
      </c>
      <c r="X262" s="18">
        <v>44958.292361111111</v>
      </c>
      <c r="Y262" t="s">
        <v>48</v>
      </c>
    </row>
    <row r="263" spans="2:25" x14ac:dyDescent="0.35">
      <c r="B263" t="s">
        <v>72</v>
      </c>
      <c r="C263" t="s">
        <v>544</v>
      </c>
      <c r="D263" t="s">
        <v>120</v>
      </c>
      <c r="E263" t="s">
        <v>121</v>
      </c>
      <c r="F263" s="16">
        <v>44958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2212260467</v>
      </c>
      <c r="S263" t="s">
        <v>548</v>
      </c>
      <c r="T263">
        <v>1816677</v>
      </c>
      <c r="U263" t="s">
        <v>549</v>
      </c>
      <c r="V263" s="1" t="s">
        <v>46</v>
      </c>
      <c r="W263" s="17">
        <v>18598</v>
      </c>
      <c r="X263" s="18">
        <v>44958.293055555558</v>
      </c>
      <c r="Y263" t="s">
        <v>48</v>
      </c>
    </row>
    <row r="264" spans="2:25" x14ac:dyDescent="0.35">
      <c r="B264" t="s">
        <v>117</v>
      </c>
      <c r="C264" t="s">
        <v>118</v>
      </c>
      <c r="D264" t="s">
        <v>117</v>
      </c>
      <c r="E264" t="s">
        <v>118</v>
      </c>
      <c r="F264" s="16">
        <v>44958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2301020079</v>
      </c>
      <c r="T264">
        <v>1866830</v>
      </c>
      <c r="U264" t="s">
        <v>55</v>
      </c>
      <c r="V264" s="1" t="s">
        <v>56</v>
      </c>
      <c r="W264" s="1" t="s">
        <v>57</v>
      </c>
      <c r="X264" s="18">
        <v>44958.293055555558</v>
      </c>
      <c r="Y264" t="s">
        <v>87</v>
      </c>
    </row>
    <row r="265" spans="2:25" x14ac:dyDescent="0.35">
      <c r="B265" t="s">
        <v>41</v>
      </c>
      <c r="C265" t="s">
        <v>49</v>
      </c>
      <c r="D265" t="s">
        <v>50</v>
      </c>
      <c r="E265" t="s">
        <v>51</v>
      </c>
      <c r="F265" s="16">
        <v>44958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2212250110</v>
      </c>
      <c r="S265" t="s">
        <v>550</v>
      </c>
      <c r="T265">
        <v>1865901</v>
      </c>
      <c r="U265" t="s">
        <v>551</v>
      </c>
      <c r="V265" s="1" t="s">
        <v>56</v>
      </c>
      <c r="W265" s="1" t="s">
        <v>552</v>
      </c>
      <c r="X265" s="18">
        <v>44958.293749999997</v>
      </c>
      <c r="Y265" t="s">
        <v>48</v>
      </c>
    </row>
    <row r="266" spans="2:25" x14ac:dyDescent="0.35">
      <c r="B266" t="s">
        <v>41</v>
      </c>
      <c r="C266" t="s">
        <v>92</v>
      </c>
      <c r="D266" t="s">
        <v>50</v>
      </c>
      <c r="E266" t="s">
        <v>215</v>
      </c>
      <c r="F266" s="16">
        <v>44958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2212310092</v>
      </c>
      <c r="S266" t="s">
        <v>297</v>
      </c>
      <c r="T266">
        <v>1866786</v>
      </c>
      <c r="U266" t="s">
        <v>298</v>
      </c>
      <c r="V266" s="1" t="s">
        <v>56</v>
      </c>
      <c r="W266" s="1" t="s">
        <v>299</v>
      </c>
      <c r="X266" s="18">
        <v>44958.294444444444</v>
      </c>
      <c r="Y266" t="s">
        <v>48</v>
      </c>
    </row>
    <row r="267" spans="2:25" x14ac:dyDescent="0.35">
      <c r="B267" t="s">
        <v>553</v>
      </c>
      <c r="C267" t="s">
        <v>554</v>
      </c>
      <c r="D267" t="s">
        <v>553</v>
      </c>
      <c r="E267" t="s">
        <v>554</v>
      </c>
      <c r="F267" s="16">
        <v>44958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2301020081</v>
      </c>
      <c r="T267">
        <v>1866830</v>
      </c>
      <c r="U267" t="s">
        <v>55</v>
      </c>
      <c r="V267" s="1" t="s">
        <v>56</v>
      </c>
      <c r="W267" s="1" t="s">
        <v>57</v>
      </c>
      <c r="X267" s="18">
        <v>44958.294444444444</v>
      </c>
      <c r="Y267" t="s">
        <v>87</v>
      </c>
    </row>
    <row r="268" spans="2:25" x14ac:dyDescent="0.35">
      <c r="B268" t="s">
        <v>62</v>
      </c>
      <c r="C268" t="s">
        <v>63</v>
      </c>
      <c r="D268" t="s">
        <v>50</v>
      </c>
      <c r="E268" t="s">
        <v>78</v>
      </c>
      <c r="F268" s="16">
        <v>44958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2212291172</v>
      </c>
      <c r="S268" t="s">
        <v>555</v>
      </c>
      <c r="T268">
        <v>1866552</v>
      </c>
      <c r="U268" t="s">
        <v>556</v>
      </c>
      <c r="V268" s="1" t="s">
        <v>46</v>
      </c>
      <c r="W268" s="17">
        <v>22352</v>
      </c>
      <c r="X268" s="18">
        <v>44958.295138888891</v>
      </c>
      <c r="Y268" t="s">
        <v>48</v>
      </c>
    </row>
    <row r="269" spans="2:25" x14ac:dyDescent="0.35">
      <c r="B269" t="s">
        <v>41</v>
      </c>
      <c r="C269" t="s">
        <v>113</v>
      </c>
      <c r="D269" t="s">
        <v>50</v>
      </c>
      <c r="E269" t="s">
        <v>110</v>
      </c>
      <c r="F269" s="16">
        <v>44958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2212281185</v>
      </c>
      <c r="S269" t="s">
        <v>557</v>
      </c>
      <c r="T269">
        <v>1124134</v>
      </c>
      <c r="U269" t="s">
        <v>558</v>
      </c>
      <c r="V269" s="1" t="s">
        <v>56</v>
      </c>
      <c r="W269" s="1" t="s">
        <v>559</v>
      </c>
      <c r="X269" s="18">
        <v>44958.296527777777</v>
      </c>
      <c r="Y269" t="s">
        <v>48</v>
      </c>
    </row>
    <row r="270" spans="2:25" x14ac:dyDescent="0.35">
      <c r="B270" t="s">
        <v>62</v>
      </c>
      <c r="C270" t="s">
        <v>560</v>
      </c>
      <c r="D270" t="s">
        <v>120</v>
      </c>
      <c r="E270" t="s">
        <v>545</v>
      </c>
      <c r="F270" s="16">
        <v>44958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2212120304</v>
      </c>
      <c r="S270" t="s">
        <v>546</v>
      </c>
      <c r="T270">
        <v>1593491</v>
      </c>
      <c r="U270" t="s">
        <v>547</v>
      </c>
      <c r="V270" s="1" t="s">
        <v>56</v>
      </c>
      <c r="W270" s="17">
        <v>25605</v>
      </c>
      <c r="X270" s="18">
        <v>44958.297222222223</v>
      </c>
      <c r="Y270" t="s">
        <v>48</v>
      </c>
    </row>
    <row r="271" spans="2:25" x14ac:dyDescent="0.35">
      <c r="B271" t="s">
        <v>72</v>
      </c>
      <c r="C271" t="s">
        <v>544</v>
      </c>
      <c r="D271" t="s">
        <v>120</v>
      </c>
      <c r="E271" t="s">
        <v>561</v>
      </c>
      <c r="F271" s="16">
        <v>44958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2212200469</v>
      </c>
      <c r="S271" t="s">
        <v>562</v>
      </c>
      <c r="T271">
        <v>1782996</v>
      </c>
      <c r="U271" t="s">
        <v>563</v>
      </c>
      <c r="V271" s="1" t="s">
        <v>46</v>
      </c>
      <c r="W271" s="17">
        <v>40430</v>
      </c>
      <c r="X271" s="18">
        <v>44958.298611111109</v>
      </c>
      <c r="Y271" t="s">
        <v>48</v>
      </c>
    </row>
    <row r="272" spans="2:25" x14ac:dyDescent="0.35">
      <c r="B272" t="s">
        <v>41</v>
      </c>
      <c r="C272" t="s">
        <v>42</v>
      </c>
      <c r="D272" t="s">
        <v>43</v>
      </c>
      <c r="E272" t="s">
        <v>0</v>
      </c>
      <c r="F272" s="16">
        <v>44958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2301010150</v>
      </c>
      <c r="S272" t="s">
        <v>64</v>
      </c>
      <c r="T272">
        <v>1866831</v>
      </c>
      <c r="U272" t="s">
        <v>65</v>
      </c>
      <c r="V272" s="1" t="s">
        <v>46</v>
      </c>
      <c r="W272" s="17">
        <v>27249</v>
      </c>
      <c r="X272" s="18">
        <v>44958.298611111109</v>
      </c>
      <c r="Y272" t="s">
        <v>48</v>
      </c>
    </row>
    <row r="273" spans="2:25" x14ac:dyDescent="0.35">
      <c r="B273" t="s">
        <v>72</v>
      </c>
      <c r="C273" t="s">
        <v>544</v>
      </c>
      <c r="D273" t="s">
        <v>120</v>
      </c>
      <c r="E273" t="s">
        <v>564</v>
      </c>
      <c r="F273" s="16">
        <v>44958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2212280143</v>
      </c>
      <c r="S273" t="s">
        <v>565</v>
      </c>
      <c r="T273">
        <v>1550749</v>
      </c>
      <c r="U273" t="s">
        <v>566</v>
      </c>
      <c r="V273" s="1" t="s">
        <v>56</v>
      </c>
      <c r="W273" s="1" t="s">
        <v>567</v>
      </c>
      <c r="X273" s="18">
        <v>44958.299305555556</v>
      </c>
      <c r="Y273" t="s">
        <v>48</v>
      </c>
    </row>
    <row r="274" spans="2:25" x14ac:dyDescent="0.35">
      <c r="B274" t="s">
        <v>62</v>
      </c>
      <c r="C274" t="s">
        <v>560</v>
      </c>
      <c r="D274" t="s">
        <v>50</v>
      </c>
      <c r="E274" t="s">
        <v>150</v>
      </c>
      <c r="F274" s="16">
        <v>44958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2212170003</v>
      </c>
      <c r="S274" t="s">
        <v>568</v>
      </c>
      <c r="T274">
        <v>1864032</v>
      </c>
      <c r="U274" t="s">
        <v>569</v>
      </c>
      <c r="V274" s="1" t="s">
        <v>56</v>
      </c>
      <c r="W274" s="1" t="s">
        <v>570</v>
      </c>
      <c r="X274" s="18">
        <v>44958.3</v>
      </c>
      <c r="Y274" t="s">
        <v>48</v>
      </c>
    </row>
    <row r="275" spans="2:25" x14ac:dyDescent="0.35">
      <c r="B275" t="s">
        <v>41</v>
      </c>
      <c r="C275" t="s">
        <v>49</v>
      </c>
      <c r="D275" t="s">
        <v>50</v>
      </c>
      <c r="E275" t="s">
        <v>51</v>
      </c>
      <c r="F275" s="16">
        <v>44958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2212261513</v>
      </c>
      <c r="S275" t="s">
        <v>571</v>
      </c>
      <c r="T275">
        <v>1864189</v>
      </c>
      <c r="U275" t="s">
        <v>572</v>
      </c>
      <c r="V275" s="1" t="s">
        <v>46</v>
      </c>
      <c r="W275" s="1" t="s">
        <v>573</v>
      </c>
      <c r="X275" s="18">
        <v>44958.3</v>
      </c>
      <c r="Y275" t="s">
        <v>48</v>
      </c>
    </row>
    <row r="276" spans="2:25" x14ac:dyDescent="0.35">
      <c r="B276" t="s">
        <v>62</v>
      </c>
      <c r="C276" t="s">
        <v>560</v>
      </c>
      <c r="D276" t="s">
        <v>50</v>
      </c>
      <c r="E276" t="s">
        <v>150</v>
      </c>
      <c r="F276" s="16">
        <v>44958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2212170003</v>
      </c>
      <c r="S276" t="s">
        <v>568</v>
      </c>
      <c r="T276">
        <v>1864032</v>
      </c>
      <c r="U276" t="s">
        <v>569</v>
      </c>
      <c r="V276" s="1" t="s">
        <v>56</v>
      </c>
      <c r="W276" s="1" t="s">
        <v>570</v>
      </c>
      <c r="X276" s="18">
        <v>44958.3</v>
      </c>
      <c r="Y276" t="s">
        <v>48</v>
      </c>
    </row>
    <row r="277" spans="2:25" x14ac:dyDescent="0.35">
      <c r="B277" t="s">
        <v>72</v>
      </c>
      <c r="C277" t="s">
        <v>544</v>
      </c>
      <c r="D277" t="s">
        <v>120</v>
      </c>
      <c r="E277" t="s">
        <v>545</v>
      </c>
      <c r="F277" s="16">
        <v>44958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2212290236</v>
      </c>
      <c r="S277" t="s">
        <v>574</v>
      </c>
      <c r="T277">
        <v>1785159</v>
      </c>
      <c r="U277" t="s">
        <v>575</v>
      </c>
      <c r="V277" s="1" t="s">
        <v>56</v>
      </c>
      <c r="W277" s="1" t="s">
        <v>576</v>
      </c>
      <c r="X277" s="18">
        <v>44958.3</v>
      </c>
      <c r="Y277" t="s">
        <v>48</v>
      </c>
    </row>
    <row r="278" spans="2:25" x14ac:dyDescent="0.35">
      <c r="B278" t="s">
        <v>72</v>
      </c>
      <c r="C278" t="s">
        <v>544</v>
      </c>
      <c r="D278" t="s">
        <v>120</v>
      </c>
      <c r="E278" t="s">
        <v>121</v>
      </c>
      <c r="F278" s="16">
        <v>44958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2212280913</v>
      </c>
      <c r="S278" t="s">
        <v>577</v>
      </c>
      <c r="T278">
        <v>1839957</v>
      </c>
      <c r="U278" t="s">
        <v>578</v>
      </c>
      <c r="V278" s="1" t="s">
        <v>56</v>
      </c>
      <c r="W278" s="17">
        <v>27403</v>
      </c>
      <c r="X278" s="18">
        <v>44958.300694444442</v>
      </c>
      <c r="Y278" t="s">
        <v>48</v>
      </c>
    </row>
    <row r="279" spans="2:25" x14ac:dyDescent="0.35">
      <c r="B279" t="s">
        <v>62</v>
      </c>
      <c r="C279" t="s">
        <v>63</v>
      </c>
      <c r="D279" t="s">
        <v>50</v>
      </c>
      <c r="E279" t="s">
        <v>540</v>
      </c>
      <c r="F279" s="16">
        <v>44958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2212191814</v>
      </c>
      <c r="S279" t="s">
        <v>579</v>
      </c>
      <c r="T279">
        <v>1864830</v>
      </c>
      <c r="U279" t="s">
        <v>580</v>
      </c>
      <c r="V279" s="1" t="s">
        <v>56</v>
      </c>
      <c r="W279" s="17">
        <v>14705</v>
      </c>
      <c r="X279" s="18">
        <v>44958.301388888889</v>
      </c>
      <c r="Y279" t="s">
        <v>48</v>
      </c>
    </row>
    <row r="280" spans="2:25" x14ac:dyDescent="0.35">
      <c r="B280" t="s">
        <v>41</v>
      </c>
      <c r="C280" t="s">
        <v>49</v>
      </c>
      <c r="D280" t="s">
        <v>50</v>
      </c>
      <c r="E280" t="s">
        <v>88</v>
      </c>
      <c r="F280" s="16">
        <v>44958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2212291176</v>
      </c>
      <c r="S280" t="s">
        <v>581</v>
      </c>
      <c r="T280">
        <v>1852806</v>
      </c>
      <c r="U280" t="s">
        <v>582</v>
      </c>
      <c r="V280" s="1" t="s">
        <v>46</v>
      </c>
      <c r="W280" s="1" t="s">
        <v>583</v>
      </c>
      <c r="X280" s="18">
        <v>44958.301388888889</v>
      </c>
      <c r="Y280" t="s">
        <v>48</v>
      </c>
    </row>
    <row r="281" spans="2:25" x14ac:dyDescent="0.35">
      <c r="B281" t="s">
        <v>62</v>
      </c>
      <c r="C281" t="s">
        <v>63</v>
      </c>
      <c r="D281" t="s">
        <v>50</v>
      </c>
      <c r="E281" t="s">
        <v>540</v>
      </c>
      <c r="F281" s="16">
        <v>44958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2212191814</v>
      </c>
      <c r="S281" t="s">
        <v>579</v>
      </c>
      <c r="T281">
        <v>1864830</v>
      </c>
      <c r="U281" t="s">
        <v>580</v>
      </c>
      <c r="V281" s="1" t="s">
        <v>56</v>
      </c>
      <c r="W281" s="17">
        <v>14705</v>
      </c>
      <c r="X281" s="18">
        <v>44958.301388888889</v>
      </c>
      <c r="Y281" t="s">
        <v>48</v>
      </c>
    </row>
    <row r="282" spans="2:25" x14ac:dyDescent="0.35">
      <c r="B282" t="s">
        <v>72</v>
      </c>
      <c r="C282" t="s">
        <v>544</v>
      </c>
      <c r="D282" t="s">
        <v>584</v>
      </c>
      <c r="E282" t="s">
        <v>585</v>
      </c>
      <c r="F282" s="16">
        <v>44958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2212290899</v>
      </c>
      <c r="S282" t="s">
        <v>586</v>
      </c>
      <c r="T282">
        <v>1671732</v>
      </c>
      <c r="U282" t="s">
        <v>587</v>
      </c>
      <c r="V282" s="1" t="s">
        <v>56</v>
      </c>
      <c r="W282" s="1" t="s">
        <v>588</v>
      </c>
      <c r="X282" s="18">
        <v>44958.301388888889</v>
      </c>
      <c r="Y282" t="s">
        <v>48</v>
      </c>
    </row>
    <row r="283" spans="2:25" x14ac:dyDescent="0.35">
      <c r="B283" t="s">
        <v>62</v>
      </c>
      <c r="C283" t="s">
        <v>560</v>
      </c>
      <c r="D283" t="s">
        <v>50</v>
      </c>
      <c r="E283" t="s">
        <v>540</v>
      </c>
      <c r="F283" s="16">
        <v>44958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0</v>
      </c>
      <c r="R283">
        <v>2212191814</v>
      </c>
      <c r="S283" t="s">
        <v>579</v>
      </c>
      <c r="T283">
        <v>1864830</v>
      </c>
      <c r="U283" t="s">
        <v>580</v>
      </c>
      <c r="V283" s="1" t="s">
        <v>56</v>
      </c>
      <c r="W283" s="17">
        <v>14705</v>
      </c>
      <c r="X283" s="18">
        <v>44958.302777777775</v>
      </c>
      <c r="Y283" t="s">
        <v>48</v>
      </c>
    </row>
    <row r="284" spans="2:25" x14ac:dyDescent="0.35">
      <c r="B284" t="s">
        <v>589</v>
      </c>
      <c r="C284" t="s">
        <v>590</v>
      </c>
      <c r="D284" t="s">
        <v>589</v>
      </c>
      <c r="E284" t="s">
        <v>590</v>
      </c>
      <c r="F284" s="16">
        <v>44958</v>
      </c>
      <c r="H284">
        <v>0</v>
      </c>
      <c r="I284">
        <v>0</v>
      </c>
      <c r="J284">
        <v>0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2301020098</v>
      </c>
      <c r="S284" t="s">
        <v>591</v>
      </c>
      <c r="T284">
        <v>1645725</v>
      </c>
      <c r="U284" t="s">
        <v>592</v>
      </c>
      <c r="V284" s="1" t="s">
        <v>56</v>
      </c>
      <c r="W284" s="17">
        <v>20462</v>
      </c>
      <c r="X284" s="18">
        <v>44958.303472222222</v>
      </c>
      <c r="Y284" t="s">
        <v>48</v>
      </c>
    </row>
    <row r="285" spans="2:25" x14ac:dyDescent="0.35">
      <c r="B285" t="s">
        <v>72</v>
      </c>
      <c r="C285" t="s">
        <v>544</v>
      </c>
      <c r="D285" t="s">
        <v>120</v>
      </c>
      <c r="E285" t="s">
        <v>121</v>
      </c>
      <c r="F285" s="16">
        <v>44958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2211250595</v>
      </c>
      <c r="S285" t="s">
        <v>593</v>
      </c>
      <c r="T285">
        <v>1854619</v>
      </c>
      <c r="U285" t="s">
        <v>200</v>
      </c>
      <c r="V285" s="1" t="s">
        <v>56</v>
      </c>
      <c r="W285" s="17">
        <v>23986</v>
      </c>
      <c r="X285" s="18">
        <v>44958.303472222222</v>
      </c>
      <c r="Y285" t="s">
        <v>48</v>
      </c>
    </row>
    <row r="286" spans="2:25" x14ac:dyDescent="0.35">
      <c r="B286" t="s">
        <v>72</v>
      </c>
      <c r="C286" t="s">
        <v>544</v>
      </c>
      <c r="D286" t="s">
        <v>584</v>
      </c>
      <c r="E286" t="s">
        <v>594</v>
      </c>
      <c r="F286" s="16">
        <v>44958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</v>
      </c>
      <c r="R286">
        <v>2212281187</v>
      </c>
      <c r="T286">
        <v>1724443</v>
      </c>
      <c r="U286" t="s">
        <v>595</v>
      </c>
      <c r="V286" s="1" t="s">
        <v>56</v>
      </c>
      <c r="W286" s="1" t="s">
        <v>596</v>
      </c>
      <c r="X286" s="18">
        <v>44958.304166666669</v>
      </c>
      <c r="Y286" t="s">
        <v>87</v>
      </c>
    </row>
    <row r="287" spans="2:25" x14ac:dyDescent="0.35">
      <c r="B287" t="s">
        <v>589</v>
      </c>
      <c r="C287" t="s">
        <v>590</v>
      </c>
      <c r="D287" t="s">
        <v>589</v>
      </c>
      <c r="E287" t="s">
        <v>590</v>
      </c>
      <c r="F287" s="16">
        <v>44958</v>
      </c>
      <c r="H287">
        <v>0</v>
      </c>
      <c r="I287">
        <v>0</v>
      </c>
      <c r="J287">
        <v>0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2301020052</v>
      </c>
      <c r="S287" t="s">
        <v>597</v>
      </c>
      <c r="T287">
        <v>260145</v>
      </c>
      <c r="U287" t="s">
        <v>598</v>
      </c>
      <c r="V287" s="1" t="s">
        <v>56</v>
      </c>
      <c r="W287" s="17">
        <v>20733</v>
      </c>
      <c r="X287" s="18">
        <v>44958.304166666669</v>
      </c>
      <c r="Y287" t="s">
        <v>48</v>
      </c>
    </row>
    <row r="288" spans="2:25" x14ac:dyDescent="0.35">
      <c r="B288" t="s">
        <v>50</v>
      </c>
      <c r="C288" t="s">
        <v>102</v>
      </c>
      <c r="D288" t="s">
        <v>50</v>
      </c>
      <c r="E288" t="s">
        <v>102</v>
      </c>
      <c r="F288" s="16">
        <v>44958</v>
      </c>
      <c r="H288">
        <v>0</v>
      </c>
      <c r="I288">
        <v>0</v>
      </c>
      <c r="J288">
        <v>0</v>
      </c>
      <c r="K288">
        <v>1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2301020011</v>
      </c>
      <c r="S288" t="s">
        <v>599</v>
      </c>
      <c r="T288">
        <v>1835755</v>
      </c>
      <c r="U288" t="s">
        <v>131</v>
      </c>
      <c r="V288" s="1" t="s">
        <v>56</v>
      </c>
      <c r="W288" s="1" t="s">
        <v>132</v>
      </c>
      <c r="X288" s="18">
        <v>44958.304166666669</v>
      </c>
      <c r="Y288" t="s">
        <v>48</v>
      </c>
    </row>
    <row r="289" spans="2:25" x14ac:dyDescent="0.35">
      <c r="B289" t="s">
        <v>50</v>
      </c>
      <c r="C289" t="s">
        <v>78</v>
      </c>
      <c r="D289" t="s">
        <v>50</v>
      </c>
      <c r="E289" t="s">
        <v>78</v>
      </c>
      <c r="F289" s="16">
        <v>44958</v>
      </c>
      <c r="G289" s="16">
        <v>45261</v>
      </c>
      <c r="H289">
        <v>11</v>
      </c>
      <c r="I289">
        <v>11</v>
      </c>
      <c r="J289">
        <v>0</v>
      </c>
      <c r="K289">
        <v>1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2301020064</v>
      </c>
      <c r="S289" t="s">
        <v>600</v>
      </c>
      <c r="T289">
        <v>1823414</v>
      </c>
      <c r="U289" t="s">
        <v>601</v>
      </c>
      <c r="V289" s="1" t="s">
        <v>56</v>
      </c>
      <c r="W289" s="1" t="s">
        <v>602</v>
      </c>
      <c r="X289" s="18">
        <v>44958.304861111108</v>
      </c>
      <c r="Y289" t="s">
        <v>48</v>
      </c>
    </row>
    <row r="290" spans="2:25" x14ac:dyDescent="0.35">
      <c r="B290" t="s">
        <v>589</v>
      </c>
      <c r="C290" t="s">
        <v>603</v>
      </c>
      <c r="D290" t="s">
        <v>589</v>
      </c>
      <c r="E290" t="s">
        <v>603</v>
      </c>
      <c r="F290" s="16">
        <v>44958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2301020110</v>
      </c>
      <c r="S290" t="s">
        <v>604</v>
      </c>
      <c r="T290">
        <v>1244660</v>
      </c>
      <c r="U290" t="s">
        <v>605</v>
      </c>
      <c r="V290" s="1" t="s">
        <v>56</v>
      </c>
      <c r="W290" s="17">
        <v>26667</v>
      </c>
      <c r="X290" s="18">
        <v>44958.304861111108</v>
      </c>
      <c r="Y290" t="s">
        <v>48</v>
      </c>
    </row>
    <row r="291" spans="2:25" x14ac:dyDescent="0.35">
      <c r="B291" t="s">
        <v>72</v>
      </c>
      <c r="C291" t="s">
        <v>544</v>
      </c>
      <c r="D291" t="s">
        <v>120</v>
      </c>
      <c r="E291" t="s">
        <v>561</v>
      </c>
      <c r="F291" s="16">
        <v>44958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2212070929</v>
      </c>
      <c r="S291" t="s">
        <v>606</v>
      </c>
      <c r="T291">
        <v>1862978</v>
      </c>
      <c r="U291" t="s">
        <v>607</v>
      </c>
      <c r="V291" s="1" t="s">
        <v>56</v>
      </c>
      <c r="W291" s="17">
        <v>19454</v>
      </c>
      <c r="X291" s="18">
        <v>44958.304861111108</v>
      </c>
      <c r="Y291" t="s">
        <v>48</v>
      </c>
    </row>
    <row r="292" spans="2:25" x14ac:dyDescent="0.35">
      <c r="B292" t="s">
        <v>589</v>
      </c>
      <c r="C292" t="s">
        <v>608</v>
      </c>
      <c r="D292" t="s">
        <v>589</v>
      </c>
      <c r="E292" t="s">
        <v>608</v>
      </c>
      <c r="F292" s="16">
        <v>44958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2301020096</v>
      </c>
      <c r="S292" t="s">
        <v>609</v>
      </c>
      <c r="T292">
        <v>1656748</v>
      </c>
      <c r="U292" t="s">
        <v>610</v>
      </c>
      <c r="V292" s="1" t="s">
        <v>46</v>
      </c>
      <c r="W292" s="1" t="s">
        <v>611</v>
      </c>
      <c r="X292" s="18">
        <v>44958.305555555555</v>
      </c>
      <c r="Y292" t="s">
        <v>48</v>
      </c>
    </row>
    <row r="293" spans="2:25" x14ac:dyDescent="0.35">
      <c r="B293" t="s">
        <v>589</v>
      </c>
      <c r="C293" t="s">
        <v>603</v>
      </c>
      <c r="D293" t="s">
        <v>589</v>
      </c>
      <c r="E293" t="s">
        <v>603</v>
      </c>
      <c r="F293" s="16">
        <v>44958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2301020093</v>
      </c>
      <c r="S293" t="s">
        <v>612</v>
      </c>
      <c r="T293">
        <v>1852148</v>
      </c>
      <c r="U293" t="s">
        <v>613</v>
      </c>
      <c r="V293" s="1" t="s">
        <v>46</v>
      </c>
      <c r="W293" s="1" t="s">
        <v>614</v>
      </c>
      <c r="X293" s="18">
        <v>44958.305555555555</v>
      </c>
      <c r="Y293" t="s">
        <v>48</v>
      </c>
    </row>
    <row r="294" spans="2:25" x14ac:dyDescent="0.35">
      <c r="B294" t="s">
        <v>72</v>
      </c>
      <c r="C294" t="s">
        <v>544</v>
      </c>
      <c r="D294" t="s">
        <v>584</v>
      </c>
      <c r="E294" t="s">
        <v>615</v>
      </c>
      <c r="F294" s="16">
        <v>44958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2212271330</v>
      </c>
      <c r="T294">
        <v>1749084</v>
      </c>
      <c r="U294" t="s">
        <v>616</v>
      </c>
      <c r="V294" s="1" t="s">
        <v>46</v>
      </c>
      <c r="W294" s="1" t="s">
        <v>617</v>
      </c>
      <c r="X294" s="18">
        <v>44958.306250000001</v>
      </c>
      <c r="Y294" t="s">
        <v>87</v>
      </c>
    </row>
    <row r="295" spans="2:25" x14ac:dyDescent="0.35">
      <c r="B295" t="s">
        <v>41</v>
      </c>
      <c r="C295" t="s">
        <v>113</v>
      </c>
      <c r="D295" t="s">
        <v>50</v>
      </c>
      <c r="E295" t="s">
        <v>153</v>
      </c>
      <c r="F295" s="16">
        <v>44958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0</v>
      </c>
      <c r="R295">
        <v>2301010094</v>
      </c>
      <c r="S295" t="s">
        <v>618</v>
      </c>
      <c r="T295">
        <v>1801022</v>
      </c>
      <c r="U295" t="s">
        <v>619</v>
      </c>
      <c r="V295" s="1" t="s">
        <v>56</v>
      </c>
      <c r="W295" s="1" t="s">
        <v>620</v>
      </c>
      <c r="X295" s="18">
        <v>44958.306250000001</v>
      </c>
      <c r="Y295" t="s">
        <v>48</v>
      </c>
    </row>
    <row r="296" spans="2:25" x14ac:dyDescent="0.35">
      <c r="B296" t="s">
        <v>589</v>
      </c>
      <c r="C296" t="s">
        <v>621</v>
      </c>
      <c r="D296" t="s">
        <v>589</v>
      </c>
      <c r="E296" t="s">
        <v>621</v>
      </c>
      <c r="F296" s="16">
        <v>44958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2301020087</v>
      </c>
      <c r="S296" t="s">
        <v>622</v>
      </c>
      <c r="T296">
        <v>1786889</v>
      </c>
      <c r="U296" t="s">
        <v>623</v>
      </c>
      <c r="V296" s="1" t="s">
        <v>46</v>
      </c>
      <c r="W296" s="1" t="s">
        <v>624</v>
      </c>
      <c r="X296" s="18">
        <v>44958.306250000001</v>
      </c>
      <c r="Y296" t="s">
        <v>48</v>
      </c>
    </row>
    <row r="297" spans="2:25" x14ac:dyDescent="0.35">
      <c r="B297" t="s">
        <v>589</v>
      </c>
      <c r="C297" t="s">
        <v>603</v>
      </c>
      <c r="D297" t="s">
        <v>589</v>
      </c>
      <c r="E297" t="s">
        <v>603</v>
      </c>
      <c r="F297" s="16">
        <v>44958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2301020085</v>
      </c>
      <c r="S297" t="s">
        <v>625</v>
      </c>
      <c r="T297">
        <v>1587976</v>
      </c>
      <c r="U297" t="s">
        <v>626</v>
      </c>
      <c r="V297" s="1" t="s">
        <v>56</v>
      </c>
      <c r="W297" s="1" t="s">
        <v>627</v>
      </c>
      <c r="X297" s="18">
        <v>44958.306944444441</v>
      </c>
      <c r="Y297" t="s">
        <v>48</v>
      </c>
    </row>
    <row r="298" spans="2:25" x14ac:dyDescent="0.35">
      <c r="B298" t="s">
        <v>62</v>
      </c>
      <c r="C298" t="s">
        <v>560</v>
      </c>
      <c r="D298" t="s">
        <v>120</v>
      </c>
      <c r="E298" t="s">
        <v>121</v>
      </c>
      <c r="F298" s="16">
        <v>44958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2211280603</v>
      </c>
      <c r="S298" t="s">
        <v>628</v>
      </c>
      <c r="T298">
        <v>1069463</v>
      </c>
      <c r="U298" t="s">
        <v>629</v>
      </c>
      <c r="V298" s="1" t="s">
        <v>46</v>
      </c>
      <c r="W298" s="1" t="s">
        <v>630</v>
      </c>
      <c r="X298" s="18">
        <v>44958.306944444441</v>
      </c>
      <c r="Y298" t="s">
        <v>48</v>
      </c>
    </row>
    <row r="299" spans="2:25" x14ac:dyDescent="0.35">
      <c r="B299" t="s">
        <v>589</v>
      </c>
      <c r="C299" t="s">
        <v>603</v>
      </c>
      <c r="D299" t="s">
        <v>589</v>
      </c>
      <c r="E299" t="s">
        <v>603</v>
      </c>
      <c r="F299" s="16">
        <v>44958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2301020051</v>
      </c>
      <c r="S299" t="s">
        <v>631</v>
      </c>
      <c r="T299">
        <v>1542823</v>
      </c>
      <c r="U299" t="s">
        <v>632</v>
      </c>
      <c r="V299" s="1" t="s">
        <v>56</v>
      </c>
      <c r="W299" s="17">
        <v>20464</v>
      </c>
      <c r="X299" s="18">
        <v>44958.306944444441</v>
      </c>
      <c r="Y299" t="s">
        <v>48</v>
      </c>
    </row>
    <row r="300" spans="2:25" x14ac:dyDescent="0.35">
      <c r="B300" t="s">
        <v>41</v>
      </c>
      <c r="C300" t="s">
        <v>42</v>
      </c>
      <c r="D300" t="s">
        <v>50</v>
      </c>
      <c r="E300" t="s">
        <v>102</v>
      </c>
      <c r="F300" s="16">
        <v>44958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2301020011</v>
      </c>
      <c r="S300" t="s">
        <v>599</v>
      </c>
      <c r="T300">
        <v>1835755</v>
      </c>
      <c r="U300" t="s">
        <v>131</v>
      </c>
      <c r="V300" s="1" t="s">
        <v>56</v>
      </c>
      <c r="W300" s="1" t="s">
        <v>132</v>
      </c>
      <c r="X300" s="18">
        <v>44958.307638888888</v>
      </c>
      <c r="Y300" t="s">
        <v>48</v>
      </c>
    </row>
    <row r="301" spans="2:25" x14ac:dyDescent="0.35">
      <c r="B301" t="s">
        <v>589</v>
      </c>
      <c r="C301" t="s">
        <v>603</v>
      </c>
      <c r="D301" t="s">
        <v>589</v>
      </c>
      <c r="E301" t="s">
        <v>603</v>
      </c>
      <c r="F301" s="16">
        <v>44958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2301020115</v>
      </c>
      <c r="S301" t="s">
        <v>633</v>
      </c>
      <c r="T301">
        <v>1845816</v>
      </c>
      <c r="U301" t="s">
        <v>634</v>
      </c>
      <c r="V301" s="1" t="s">
        <v>56</v>
      </c>
      <c r="W301" s="1" t="s">
        <v>635</v>
      </c>
      <c r="X301" s="18">
        <v>44958.307638888888</v>
      </c>
      <c r="Y301" t="s">
        <v>48</v>
      </c>
    </row>
    <row r="302" spans="2:25" x14ac:dyDescent="0.35">
      <c r="B302" t="s">
        <v>62</v>
      </c>
      <c r="C302" t="s">
        <v>560</v>
      </c>
      <c r="D302" t="s">
        <v>50</v>
      </c>
      <c r="E302" t="s">
        <v>215</v>
      </c>
      <c r="F302" s="16">
        <v>44958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2211231787</v>
      </c>
      <c r="S302" t="s">
        <v>636</v>
      </c>
      <c r="T302">
        <v>1860142</v>
      </c>
      <c r="U302" t="s">
        <v>637</v>
      </c>
      <c r="V302" s="1" t="s">
        <v>46</v>
      </c>
      <c r="W302" s="17">
        <v>44600</v>
      </c>
      <c r="X302" s="18">
        <v>44958.307638888888</v>
      </c>
      <c r="Y302" t="s">
        <v>48</v>
      </c>
    </row>
    <row r="303" spans="2:25" x14ac:dyDescent="0.35">
      <c r="B303" t="s">
        <v>43</v>
      </c>
      <c r="C303" t="s">
        <v>0</v>
      </c>
      <c r="D303" t="s">
        <v>43</v>
      </c>
      <c r="E303" t="s">
        <v>0</v>
      </c>
      <c r="F303" s="16">
        <v>44958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2301020124</v>
      </c>
      <c r="T303">
        <v>34479</v>
      </c>
      <c r="U303" t="s">
        <v>638</v>
      </c>
      <c r="V303" s="1" t="s">
        <v>56</v>
      </c>
      <c r="W303" s="17">
        <v>34155</v>
      </c>
      <c r="X303" s="18">
        <v>44958.308333333334</v>
      </c>
      <c r="Y303" t="s">
        <v>87</v>
      </c>
    </row>
    <row r="304" spans="2:25" x14ac:dyDescent="0.35">
      <c r="B304" t="s">
        <v>62</v>
      </c>
      <c r="C304" t="s">
        <v>560</v>
      </c>
      <c r="D304" t="s">
        <v>120</v>
      </c>
      <c r="E304" t="s">
        <v>121</v>
      </c>
      <c r="F304" s="16">
        <v>44958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2212230937</v>
      </c>
      <c r="S304" t="s">
        <v>639</v>
      </c>
      <c r="T304">
        <v>1102795</v>
      </c>
      <c r="U304" t="s">
        <v>640</v>
      </c>
      <c r="V304" s="1" t="s">
        <v>46</v>
      </c>
      <c r="W304" s="1" t="s">
        <v>477</v>
      </c>
      <c r="X304" s="18">
        <v>44958.308333333334</v>
      </c>
      <c r="Y304" t="s">
        <v>48</v>
      </c>
    </row>
    <row r="305" spans="2:25" x14ac:dyDescent="0.35">
      <c r="B305" t="s">
        <v>589</v>
      </c>
      <c r="C305" t="s">
        <v>603</v>
      </c>
      <c r="D305" t="s">
        <v>589</v>
      </c>
      <c r="E305" t="s">
        <v>603</v>
      </c>
      <c r="F305" s="16">
        <v>44958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2301020112</v>
      </c>
      <c r="S305" t="s">
        <v>641</v>
      </c>
      <c r="T305">
        <v>418658</v>
      </c>
      <c r="U305" t="s">
        <v>642</v>
      </c>
      <c r="V305" s="1" t="s">
        <v>56</v>
      </c>
      <c r="W305" s="17">
        <v>18629</v>
      </c>
      <c r="X305" s="18">
        <v>44958.308333333334</v>
      </c>
      <c r="Y305" t="s">
        <v>48</v>
      </c>
    </row>
    <row r="306" spans="2:25" x14ac:dyDescent="0.35">
      <c r="B306" t="s">
        <v>72</v>
      </c>
      <c r="C306" t="s">
        <v>544</v>
      </c>
      <c r="D306" t="s">
        <v>120</v>
      </c>
      <c r="E306" t="s">
        <v>121</v>
      </c>
      <c r="F306" s="16">
        <v>44958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1</v>
      </c>
      <c r="Q306">
        <v>0</v>
      </c>
      <c r="R306">
        <v>2210241088</v>
      </c>
      <c r="S306" t="s">
        <v>643</v>
      </c>
      <c r="T306">
        <v>1856020</v>
      </c>
      <c r="U306" t="s">
        <v>644</v>
      </c>
      <c r="V306" s="1" t="s">
        <v>56</v>
      </c>
      <c r="W306" s="17">
        <v>30080</v>
      </c>
      <c r="X306" s="18">
        <v>44958.308333333334</v>
      </c>
      <c r="Y306" t="s">
        <v>48</v>
      </c>
    </row>
    <row r="307" spans="2:25" x14ac:dyDescent="0.35">
      <c r="B307" t="s">
        <v>62</v>
      </c>
      <c r="C307" t="s">
        <v>560</v>
      </c>
      <c r="D307" t="s">
        <v>120</v>
      </c>
      <c r="E307" t="s">
        <v>561</v>
      </c>
      <c r="F307" s="16">
        <v>44958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2212050287</v>
      </c>
      <c r="S307" t="s">
        <v>645</v>
      </c>
      <c r="T307">
        <v>1842535</v>
      </c>
      <c r="U307" t="s">
        <v>646</v>
      </c>
      <c r="V307" s="1" t="s">
        <v>46</v>
      </c>
      <c r="W307" s="17">
        <v>34123</v>
      </c>
      <c r="X307" s="18">
        <v>44958.308333333334</v>
      </c>
      <c r="Y307" t="s">
        <v>48</v>
      </c>
    </row>
    <row r="308" spans="2:25" x14ac:dyDescent="0.35">
      <c r="B308" t="s">
        <v>62</v>
      </c>
      <c r="C308" t="s">
        <v>63</v>
      </c>
      <c r="D308" t="s">
        <v>50</v>
      </c>
      <c r="E308" t="s">
        <v>58</v>
      </c>
      <c r="F308" s="16">
        <v>44958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2212301126</v>
      </c>
      <c r="S308" t="s">
        <v>647</v>
      </c>
      <c r="T308">
        <v>1858250</v>
      </c>
      <c r="U308" t="s">
        <v>648</v>
      </c>
      <c r="V308" s="1" t="s">
        <v>56</v>
      </c>
      <c r="W308" s="1" t="s">
        <v>649</v>
      </c>
      <c r="X308" s="18">
        <v>44958.309027777781</v>
      </c>
      <c r="Y308" t="s">
        <v>48</v>
      </c>
    </row>
    <row r="309" spans="2:25" x14ac:dyDescent="0.35">
      <c r="B309" t="s">
        <v>62</v>
      </c>
      <c r="C309" t="s">
        <v>560</v>
      </c>
      <c r="D309" t="s">
        <v>120</v>
      </c>
      <c r="E309" t="s">
        <v>121</v>
      </c>
      <c r="F309" s="16">
        <v>44958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2212060830</v>
      </c>
      <c r="S309" t="s">
        <v>650</v>
      </c>
      <c r="T309">
        <v>1397172</v>
      </c>
      <c r="U309" t="s">
        <v>651</v>
      </c>
      <c r="V309" s="1" t="s">
        <v>56</v>
      </c>
      <c r="W309" s="17">
        <v>21188</v>
      </c>
      <c r="X309" s="18">
        <v>44958.309027777781</v>
      </c>
      <c r="Y309" t="s">
        <v>48</v>
      </c>
    </row>
    <row r="310" spans="2:25" x14ac:dyDescent="0.35">
      <c r="B310" t="s">
        <v>41</v>
      </c>
      <c r="C310" t="s">
        <v>42</v>
      </c>
      <c r="D310" t="s">
        <v>43</v>
      </c>
      <c r="E310" t="s">
        <v>0</v>
      </c>
      <c r="F310" s="16">
        <v>44958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1</v>
      </c>
      <c r="R310">
        <v>2301020124</v>
      </c>
      <c r="T310">
        <v>34479</v>
      </c>
      <c r="U310" t="s">
        <v>638</v>
      </c>
      <c r="V310" s="1" t="s">
        <v>56</v>
      </c>
      <c r="W310" s="17">
        <v>34155</v>
      </c>
      <c r="X310" s="18">
        <v>44958.30972222222</v>
      </c>
      <c r="Y310" t="s">
        <v>87</v>
      </c>
    </row>
    <row r="311" spans="2:25" x14ac:dyDescent="0.35">
      <c r="B311" t="s">
        <v>62</v>
      </c>
      <c r="C311" t="s">
        <v>560</v>
      </c>
      <c r="D311" t="s">
        <v>120</v>
      </c>
      <c r="E311" t="s">
        <v>652</v>
      </c>
      <c r="F311" s="16">
        <v>44958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2212150164</v>
      </c>
      <c r="S311" t="s">
        <v>653</v>
      </c>
      <c r="T311">
        <v>1859575</v>
      </c>
      <c r="U311" t="s">
        <v>654</v>
      </c>
      <c r="V311" s="1" t="s">
        <v>56</v>
      </c>
      <c r="W311" s="17">
        <v>28254</v>
      </c>
      <c r="X311" s="18">
        <v>44958.30972222222</v>
      </c>
      <c r="Y311" t="s">
        <v>48</v>
      </c>
    </row>
    <row r="312" spans="2:25" x14ac:dyDescent="0.35">
      <c r="B312" t="s">
        <v>62</v>
      </c>
      <c r="C312" t="s">
        <v>560</v>
      </c>
      <c r="D312" t="s">
        <v>120</v>
      </c>
      <c r="E312" t="s">
        <v>655</v>
      </c>
      <c r="F312" s="16">
        <v>44958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2212080149</v>
      </c>
      <c r="S312" t="s">
        <v>656</v>
      </c>
      <c r="T312">
        <v>1853862</v>
      </c>
      <c r="U312" t="s">
        <v>657</v>
      </c>
      <c r="V312" s="1" t="s">
        <v>56</v>
      </c>
      <c r="W312" s="1" t="s">
        <v>658</v>
      </c>
      <c r="X312" s="18">
        <v>44958.310416666667</v>
      </c>
      <c r="Y312" t="s">
        <v>48</v>
      </c>
    </row>
    <row r="313" spans="2:25" x14ac:dyDescent="0.35">
      <c r="B313" t="s">
        <v>589</v>
      </c>
      <c r="C313" t="s">
        <v>590</v>
      </c>
      <c r="D313" t="s">
        <v>589</v>
      </c>
      <c r="E313" t="s">
        <v>590</v>
      </c>
      <c r="F313" s="16">
        <v>44958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2301020119</v>
      </c>
      <c r="S313" t="s">
        <v>659</v>
      </c>
      <c r="T313">
        <v>1761714</v>
      </c>
      <c r="U313" t="s">
        <v>660</v>
      </c>
      <c r="V313" s="1" t="s">
        <v>56</v>
      </c>
      <c r="W313" s="1" t="s">
        <v>661</v>
      </c>
      <c r="X313" s="18">
        <v>44958.310416666667</v>
      </c>
      <c r="Y313" t="s">
        <v>48</v>
      </c>
    </row>
    <row r="314" spans="2:25" x14ac:dyDescent="0.35">
      <c r="B314" t="s">
        <v>72</v>
      </c>
      <c r="C314" t="s">
        <v>544</v>
      </c>
      <c r="D314" t="s">
        <v>120</v>
      </c>
      <c r="E314" t="s">
        <v>662</v>
      </c>
      <c r="F314" s="16">
        <v>44958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2209220195</v>
      </c>
      <c r="S314" t="s">
        <v>663</v>
      </c>
      <c r="T314">
        <v>1851219</v>
      </c>
      <c r="U314" t="s">
        <v>664</v>
      </c>
      <c r="V314" s="1" t="s">
        <v>56</v>
      </c>
      <c r="W314" s="1" t="s">
        <v>665</v>
      </c>
      <c r="X314" s="18">
        <v>44958.310416666667</v>
      </c>
      <c r="Y314" t="s">
        <v>48</v>
      </c>
    </row>
    <row r="315" spans="2:25" x14ac:dyDescent="0.35">
      <c r="B315" t="s">
        <v>62</v>
      </c>
      <c r="C315" t="s">
        <v>560</v>
      </c>
      <c r="D315" t="s">
        <v>120</v>
      </c>
      <c r="E315" t="s">
        <v>652</v>
      </c>
      <c r="F315" s="16">
        <v>44958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2210200334</v>
      </c>
      <c r="S315" t="s">
        <v>666</v>
      </c>
      <c r="T315">
        <v>1808985</v>
      </c>
      <c r="U315" t="s">
        <v>667</v>
      </c>
      <c r="V315" s="1" t="s">
        <v>56</v>
      </c>
      <c r="W315" s="1" t="s">
        <v>668</v>
      </c>
      <c r="X315" s="18">
        <v>44958.311111111114</v>
      </c>
      <c r="Y315" t="s">
        <v>48</v>
      </c>
    </row>
    <row r="316" spans="2:25" x14ac:dyDescent="0.35">
      <c r="B316" t="s">
        <v>62</v>
      </c>
      <c r="C316" t="s">
        <v>560</v>
      </c>
      <c r="D316" t="s">
        <v>120</v>
      </c>
      <c r="E316" t="s">
        <v>390</v>
      </c>
      <c r="F316" s="16">
        <v>44958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2211290293</v>
      </c>
      <c r="S316" t="s">
        <v>669</v>
      </c>
      <c r="T316">
        <v>1828206</v>
      </c>
      <c r="U316" t="s">
        <v>670</v>
      </c>
      <c r="V316" s="1" t="s">
        <v>46</v>
      </c>
      <c r="W316" s="17">
        <v>43200</v>
      </c>
      <c r="X316" s="18">
        <v>44958.311111111114</v>
      </c>
      <c r="Y316" t="s">
        <v>48</v>
      </c>
    </row>
    <row r="317" spans="2:25" x14ac:dyDescent="0.35">
      <c r="B317" t="s">
        <v>41</v>
      </c>
      <c r="C317" t="s">
        <v>42</v>
      </c>
      <c r="D317" t="s">
        <v>43</v>
      </c>
      <c r="E317" t="s">
        <v>0</v>
      </c>
      <c r="F317" s="16">
        <v>44958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2301010115</v>
      </c>
      <c r="S317" t="s">
        <v>140</v>
      </c>
      <c r="T317">
        <v>1809195</v>
      </c>
      <c r="U317" t="s">
        <v>141</v>
      </c>
      <c r="V317" s="1" t="s">
        <v>56</v>
      </c>
      <c r="W317" s="1" t="s">
        <v>142</v>
      </c>
      <c r="X317" s="18">
        <v>44958.311111111114</v>
      </c>
      <c r="Y317" t="s">
        <v>48</v>
      </c>
    </row>
    <row r="318" spans="2:25" x14ac:dyDescent="0.35">
      <c r="B318" t="s">
        <v>589</v>
      </c>
      <c r="C318" t="s">
        <v>590</v>
      </c>
      <c r="D318" t="s">
        <v>589</v>
      </c>
      <c r="E318" t="s">
        <v>590</v>
      </c>
      <c r="F318" s="16">
        <v>44958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2301020123</v>
      </c>
      <c r="S318" t="s">
        <v>671</v>
      </c>
      <c r="T318">
        <v>1854637</v>
      </c>
      <c r="U318" t="s">
        <v>672</v>
      </c>
      <c r="V318" s="1" t="s">
        <v>56</v>
      </c>
      <c r="W318" s="1" t="s">
        <v>673</v>
      </c>
      <c r="X318" s="18">
        <v>44958.311111111114</v>
      </c>
      <c r="Y318" t="s">
        <v>48</v>
      </c>
    </row>
    <row r="319" spans="2:25" x14ac:dyDescent="0.35">
      <c r="B319" t="s">
        <v>589</v>
      </c>
      <c r="C319" t="s">
        <v>603</v>
      </c>
      <c r="D319" t="s">
        <v>589</v>
      </c>
      <c r="E319" t="s">
        <v>603</v>
      </c>
      <c r="F319" s="16">
        <v>44958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2301020122</v>
      </c>
      <c r="S319" t="s">
        <v>674</v>
      </c>
      <c r="T319">
        <v>49495</v>
      </c>
      <c r="U319" t="s">
        <v>675</v>
      </c>
      <c r="V319" s="1" t="s">
        <v>46</v>
      </c>
      <c r="W319" s="1" t="s">
        <v>676</v>
      </c>
      <c r="X319" s="18">
        <v>44958.311805555553</v>
      </c>
      <c r="Y319" t="s">
        <v>48</v>
      </c>
    </row>
    <row r="320" spans="2:25" x14ac:dyDescent="0.35">
      <c r="B320" t="s">
        <v>589</v>
      </c>
      <c r="C320" t="s">
        <v>603</v>
      </c>
      <c r="D320" t="s">
        <v>589</v>
      </c>
      <c r="E320" t="s">
        <v>603</v>
      </c>
      <c r="F320" s="16">
        <v>44958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2301020131</v>
      </c>
      <c r="S320" t="s">
        <v>677</v>
      </c>
      <c r="T320">
        <v>449107</v>
      </c>
      <c r="U320" t="s">
        <v>678</v>
      </c>
      <c r="V320" s="1" t="s">
        <v>56</v>
      </c>
      <c r="W320" s="17">
        <v>23047</v>
      </c>
      <c r="X320" s="18">
        <v>44958.311805555553</v>
      </c>
      <c r="Y320" t="s">
        <v>48</v>
      </c>
    </row>
    <row r="321" spans="2:25" x14ac:dyDescent="0.35">
      <c r="B321" t="s">
        <v>62</v>
      </c>
      <c r="C321" t="s">
        <v>560</v>
      </c>
      <c r="D321" t="s">
        <v>120</v>
      </c>
      <c r="E321" t="s">
        <v>121</v>
      </c>
      <c r="F321" s="16">
        <v>44958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2211230127</v>
      </c>
      <c r="S321" t="s">
        <v>679</v>
      </c>
      <c r="T321">
        <v>1671089</v>
      </c>
      <c r="U321" t="s">
        <v>680</v>
      </c>
      <c r="V321" s="1" t="s">
        <v>46</v>
      </c>
      <c r="W321" s="17">
        <v>28346</v>
      </c>
      <c r="X321" s="18">
        <v>44958.3125</v>
      </c>
      <c r="Y321" t="s">
        <v>48</v>
      </c>
    </row>
    <row r="322" spans="2:25" x14ac:dyDescent="0.35">
      <c r="B322" t="s">
        <v>589</v>
      </c>
      <c r="C322" t="s">
        <v>603</v>
      </c>
      <c r="D322" t="s">
        <v>589</v>
      </c>
      <c r="E322" t="s">
        <v>603</v>
      </c>
      <c r="F322" s="16">
        <v>44958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2301020136</v>
      </c>
      <c r="S322" t="s">
        <v>681</v>
      </c>
      <c r="T322">
        <v>256237</v>
      </c>
      <c r="U322" t="s">
        <v>682</v>
      </c>
      <c r="V322" s="1" t="s">
        <v>56</v>
      </c>
      <c r="W322" s="17">
        <v>17845</v>
      </c>
      <c r="X322" s="18">
        <v>44958.3125</v>
      </c>
      <c r="Y322" t="s">
        <v>48</v>
      </c>
    </row>
    <row r="323" spans="2:25" x14ac:dyDescent="0.35">
      <c r="B323" t="s">
        <v>72</v>
      </c>
      <c r="C323" t="s">
        <v>544</v>
      </c>
      <c r="D323" t="s">
        <v>120</v>
      </c>
      <c r="E323" t="s">
        <v>652</v>
      </c>
      <c r="F323" s="16">
        <v>44958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1</v>
      </c>
      <c r="Q323">
        <v>0</v>
      </c>
      <c r="R323">
        <v>2210140481</v>
      </c>
      <c r="S323" t="s">
        <v>683</v>
      </c>
      <c r="T323">
        <v>1818775</v>
      </c>
      <c r="U323" t="s">
        <v>684</v>
      </c>
      <c r="V323" s="1" t="s">
        <v>56</v>
      </c>
      <c r="W323" s="17">
        <v>26819</v>
      </c>
      <c r="X323" s="18">
        <v>44958.3125</v>
      </c>
      <c r="Y323" t="s">
        <v>48</v>
      </c>
    </row>
    <row r="324" spans="2:25" x14ac:dyDescent="0.35">
      <c r="B324" t="s">
        <v>62</v>
      </c>
      <c r="C324" t="s">
        <v>560</v>
      </c>
      <c r="D324" t="s">
        <v>120</v>
      </c>
      <c r="E324" t="s">
        <v>652</v>
      </c>
      <c r="F324" s="16">
        <v>44958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2211080789</v>
      </c>
      <c r="S324" t="s">
        <v>685</v>
      </c>
      <c r="T324">
        <v>1839166</v>
      </c>
      <c r="U324" t="s">
        <v>686</v>
      </c>
      <c r="V324" s="1" t="s">
        <v>56</v>
      </c>
      <c r="W324" s="1" t="s">
        <v>687</v>
      </c>
      <c r="X324" s="18">
        <v>44958.313194444447</v>
      </c>
      <c r="Y324" t="s">
        <v>48</v>
      </c>
    </row>
    <row r="325" spans="2:25" x14ac:dyDescent="0.35">
      <c r="B325" t="s">
        <v>688</v>
      </c>
      <c r="C325" t="s">
        <v>689</v>
      </c>
      <c r="D325" t="s">
        <v>50</v>
      </c>
      <c r="E325" t="s">
        <v>74</v>
      </c>
      <c r="F325" s="16">
        <v>44958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2301010077</v>
      </c>
      <c r="T325">
        <v>1850921</v>
      </c>
      <c r="U325" t="s">
        <v>387</v>
      </c>
      <c r="V325" s="1" t="s">
        <v>56</v>
      </c>
      <c r="W325" s="1" t="s">
        <v>388</v>
      </c>
      <c r="X325" s="18">
        <v>44958.313194444447</v>
      </c>
      <c r="Y325" t="s">
        <v>389</v>
      </c>
    </row>
    <row r="326" spans="2:25" x14ac:dyDescent="0.35">
      <c r="B326" t="s">
        <v>72</v>
      </c>
      <c r="C326" t="s">
        <v>544</v>
      </c>
      <c r="D326" t="s">
        <v>120</v>
      </c>
      <c r="E326" t="s">
        <v>652</v>
      </c>
      <c r="F326" s="16">
        <v>44958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2212290325</v>
      </c>
      <c r="S326" t="s">
        <v>690</v>
      </c>
      <c r="T326">
        <v>1859575</v>
      </c>
      <c r="U326" t="s">
        <v>654</v>
      </c>
      <c r="V326" s="1" t="s">
        <v>56</v>
      </c>
      <c r="W326" s="17">
        <v>28254</v>
      </c>
      <c r="X326" s="18">
        <v>44958.313194444447</v>
      </c>
      <c r="Y326" t="s">
        <v>48</v>
      </c>
    </row>
    <row r="327" spans="2:25" x14ac:dyDescent="0.35">
      <c r="B327" t="s">
        <v>454</v>
      </c>
      <c r="C327" t="s">
        <v>454</v>
      </c>
      <c r="D327" t="s">
        <v>454</v>
      </c>
      <c r="E327" t="s">
        <v>454</v>
      </c>
      <c r="F327" s="16">
        <v>44958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2301020168</v>
      </c>
      <c r="S327" t="s">
        <v>691</v>
      </c>
      <c r="T327">
        <v>1804218</v>
      </c>
      <c r="U327" t="s">
        <v>692</v>
      </c>
      <c r="V327" s="1" t="s">
        <v>46</v>
      </c>
      <c r="W327" s="17">
        <v>18115</v>
      </c>
      <c r="X327" s="18">
        <v>44958.313888888886</v>
      </c>
      <c r="Y327" t="s">
        <v>48</v>
      </c>
    </row>
    <row r="328" spans="2:25" x14ac:dyDescent="0.35">
      <c r="B328" t="s">
        <v>72</v>
      </c>
      <c r="C328" t="s">
        <v>544</v>
      </c>
      <c r="D328" t="s">
        <v>120</v>
      </c>
      <c r="E328" t="s">
        <v>655</v>
      </c>
      <c r="F328" s="16">
        <v>44958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2212290281</v>
      </c>
      <c r="S328" t="s">
        <v>693</v>
      </c>
      <c r="T328">
        <v>1089475</v>
      </c>
      <c r="U328" t="s">
        <v>694</v>
      </c>
      <c r="V328" s="1" t="s">
        <v>56</v>
      </c>
      <c r="W328" s="17">
        <v>33361</v>
      </c>
      <c r="X328" s="18">
        <v>44958.313888888886</v>
      </c>
      <c r="Y328" t="s">
        <v>48</v>
      </c>
    </row>
    <row r="329" spans="2:25" x14ac:dyDescent="0.35">
      <c r="B329" t="s">
        <v>41</v>
      </c>
      <c r="C329" t="s">
        <v>49</v>
      </c>
      <c r="D329" t="s">
        <v>50</v>
      </c>
      <c r="E329" t="s">
        <v>114</v>
      </c>
      <c r="F329" s="16">
        <v>44958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2212300211</v>
      </c>
      <c r="S329" t="s">
        <v>695</v>
      </c>
      <c r="T329">
        <v>1866660</v>
      </c>
      <c r="U329" t="s">
        <v>696</v>
      </c>
      <c r="V329" s="1" t="s">
        <v>56</v>
      </c>
      <c r="W329" s="17">
        <v>22708</v>
      </c>
      <c r="X329" s="18">
        <v>44958.313888888886</v>
      </c>
      <c r="Y329" t="s">
        <v>48</v>
      </c>
    </row>
    <row r="330" spans="2:25" x14ac:dyDescent="0.35">
      <c r="B330" t="s">
        <v>62</v>
      </c>
      <c r="C330" t="s">
        <v>560</v>
      </c>
      <c r="D330" t="s">
        <v>120</v>
      </c>
      <c r="E330" t="s">
        <v>390</v>
      </c>
      <c r="F330" s="16">
        <v>44958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2212120147</v>
      </c>
      <c r="S330" t="s">
        <v>697</v>
      </c>
      <c r="T330">
        <v>1067076</v>
      </c>
      <c r="U330" t="s">
        <v>453</v>
      </c>
      <c r="V330" s="1" t="s">
        <v>46</v>
      </c>
      <c r="W330" s="17">
        <v>40463</v>
      </c>
      <c r="X330" s="18">
        <v>44958.314583333333</v>
      </c>
      <c r="Y330" t="s">
        <v>48</v>
      </c>
    </row>
    <row r="331" spans="2:25" x14ac:dyDescent="0.35">
      <c r="B331" t="s">
        <v>62</v>
      </c>
      <c r="C331" t="s">
        <v>560</v>
      </c>
      <c r="D331" t="s">
        <v>50</v>
      </c>
      <c r="E331" t="s">
        <v>102</v>
      </c>
      <c r="F331" s="16">
        <v>44958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2212310056</v>
      </c>
      <c r="S331" t="s">
        <v>698</v>
      </c>
      <c r="T331">
        <v>1855534</v>
      </c>
      <c r="U331" t="s">
        <v>699</v>
      </c>
      <c r="V331" s="1" t="s">
        <v>46</v>
      </c>
      <c r="W331" s="1" t="s">
        <v>700</v>
      </c>
      <c r="X331" s="18">
        <v>44958.314583333333</v>
      </c>
      <c r="Y331" t="s">
        <v>48</v>
      </c>
    </row>
    <row r="332" spans="2:25" x14ac:dyDescent="0.35">
      <c r="B332" t="s">
        <v>589</v>
      </c>
      <c r="C332" t="s">
        <v>603</v>
      </c>
      <c r="D332" t="s">
        <v>589</v>
      </c>
      <c r="E332" t="s">
        <v>603</v>
      </c>
      <c r="F332" s="16">
        <v>44958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2301020159</v>
      </c>
      <c r="S332" t="s">
        <v>701</v>
      </c>
      <c r="T332">
        <v>184467</v>
      </c>
      <c r="U332" t="s">
        <v>702</v>
      </c>
      <c r="V332" s="1" t="s">
        <v>56</v>
      </c>
      <c r="W332" s="17">
        <v>23536</v>
      </c>
      <c r="X332" s="18">
        <v>44958.314583333333</v>
      </c>
      <c r="Y332" t="s">
        <v>48</v>
      </c>
    </row>
    <row r="333" spans="2:25" x14ac:dyDescent="0.35">
      <c r="B333" t="s">
        <v>62</v>
      </c>
      <c r="C333" t="s">
        <v>560</v>
      </c>
      <c r="D333" t="s">
        <v>120</v>
      </c>
      <c r="E333" t="s">
        <v>390</v>
      </c>
      <c r="F333" s="16">
        <v>44958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2212120174</v>
      </c>
      <c r="S333" t="s">
        <v>703</v>
      </c>
      <c r="T333">
        <v>1403388</v>
      </c>
      <c r="U333" t="s">
        <v>434</v>
      </c>
      <c r="V333" s="1" t="s">
        <v>46</v>
      </c>
      <c r="W333" s="1" t="s">
        <v>435</v>
      </c>
      <c r="X333" s="18">
        <v>44958.314583333333</v>
      </c>
      <c r="Y333" t="s">
        <v>48</v>
      </c>
    </row>
    <row r="334" spans="2:25" x14ac:dyDescent="0.35">
      <c r="B334" t="s">
        <v>62</v>
      </c>
      <c r="C334" t="s">
        <v>560</v>
      </c>
      <c r="D334" t="s">
        <v>50</v>
      </c>
      <c r="E334" t="s">
        <v>102</v>
      </c>
      <c r="F334" s="16">
        <v>44958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2212310056</v>
      </c>
      <c r="S334" t="s">
        <v>698</v>
      </c>
      <c r="T334">
        <v>1855534</v>
      </c>
      <c r="U334" t="s">
        <v>699</v>
      </c>
      <c r="V334" s="1" t="s">
        <v>46</v>
      </c>
      <c r="W334" s="1" t="s">
        <v>700</v>
      </c>
      <c r="X334" s="18">
        <v>44958.314583333333</v>
      </c>
      <c r="Y334" t="s">
        <v>48</v>
      </c>
    </row>
    <row r="335" spans="2:25" x14ac:dyDescent="0.35">
      <c r="B335" t="s">
        <v>41</v>
      </c>
      <c r="C335" t="s">
        <v>49</v>
      </c>
      <c r="D335" t="s">
        <v>50</v>
      </c>
      <c r="E335" t="s">
        <v>84</v>
      </c>
      <c r="F335" s="16">
        <v>44958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0</v>
      </c>
      <c r="R335">
        <v>2212310129</v>
      </c>
      <c r="S335" t="s">
        <v>704</v>
      </c>
      <c r="T335">
        <v>1855862</v>
      </c>
      <c r="U335" t="s">
        <v>705</v>
      </c>
      <c r="V335" s="1" t="s">
        <v>56</v>
      </c>
      <c r="W335" s="1" t="s">
        <v>706</v>
      </c>
      <c r="X335" s="18">
        <v>44958.31527777778</v>
      </c>
      <c r="Y335" t="s">
        <v>48</v>
      </c>
    </row>
    <row r="336" spans="2:25" x14ac:dyDescent="0.35">
      <c r="B336" t="s">
        <v>62</v>
      </c>
      <c r="C336" t="s">
        <v>560</v>
      </c>
      <c r="D336" t="s">
        <v>50</v>
      </c>
      <c r="E336" t="s">
        <v>102</v>
      </c>
      <c r="F336" s="16">
        <v>44958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2212310056</v>
      </c>
      <c r="S336" t="s">
        <v>698</v>
      </c>
      <c r="T336">
        <v>1855534</v>
      </c>
      <c r="U336" t="s">
        <v>699</v>
      </c>
      <c r="V336" s="1" t="s">
        <v>46</v>
      </c>
      <c r="W336" s="1" t="s">
        <v>700</v>
      </c>
      <c r="X336" s="18">
        <v>44958.31527777778</v>
      </c>
      <c r="Y336" t="s">
        <v>48</v>
      </c>
    </row>
    <row r="337" spans="2:25" x14ac:dyDescent="0.35">
      <c r="B337" t="s">
        <v>589</v>
      </c>
      <c r="C337" t="s">
        <v>608</v>
      </c>
      <c r="D337" t="s">
        <v>589</v>
      </c>
      <c r="E337" t="s">
        <v>608</v>
      </c>
      <c r="F337" s="16">
        <v>44958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2301020154</v>
      </c>
      <c r="S337" t="s">
        <v>707</v>
      </c>
      <c r="T337">
        <v>1639527</v>
      </c>
      <c r="U337" t="s">
        <v>708</v>
      </c>
      <c r="V337" s="1" t="s">
        <v>46</v>
      </c>
      <c r="W337" s="17">
        <v>43384</v>
      </c>
      <c r="X337" s="18">
        <v>44958.31527777778</v>
      </c>
      <c r="Y337" t="s">
        <v>48</v>
      </c>
    </row>
    <row r="338" spans="2:25" x14ac:dyDescent="0.35">
      <c r="B338" t="s">
        <v>62</v>
      </c>
      <c r="C338" t="s">
        <v>560</v>
      </c>
      <c r="D338" t="s">
        <v>50</v>
      </c>
      <c r="E338" t="s">
        <v>102</v>
      </c>
      <c r="F338" s="16">
        <v>44958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2212310056</v>
      </c>
      <c r="S338" t="s">
        <v>698</v>
      </c>
      <c r="T338">
        <v>1855534</v>
      </c>
      <c r="U338" t="s">
        <v>699</v>
      </c>
      <c r="V338" s="1" t="s">
        <v>46</v>
      </c>
      <c r="W338" s="1" t="s">
        <v>700</v>
      </c>
      <c r="X338" s="18">
        <v>44958.31527777778</v>
      </c>
      <c r="Y338" t="s">
        <v>48</v>
      </c>
    </row>
    <row r="339" spans="2:25" x14ac:dyDescent="0.35">
      <c r="B339" t="s">
        <v>62</v>
      </c>
      <c r="C339" t="s">
        <v>560</v>
      </c>
      <c r="D339" t="s">
        <v>120</v>
      </c>
      <c r="E339" t="s">
        <v>709</v>
      </c>
      <c r="F339" s="16">
        <v>44958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2212260452</v>
      </c>
      <c r="S339" t="s">
        <v>710</v>
      </c>
      <c r="T339">
        <v>1708658</v>
      </c>
      <c r="U339" t="s">
        <v>711</v>
      </c>
      <c r="V339" s="1" t="s">
        <v>46</v>
      </c>
      <c r="W339" s="17">
        <v>24266</v>
      </c>
      <c r="X339" s="18">
        <v>44958.31527777778</v>
      </c>
      <c r="Y339" t="s">
        <v>48</v>
      </c>
    </row>
    <row r="340" spans="2:25" x14ac:dyDescent="0.35">
      <c r="B340" t="s">
        <v>62</v>
      </c>
      <c r="C340" t="s">
        <v>560</v>
      </c>
      <c r="D340" t="s">
        <v>50</v>
      </c>
      <c r="E340" t="s">
        <v>102</v>
      </c>
      <c r="F340" s="16">
        <v>44958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2212310056</v>
      </c>
      <c r="S340" t="s">
        <v>698</v>
      </c>
      <c r="T340">
        <v>1855534</v>
      </c>
      <c r="U340" t="s">
        <v>699</v>
      </c>
      <c r="V340" s="1" t="s">
        <v>46</v>
      </c>
      <c r="W340" s="1" t="s">
        <v>700</v>
      </c>
      <c r="X340" s="18">
        <v>44958.31527777778</v>
      </c>
      <c r="Y340" t="s">
        <v>48</v>
      </c>
    </row>
    <row r="341" spans="2:25" x14ac:dyDescent="0.35">
      <c r="B341" t="s">
        <v>589</v>
      </c>
      <c r="C341" t="s">
        <v>621</v>
      </c>
      <c r="D341" t="s">
        <v>589</v>
      </c>
      <c r="E341" t="s">
        <v>621</v>
      </c>
      <c r="F341" s="16">
        <v>44958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2301020133</v>
      </c>
      <c r="S341" t="s">
        <v>712</v>
      </c>
      <c r="T341">
        <v>1805372</v>
      </c>
      <c r="U341" t="s">
        <v>713</v>
      </c>
      <c r="V341" s="1" t="s">
        <v>46</v>
      </c>
      <c r="W341" s="1" t="s">
        <v>714</v>
      </c>
      <c r="X341" s="18">
        <v>44958.31527777778</v>
      </c>
      <c r="Y341" t="s">
        <v>48</v>
      </c>
    </row>
    <row r="342" spans="2:25" x14ac:dyDescent="0.35">
      <c r="B342" t="s">
        <v>72</v>
      </c>
      <c r="C342" t="s">
        <v>544</v>
      </c>
      <c r="D342" t="s">
        <v>120</v>
      </c>
      <c r="E342" t="s">
        <v>715</v>
      </c>
      <c r="F342" s="16">
        <v>44958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0</v>
      </c>
      <c r="R342">
        <v>2212130654</v>
      </c>
      <c r="S342" t="s">
        <v>716</v>
      </c>
      <c r="T342">
        <v>1119040</v>
      </c>
      <c r="U342" t="s">
        <v>717</v>
      </c>
      <c r="V342" s="1" t="s">
        <v>56</v>
      </c>
      <c r="W342" s="1" t="s">
        <v>718</v>
      </c>
      <c r="X342" s="18">
        <v>44958.31527777778</v>
      </c>
      <c r="Y342" t="s">
        <v>48</v>
      </c>
    </row>
    <row r="343" spans="2:25" x14ac:dyDescent="0.35">
      <c r="B343" t="s">
        <v>719</v>
      </c>
      <c r="C343" t="s">
        <v>720</v>
      </c>
      <c r="D343" t="s">
        <v>120</v>
      </c>
      <c r="E343" t="s">
        <v>121</v>
      </c>
      <c r="F343" s="16">
        <v>44958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2211300550</v>
      </c>
      <c r="S343" t="s">
        <v>721</v>
      </c>
      <c r="T343">
        <v>1816556</v>
      </c>
      <c r="U343" t="s">
        <v>722</v>
      </c>
      <c r="V343" s="1" t="s">
        <v>56</v>
      </c>
      <c r="W343" s="1" t="s">
        <v>723</v>
      </c>
      <c r="X343" s="18">
        <v>44958.31527777778</v>
      </c>
      <c r="Y343" t="s">
        <v>48</v>
      </c>
    </row>
    <row r="344" spans="2:25" x14ac:dyDescent="0.35">
      <c r="B344" t="s">
        <v>62</v>
      </c>
      <c r="C344" t="s">
        <v>560</v>
      </c>
      <c r="D344" t="s">
        <v>120</v>
      </c>
      <c r="E344" t="s">
        <v>121</v>
      </c>
      <c r="F344" s="16">
        <v>44958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2211300186</v>
      </c>
      <c r="S344" t="s">
        <v>724</v>
      </c>
      <c r="T344">
        <v>1012849</v>
      </c>
      <c r="U344" t="s">
        <v>725</v>
      </c>
      <c r="V344" s="1" t="s">
        <v>56</v>
      </c>
      <c r="W344" s="1" t="s">
        <v>726</v>
      </c>
      <c r="X344" s="18">
        <v>44958.315972222219</v>
      </c>
      <c r="Y344" t="s">
        <v>48</v>
      </c>
    </row>
    <row r="345" spans="2:25" x14ac:dyDescent="0.35">
      <c r="B345" t="s">
        <v>72</v>
      </c>
      <c r="C345" t="s">
        <v>544</v>
      </c>
      <c r="D345" t="s">
        <v>584</v>
      </c>
      <c r="E345" t="s">
        <v>585</v>
      </c>
      <c r="F345" s="16">
        <v>44958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2212290912</v>
      </c>
      <c r="S345" t="s">
        <v>727</v>
      </c>
      <c r="T345">
        <v>1255465</v>
      </c>
      <c r="U345" t="s">
        <v>728</v>
      </c>
      <c r="V345" s="1" t="s">
        <v>46</v>
      </c>
      <c r="W345" s="17">
        <v>18879</v>
      </c>
      <c r="X345" s="18">
        <v>44958.315972222219</v>
      </c>
      <c r="Y345" t="s">
        <v>48</v>
      </c>
    </row>
    <row r="346" spans="2:25" x14ac:dyDescent="0.35">
      <c r="B346" t="s">
        <v>719</v>
      </c>
      <c r="C346" t="s">
        <v>720</v>
      </c>
      <c r="D346" t="s">
        <v>589</v>
      </c>
      <c r="E346" t="s">
        <v>590</v>
      </c>
      <c r="F346" s="16">
        <v>44958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2211250962</v>
      </c>
      <c r="S346" t="s">
        <v>729</v>
      </c>
      <c r="T346">
        <v>1835351</v>
      </c>
      <c r="U346" t="s">
        <v>730</v>
      </c>
      <c r="V346" s="1" t="s">
        <v>56</v>
      </c>
      <c r="W346" s="17">
        <v>24751</v>
      </c>
      <c r="X346" s="18">
        <v>44958.315972222219</v>
      </c>
      <c r="Y346" t="s">
        <v>48</v>
      </c>
    </row>
    <row r="347" spans="2:25" x14ac:dyDescent="0.35">
      <c r="B347" t="s">
        <v>62</v>
      </c>
      <c r="C347" t="s">
        <v>560</v>
      </c>
      <c r="D347" t="s">
        <v>120</v>
      </c>
      <c r="E347" t="s">
        <v>390</v>
      </c>
      <c r="F347" s="16">
        <v>44958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2212270419</v>
      </c>
      <c r="S347" t="s">
        <v>731</v>
      </c>
      <c r="T347">
        <v>1831055</v>
      </c>
      <c r="U347" t="s">
        <v>732</v>
      </c>
      <c r="V347" s="1" t="s">
        <v>46</v>
      </c>
      <c r="W347" s="1" t="s">
        <v>733</v>
      </c>
      <c r="X347" s="18">
        <v>44958.316666666666</v>
      </c>
      <c r="Y347" t="s">
        <v>48</v>
      </c>
    </row>
    <row r="348" spans="2:25" x14ac:dyDescent="0.35">
      <c r="B348" t="s">
        <v>72</v>
      </c>
      <c r="C348" t="s">
        <v>544</v>
      </c>
      <c r="D348" t="s">
        <v>584</v>
      </c>
      <c r="E348" t="s">
        <v>734</v>
      </c>
      <c r="F348" s="16">
        <v>44958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2212281399</v>
      </c>
      <c r="S348" t="s">
        <v>735</v>
      </c>
      <c r="T348">
        <v>1864846</v>
      </c>
      <c r="U348" t="s">
        <v>736</v>
      </c>
      <c r="V348" s="1" t="s">
        <v>56</v>
      </c>
      <c r="W348" s="1" t="s">
        <v>737</v>
      </c>
      <c r="X348" s="18">
        <v>44958.316666666666</v>
      </c>
      <c r="Y348" t="s">
        <v>48</v>
      </c>
    </row>
    <row r="349" spans="2:25" x14ac:dyDescent="0.35">
      <c r="B349" t="s">
        <v>72</v>
      </c>
      <c r="C349" t="s">
        <v>544</v>
      </c>
      <c r="D349" t="s">
        <v>120</v>
      </c>
      <c r="E349" t="s">
        <v>655</v>
      </c>
      <c r="F349" s="16">
        <v>44958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2212290451</v>
      </c>
      <c r="S349" t="s">
        <v>738</v>
      </c>
      <c r="T349">
        <v>1865631</v>
      </c>
      <c r="U349" t="s">
        <v>739</v>
      </c>
      <c r="V349" s="1" t="s">
        <v>46</v>
      </c>
      <c r="W349" s="1" t="s">
        <v>740</v>
      </c>
      <c r="X349" s="18">
        <v>44958.317361111112</v>
      </c>
      <c r="Y349" t="s">
        <v>48</v>
      </c>
    </row>
    <row r="350" spans="2:25" x14ac:dyDescent="0.35">
      <c r="B350" t="s">
        <v>719</v>
      </c>
      <c r="C350" t="s">
        <v>720</v>
      </c>
      <c r="D350" t="s">
        <v>589</v>
      </c>
      <c r="E350" t="s">
        <v>590</v>
      </c>
      <c r="F350" s="16">
        <v>44958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2301020052</v>
      </c>
      <c r="S350" t="s">
        <v>597</v>
      </c>
      <c r="T350">
        <v>260145</v>
      </c>
      <c r="U350" t="s">
        <v>598</v>
      </c>
      <c r="V350" s="1" t="s">
        <v>56</v>
      </c>
      <c r="W350" s="17">
        <v>20733</v>
      </c>
      <c r="X350" s="18">
        <v>44958.317361111112</v>
      </c>
      <c r="Y350" t="s">
        <v>48</v>
      </c>
    </row>
    <row r="351" spans="2:25" x14ac:dyDescent="0.35">
      <c r="B351" t="s">
        <v>589</v>
      </c>
      <c r="C351" t="s">
        <v>603</v>
      </c>
      <c r="D351" t="s">
        <v>589</v>
      </c>
      <c r="E351" t="s">
        <v>603</v>
      </c>
      <c r="F351" s="16">
        <v>44958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2301020165</v>
      </c>
      <c r="S351" t="s">
        <v>741</v>
      </c>
      <c r="T351">
        <v>1454551</v>
      </c>
      <c r="U351" t="s">
        <v>742</v>
      </c>
      <c r="V351" s="1" t="s">
        <v>56</v>
      </c>
      <c r="W351" s="1" t="s">
        <v>743</v>
      </c>
      <c r="X351" s="18">
        <v>44958.318055555559</v>
      </c>
      <c r="Y351" t="s">
        <v>48</v>
      </c>
    </row>
    <row r="352" spans="2:25" x14ac:dyDescent="0.35">
      <c r="B352" t="s">
        <v>62</v>
      </c>
      <c r="C352" t="s">
        <v>560</v>
      </c>
      <c r="D352" t="s">
        <v>120</v>
      </c>
      <c r="E352" t="s">
        <v>715</v>
      </c>
      <c r="F352" s="16">
        <v>44958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2212280140</v>
      </c>
      <c r="S352" t="s">
        <v>744</v>
      </c>
      <c r="T352">
        <v>1816403</v>
      </c>
      <c r="U352" t="s">
        <v>745</v>
      </c>
      <c r="V352" s="1" t="s">
        <v>56</v>
      </c>
      <c r="W352" s="17">
        <v>25944</v>
      </c>
      <c r="X352" s="18">
        <v>44958.318749999999</v>
      </c>
      <c r="Y352" t="s">
        <v>48</v>
      </c>
    </row>
    <row r="353" spans="2:25" x14ac:dyDescent="0.35">
      <c r="B353" t="s">
        <v>62</v>
      </c>
      <c r="C353" t="s">
        <v>560</v>
      </c>
      <c r="D353" t="s">
        <v>120</v>
      </c>
      <c r="E353" t="s">
        <v>121</v>
      </c>
      <c r="F353" s="16">
        <v>44958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2212130861</v>
      </c>
      <c r="S353" t="s">
        <v>746</v>
      </c>
      <c r="T353">
        <v>1072757</v>
      </c>
      <c r="U353" t="s">
        <v>747</v>
      </c>
      <c r="V353" s="1" t="s">
        <v>56</v>
      </c>
      <c r="W353" s="1" t="s">
        <v>748</v>
      </c>
      <c r="X353" s="18">
        <v>44958.318749999999</v>
      </c>
      <c r="Y353" t="s">
        <v>48</v>
      </c>
    </row>
    <row r="354" spans="2:25" x14ac:dyDescent="0.35">
      <c r="B354" t="s">
        <v>589</v>
      </c>
      <c r="C354" t="s">
        <v>603</v>
      </c>
      <c r="D354" t="s">
        <v>589</v>
      </c>
      <c r="E354" t="s">
        <v>603</v>
      </c>
      <c r="F354" s="16">
        <v>44958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2301020189</v>
      </c>
      <c r="S354" t="s">
        <v>749</v>
      </c>
      <c r="T354">
        <v>658385</v>
      </c>
      <c r="U354" t="s">
        <v>750</v>
      </c>
      <c r="V354" s="1" t="s">
        <v>46</v>
      </c>
      <c r="W354" s="1" t="s">
        <v>751</v>
      </c>
      <c r="X354" s="18">
        <v>44958.318749999999</v>
      </c>
      <c r="Y354" t="s">
        <v>48</v>
      </c>
    </row>
    <row r="355" spans="2:25" x14ac:dyDescent="0.35">
      <c r="B355" t="s">
        <v>41</v>
      </c>
      <c r="C355" t="s">
        <v>49</v>
      </c>
      <c r="D355" t="s">
        <v>50</v>
      </c>
      <c r="E355" t="s">
        <v>169</v>
      </c>
      <c r="F355" s="16">
        <v>44958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2212310169</v>
      </c>
      <c r="S355" t="s">
        <v>752</v>
      </c>
      <c r="T355">
        <v>450721</v>
      </c>
      <c r="U355" t="s">
        <v>753</v>
      </c>
      <c r="V355" s="1" t="s">
        <v>46</v>
      </c>
      <c r="W355" s="1" t="s">
        <v>754</v>
      </c>
      <c r="X355" s="18">
        <v>44958.318749999999</v>
      </c>
      <c r="Y355" t="s">
        <v>48</v>
      </c>
    </row>
    <row r="356" spans="2:25" x14ac:dyDescent="0.35">
      <c r="B356" t="s">
        <v>62</v>
      </c>
      <c r="C356" t="s">
        <v>560</v>
      </c>
      <c r="D356" t="s">
        <v>120</v>
      </c>
      <c r="E356" t="s">
        <v>755</v>
      </c>
      <c r="F356" s="16">
        <v>44958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2212070452</v>
      </c>
      <c r="S356" t="s">
        <v>756</v>
      </c>
      <c r="T356">
        <v>1591301</v>
      </c>
      <c r="U356" t="s">
        <v>757</v>
      </c>
      <c r="V356" s="1" t="s">
        <v>56</v>
      </c>
      <c r="W356" s="17">
        <v>36282</v>
      </c>
      <c r="X356" s="18">
        <v>44958.318749999999</v>
      </c>
      <c r="Y356" t="s">
        <v>48</v>
      </c>
    </row>
    <row r="357" spans="2:25" x14ac:dyDescent="0.35">
      <c r="B357" t="s">
        <v>719</v>
      </c>
      <c r="C357" t="s">
        <v>720</v>
      </c>
      <c r="D357" t="s">
        <v>589</v>
      </c>
      <c r="E357" t="s">
        <v>590</v>
      </c>
      <c r="F357" s="16">
        <v>44958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1</v>
      </c>
      <c r="P357">
        <v>1</v>
      </c>
      <c r="Q357">
        <v>0</v>
      </c>
      <c r="R357">
        <v>2301020119</v>
      </c>
      <c r="S357" t="s">
        <v>659</v>
      </c>
      <c r="T357">
        <v>1761714</v>
      </c>
      <c r="U357" t="s">
        <v>660</v>
      </c>
      <c r="V357" s="1" t="s">
        <v>56</v>
      </c>
      <c r="W357" s="1" t="s">
        <v>661</v>
      </c>
      <c r="X357" s="18">
        <v>44958.318749999999</v>
      </c>
      <c r="Y357" t="s">
        <v>48</v>
      </c>
    </row>
    <row r="358" spans="2:25" x14ac:dyDescent="0.35">
      <c r="B358" t="s">
        <v>62</v>
      </c>
      <c r="C358" t="s">
        <v>560</v>
      </c>
      <c r="D358" t="s">
        <v>120</v>
      </c>
      <c r="E358" t="s">
        <v>390</v>
      </c>
      <c r="F358" s="16">
        <v>44958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2212120292</v>
      </c>
      <c r="S358" t="s">
        <v>758</v>
      </c>
      <c r="T358">
        <v>1771188</v>
      </c>
      <c r="U358" t="s">
        <v>431</v>
      </c>
      <c r="V358" s="1" t="s">
        <v>46</v>
      </c>
      <c r="W358" s="1" t="s">
        <v>432</v>
      </c>
      <c r="X358" s="18">
        <v>44958.319444444445</v>
      </c>
      <c r="Y358" t="s">
        <v>48</v>
      </c>
    </row>
    <row r="359" spans="2:25" x14ac:dyDescent="0.35">
      <c r="B359" t="s">
        <v>62</v>
      </c>
      <c r="C359" t="s">
        <v>560</v>
      </c>
      <c r="D359" t="s">
        <v>120</v>
      </c>
      <c r="E359" t="s">
        <v>652</v>
      </c>
      <c r="F359" s="16">
        <v>44958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2212230136</v>
      </c>
      <c r="S359" t="s">
        <v>759</v>
      </c>
      <c r="T359">
        <v>1287926</v>
      </c>
      <c r="U359" t="s">
        <v>760</v>
      </c>
      <c r="V359" s="1" t="s">
        <v>56</v>
      </c>
      <c r="W359" s="1" t="s">
        <v>761</v>
      </c>
      <c r="X359" s="18">
        <v>44958.319444444445</v>
      </c>
      <c r="Y359" t="s">
        <v>48</v>
      </c>
    </row>
    <row r="360" spans="2:25" x14ac:dyDescent="0.35">
      <c r="B360" t="s">
        <v>41</v>
      </c>
      <c r="C360" t="s">
        <v>42</v>
      </c>
      <c r="D360" t="s">
        <v>43</v>
      </c>
      <c r="E360" t="s">
        <v>0</v>
      </c>
      <c r="F360" s="16">
        <v>44958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2301020014</v>
      </c>
      <c r="S360" t="s">
        <v>228</v>
      </c>
      <c r="T360">
        <v>1866834</v>
      </c>
      <c r="U360" t="s">
        <v>229</v>
      </c>
      <c r="V360" s="1" t="s">
        <v>56</v>
      </c>
      <c r="W360" s="1" t="s">
        <v>230</v>
      </c>
      <c r="X360" s="18">
        <v>44958.319444444445</v>
      </c>
      <c r="Y360" t="s">
        <v>48</v>
      </c>
    </row>
    <row r="361" spans="2:25" x14ac:dyDescent="0.35">
      <c r="B361" t="s">
        <v>719</v>
      </c>
      <c r="C361" t="s">
        <v>720</v>
      </c>
      <c r="D361" t="s">
        <v>589</v>
      </c>
      <c r="E361" t="s">
        <v>590</v>
      </c>
      <c r="F361" s="16">
        <v>44958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0</v>
      </c>
      <c r="R361">
        <v>2301020123</v>
      </c>
      <c r="S361" t="s">
        <v>671</v>
      </c>
      <c r="T361">
        <v>1854637</v>
      </c>
      <c r="U361" t="s">
        <v>672</v>
      </c>
      <c r="V361" s="1" t="s">
        <v>56</v>
      </c>
      <c r="W361" s="1" t="s">
        <v>673</v>
      </c>
      <c r="X361" s="18">
        <v>44958.320138888892</v>
      </c>
      <c r="Y361" t="s">
        <v>48</v>
      </c>
    </row>
    <row r="362" spans="2:25" x14ac:dyDescent="0.35">
      <c r="B362" t="s">
        <v>41</v>
      </c>
      <c r="C362" t="s">
        <v>49</v>
      </c>
      <c r="D362" t="s">
        <v>50</v>
      </c>
      <c r="E362" t="s">
        <v>169</v>
      </c>
      <c r="F362" s="16">
        <v>44958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2212310005</v>
      </c>
      <c r="S362" t="s">
        <v>762</v>
      </c>
      <c r="T362">
        <v>1866743</v>
      </c>
      <c r="U362" t="s">
        <v>763</v>
      </c>
      <c r="V362" s="1" t="s">
        <v>46</v>
      </c>
      <c r="W362" s="1" t="s">
        <v>764</v>
      </c>
      <c r="X362" s="18">
        <v>44958.320138888892</v>
      </c>
      <c r="Y362" t="s">
        <v>48</v>
      </c>
    </row>
    <row r="363" spans="2:25" x14ac:dyDescent="0.35">
      <c r="B363" t="s">
        <v>589</v>
      </c>
      <c r="C363" t="s">
        <v>590</v>
      </c>
      <c r="D363" t="s">
        <v>589</v>
      </c>
      <c r="E363" t="s">
        <v>590</v>
      </c>
      <c r="F363" s="16">
        <v>44958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2301020188</v>
      </c>
      <c r="S363" t="s">
        <v>765</v>
      </c>
      <c r="T363">
        <v>868784</v>
      </c>
      <c r="U363" t="s">
        <v>766</v>
      </c>
      <c r="V363" s="1" t="s">
        <v>46</v>
      </c>
      <c r="W363" s="17">
        <v>23599</v>
      </c>
      <c r="X363" s="18">
        <v>44958.320833333331</v>
      </c>
      <c r="Y363" t="s">
        <v>48</v>
      </c>
    </row>
    <row r="364" spans="2:25" x14ac:dyDescent="0.35">
      <c r="B364" t="s">
        <v>62</v>
      </c>
      <c r="C364" t="s">
        <v>560</v>
      </c>
      <c r="D364" t="s">
        <v>120</v>
      </c>
      <c r="E364" t="s">
        <v>561</v>
      </c>
      <c r="F364" s="16">
        <v>44958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2212120219</v>
      </c>
      <c r="S364" t="s">
        <v>767</v>
      </c>
      <c r="T364">
        <v>1820174</v>
      </c>
      <c r="U364" t="s">
        <v>768</v>
      </c>
      <c r="V364" s="1" t="s">
        <v>56</v>
      </c>
      <c r="W364" s="1" t="s">
        <v>769</v>
      </c>
      <c r="X364" s="18">
        <v>44958.320833333331</v>
      </c>
      <c r="Y364" t="s">
        <v>48</v>
      </c>
    </row>
    <row r="365" spans="2:25" x14ac:dyDescent="0.35">
      <c r="B365" t="s">
        <v>62</v>
      </c>
      <c r="C365" t="s">
        <v>560</v>
      </c>
      <c r="D365" t="s">
        <v>120</v>
      </c>
      <c r="E365" t="s">
        <v>121</v>
      </c>
      <c r="F365" s="16">
        <v>44958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0</v>
      </c>
      <c r="R365">
        <v>2212270603</v>
      </c>
      <c r="S365" t="s">
        <v>770</v>
      </c>
      <c r="T365">
        <v>1857487</v>
      </c>
      <c r="U365" t="s">
        <v>771</v>
      </c>
      <c r="V365" s="1" t="s">
        <v>46</v>
      </c>
      <c r="W365" s="17">
        <v>20674</v>
      </c>
      <c r="X365" s="18">
        <v>44958.321527777778</v>
      </c>
      <c r="Y365" t="s">
        <v>48</v>
      </c>
    </row>
    <row r="366" spans="2:25" x14ac:dyDescent="0.35">
      <c r="B366" t="s">
        <v>72</v>
      </c>
      <c r="C366" t="s">
        <v>544</v>
      </c>
      <c r="D366" t="s">
        <v>120</v>
      </c>
      <c r="E366" t="s">
        <v>561</v>
      </c>
      <c r="F366" s="16">
        <v>44958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0</v>
      </c>
      <c r="R366">
        <v>2212120219</v>
      </c>
      <c r="S366" t="s">
        <v>767</v>
      </c>
      <c r="T366">
        <v>1820174</v>
      </c>
      <c r="U366" t="s">
        <v>768</v>
      </c>
      <c r="V366" s="1" t="s">
        <v>56</v>
      </c>
      <c r="W366" s="1" t="s">
        <v>769</v>
      </c>
      <c r="X366" s="18">
        <v>44958.321527777778</v>
      </c>
      <c r="Y366" t="s">
        <v>48</v>
      </c>
    </row>
    <row r="367" spans="2:25" x14ac:dyDescent="0.35">
      <c r="B367" t="s">
        <v>41</v>
      </c>
      <c r="C367" t="s">
        <v>772</v>
      </c>
      <c r="D367" t="s">
        <v>120</v>
      </c>
      <c r="E367" t="s">
        <v>773</v>
      </c>
      <c r="F367" s="16">
        <v>44958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2212220340</v>
      </c>
      <c r="S367" t="s">
        <v>774</v>
      </c>
      <c r="T367">
        <v>1835690</v>
      </c>
      <c r="U367" t="s">
        <v>775</v>
      </c>
      <c r="V367" s="1" t="s">
        <v>56</v>
      </c>
      <c r="W367" s="1" t="s">
        <v>776</v>
      </c>
      <c r="X367" s="18">
        <v>44958.321527777778</v>
      </c>
      <c r="Y367" t="s">
        <v>48</v>
      </c>
    </row>
    <row r="368" spans="2:25" x14ac:dyDescent="0.35">
      <c r="B368" t="s">
        <v>41</v>
      </c>
      <c r="C368" t="s">
        <v>42</v>
      </c>
      <c r="D368" t="s">
        <v>43</v>
      </c>
      <c r="E368" t="s">
        <v>0</v>
      </c>
      <c r="F368" s="16">
        <v>44958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2301010128</v>
      </c>
      <c r="T368">
        <v>1866825</v>
      </c>
      <c r="U368" t="s">
        <v>342</v>
      </c>
      <c r="V368" s="1" t="s">
        <v>56</v>
      </c>
      <c r="W368" s="1" t="s">
        <v>343</v>
      </c>
      <c r="X368" s="18">
        <v>44958.322222222225</v>
      </c>
      <c r="Y368" t="s">
        <v>48</v>
      </c>
    </row>
    <row r="369" spans="2:25" x14ac:dyDescent="0.35">
      <c r="B369" t="s">
        <v>72</v>
      </c>
      <c r="C369" t="s">
        <v>544</v>
      </c>
      <c r="D369" t="s">
        <v>120</v>
      </c>
      <c r="E369" t="s">
        <v>777</v>
      </c>
      <c r="F369" s="16">
        <v>44958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0</v>
      </c>
      <c r="R369">
        <v>2212300274</v>
      </c>
      <c r="S369" t="s">
        <v>778</v>
      </c>
      <c r="T369">
        <v>1052502</v>
      </c>
      <c r="U369" t="s">
        <v>779</v>
      </c>
      <c r="V369" s="1" t="s">
        <v>46</v>
      </c>
      <c r="W369" s="1" t="s">
        <v>780</v>
      </c>
      <c r="X369" s="18">
        <v>44958.322222222225</v>
      </c>
      <c r="Y369" t="s">
        <v>48</v>
      </c>
    </row>
    <row r="370" spans="2:25" x14ac:dyDescent="0.35">
      <c r="B370" t="s">
        <v>454</v>
      </c>
      <c r="C370" t="s">
        <v>454</v>
      </c>
      <c r="D370" t="s">
        <v>454</v>
      </c>
      <c r="E370" t="s">
        <v>454</v>
      </c>
      <c r="F370" s="16">
        <v>44958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2301020244</v>
      </c>
      <c r="S370" t="s">
        <v>781</v>
      </c>
      <c r="T370">
        <v>793077</v>
      </c>
      <c r="U370" t="s">
        <v>782</v>
      </c>
      <c r="V370" s="1" t="s">
        <v>46</v>
      </c>
      <c r="W370" s="1" t="s">
        <v>783</v>
      </c>
      <c r="X370" s="18">
        <v>44958.322222222225</v>
      </c>
      <c r="Y370" t="s">
        <v>48</v>
      </c>
    </row>
    <row r="371" spans="2:25" x14ac:dyDescent="0.35">
      <c r="B371" t="s">
        <v>62</v>
      </c>
      <c r="C371" t="s">
        <v>560</v>
      </c>
      <c r="D371" t="s">
        <v>120</v>
      </c>
      <c r="E371" t="s">
        <v>715</v>
      </c>
      <c r="F371" s="16">
        <v>44958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2212010448</v>
      </c>
      <c r="S371" t="s">
        <v>784</v>
      </c>
      <c r="T371">
        <v>1861629</v>
      </c>
      <c r="U371" t="s">
        <v>785</v>
      </c>
      <c r="V371" s="1" t="s">
        <v>56</v>
      </c>
      <c r="W371" s="17">
        <v>23350</v>
      </c>
      <c r="X371" s="18">
        <v>44958.322222222225</v>
      </c>
      <c r="Y371" t="s">
        <v>48</v>
      </c>
    </row>
    <row r="372" spans="2:25" x14ac:dyDescent="0.35">
      <c r="B372" t="s">
        <v>688</v>
      </c>
      <c r="C372" t="s">
        <v>689</v>
      </c>
      <c r="D372" t="s">
        <v>50</v>
      </c>
      <c r="E372" t="s">
        <v>51</v>
      </c>
      <c r="F372" s="16">
        <v>44958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2301010098</v>
      </c>
      <c r="S372" t="s">
        <v>786</v>
      </c>
      <c r="T372">
        <v>1805413</v>
      </c>
      <c r="U372" t="s">
        <v>787</v>
      </c>
      <c r="V372" s="1" t="s">
        <v>46</v>
      </c>
      <c r="W372" s="17">
        <v>39789</v>
      </c>
      <c r="X372" s="18">
        <v>44958.322222222225</v>
      </c>
      <c r="Y372" t="s">
        <v>48</v>
      </c>
    </row>
    <row r="373" spans="2:25" x14ac:dyDescent="0.35">
      <c r="B373" t="s">
        <v>72</v>
      </c>
      <c r="C373" t="s">
        <v>544</v>
      </c>
      <c r="D373" t="s">
        <v>120</v>
      </c>
      <c r="E373" t="s">
        <v>561</v>
      </c>
      <c r="F373" s="16">
        <v>44958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0</v>
      </c>
      <c r="R373">
        <v>2212220807</v>
      </c>
      <c r="S373" t="s">
        <v>788</v>
      </c>
      <c r="T373">
        <v>1828315</v>
      </c>
      <c r="U373" t="s">
        <v>789</v>
      </c>
      <c r="V373" s="1" t="s">
        <v>56</v>
      </c>
      <c r="W373" s="1" t="s">
        <v>790</v>
      </c>
      <c r="X373" s="18">
        <v>44958.322916666664</v>
      </c>
      <c r="Y373" t="s">
        <v>48</v>
      </c>
    </row>
    <row r="374" spans="2:25" x14ac:dyDescent="0.35">
      <c r="B374" t="s">
        <v>120</v>
      </c>
      <c r="C374" t="s">
        <v>791</v>
      </c>
      <c r="D374" t="s">
        <v>120</v>
      </c>
      <c r="E374" t="s">
        <v>791</v>
      </c>
      <c r="F374" s="16">
        <v>44958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2301020061</v>
      </c>
      <c r="T374">
        <v>453087</v>
      </c>
      <c r="U374" t="s">
        <v>792</v>
      </c>
      <c r="V374" s="1" t="s">
        <v>46</v>
      </c>
      <c r="W374" s="1" t="s">
        <v>793</v>
      </c>
      <c r="X374" s="18">
        <v>44958.322916666664</v>
      </c>
      <c r="Y374" t="s">
        <v>87</v>
      </c>
    </row>
    <row r="375" spans="2:25" x14ac:dyDescent="0.35">
      <c r="B375" t="s">
        <v>62</v>
      </c>
      <c r="C375" t="s">
        <v>560</v>
      </c>
      <c r="D375" t="s">
        <v>120</v>
      </c>
      <c r="E375" t="s">
        <v>390</v>
      </c>
      <c r="F375" s="16">
        <v>44958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2212120139</v>
      </c>
      <c r="S375" t="s">
        <v>794</v>
      </c>
      <c r="T375">
        <v>1509586</v>
      </c>
      <c r="U375" t="s">
        <v>458</v>
      </c>
      <c r="V375" s="1" t="s">
        <v>56</v>
      </c>
      <c r="W375" s="1" t="s">
        <v>459</v>
      </c>
      <c r="X375" s="18">
        <v>44958.322916666664</v>
      </c>
      <c r="Y375" t="s">
        <v>48</v>
      </c>
    </row>
    <row r="376" spans="2:25" x14ac:dyDescent="0.35">
      <c r="B376" t="s">
        <v>589</v>
      </c>
      <c r="C376" t="s">
        <v>590</v>
      </c>
      <c r="D376" t="s">
        <v>589</v>
      </c>
      <c r="E376" t="s">
        <v>590</v>
      </c>
      <c r="F376" s="16">
        <v>44958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2301020101</v>
      </c>
      <c r="S376" t="s">
        <v>795</v>
      </c>
      <c r="T376">
        <v>1342962</v>
      </c>
      <c r="U376" t="s">
        <v>796</v>
      </c>
      <c r="V376" s="1" t="s">
        <v>56</v>
      </c>
      <c r="W376" s="1" t="s">
        <v>797</v>
      </c>
      <c r="X376" s="18">
        <v>44958.322916666664</v>
      </c>
      <c r="Y376" t="s">
        <v>48</v>
      </c>
    </row>
    <row r="377" spans="2:25" x14ac:dyDescent="0.35">
      <c r="B377" t="s">
        <v>62</v>
      </c>
      <c r="C377" t="s">
        <v>560</v>
      </c>
      <c r="D377" t="s">
        <v>120</v>
      </c>
      <c r="E377" t="s">
        <v>545</v>
      </c>
      <c r="F377" s="16">
        <v>44958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2212150597</v>
      </c>
      <c r="S377" t="s">
        <v>798</v>
      </c>
      <c r="T377">
        <v>1853880</v>
      </c>
      <c r="U377" t="s">
        <v>799</v>
      </c>
      <c r="V377" s="1" t="s">
        <v>56</v>
      </c>
      <c r="W377" s="17">
        <v>19429</v>
      </c>
      <c r="X377" s="18">
        <v>44958.323611111111</v>
      </c>
      <c r="Y377" t="s">
        <v>48</v>
      </c>
    </row>
    <row r="378" spans="2:25" x14ac:dyDescent="0.35">
      <c r="B378" t="s">
        <v>589</v>
      </c>
      <c r="C378" t="s">
        <v>621</v>
      </c>
      <c r="D378" t="s">
        <v>589</v>
      </c>
      <c r="E378" t="s">
        <v>621</v>
      </c>
      <c r="F378" s="16">
        <v>44958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2301020195</v>
      </c>
      <c r="S378" t="s">
        <v>800</v>
      </c>
      <c r="T378">
        <v>1843514</v>
      </c>
      <c r="U378" t="s">
        <v>801</v>
      </c>
      <c r="V378" s="1" t="s">
        <v>46</v>
      </c>
      <c r="W378" s="1" t="s">
        <v>802</v>
      </c>
      <c r="X378" s="18">
        <v>44958.323611111111</v>
      </c>
      <c r="Y378" t="s">
        <v>48</v>
      </c>
    </row>
    <row r="379" spans="2:25" x14ac:dyDescent="0.35">
      <c r="B379" t="s">
        <v>589</v>
      </c>
      <c r="C379" t="s">
        <v>603</v>
      </c>
      <c r="D379" t="s">
        <v>589</v>
      </c>
      <c r="E379" t="s">
        <v>603</v>
      </c>
      <c r="F379" s="16">
        <v>44958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2301020215</v>
      </c>
      <c r="T379">
        <v>592214</v>
      </c>
      <c r="U379" t="s">
        <v>803</v>
      </c>
      <c r="V379" s="1" t="s">
        <v>56</v>
      </c>
      <c r="W379" s="1" t="s">
        <v>804</v>
      </c>
      <c r="X379" s="18">
        <v>44958.323611111111</v>
      </c>
      <c r="Y379" t="s">
        <v>87</v>
      </c>
    </row>
    <row r="380" spans="2:25" x14ac:dyDescent="0.35">
      <c r="B380" t="s">
        <v>120</v>
      </c>
      <c r="C380" t="s">
        <v>791</v>
      </c>
      <c r="D380" t="s">
        <v>120</v>
      </c>
      <c r="E380" t="s">
        <v>791</v>
      </c>
      <c r="F380" s="16">
        <v>44958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2301020247</v>
      </c>
      <c r="T380">
        <v>1834119</v>
      </c>
      <c r="U380" t="s">
        <v>805</v>
      </c>
      <c r="V380" s="1" t="s">
        <v>46</v>
      </c>
      <c r="W380" s="17">
        <v>37136</v>
      </c>
      <c r="X380" s="18">
        <v>44958.323611111111</v>
      </c>
      <c r="Y380" t="s">
        <v>87</v>
      </c>
    </row>
    <row r="381" spans="2:25" x14ac:dyDescent="0.35">
      <c r="B381" t="s">
        <v>62</v>
      </c>
      <c r="C381" t="s">
        <v>560</v>
      </c>
      <c r="D381" t="s">
        <v>120</v>
      </c>
      <c r="E381" t="s">
        <v>545</v>
      </c>
      <c r="F381" s="16">
        <v>44958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2212150597</v>
      </c>
      <c r="S381" t="s">
        <v>798</v>
      </c>
      <c r="T381">
        <v>1853880</v>
      </c>
      <c r="U381" t="s">
        <v>799</v>
      </c>
      <c r="V381" s="1" t="s">
        <v>56</v>
      </c>
      <c r="W381" s="17">
        <v>19429</v>
      </c>
      <c r="X381" s="18">
        <v>44958.323611111111</v>
      </c>
      <c r="Y381" t="s">
        <v>48</v>
      </c>
    </row>
    <row r="382" spans="2:25" x14ac:dyDescent="0.35">
      <c r="B382" t="s">
        <v>120</v>
      </c>
      <c r="C382" t="s">
        <v>561</v>
      </c>
      <c r="D382" t="s">
        <v>120</v>
      </c>
      <c r="E382" t="s">
        <v>561</v>
      </c>
      <c r="F382" s="16">
        <v>44958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2301020232</v>
      </c>
      <c r="T382">
        <v>1861927</v>
      </c>
      <c r="U382" t="s">
        <v>806</v>
      </c>
      <c r="V382" s="1" t="s">
        <v>46</v>
      </c>
      <c r="W382" s="1" t="s">
        <v>807</v>
      </c>
      <c r="X382" s="18">
        <v>44958.323611111111</v>
      </c>
      <c r="Y382" t="s">
        <v>290</v>
      </c>
    </row>
    <row r="383" spans="2:25" x14ac:dyDescent="0.35">
      <c r="B383" t="s">
        <v>688</v>
      </c>
      <c r="C383" t="s">
        <v>689</v>
      </c>
      <c r="D383" t="s">
        <v>50</v>
      </c>
      <c r="E383" t="s">
        <v>51</v>
      </c>
      <c r="F383" s="16">
        <v>44958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2301010091</v>
      </c>
      <c r="S383" t="s">
        <v>808</v>
      </c>
      <c r="T383">
        <v>1855195</v>
      </c>
      <c r="U383" t="s">
        <v>809</v>
      </c>
      <c r="V383" s="1" t="s">
        <v>46</v>
      </c>
      <c r="W383" s="1" t="s">
        <v>810</v>
      </c>
      <c r="X383" s="18">
        <v>44958.324305555558</v>
      </c>
      <c r="Y383" t="s">
        <v>48</v>
      </c>
    </row>
    <row r="384" spans="2:25" x14ac:dyDescent="0.35">
      <c r="B384" t="s">
        <v>719</v>
      </c>
      <c r="C384" t="s">
        <v>720</v>
      </c>
      <c r="D384" t="s">
        <v>589</v>
      </c>
      <c r="E384" t="s">
        <v>590</v>
      </c>
      <c r="F384" s="16">
        <v>44958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2301020188</v>
      </c>
      <c r="S384" t="s">
        <v>765</v>
      </c>
      <c r="T384">
        <v>868784</v>
      </c>
      <c r="U384" t="s">
        <v>766</v>
      </c>
      <c r="V384" s="1" t="s">
        <v>46</v>
      </c>
      <c r="W384" s="17">
        <v>23599</v>
      </c>
      <c r="X384" s="18">
        <v>44958.324305555558</v>
      </c>
      <c r="Y384" t="s">
        <v>48</v>
      </c>
    </row>
    <row r="385" spans="2:25" x14ac:dyDescent="0.35">
      <c r="B385" t="s">
        <v>62</v>
      </c>
      <c r="C385" t="s">
        <v>560</v>
      </c>
      <c r="D385" t="s">
        <v>120</v>
      </c>
      <c r="E385" t="s">
        <v>121</v>
      </c>
      <c r="F385" s="16">
        <v>44958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0</v>
      </c>
      <c r="R385">
        <v>2212070881</v>
      </c>
      <c r="S385" t="s">
        <v>811</v>
      </c>
      <c r="T385">
        <v>1612607</v>
      </c>
      <c r="U385" t="s">
        <v>812</v>
      </c>
      <c r="V385" s="1" t="s">
        <v>46</v>
      </c>
      <c r="W385" s="1" t="s">
        <v>813</v>
      </c>
      <c r="X385" s="18">
        <v>44958.324999999997</v>
      </c>
      <c r="Y385" t="s">
        <v>48</v>
      </c>
    </row>
    <row r="386" spans="2:25" x14ac:dyDescent="0.35">
      <c r="B386" t="s">
        <v>719</v>
      </c>
      <c r="C386" t="s">
        <v>720</v>
      </c>
      <c r="D386" t="s">
        <v>120</v>
      </c>
      <c r="E386" t="s">
        <v>715</v>
      </c>
      <c r="F386" s="16">
        <v>44958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2212020423</v>
      </c>
      <c r="S386" t="s">
        <v>814</v>
      </c>
      <c r="T386">
        <v>1836265</v>
      </c>
      <c r="U386" t="s">
        <v>815</v>
      </c>
      <c r="V386" s="1" t="s">
        <v>56</v>
      </c>
      <c r="W386" s="17">
        <v>20159</v>
      </c>
      <c r="X386" s="18">
        <v>44958.324999999997</v>
      </c>
      <c r="Y386" t="s">
        <v>48</v>
      </c>
    </row>
    <row r="387" spans="2:25" x14ac:dyDescent="0.35">
      <c r="B387" t="s">
        <v>62</v>
      </c>
      <c r="C387" t="s">
        <v>560</v>
      </c>
      <c r="D387" t="s">
        <v>120</v>
      </c>
      <c r="E387" t="s">
        <v>715</v>
      </c>
      <c r="F387" s="16">
        <v>44958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0</v>
      </c>
      <c r="R387">
        <v>2212130654</v>
      </c>
      <c r="S387" t="s">
        <v>716</v>
      </c>
      <c r="T387">
        <v>1119040</v>
      </c>
      <c r="U387" t="s">
        <v>717</v>
      </c>
      <c r="V387" s="1" t="s">
        <v>56</v>
      </c>
      <c r="W387" s="1" t="s">
        <v>718</v>
      </c>
      <c r="X387" s="18">
        <v>44958.325694444444</v>
      </c>
      <c r="Y387" t="s">
        <v>48</v>
      </c>
    </row>
    <row r="388" spans="2:25" x14ac:dyDescent="0.35">
      <c r="B388" t="s">
        <v>62</v>
      </c>
      <c r="C388" t="s">
        <v>560</v>
      </c>
      <c r="D388" t="s">
        <v>120</v>
      </c>
      <c r="E388" t="s">
        <v>390</v>
      </c>
      <c r="F388" s="16">
        <v>44958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2212120156</v>
      </c>
      <c r="S388" t="s">
        <v>816</v>
      </c>
      <c r="T388">
        <v>1138545</v>
      </c>
      <c r="U388" t="s">
        <v>392</v>
      </c>
      <c r="V388" s="1" t="s">
        <v>46</v>
      </c>
      <c r="W388" s="17">
        <v>40606</v>
      </c>
      <c r="X388" s="18">
        <v>44958.325694444444</v>
      </c>
      <c r="Y388" t="s">
        <v>48</v>
      </c>
    </row>
    <row r="389" spans="2:25" x14ac:dyDescent="0.35">
      <c r="B389" t="s">
        <v>454</v>
      </c>
      <c r="C389" t="s">
        <v>454</v>
      </c>
      <c r="D389" t="s">
        <v>454</v>
      </c>
      <c r="E389" t="s">
        <v>454</v>
      </c>
      <c r="F389" s="16">
        <v>44958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2301020279</v>
      </c>
      <c r="S389" t="s">
        <v>817</v>
      </c>
      <c r="T389">
        <v>605637</v>
      </c>
      <c r="U389" t="s">
        <v>818</v>
      </c>
      <c r="V389" s="1" t="s">
        <v>46</v>
      </c>
      <c r="W389" s="1" t="s">
        <v>819</v>
      </c>
      <c r="X389" s="18">
        <v>44958.325694444444</v>
      </c>
      <c r="Y389" t="s">
        <v>48</v>
      </c>
    </row>
    <row r="390" spans="2:25" x14ac:dyDescent="0.35">
      <c r="B390" t="s">
        <v>688</v>
      </c>
      <c r="C390" t="s">
        <v>689</v>
      </c>
      <c r="D390" t="s">
        <v>50</v>
      </c>
      <c r="E390" t="s">
        <v>322</v>
      </c>
      <c r="F390" s="16">
        <v>44958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0</v>
      </c>
      <c r="R390">
        <v>2301010056</v>
      </c>
      <c r="S390" t="s">
        <v>820</v>
      </c>
      <c r="T390">
        <v>1864592</v>
      </c>
      <c r="U390" t="s">
        <v>821</v>
      </c>
      <c r="V390" s="1" t="s">
        <v>56</v>
      </c>
      <c r="W390" s="17">
        <v>29078</v>
      </c>
      <c r="X390" s="18">
        <v>44958.325694444444</v>
      </c>
      <c r="Y390" t="s">
        <v>48</v>
      </c>
    </row>
    <row r="391" spans="2:25" x14ac:dyDescent="0.35">
      <c r="B391" t="s">
        <v>62</v>
      </c>
      <c r="C391" t="s">
        <v>560</v>
      </c>
      <c r="D391" t="s">
        <v>120</v>
      </c>
      <c r="E391" t="s">
        <v>662</v>
      </c>
      <c r="F391" s="16">
        <v>44958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0</v>
      </c>
      <c r="R391">
        <v>2211160234</v>
      </c>
      <c r="S391" t="s">
        <v>822</v>
      </c>
      <c r="T391">
        <v>1786292</v>
      </c>
      <c r="U391" t="s">
        <v>823</v>
      </c>
      <c r="V391" s="1" t="s">
        <v>46</v>
      </c>
      <c r="W391" s="1" t="s">
        <v>824</v>
      </c>
      <c r="X391" s="18">
        <v>44958.326388888891</v>
      </c>
      <c r="Y391" t="s">
        <v>48</v>
      </c>
    </row>
    <row r="392" spans="2:25" x14ac:dyDescent="0.35">
      <c r="B392" t="s">
        <v>72</v>
      </c>
      <c r="C392" t="s">
        <v>544</v>
      </c>
      <c r="D392" t="s">
        <v>120</v>
      </c>
      <c r="E392" t="s">
        <v>121</v>
      </c>
      <c r="F392" s="16">
        <v>44958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2212260709</v>
      </c>
      <c r="S392" t="s">
        <v>825</v>
      </c>
      <c r="T392">
        <v>999480</v>
      </c>
      <c r="U392" t="s">
        <v>826</v>
      </c>
      <c r="V392" s="1" t="s">
        <v>56</v>
      </c>
      <c r="W392" s="1" t="s">
        <v>827</v>
      </c>
      <c r="X392" s="18">
        <v>44958.326388888891</v>
      </c>
      <c r="Y392" t="s">
        <v>48</v>
      </c>
    </row>
    <row r="393" spans="2:25" x14ac:dyDescent="0.35">
      <c r="B393" t="s">
        <v>688</v>
      </c>
      <c r="C393" t="s">
        <v>689</v>
      </c>
      <c r="D393" t="s">
        <v>50</v>
      </c>
      <c r="E393" t="s">
        <v>540</v>
      </c>
      <c r="F393" s="16">
        <v>44958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2301010045</v>
      </c>
      <c r="S393" t="s">
        <v>828</v>
      </c>
      <c r="T393">
        <v>1863820</v>
      </c>
      <c r="U393" t="s">
        <v>829</v>
      </c>
      <c r="V393" s="1" t="s">
        <v>56</v>
      </c>
      <c r="W393" s="17">
        <v>19000</v>
      </c>
      <c r="X393" s="18">
        <v>44958.326388888891</v>
      </c>
      <c r="Y393" t="s">
        <v>48</v>
      </c>
    </row>
    <row r="394" spans="2:25" x14ac:dyDescent="0.35">
      <c r="B394" t="s">
        <v>62</v>
      </c>
      <c r="C394" t="s">
        <v>560</v>
      </c>
      <c r="D394" t="s">
        <v>120</v>
      </c>
      <c r="E394" t="s">
        <v>545</v>
      </c>
      <c r="F394" s="16">
        <v>44958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2212070294</v>
      </c>
      <c r="S394" t="s">
        <v>830</v>
      </c>
      <c r="T394">
        <v>1588418</v>
      </c>
      <c r="U394" t="s">
        <v>831</v>
      </c>
      <c r="V394" s="1" t="s">
        <v>46</v>
      </c>
      <c r="W394" s="1" t="s">
        <v>832</v>
      </c>
      <c r="X394" s="18">
        <v>44958.326388888891</v>
      </c>
      <c r="Y394" t="s">
        <v>48</v>
      </c>
    </row>
    <row r="395" spans="2:25" x14ac:dyDescent="0.35">
      <c r="B395" t="s">
        <v>62</v>
      </c>
      <c r="C395" t="s">
        <v>560</v>
      </c>
      <c r="D395" t="s">
        <v>120</v>
      </c>
      <c r="E395" t="s">
        <v>545</v>
      </c>
      <c r="F395" s="16">
        <v>44958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2211300240</v>
      </c>
      <c r="S395" t="s">
        <v>833</v>
      </c>
      <c r="T395">
        <v>66332</v>
      </c>
      <c r="U395" t="s">
        <v>834</v>
      </c>
      <c r="V395" s="1" t="s">
        <v>46</v>
      </c>
      <c r="W395" s="1" t="s">
        <v>835</v>
      </c>
      <c r="X395" s="18">
        <v>44958.326388888891</v>
      </c>
      <c r="Y395" t="s">
        <v>48</v>
      </c>
    </row>
    <row r="396" spans="2:25" x14ac:dyDescent="0.35">
      <c r="B396" t="s">
        <v>589</v>
      </c>
      <c r="C396" t="s">
        <v>603</v>
      </c>
      <c r="D396" t="s">
        <v>589</v>
      </c>
      <c r="E396" t="s">
        <v>603</v>
      </c>
      <c r="F396" s="16">
        <v>44958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2301020284</v>
      </c>
      <c r="T396">
        <v>1801950</v>
      </c>
      <c r="U396" t="s">
        <v>836</v>
      </c>
      <c r="V396" s="1" t="s">
        <v>46</v>
      </c>
      <c r="W396" s="17">
        <v>27375</v>
      </c>
      <c r="X396" s="18">
        <v>44958.326388888891</v>
      </c>
      <c r="Y396" t="s">
        <v>87</v>
      </c>
    </row>
    <row r="397" spans="2:25" x14ac:dyDescent="0.35">
      <c r="B397" t="s">
        <v>688</v>
      </c>
      <c r="C397" t="s">
        <v>689</v>
      </c>
      <c r="D397" t="s">
        <v>50</v>
      </c>
      <c r="E397" t="s">
        <v>540</v>
      </c>
      <c r="F397" s="16">
        <v>44958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0</v>
      </c>
      <c r="R397">
        <v>2301010046</v>
      </c>
      <c r="S397" t="s">
        <v>837</v>
      </c>
      <c r="T397">
        <v>1861007</v>
      </c>
      <c r="U397" t="s">
        <v>838</v>
      </c>
      <c r="V397" s="1" t="s">
        <v>56</v>
      </c>
      <c r="W397" s="1" t="s">
        <v>839</v>
      </c>
      <c r="X397" s="18">
        <v>44958.32708333333</v>
      </c>
      <c r="Y397" t="s">
        <v>48</v>
      </c>
    </row>
    <row r="398" spans="2:25" x14ac:dyDescent="0.35">
      <c r="B398" t="s">
        <v>72</v>
      </c>
      <c r="C398" t="s">
        <v>544</v>
      </c>
      <c r="D398" t="s">
        <v>120</v>
      </c>
      <c r="E398" t="s">
        <v>545</v>
      </c>
      <c r="F398" s="16">
        <v>44958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2212290255</v>
      </c>
      <c r="S398" t="s">
        <v>840</v>
      </c>
      <c r="T398">
        <v>1626344</v>
      </c>
      <c r="U398" t="s">
        <v>841</v>
      </c>
      <c r="V398" s="1" t="s">
        <v>56</v>
      </c>
      <c r="W398" s="17">
        <v>15836</v>
      </c>
      <c r="X398" s="18">
        <v>44958.32708333333</v>
      </c>
      <c r="Y398" t="s">
        <v>48</v>
      </c>
    </row>
    <row r="399" spans="2:25" x14ac:dyDescent="0.35">
      <c r="B399" t="s">
        <v>120</v>
      </c>
      <c r="C399" t="s">
        <v>652</v>
      </c>
      <c r="D399" t="s">
        <v>120</v>
      </c>
      <c r="E399" t="s">
        <v>652</v>
      </c>
      <c r="F399" s="16">
        <v>44958</v>
      </c>
      <c r="H399">
        <v>0</v>
      </c>
      <c r="I399">
        <v>0</v>
      </c>
      <c r="J399">
        <v>0</v>
      </c>
      <c r="K399">
        <v>1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2301020289</v>
      </c>
      <c r="S399" t="s">
        <v>842</v>
      </c>
      <c r="T399">
        <v>1448937</v>
      </c>
      <c r="U399" t="s">
        <v>843</v>
      </c>
      <c r="V399" s="1" t="s">
        <v>56</v>
      </c>
      <c r="W399" s="1" t="s">
        <v>844</v>
      </c>
      <c r="X399" s="18">
        <v>44958.32708333333</v>
      </c>
      <c r="Y399" t="s">
        <v>48</v>
      </c>
    </row>
    <row r="400" spans="2:25" x14ac:dyDescent="0.35">
      <c r="B400" t="s">
        <v>62</v>
      </c>
      <c r="C400" t="s">
        <v>560</v>
      </c>
      <c r="D400" t="s">
        <v>120</v>
      </c>
      <c r="E400" t="s">
        <v>121</v>
      </c>
      <c r="F400" s="16">
        <v>44958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0</v>
      </c>
      <c r="R400">
        <v>2211280648</v>
      </c>
      <c r="S400" t="s">
        <v>845</v>
      </c>
      <c r="T400">
        <v>1833381</v>
      </c>
      <c r="U400" t="s">
        <v>846</v>
      </c>
      <c r="V400" s="1" t="s">
        <v>46</v>
      </c>
      <c r="W400" s="17">
        <v>24781</v>
      </c>
      <c r="X400" s="18">
        <v>44958.32708333333</v>
      </c>
      <c r="Y400" t="s">
        <v>48</v>
      </c>
    </row>
    <row r="401" spans="2:25" x14ac:dyDescent="0.35">
      <c r="B401" t="s">
        <v>62</v>
      </c>
      <c r="C401" t="s">
        <v>560</v>
      </c>
      <c r="D401" t="s">
        <v>120</v>
      </c>
      <c r="E401" t="s">
        <v>390</v>
      </c>
      <c r="F401" s="16">
        <v>44958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2212050043</v>
      </c>
      <c r="S401" t="s">
        <v>847</v>
      </c>
      <c r="T401">
        <v>1603506</v>
      </c>
      <c r="U401" t="s">
        <v>479</v>
      </c>
      <c r="V401" s="1" t="s">
        <v>46</v>
      </c>
      <c r="W401" s="1" t="s">
        <v>480</v>
      </c>
      <c r="X401" s="18">
        <v>44958.32708333333</v>
      </c>
      <c r="Y401" t="s">
        <v>48</v>
      </c>
    </row>
    <row r="402" spans="2:25" x14ac:dyDescent="0.35">
      <c r="B402" t="s">
        <v>41</v>
      </c>
      <c r="C402" t="s">
        <v>49</v>
      </c>
      <c r="D402" t="s">
        <v>50</v>
      </c>
      <c r="E402" t="s">
        <v>51</v>
      </c>
      <c r="F402" s="16">
        <v>44958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2301010098</v>
      </c>
      <c r="S402" t="s">
        <v>786</v>
      </c>
      <c r="T402">
        <v>1805413</v>
      </c>
      <c r="U402" t="s">
        <v>787</v>
      </c>
      <c r="V402" s="1" t="s">
        <v>46</v>
      </c>
      <c r="W402" s="17">
        <v>39789</v>
      </c>
      <c r="X402" s="18">
        <v>44958.327777777777</v>
      </c>
      <c r="Y40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88"/>
  <sheetViews>
    <sheetView workbookViewId="0">
      <pane ySplit="970" topLeftCell="A150" activePane="bottomLeft"/>
      <selection activeCell="D149" sqref="D149"/>
      <selection pane="bottomLeft" activeCell="D169" sqref="D169"/>
    </sheetView>
  </sheetViews>
  <sheetFormatPr defaultRowHeight="14.5" x14ac:dyDescent="0.35"/>
  <cols>
    <col min="2" max="2" width="9.6328125" bestFit="1" customWidth="1"/>
    <col min="3" max="3" width="24.81640625" bestFit="1" customWidth="1"/>
    <col min="4" max="4" width="38.453125" bestFit="1" customWidth="1"/>
  </cols>
  <sheetData>
    <row r="2" spans="2:13" x14ac:dyDescent="0.35">
      <c r="B2" s="13" t="s">
        <v>976</v>
      </c>
      <c r="C2" s="13" t="s">
        <v>974</v>
      </c>
      <c r="D2" s="13" t="s">
        <v>975</v>
      </c>
      <c r="E2" s="14" t="s">
        <v>33</v>
      </c>
      <c r="F2" s="14" t="s">
        <v>34</v>
      </c>
      <c r="G2" s="14" t="s">
        <v>35</v>
      </c>
      <c r="H2" s="15" t="s">
        <v>1</v>
      </c>
      <c r="I2" s="15" t="s">
        <v>36</v>
      </c>
      <c r="J2" s="15" t="s">
        <v>37</v>
      </c>
      <c r="K2" s="14" t="s">
        <v>2</v>
      </c>
      <c r="L2" s="14" t="s">
        <v>38</v>
      </c>
      <c r="M2" s="14" t="s">
        <v>39</v>
      </c>
    </row>
    <row r="3" spans="2:13" x14ac:dyDescent="0.35">
      <c r="B3" t="s">
        <v>848</v>
      </c>
      <c r="C3" t="s">
        <v>884</v>
      </c>
      <c r="D3" t="s">
        <v>885</v>
      </c>
      <c r="E3">
        <v>3</v>
      </c>
      <c r="F3">
        <v>0</v>
      </c>
      <c r="G3">
        <v>3</v>
      </c>
      <c r="H3">
        <v>3</v>
      </c>
      <c r="I3">
        <v>0</v>
      </c>
      <c r="J3">
        <v>3</v>
      </c>
      <c r="K3">
        <v>0</v>
      </c>
      <c r="L3">
        <v>0</v>
      </c>
      <c r="M3">
        <v>0</v>
      </c>
    </row>
    <row r="4" spans="2:13" x14ac:dyDescent="0.35">
      <c r="B4" t="s">
        <v>848</v>
      </c>
      <c r="C4" t="s">
        <v>884</v>
      </c>
      <c r="D4" t="s">
        <v>553</v>
      </c>
      <c r="E4">
        <v>1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</row>
    <row r="5" spans="2:13" x14ac:dyDescent="0.35">
      <c r="B5" t="s">
        <v>848</v>
      </c>
      <c r="C5" t="s">
        <v>884</v>
      </c>
      <c r="D5" t="s">
        <v>554</v>
      </c>
      <c r="E5">
        <v>1080</v>
      </c>
      <c r="F5">
        <v>1</v>
      </c>
      <c r="G5">
        <v>1079</v>
      </c>
      <c r="H5">
        <v>1080</v>
      </c>
      <c r="I5">
        <v>1</v>
      </c>
      <c r="J5">
        <v>1079</v>
      </c>
      <c r="K5">
        <v>0</v>
      </c>
      <c r="L5">
        <v>0</v>
      </c>
      <c r="M5">
        <v>0</v>
      </c>
    </row>
    <row r="6" spans="2:13" x14ac:dyDescent="0.35">
      <c r="B6" t="s">
        <v>848</v>
      </c>
      <c r="C6" t="s">
        <v>884</v>
      </c>
      <c r="D6" t="s">
        <v>390</v>
      </c>
      <c r="E6">
        <v>18914</v>
      </c>
      <c r="F6">
        <v>17910</v>
      </c>
      <c r="G6">
        <v>1004</v>
      </c>
      <c r="H6">
        <v>18402</v>
      </c>
      <c r="I6">
        <v>17457</v>
      </c>
      <c r="J6">
        <v>945</v>
      </c>
      <c r="K6">
        <v>512</v>
      </c>
      <c r="L6">
        <v>453</v>
      </c>
      <c r="M6">
        <v>59</v>
      </c>
    </row>
    <row r="7" spans="2:13" x14ac:dyDescent="0.35">
      <c r="B7" t="s">
        <v>848</v>
      </c>
      <c r="C7" t="s">
        <v>884</v>
      </c>
      <c r="D7" t="s">
        <v>594</v>
      </c>
      <c r="E7">
        <v>1264</v>
      </c>
      <c r="F7">
        <v>340</v>
      </c>
      <c r="G7">
        <v>924</v>
      </c>
      <c r="H7">
        <v>1250</v>
      </c>
      <c r="I7">
        <v>336</v>
      </c>
      <c r="J7">
        <v>914</v>
      </c>
      <c r="K7">
        <v>14</v>
      </c>
      <c r="L7">
        <v>4</v>
      </c>
      <c r="M7">
        <v>10</v>
      </c>
    </row>
    <row r="8" spans="2:13" x14ac:dyDescent="0.35">
      <c r="B8" t="s">
        <v>848</v>
      </c>
      <c r="C8" t="s">
        <v>884</v>
      </c>
      <c r="D8" t="s">
        <v>886</v>
      </c>
      <c r="E8">
        <v>9643</v>
      </c>
      <c r="F8">
        <v>9201</v>
      </c>
      <c r="G8">
        <v>441</v>
      </c>
      <c r="H8">
        <v>4593</v>
      </c>
      <c r="I8">
        <v>4544</v>
      </c>
      <c r="J8">
        <v>48</v>
      </c>
      <c r="K8">
        <v>5050</v>
      </c>
      <c r="L8">
        <v>4657</v>
      </c>
      <c r="M8">
        <v>393</v>
      </c>
    </row>
    <row r="9" spans="2:13" x14ac:dyDescent="0.35">
      <c r="B9" t="s">
        <v>848</v>
      </c>
      <c r="C9" t="s">
        <v>884</v>
      </c>
      <c r="D9" t="s">
        <v>887</v>
      </c>
      <c r="E9">
        <v>1686</v>
      </c>
      <c r="F9">
        <v>189</v>
      </c>
      <c r="G9">
        <v>1497</v>
      </c>
      <c r="H9">
        <v>1296</v>
      </c>
      <c r="I9">
        <v>2</v>
      </c>
      <c r="J9">
        <v>1294</v>
      </c>
      <c r="K9">
        <v>390</v>
      </c>
      <c r="L9">
        <v>187</v>
      </c>
      <c r="M9">
        <v>203</v>
      </c>
    </row>
    <row r="10" spans="2:13" x14ac:dyDescent="0.35">
      <c r="B10" t="s">
        <v>848</v>
      </c>
      <c r="C10" t="s">
        <v>884</v>
      </c>
      <c r="D10" t="s">
        <v>615</v>
      </c>
      <c r="E10">
        <v>1596</v>
      </c>
      <c r="F10">
        <v>397</v>
      </c>
      <c r="G10">
        <v>1199</v>
      </c>
      <c r="H10">
        <v>1583</v>
      </c>
      <c r="I10">
        <v>384</v>
      </c>
      <c r="J10">
        <v>1199</v>
      </c>
      <c r="K10">
        <v>13</v>
      </c>
      <c r="L10">
        <v>13</v>
      </c>
      <c r="M10">
        <v>0</v>
      </c>
    </row>
    <row r="11" spans="2:13" x14ac:dyDescent="0.35">
      <c r="B11" t="s">
        <v>848</v>
      </c>
      <c r="C11" t="s">
        <v>884</v>
      </c>
      <c r="D11" t="s">
        <v>888</v>
      </c>
      <c r="E11">
        <v>2035</v>
      </c>
      <c r="F11">
        <v>1949</v>
      </c>
      <c r="G11">
        <v>86</v>
      </c>
      <c r="H11">
        <v>1762</v>
      </c>
      <c r="I11">
        <v>1697</v>
      </c>
      <c r="J11">
        <v>65</v>
      </c>
      <c r="K11">
        <v>273</v>
      </c>
      <c r="L11">
        <v>252</v>
      </c>
      <c r="M11">
        <v>21</v>
      </c>
    </row>
    <row r="12" spans="2:13" x14ac:dyDescent="0.35">
      <c r="B12" t="s">
        <v>848</v>
      </c>
      <c r="C12" t="s">
        <v>884</v>
      </c>
      <c r="D12" t="s">
        <v>889</v>
      </c>
      <c r="E12">
        <v>100</v>
      </c>
      <c r="F12">
        <v>47</v>
      </c>
      <c r="G12">
        <v>53</v>
      </c>
      <c r="H12">
        <v>67</v>
      </c>
      <c r="I12">
        <v>20</v>
      </c>
      <c r="J12">
        <v>47</v>
      </c>
      <c r="K12">
        <v>33</v>
      </c>
      <c r="L12">
        <v>27</v>
      </c>
      <c r="M12">
        <v>6</v>
      </c>
    </row>
    <row r="13" spans="2:13" x14ac:dyDescent="0.35">
      <c r="B13" t="s">
        <v>848</v>
      </c>
      <c r="C13" t="s">
        <v>884</v>
      </c>
      <c r="D13" t="s">
        <v>777</v>
      </c>
      <c r="E13">
        <v>1689</v>
      </c>
      <c r="F13">
        <v>1559</v>
      </c>
      <c r="G13">
        <v>130</v>
      </c>
      <c r="H13">
        <v>1617</v>
      </c>
      <c r="I13">
        <v>1494</v>
      </c>
      <c r="J13">
        <v>123</v>
      </c>
      <c r="K13">
        <v>72</v>
      </c>
      <c r="L13">
        <v>65</v>
      </c>
      <c r="M13">
        <v>7</v>
      </c>
    </row>
    <row r="14" spans="2:13" x14ac:dyDescent="0.35">
      <c r="B14" t="s">
        <v>848</v>
      </c>
      <c r="C14" t="s">
        <v>884</v>
      </c>
      <c r="D14" t="s">
        <v>890</v>
      </c>
      <c r="E14">
        <v>500</v>
      </c>
      <c r="F14">
        <v>170</v>
      </c>
      <c r="G14">
        <v>330</v>
      </c>
      <c r="H14">
        <v>499</v>
      </c>
      <c r="I14">
        <v>170</v>
      </c>
      <c r="J14">
        <v>329</v>
      </c>
      <c r="K14">
        <v>1</v>
      </c>
      <c r="L14">
        <v>0</v>
      </c>
      <c r="M14">
        <v>1</v>
      </c>
    </row>
    <row r="15" spans="2:13" x14ac:dyDescent="0.35">
      <c r="B15" t="s">
        <v>848</v>
      </c>
      <c r="C15" t="s">
        <v>884</v>
      </c>
      <c r="D15" t="s">
        <v>891</v>
      </c>
      <c r="E15">
        <v>24</v>
      </c>
      <c r="F15">
        <v>2</v>
      </c>
      <c r="G15">
        <v>22</v>
      </c>
      <c r="H15">
        <v>21</v>
      </c>
      <c r="I15">
        <v>0</v>
      </c>
      <c r="J15">
        <v>21</v>
      </c>
      <c r="K15">
        <v>3</v>
      </c>
      <c r="L15">
        <v>2</v>
      </c>
      <c r="M15">
        <v>1</v>
      </c>
    </row>
    <row r="16" spans="2:13" x14ac:dyDescent="0.35">
      <c r="B16" t="s">
        <v>848</v>
      </c>
      <c r="C16" t="s">
        <v>884</v>
      </c>
      <c r="D16" t="s">
        <v>892</v>
      </c>
      <c r="E16">
        <v>535</v>
      </c>
      <c r="F16">
        <v>533</v>
      </c>
      <c r="G16">
        <v>2</v>
      </c>
      <c r="H16">
        <v>98</v>
      </c>
      <c r="I16">
        <v>98</v>
      </c>
      <c r="J16">
        <v>0</v>
      </c>
      <c r="K16">
        <v>437</v>
      </c>
      <c r="L16">
        <v>435</v>
      </c>
      <c r="M16">
        <v>2</v>
      </c>
    </row>
    <row r="17" spans="2:13" x14ac:dyDescent="0.35">
      <c r="B17" t="s">
        <v>848</v>
      </c>
      <c r="C17" t="s">
        <v>884</v>
      </c>
      <c r="D17" t="s">
        <v>893</v>
      </c>
      <c r="E17">
        <v>680</v>
      </c>
      <c r="F17">
        <v>568</v>
      </c>
      <c r="G17">
        <v>112</v>
      </c>
      <c r="H17">
        <v>74</v>
      </c>
      <c r="I17">
        <v>0</v>
      </c>
      <c r="J17">
        <v>74</v>
      </c>
      <c r="K17">
        <v>606</v>
      </c>
      <c r="L17">
        <v>568</v>
      </c>
      <c r="M17">
        <v>38</v>
      </c>
    </row>
    <row r="18" spans="2:13" x14ac:dyDescent="0.35">
      <c r="B18" t="s">
        <v>848</v>
      </c>
      <c r="C18" t="s">
        <v>884</v>
      </c>
      <c r="D18" t="s">
        <v>894</v>
      </c>
      <c r="E18">
        <v>13</v>
      </c>
      <c r="F18">
        <v>1</v>
      </c>
      <c r="G18">
        <v>12</v>
      </c>
      <c r="H18">
        <v>13</v>
      </c>
      <c r="I18">
        <v>1</v>
      </c>
      <c r="J18">
        <v>12</v>
      </c>
      <c r="K18">
        <v>0</v>
      </c>
      <c r="L18">
        <v>0</v>
      </c>
      <c r="M18">
        <v>0</v>
      </c>
    </row>
    <row r="19" spans="2:13" x14ac:dyDescent="0.35">
      <c r="B19" t="s">
        <v>848</v>
      </c>
      <c r="C19" t="s">
        <v>884</v>
      </c>
      <c r="D19" t="s">
        <v>118</v>
      </c>
      <c r="E19">
        <v>2871</v>
      </c>
      <c r="F19">
        <v>16</v>
      </c>
      <c r="G19">
        <v>2855</v>
      </c>
      <c r="H19">
        <v>2865</v>
      </c>
      <c r="I19">
        <v>15</v>
      </c>
      <c r="J19">
        <v>2850</v>
      </c>
      <c r="K19">
        <v>6</v>
      </c>
      <c r="L19">
        <v>1</v>
      </c>
      <c r="M19">
        <v>5</v>
      </c>
    </row>
    <row r="20" spans="2:13" x14ac:dyDescent="0.35">
      <c r="B20" t="s">
        <v>848</v>
      </c>
      <c r="C20" t="s">
        <v>884</v>
      </c>
      <c r="D20" t="s">
        <v>564</v>
      </c>
      <c r="E20">
        <v>7177</v>
      </c>
      <c r="F20">
        <v>6174</v>
      </c>
      <c r="G20">
        <v>1001</v>
      </c>
      <c r="H20">
        <v>7027</v>
      </c>
      <c r="I20">
        <v>6032</v>
      </c>
      <c r="J20">
        <v>993</v>
      </c>
      <c r="K20">
        <v>150</v>
      </c>
      <c r="L20">
        <v>142</v>
      </c>
      <c r="M20">
        <v>8</v>
      </c>
    </row>
    <row r="21" spans="2:13" x14ac:dyDescent="0.35">
      <c r="B21" t="s">
        <v>848</v>
      </c>
      <c r="C21" t="s">
        <v>884</v>
      </c>
      <c r="D21" t="s">
        <v>895</v>
      </c>
      <c r="E21">
        <v>831</v>
      </c>
      <c r="F21">
        <v>13</v>
      </c>
      <c r="G21">
        <v>818</v>
      </c>
      <c r="H21">
        <v>818</v>
      </c>
      <c r="I21">
        <v>0</v>
      </c>
      <c r="J21">
        <v>818</v>
      </c>
      <c r="K21">
        <v>13</v>
      </c>
      <c r="L21">
        <v>13</v>
      </c>
      <c r="M21">
        <v>0</v>
      </c>
    </row>
    <row r="22" spans="2:13" x14ac:dyDescent="0.35">
      <c r="B22" t="s">
        <v>848</v>
      </c>
      <c r="C22" t="s">
        <v>884</v>
      </c>
      <c r="D22" t="s">
        <v>896</v>
      </c>
      <c r="E22">
        <v>5</v>
      </c>
      <c r="F22">
        <v>4</v>
      </c>
      <c r="G22">
        <v>1</v>
      </c>
      <c r="H22">
        <v>4</v>
      </c>
      <c r="I22">
        <v>3</v>
      </c>
      <c r="J22">
        <v>1</v>
      </c>
      <c r="K22">
        <v>1</v>
      </c>
      <c r="L22">
        <v>1</v>
      </c>
      <c r="M22">
        <v>0</v>
      </c>
    </row>
    <row r="23" spans="2:13" x14ac:dyDescent="0.35">
      <c r="B23" t="s">
        <v>848</v>
      </c>
      <c r="C23" t="s">
        <v>884</v>
      </c>
      <c r="D23" t="s">
        <v>897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</row>
    <row r="24" spans="2:13" x14ac:dyDescent="0.35">
      <c r="B24" t="s">
        <v>848</v>
      </c>
      <c r="C24" t="s">
        <v>884</v>
      </c>
      <c r="D24" t="s">
        <v>898</v>
      </c>
      <c r="E24">
        <v>367</v>
      </c>
      <c r="F24">
        <v>305</v>
      </c>
      <c r="G24">
        <v>62</v>
      </c>
      <c r="H24">
        <v>49</v>
      </c>
      <c r="I24">
        <v>0</v>
      </c>
      <c r="J24">
        <v>49</v>
      </c>
      <c r="K24">
        <v>318</v>
      </c>
      <c r="L24">
        <v>305</v>
      </c>
      <c r="M24">
        <v>13</v>
      </c>
    </row>
    <row r="25" spans="2:13" x14ac:dyDescent="0.35">
      <c r="B25" t="s">
        <v>848</v>
      </c>
      <c r="C25" t="s">
        <v>884</v>
      </c>
      <c r="D25" t="s">
        <v>899</v>
      </c>
      <c r="E25">
        <v>47</v>
      </c>
      <c r="F25">
        <v>42</v>
      </c>
      <c r="G25">
        <v>5</v>
      </c>
      <c r="H25">
        <v>0</v>
      </c>
      <c r="I25">
        <v>0</v>
      </c>
      <c r="J25">
        <v>0</v>
      </c>
      <c r="K25">
        <v>47</v>
      </c>
      <c r="L25">
        <v>42</v>
      </c>
      <c r="M25">
        <v>5</v>
      </c>
    </row>
    <row r="26" spans="2:13" x14ac:dyDescent="0.35">
      <c r="B26" t="s">
        <v>848</v>
      </c>
      <c r="C26" t="s">
        <v>884</v>
      </c>
      <c r="D26" t="s">
        <v>900</v>
      </c>
      <c r="E26">
        <v>59</v>
      </c>
      <c r="F26">
        <v>11</v>
      </c>
      <c r="G26">
        <v>48</v>
      </c>
      <c r="H26">
        <v>51</v>
      </c>
      <c r="I26">
        <v>5</v>
      </c>
      <c r="J26">
        <v>46</v>
      </c>
      <c r="K26">
        <v>8</v>
      </c>
      <c r="L26">
        <v>6</v>
      </c>
      <c r="M26">
        <v>2</v>
      </c>
    </row>
    <row r="27" spans="2:13" x14ac:dyDescent="0.35">
      <c r="B27" t="s">
        <v>848</v>
      </c>
      <c r="C27" t="s">
        <v>884</v>
      </c>
      <c r="D27" t="s">
        <v>454</v>
      </c>
      <c r="E27">
        <v>18482</v>
      </c>
      <c r="F27">
        <v>18137</v>
      </c>
      <c r="G27">
        <v>345</v>
      </c>
      <c r="H27">
        <v>14672</v>
      </c>
      <c r="I27">
        <v>14619</v>
      </c>
      <c r="J27">
        <v>53</v>
      </c>
      <c r="K27">
        <v>3810</v>
      </c>
      <c r="L27">
        <v>3518</v>
      </c>
      <c r="M27">
        <v>292</v>
      </c>
    </row>
    <row r="28" spans="2:13" x14ac:dyDescent="0.35">
      <c r="B28" t="s">
        <v>848</v>
      </c>
      <c r="C28" t="s">
        <v>884</v>
      </c>
      <c r="D28" t="s">
        <v>901</v>
      </c>
      <c r="E28">
        <v>2</v>
      </c>
      <c r="F28">
        <v>0</v>
      </c>
      <c r="G28">
        <v>2</v>
      </c>
      <c r="H28">
        <v>2</v>
      </c>
      <c r="I28">
        <v>0</v>
      </c>
      <c r="J28">
        <v>2</v>
      </c>
      <c r="K28">
        <v>0</v>
      </c>
      <c r="L28">
        <v>0</v>
      </c>
      <c r="M28">
        <v>0</v>
      </c>
    </row>
    <row r="29" spans="2:13" x14ac:dyDescent="0.35">
      <c r="B29" t="s">
        <v>848</v>
      </c>
      <c r="C29" t="s">
        <v>884</v>
      </c>
      <c r="D29" t="s">
        <v>902</v>
      </c>
      <c r="E29">
        <v>18658</v>
      </c>
      <c r="F29">
        <v>18149</v>
      </c>
      <c r="G29">
        <v>509</v>
      </c>
      <c r="H29">
        <v>13459</v>
      </c>
      <c r="I29">
        <v>13155</v>
      </c>
      <c r="J29">
        <v>304</v>
      </c>
      <c r="K29">
        <v>5199</v>
      </c>
      <c r="L29">
        <v>4994</v>
      </c>
      <c r="M29">
        <v>205</v>
      </c>
    </row>
    <row r="30" spans="2:13" x14ac:dyDescent="0.35">
      <c r="B30" t="s">
        <v>848</v>
      </c>
      <c r="C30" t="s">
        <v>884</v>
      </c>
      <c r="D30" t="s">
        <v>903</v>
      </c>
      <c r="E30">
        <v>4091</v>
      </c>
      <c r="F30">
        <v>2033</v>
      </c>
      <c r="G30">
        <v>2058</v>
      </c>
      <c r="H30">
        <v>3866</v>
      </c>
      <c r="I30">
        <v>1926</v>
      </c>
      <c r="J30">
        <v>1940</v>
      </c>
      <c r="K30">
        <v>225</v>
      </c>
      <c r="L30">
        <v>107</v>
      </c>
      <c r="M30">
        <v>118</v>
      </c>
    </row>
    <row r="31" spans="2:13" x14ac:dyDescent="0.35">
      <c r="B31" t="s">
        <v>848</v>
      </c>
      <c r="C31" t="s">
        <v>884</v>
      </c>
      <c r="D31" t="s">
        <v>904</v>
      </c>
      <c r="E31">
        <v>1797</v>
      </c>
      <c r="F31">
        <v>1247</v>
      </c>
      <c r="G31">
        <v>550</v>
      </c>
      <c r="H31">
        <v>1581</v>
      </c>
      <c r="I31">
        <v>1047</v>
      </c>
      <c r="J31">
        <v>534</v>
      </c>
      <c r="K31">
        <v>216</v>
      </c>
      <c r="L31">
        <v>200</v>
      </c>
      <c r="M31">
        <v>16</v>
      </c>
    </row>
    <row r="32" spans="2:13" x14ac:dyDescent="0.35">
      <c r="B32" t="s">
        <v>848</v>
      </c>
      <c r="C32" t="s">
        <v>884</v>
      </c>
      <c r="D32" t="s">
        <v>905</v>
      </c>
      <c r="E32">
        <v>279</v>
      </c>
      <c r="F32">
        <v>21</v>
      </c>
      <c r="G32">
        <v>258</v>
      </c>
      <c r="H32">
        <v>277</v>
      </c>
      <c r="I32">
        <v>20</v>
      </c>
      <c r="J32">
        <v>257</v>
      </c>
      <c r="K32">
        <v>2</v>
      </c>
      <c r="L32">
        <v>1</v>
      </c>
      <c r="M32">
        <v>1</v>
      </c>
    </row>
    <row r="33" spans="2:13" x14ac:dyDescent="0.35">
      <c r="B33" t="s">
        <v>848</v>
      </c>
      <c r="C33" t="s">
        <v>884</v>
      </c>
      <c r="D33" t="s">
        <v>906</v>
      </c>
      <c r="E33">
        <v>6</v>
      </c>
      <c r="F33">
        <v>6</v>
      </c>
      <c r="G33">
        <v>0</v>
      </c>
      <c r="H33">
        <v>0</v>
      </c>
      <c r="I33">
        <v>0</v>
      </c>
      <c r="J33">
        <v>0</v>
      </c>
      <c r="K33">
        <v>6</v>
      </c>
      <c r="L33">
        <v>6</v>
      </c>
      <c r="M33">
        <v>0</v>
      </c>
    </row>
    <row r="34" spans="2:13" x14ac:dyDescent="0.35">
      <c r="B34" t="s">
        <v>848</v>
      </c>
      <c r="C34" t="s">
        <v>884</v>
      </c>
      <c r="D34" t="s">
        <v>652</v>
      </c>
      <c r="E34">
        <v>15223</v>
      </c>
      <c r="F34">
        <v>14515</v>
      </c>
      <c r="G34">
        <v>708</v>
      </c>
      <c r="H34">
        <v>15061</v>
      </c>
      <c r="I34">
        <v>14357</v>
      </c>
      <c r="J34">
        <v>704</v>
      </c>
      <c r="K34">
        <v>162</v>
      </c>
      <c r="L34">
        <v>158</v>
      </c>
      <c r="M34">
        <v>4</v>
      </c>
    </row>
    <row r="35" spans="2:13" x14ac:dyDescent="0.35">
      <c r="B35" t="s">
        <v>848</v>
      </c>
      <c r="C35" t="s">
        <v>884</v>
      </c>
      <c r="D35" t="s">
        <v>907</v>
      </c>
      <c r="E35">
        <v>1811</v>
      </c>
      <c r="F35">
        <v>377</v>
      </c>
      <c r="G35">
        <v>1434</v>
      </c>
      <c r="H35">
        <v>1781</v>
      </c>
      <c r="I35">
        <v>351</v>
      </c>
      <c r="J35">
        <v>1430</v>
      </c>
      <c r="K35">
        <v>30</v>
      </c>
      <c r="L35">
        <v>26</v>
      </c>
      <c r="M35">
        <v>4</v>
      </c>
    </row>
    <row r="36" spans="2:13" x14ac:dyDescent="0.35">
      <c r="B36" t="s">
        <v>848</v>
      </c>
      <c r="C36" t="s">
        <v>884</v>
      </c>
      <c r="D36" t="s">
        <v>908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</row>
    <row r="37" spans="2:13" x14ac:dyDescent="0.35">
      <c r="B37" t="s">
        <v>848</v>
      </c>
      <c r="C37" t="s">
        <v>884</v>
      </c>
      <c r="D37" t="s">
        <v>909</v>
      </c>
      <c r="E37">
        <v>4</v>
      </c>
      <c r="F37">
        <v>0</v>
      </c>
      <c r="G37">
        <v>4</v>
      </c>
      <c r="H37">
        <v>4</v>
      </c>
      <c r="I37">
        <v>0</v>
      </c>
      <c r="J37">
        <v>4</v>
      </c>
      <c r="K37">
        <v>0</v>
      </c>
      <c r="L37">
        <v>0</v>
      </c>
      <c r="M37">
        <v>0</v>
      </c>
    </row>
    <row r="38" spans="2:13" x14ac:dyDescent="0.35">
      <c r="B38" t="s">
        <v>848</v>
      </c>
      <c r="C38" t="s">
        <v>884</v>
      </c>
      <c r="D38" t="s">
        <v>910</v>
      </c>
      <c r="E38">
        <v>2963</v>
      </c>
      <c r="F38">
        <v>2943</v>
      </c>
      <c r="G38">
        <v>20</v>
      </c>
      <c r="H38">
        <v>2790</v>
      </c>
      <c r="I38">
        <v>2770</v>
      </c>
      <c r="J38">
        <v>20</v>
      </c>
      <c r="K38">
        <v>173</v>
      </c>
      <c r="L38">
        <v>173</v>
      </c>
      <c r="M38">
        <v>0</v>
      </c>
    </row>
    <row r="39" spans="2:13" x14ac:dyDescent="0.35">
      <c r="B39" t="s">
        <v>848</v>
      </c>
      <c r="C39" t="s">
        <v>884</v>
      </c>
      <c r="D39" t="s">
        <v>911</v>
      </c>
      <c r="E39">
        <v>11</v>
      </c>
      <c r="F39">
        <v>10</v>
      </c>
      <c r="G39">
        <v>1</v>
      </c>
      <c r="H39">
        <v>0</v>
      </c>
      <c r="I39">
        <v>0</v>
      </c>
      <c r="J39">
        <v>0</v>
      </c>
      <c r="K39">
        <v>11</v>
      </c>
      <c r="L39">
        <v>10</v>
      </c>
      <c r="M39">
        <v>1</v>
      </c>
    </row>
    <row r="40" spans="2:13" x14ac:dyDescent="0.35">
      <c r="B40" t="s">
        <v>848</v>
      </c>
      <c r="C40" t="s">
        <v>884</v>
      </c>
      <c r="D40" t="s">
        <v>912</v>
      </c>
      <c r="E40">
        <v>42</v>
      </c>
      <c r="F40">
        <v>41</v>
      </c>
      <c r="G40">
        <v>1</v>
      </c>
      <c r="H40">
        <v>0</v>
      </c>
      <c r="I40">
        <v>0</v>
      </c>
      <c r="J40">
        <v>0</v>
      </c>
      <c r="K40">
        <v>42</v>
      </c>
      <c r="L40">
        <v>41</v>
      </c>
      <c r="M40">
        <v>1</v>
      </c>
    </row>
    <row r="41" spans="2:13" x14ac:dyDescent="0.35">
      <c r="B41" t="s">
        <v>848</v>
      </c>
      <c r="C41" t="s">
        <v>884</v>
      </c>
      <c r="D41" t="s">
        <v>791</v>
      </c>
      <c r="E41">
        <v>4743</v>
      </c>
      <c r="F41">
        <v>3467</v>
      </c>
      <c r="G41">
        <v>1276</v>
      </c>
      <c r="H41">
        <v>4342</v>
      </c>
      <c r="I41">
        <v>3085</v>
      </c>
      <c r="J41">
        <v>1257</v>
      </c>
      <c r="K41">
        <v>401</v>
      </c>
      <c r="L41">
        <v>382</v>
      </c>
      <c r="M41">
        <v>19</v>
      </c>
    </row>
    <row r="42" spans="2:13" x14ac:dyDescent="0.35">
      <c r="B42" t="s">
        <v>848</v>
      </c>
      <c r="C42" t="s">
        <v>884</v>
      </c>
      <c r="D42" t="s">
        <v>913</v>
      </c>
      <c r="E42">
        <v>711</v>
      </c>
      <c r="F42">
        <v>48</v>
      </c>
      <c r="G42">
        <v>663</v>
      </c>
      <c r="H42">
        <v>701</v>
      </c>
      <c r="I42">
        <v>39</v>
      </c>
      <c r="J42">
        <v>662</v>
      </c>
      <c r="K42">
        <v>10</v>
      </c>
      <c r="L42">
        <v>9</v>
      </c>
      <c r="M42">
        <v>1</v>
      </c>
    </row>
    <row r="43" spans="2:13" x14ac:dyDescent="0.35">
      <c r="B43" t="s">
        <v>848</v>
      </c>
      <c r="C43" t="s">
        <v>884</v>
      </c>
      <c r="D43" t="s">
        <v>655</v>
      </c>
      <c r="E43">
        <v>10430</v>
      </c>
      <c r="F43">
        <v>9503</v>
      </c>
      <c r="G43">
        <v>927</v>
      </c>
      <c r="H43">
        <v>10099</v>
      </c>
      <c r="I43">
        <v>9188</v>
      </c>
      <c r="J43">
        <v>911</v>
      </c>
      <c r="K43">
        <v>331</v>
      </c>
      <c r="L43">
        <v>315</v>
      </c>
      <c r="M43">
        <v>16</v>
      </c>
    </row>
    <row r="44" spans="2:13" x14ac:dyDescent="0.35">
      <c r="B44" t="s">
        <v>848</v>
      </c>
      <c r="C44" t="s">
        <v>884</v>
      </c>
      <c r="D44" t="s">
        <v>914</v>
      </c>
      <c r="E44">
        <v>480</v>
      </c>
      <c r="F44">
        <v>129</v>
      </c>
      <c r="G44">
        <v>351</v>
      </c>
      <c r="H44">
        <v>473</v>
      </c>
      <c r="I44">
        <v>123</v>
      </c>
      <c r="J44">
        <v>350</v>
      </c>
      <c r="K44">
        <v>7</v>
      </c>
      <c r="L44">
        <v>6</v>
      </c>
      <c r="M44">
        <v>1</v>
      </c>
    </row>
    <row r="45" spans="2:13" x14ac:dyDescent="0.35">
      <c r="B45" t="s">
        <v>848</v>
      </c>
      <c r="C45" t="s">
        <v>884</v>
      </c>
      <c r="D45" t="s">
        <v>915</v>
      </c>
      <c r="E45">
        <v>228</v>
      </c>
      <c r="F45">
        <v>227</v>
      </c>
      <c r="G45">
        <v>1</v>
      </c>
      <c r="H45">
        <v>225</v>
      </c>
      <c r="I45">
        <v>224</v>
      </c>
      <c r="J45">
        <v>1</v>
      </c>
      <c r="K45">
        <v>3</v>
      </c>
      <c r="L45">
        <v>3</v>
      </c>
      <c r="M45">
        <v>0</v>
      </c>
    </row>
    <row r="46" spans="2:13" x14ac:dyDescent="0.35">
      <c r="B46" t="s">
        <v>848</v>
      </c>
      <c r="C46" t="s">
        <v>884</v>
      </c>
      <c r="D46" t="s">
        <v>916</v>
      </c>
      <c r="E46">
        <v>1757</v>
      </c>
      <c r="F46">
        <v>0</v>
      </c>
      <c r="G46">
        <v>1757</v>
      </c>
      <c r="H46">
        <v>1757</v>
      </c>
      <c r="I46">
        <v>0</v>
      </c>
      <c r="J46">
        <v>1757</v>
      </c>
      <c r="K46">
        <v>0</v>
      </c>
      <c r="L46">
        <v>0</v>
      </c>
      <c r="M46">
        <v>0</v>
      </c>
    </row>
    <row r="47" spans="2:13" x14ac:dyDescent="0.35">
      <c r="B47" t="s">
        <v>848</v>
      </c>
      <c r="C47" t="s">
        <v>884</v>
      </c>
      <c r="D47" t="s">
        <v>561</v>
      </c>
      <c r="E47">
        <v>14808</v>
      </c>
      <c r="F47">
        <v>13926</v>
      </c>
      <c r="G47">
        <v>881</v>
      </c>
      <c r="H47">
        <v>14699</v>
      </c>
      <c r="I47">
        <v>13823</v>
      </c>
      <c r="J47">
        <v>875</v>
      </c>
      <c r="K47">
        <v>109</v>
      </c>
      <c r="L47">
        <v>103</v>
      </c>
      <c r="M47">
        <v>6</v>
      </c>
    </row>
    <row r="48" spans="2:13" x14ac:dyDescent="0.35">
      <c r="B48" t="s">
        <v>848</v>
      </c>
      <c r="C48" t="s">
        <v>884</v>
      </c>
      <c r="D48" t="s">
        <v>755</v>
      </c>
      <c r="E48">
        <v>6513</v>
      </c>
      <c r="F48">
        <v>5877</v>
      </c>
      <c r="G48">
        <v>636</v>
      </c>
      <c r="H48">
        <v>5361</v>
      </c>
      <c r="I48">
        <v>4775</v>
      </c>
      <c r="J48">
        <v>586</v>
      </c>
      <c r="K48">
        <v>1152</v>
      </c>
      <c r="L48">
        <v>1102</v>
      </c>
      <c r="M48">
        <v>50</v>
      </c>
    </row>
    <row r="49" spans="2:13" x14ac:dyDescent="0.35">
      <c r="B49" t="s">
        <v>848</v>
      </c>
      <c r="C49" t="s">
        <v>884</v>
      </c>
      <c r="D49" t="s">
        <v>917</v>
      </c>
      <c r="E49">
        <v>1621</v>
      </c>
      <c r="F49">
        <v>456</v>
      </c>
      <c r="G49">
        <v>1165</v>
      </c>
      <c r="H49">
        <v>1593</v>
      </c>
      <c r="I49">
        <v>441</v>
      </c>
      <c r="J49">
        <v>1152</v>
      </c>
      <c r="K49">
        <v>28</v>
      </c>
      <c r="L49">
        <v>15</v>
      </c>
      <c r="M49">
        <v>13</v>
      </c>
    </row>
    <row r="50" spans="2:13" x14ac:dyDescent="0.35">
      <c r="B50" t="s">
        <v>848</v>
      </c>
      <c r="C50" t="s">
        <v>884</v>
      </c>
      <c r="D50" t="s">
        <v>121</v>
      </c>
      <c r="E50">
        <v>28388</v>
      </c>
      <c r="F50">
        <v>27449</v>
      </c>
      <c r="G50">
        <v>939</v>
      </c>
      <c r="H50">
        <v>24636</v>
      </c>
      <c r="I50">
        <v>23879</v>
      </c>
      <c r="J50">
        <v>757</v>
      </c>
      <c r="K50">
        <v>3752</v>
      </c>
      <c r="L50">
        <v>3570</v>
      </c>
      <c r="M50">
        <v>182</v>
      </c>
    </row>
    <row r="51" spans="2:13" x14ac:dyDescent="0.35">
      <c r="B51" t="s">
        <v>848</v>
      </c>
      <c r="C51" t="s">
        <v>884</v>
      </c>
      <c r="D51" t="s">
        <v>585</v>
      </c>
      <c r="E51">
        <v>7869</v>
      </c>
      <c r="F51">
        <v>5120</v>
      </c>
      <c r="G51">
        <v>2749</v>
      </c>
      <c r="H51">
        <v>7749</v>
      </c>
      <c r="I51">
        <v>5068</v>
      </c>
      <c r="J51">
        <v>2681</v>
      </c>
      <c r="K51">
        <v>120</v>
      </c>
      <c r="L51">
        <v>52</v>
      </c>
      <c r="M51">
        <v>68</v>
      </c>
    </row>
    <row r="52" spans="2:13" x14ac:dyDescent="0.35">
      <c r="B52" t="s">
        <v>848</v>
      </c>
      <c r="C52" t="s">
        <v>884</v>
      </c>
      <c r="D52" t="s">
        <v>918</v>
      </c>
      <c r="E52">
        <v>364</v>
      </c>
      <c r="F52">
        <v>362</v>
      </c>
      <c r="G52">
        <v>2</v>
      </c>
      <c r="H52">
        <v>355</v>
      </c>
      <c r="I52">
        <v>353</v>
      </c>
      <c r="J52">
        <v>2</v>
      </c>
      <c r="K52">
        <v>9</v>
      </c>
      <c r="L52">
        <v>9</v>
      </c>
      <c r="M52">
        <v>0</v>
      </c>
    </row>
    <row r="53" spans="2:13" x14ac:dyDescent="0.35">
      <c r="B53" t="s">
        <v>848</v>
      </c>
      <c r="C53" t="s">
        <v>884</v>
      </c>
      <c r="D53" t="s">
        <v>919</v>
      </c>
      <c r="E53">
        <v>509</v>
      </c>
      <c r="F53">
        <v>439</v>
      </c>
      <c r="G53">
        <v>70</v>
      </c>
      <c r="H53">
        <v>0</v>
      </c>
      <c r="I53">
        <v>0</v>
      </c>
      <c r="J53">
        <v>0</v>
      </c>
      <c r="K53">
        <v>509</v>
      </c>
      <c r="L53">
        <v>439</v>
      </c>
      <c r="M53">
        <v>70</v>
      </c>
    </row>
    <row r="54" spans="2:13" x14ac:dyDescent="0.35">
      <c r="B54" t="s">
        <v>848</v>
      </c>
      <c r="C54" t="s">
        <v>884</v>
      </c>
      <c r="D54" t="s">
        <v>920</v>
      </c>
      <c r="E54">
        <v>468</v>
      </c>
      <c r="F54">
        <v>240</v>
      </c>
      <c r="G54">
        <v>228</v>
      </c>
      <c r="H54">
        <v>382</v>
      </c>
      <c r="I54">
        <v>174</v>
      </c>
      <c r="J54">
        <v>208</v>
      </c>
      <c r="K54">
        <v>86</v>
      </c>
      <c r="L54">
        <v>66</v>
      </c>
      <c r="M54">
        <v>20</v>
      </c>
    </row>
    <row r="55" spans="2:13" x14ac:dyDescent="0.35">
      <c r="B55" t="s">
        <v>848</v>
      </c>
      <c r="C55" t="s">
        <v>884</v>
      </c>
      <c r="D55" t="s">
        <v>662</v>
      </c>
      <c r="E55">
        <v>12042</v>
      </c>
      <c r="F55">
        <v>11400</v>
      </c>
      <c r="G55">
        <v>642</v>
      </c>
      <c r="H55">
        <v>11332</v>
      </c>
      <c r="I55">
        <v>10765</v>
      </c>
      <c r="J55">
        <v>567</v>
      </c>
      <c r="K55">
        <v>710</v>
      </c>
      <c r="L55">
        <v>635</v>
      </c>
      <c r="M55">
        <v>75</v>
      </c>
    </row>
    <row r="56" spans="2:13" x14ac:dyDescent="0.35">
      <c r="B56" t="s">
        <v>848</v>
      </c>
      <c r="C56" t="s">
        <v>884</v>
      </c>
      <c r="D56" t="s">
        <v>921</v>
      </c>
      <c r="E56">
        <v>1326</v>
      </c>
      <c r="F56">
        <v>737</v>
      </c>
      <c r="G56">
        <v>589</v>
      </c>
      <c r="H56">
        <v>1279</v>
      </c>
      <c r="I56">
        <v>694</v>
      </c>
      <c r="J56">
        <v>585</v>
      </c>
      <c r="K56">
        <v>47</v>
      </c>
      <c r="L56">
        <v>43</v>
      </c>
      <c r="M56">
        <v>4</v>
      </c>
    </row>
    <row r="57" spans="2:13" x14ac:dyDescent="0.35">
      <c r="B57" t="s">
        <v>848</v>
      </c>
      <c r="C57" t="s">
        <v>884</v>
      </c>
      <c r="D57" t="s">
        <v>922</v>
      </c>
      <c r="E57">
        <v>7432</v>
      </c>
      <c r="F57">
        <v>0</v>
      </c>
      <c r="G57">
        <v>7432</v>
      </c>
      <c r="H57">
        <v>7432</v>
      </c>
      <c r="I57">
        <v>0</v>
      </c>
      <c r="J57">
        <v>7432</v>
      </c>
      <c r="K57">
        <v>0</v>
      </c>
      <c r="L57">
        <v>0</v>
      </c>
      <c r="M57">
        <v>0</v>
      </c>
    </row>
    <row r="58" spans="2:13" x14ac:dyDescent="0.35">
      <c r="B58" t="s">
        <v>848</v>
      </c>
      <c r="C58" t="s">
        <v>884</v>
      </c>
      <c r="D58" t="s">
        <v>923</v>
      </c>
      <c r="E58">
        <v>44</v>
      </c>
      <c r="F58">
        <v>42</v>
      </c>
      <c r="G58">
        <v>2</v>
      </c>
      <c r="H58">
        <v>8</v>
      </c>
      <c r="I58">
        <v>7</v>
      </c>
      <c r="J58">
        <v>1</v>
      </c>
      <c r="K58">
        <v>36</v>
      </c>
      <c r="L58">
        <v>35</v>
      </c>
      <c r="M58">
        <v>1</v>
      </c>
    </row>
    <row r="59" spans="2:13" x14ac:dyDescent="0.35">
      <c r="B59" t="s">
        <v>848</v>
      </c>
      <c r="C59" t="s">
        <v>884</v>
      </c>
      <c r="D59" t="s">
        <v>924</v>
      </c>
      <c r="E59">
        <v>101</v>
      </c>
      <c r="F59">
        <v>93</v>
      </c>
      <c r="G59">
        <v>8</v>
      </c>
      <c r="H59">
        <v>7</v>
      </c>
      <c r="I59">
        <v>7</v>
      </c>
      <c r="J59">
        <v>0</v>
      </c>
      <c r="K59">
        <v>94</v>
      </c>
      <c r="L59">
        <v>86</v>
      </c>
      <c r="M59">
        <v>8</v>
      </c>
    </row>
    <row r="60" spans="2:13" x14ac:dyDescent="0.35">
      <c r="B60" t="s">
        <v>848</v>
      </c>
      <c r="C60" t="s">
        <v>884</v>
      </c>
      <c r="D60" t="s">
        <v>925</v>
      </c>
      <c r="E60">
        <v>65</v>
      </c>
      <c r="F60">
        <v>60</v>
      </c>
      <c r="G60">
        <v>5</v>
      </c>
      <c r="H60">
        <v>12</v>
      </c>
      <c r="I60">
        <v>12</v>
      </c>
      <c r="J60">
        <v>0</v>
      </c>
      <c r="K60">
        <v>53</v>
      </c>
      <c r="L60">
        <v>48</v>
      </c>
      <c r="M60">
        <v>5</v>
      </c>
    </row>
    <row r="61" spans="2:13" x14ac:dyDescent="0.35">
      <c r="B61" t="s">
        <v>848</v>
      </c>
      <c r="C61" t="s">
        <v>884</v>
      </c>
      <c r="D61" t="s">
        <v>926</v>
      </c>
      <c r="E61">
        <v>109</v>
      </c>
      <c r="F61">
        <v>99</v>
      </c>
      <c r="G61">
        <v>10</v>
      </c>
      <c r="H61">
        <v>0</v>
      </c>
      <c r="I61">
        <v>0</v>
      </c>
      <c r="J61">
        <v>0</v>
      </c>
      <c r="K61">
        <v>109</v>
      </c>
      <c r="L61">
        <v>99</v>
      </c>
      <c r="M61">
        <v>10</v>
      </c>
    </row>
    <row r="62" spans="2:13" x14ac:dyDescent="0.35">
      <c r="B62" t="s">
        <v>848</v>
      </c>
      <c r="C62" t="s">
        <v>884</v>
      </c>
      <c r="D62" t="s">
        <v>927</v>
      </c>
      <c r="E62">
        <v>88</v>
      </c>
      <c r="F62">
        <v>79</v>
      </c>
      <c r="G62">
        <v>9</v>
      </c>
      <c r="H62">
        <v>2</v>
      </c>
      <c r="I62">
        <v>2</v>
      </c>
      <c r="J62">
        <v>0</v>
      </c>
      <c r="K62">
        <v>86</v>
      </c>
      <c r="L62">
        <v>77</v>
      </c>
      <c r="M62">
        <v>9</v>
      </c>
    </row>
    <row r="63" spans="2:13" x14ac:dyDescent="0.35">
      <c r="B63" t="s">
        <v>848</v>
      </c>
      <c r="C63" t="s">
        <v>884</v>
      </c>
      <c r="D63" t="s">
        <v>928</v>
      </c>
      <c r="E63">
        <v>114</v>
      </c>
      <c r="F63">
        <v>108</v>
      </c>
      <c r="G63">
        <v>6</v>
      </c>
      <c r="H63">
        <v>3</v>
      </c>
      <c r="I63">
        <v>3</v>
      </c>
      <c r="J63">
        <v>0</v>
      </c>
      <c r="K63">
        <v>111</v>
      </c>
      <c r="L63">
        <v>105</v>
      </c>
      <c r="M63">
        <v>6</v>
      </c>
    </row>
    <row r="64" spans="2:13" x14ac:dyDescent="0.35">
      <c r="B64" t="s">
        <v>848</v>
      </c>
      <c r="C64" t="s">
        <v>884</v>
      </c>
      <c r="D64" t="s">
        <v>929</v>
      </c>
      <c r="E64">
        <v>299</v>
      </c>
      <c r="F64">
        <v>286</v>
      </c>
      <c r="G64">
        <v>13</v>
      </c>
      <c r="H64">
        <v>12</v>
      </c>
      <c r="I64">
        <v>12</v>
      </c>
      <c r="J64">
        <v>0</v>
      </c>
      <c r="K64">
        <v>287</v>
      </c>
      <c r="L64">
        <v>274</v>
      </c>
      <c r="M64">
        <v>13</v>
      </c>
    </row>
    <row r="65" spans="2:13" x14ac:dyDescent="0.35">
      <c r="B65" t="s">
        <v>848</v>
      </c>
      <c r="C65" t="s">
        <v>884</v>
      </c>
      <c r="D65" t="s">
        <v>930</v>
      </c>
      <c r="E65">
        <v>107</v>
      </c>
      <c r="F65">
        <v>105</v>
      </c>
      <c r="G65">
        <v>2</v>
      </c>
      <c r="H65">
        <v>1</v>
      </c>
      <c r="I65">
        <v>1</v>
      </c>
      <c r="J65">
        <v>0</v>
      </c>
      <c r="K65">
        <v>106</v>
      </c>
      <c r="L65">
        <v>104</v>
      </c>
      <c r="M65">
        <v>2</v>
      </c>
    </row>
    <row r="66" spans="2:13" x14ac:dyDescent="0.35">
      <c r="B66" t="s">
        <v>848</v>
      </c>
      <c r="C66" t="s">
        <v>884</v>
      </c>
      <c r="D66" t="s">
        <v>931</v>
      </c>
      <c r="E66">
        <v>112</v>
      </c>
      <c r="F66">
        <v>111</v>
      </c>
      <c r="G66">
        <v>1</v>
      </c>
      <c r="H66">
        <v>39</v>
      </c>
      <c r="I66">
        <v>39</v>
      </c>
      <c r="J66">
        <v>0</v>
      </c>
      <c r="K66">
        <v>73</v>
      </c>
      <c r="L66">
        <v>72</v>
      </c>
      <c r="M66">
        <v>1</v>
      </c>
    </row>
    <row r="67" spans="2:13" x14ac:dyDescent="0.35">
      <c r="B67" t="s">
        <v>848</v>
      </c>
      <c r="C67" t="s">
        <v>884</v>
      </c>
      <c r="D67" t="s">
        <v>932</v>
      </c>
      <c r="E67">
        <v>83</v>
      </c>
      <c r="F67">
        <v>79</v>
      </c>
      <c r="G67">
        <v>4</v>
      </c>
      <c r="H67">
        <v>4</v>
      </c>
      <c r="I67">
        <v>3</v>
      </c>
      <c r="J67">
        <v>1</v>
      </c>
      <c r="K67">
        <v>79</v>
      </c>
      <c r="L67">
        <v>76</v>
      </c>
      <c r="M67">
        <v>3</v>
      </c>
    </row>
    <row r="68" spans="2:13" x14ac:dyDescent="0.35">
      <c r="B68" t="s">
        <v>848</v>
      </c>
      <c r="C68" t="s">
        <v>884</v>
      </c>
      <c r="D68" t="s">
        <v>933</v>
      </c>
      <c r="E68">
        <v>3</v>
      </c>
      <c r="F68">
        <v>3</v>
      </c>
      <c r="G68">
        <v>0</v>
      </c>
      <c r="H68">
        <v>0</v>
      </c>
      <c r="I68">
        <v>0</v>
      </c>
      <c r="J68">
        <v>0</v>
      </c>
      <c r="K68">
        <v>3</v>
      </c>
      <c r="L68">
        <v>3</v>
      </c>
      <c r="M68">
        <v>0</v>
      </c>
    </row>
    <row r="69" spans="2:13" x14ac:dyDescent="0.35">
      <c r="B69" t="s">
        <v>848</v>
      </c>
      <c r="C69" t="s">
        <v>884</v>
      </c>
      <c r="D69" t="s">
        <v>934</v>
      </c>
      <c r="E69">
        <v>7</v>
      </c>
      <c r="F69">
        <v>7</v>
      </c>
      <c r="G69">
        <v>0</v>
      </c>
      <c r="H69">
        <v>0</v>
      </c>
      <c r="I69">
        <v>0</v>
      </c>
      <c r="J69">
        <v>0</v>
      </c>
      <c r="K69">
        <v>7</v>
      </c>
      <c r="L69">
        <v>7</v>
      </c>
      <c r="M69">
        <v>0</v>
      </c>
    </row>
    <row r="70" spans="2:13" x14ac:dyDescent="0.35">
      <c r="B70" t="s">
        <v>848</v>
      </c>
      <c r="C70" t="s">
        <v>884</v>
      </c>
      <c r="D70" t="s">
        <v>935</v>
      </c>
      <c r="E70">
        <v>1428</v>
      </c>
      <c r="F70">
        <v>1369</v>
      </c>
      <c r="G70">
        <v>59</v>
      </c>
      <c r="H70">
        <v>1335</v>
      </c>
      <c r="I70">
        <v>1282</v>
      </c>
      <c r="J70">
        <v>53</v>
      </c>
      <c r="K70">
        <v>93</v>
      </c>
      <c r="L70">
        <v>87</v>
      </c>
      <c r="M70">
        <v>6</v>
      </c>
    </row>
    <row r="71" spans="2:13" x14ac:dyDescent="0.35">
      <c r="B71" t="s">
        <v>848</v>
      </c>
      <c r="C71" t="s">
        <v>884</v>
      </c>
      <c r="D71" t="s">
        <v>936</v>
      </c>
      <c r="E71">
        <v>95</v>
      </c>
      <c r="F71">
        <v>30</v>
      </c>
      <c r="G71">
        <v>65</v>
      </c>
      <c r="H71">
        <v>63</v>
      </c>
      <c r="I71">
        <v>2</v>
      </c>
      <c r="J71">
        <v>61</v>
      </c>
      <c r="K71">
        <v>32</v>
      </c>
      <c r="L71">
        <v>28</v>
      </c>
      <c r="M71">
        <v>4</v>
      </c>
    </row>
    <row r="72" spans="2:13" x14ac:dyDescent="0.35">
      <c r="B72" t="s">
        <v>848</v>
      </c>
      <c r="C72" t="s">
        <v>884</v>
      </c>
      <c r="D72" t="s">
        <v>709</v>
      </c>
      <c r="E72">
        <v>1797</v>
      </c>
      <c r="F72">
        <v>1746</v>
      </c>
      <c r="G72">
        <v>51</v>
      </c>
      <c r="H72">
        <v>1532</v>
      </c>
      <c r="I72">
        <v>1491</v>
      </c>
      <c r="J72">
        <v>41</v>
      </c>
      <c r="K72">
        <v>265</v>
      </c>
      <c r="L72">
        <v>255</v>
      </c>
      <c r="M72">
        <v>10</v>
      </c>
    </row>
    <row r="73" spans="2:13" x14ac:dyDescent="0.35">
      <c r="B73" t="s">
        <v>848</v>
      </c>
      <c r="C73" t="s">
        <v>884</v>
      </c>
      <c r="D73" t="s">
        <v>937</v>
      </c>
      <c r="E73">
        <v>777</v>
      </c>
      <c r="F73">
        <v>514</v>
      </c>
      <c r="G73">
        <v>263</v>
      </c>
      <c r="H73">
        <v>721</v>
      </c>
      <c r="I73">
        <v>462</v>
      </c>
      <c r="J73">
        <v>259</v>
      </c>
      <c r="K73">
        <v>56</v>
      </c>
      <c r="L73">
        <v>52</v>
      </c>
      <c r="M73">
        <v>4</v>
      </c>
    </row>
    <row r="74" spans="2:13" x14ac:dyDescent="0.35">
      <c r="B74" t="s">
        <v>848</v>
      </c>
      <c r="C74" t="s">
        <v>884</v>
      </c>
      <c r="D74" t="s">
        <v>715</v>
      </c>
      <c r="E74">
        <v>6447</v>
      </c>
      <c r="F74">
        <v>6375</v>
      </c>
      <c r="G74">
        <v>72</v>
      </c>
      <c r="H74">
        <v>6412</v>
      </c>
      <c r="I74">
        <v>6343</v>
      </c>
      <c r="J74">
        <v>69</v>
      </c>
      <c r="K74">
        <v>35</v>
      </c>
      <c r="L74">
        <v>32</v>
      </c>
      <c r="M74">
        <v>3</v>
      </c>
    </row>
    <row r="75" spans="2:13" x14ac:dyDescent="0.35">
      <c r="B75" t="s">
        <v>848</v>
      </c>
      <c r="C75" t="s">
        <v>884</v>
      </c>
      <c r="D75" t="s">
        <v>734</v>
      </c>
      <c r="E75">
        <v>1097</v>
      </c>
      <c r="F75">
        <v>364</v>
      </c>
      <c r="G75">
        <v>733</v>
      </c>
      <c r="H75">
        <v>1057</v>
      </c>
      <c r="I75">
        <v>325</v>
      </c>
      <c r="J75">
        <v>732</v>
      </c>
      <c r="K75">
        <v>40</v>
      </c>
      <c r="L75">
        <v>39</v>
      </c>
      <c r="M75">
        <v>1</v>
      </c>
    </row>
    <row r="76" spans="2:13" x14ac:dyDescent="0.35">
      <c r="B76" t="s">
        <v>848</v>
      </c>
      <c r="C76" t="s">
        <v>884</v>
      </c>
      <c r="D76" t="s">
        <v>938</v>
      </c>
      <c r="E76">
        <v>1878</v>
      </c>
      <c r="F76">
        <v>1645</v>
      </c>
      <c r="G76">
        <v>233</v>
      </c>
      <c r="H76">
        <v>1726</v>
      </c>
      <c r="I76">
        <v>1504</v>
      </c>
      <c r="J76">
        <v>222</v>
      </c>
      <c r="K76">
        <v>152</v>
      </c>
      <c r="L76">
        <v>141</v>
      </c>
      <c r="M76">
        <v>11</v>
      </c>
    </row>
    <row r="77" spans="2:13" x14ac:dyDescent="0.35">
      <c r="B77" t="s">
        <v>848</v>
      </c>
      <c r="C77" t="s">
        <v>884</v>
      </c>
      <c r="D77" t="s">
        <v>939</v>
      </c>
      <c r="E77">
        <v>770</v>
      </c>
      <c r="F77">
        <v>63</v>
      </c>
      <c r="G77">
        <v>707</v>
      </c>
      <c r="H77">
        <v>739</v>
      </c>
      <c r="I77">
        <v>35</v>
      </c>
      <c r="J77">
        <v>704</v>
      </c>
      <c r="K77">
        <v>31</v>
      </c>
      <c r="L77">
        <v>28</v>
      </c>
      <c r="M77">
        <v>3</v>
      </c>
    </row>
    <row r="78" spans="2:13" x14ac:dyDescent="0.35">
      <c r="B78" t="s">
        <v>848</v>
      </c>
      <c r="C78" t="s">
        <v>884</v>
      </c>
      <c r="D78" t="s">
        <v>940</v>
      </c>
      <c r="E78">
        <v>57</v>
      </c>
      <c r="F78">
        <v>33</v>
      </c>
      <c r="G78">
        <v>24</v>
      </c>
      <c r="H78">
        <v>39</v>
      </c>
      <c r="I78">
        <v>15</v>
      </c>
      <c r="J78">
        <v>24</v>
      </c>
      <c r="K78">
        <v>18</v>
      </c>
      <c r="L78">
        <v>18</v>
      </c>
      <c r="M78">
        <v>0</v>
      </c>
    </row>
    <row r="79" spans="2:13" x14ac:dyDescent="0.35">
      <c r="B79" t="s">
        <v>848</v>
      </c>
      <c r="C79" t="s">
        <v>884</v>
      </c>
      <c r="D79" t="s">
        <v>941</v>
      </c>
      <c r="E79">
        <v>461</v>
      </c>
      <c r="F79">
        <v>411</v>
      </c>
      <c r="G79">
        <v>50</v>
      </c>
      <c r="H79">
        <v>348</v>
      </c>
      <c r="I79">
        <v>311</v>
      </c>
      <c r="J79">
        <v>37</v>
      </c>
      <c r="K79">
        <v>113</v>
      </c>
      <c r="L79">
        <v>100</v>
      </c>
      <c r="M79">
        <v>13</v>
      </c>
    </row>
    <row r="80" spans="2:13" x14ac:dyDescent="0.35">
      <c r="B80" t="s">
        <v>848</v>
      </c>
      <c r="C80" t="s">
        <v>884</v>
      </c>
      <c r="D80" t="s">
        <v>545</v>
      </c>
      <c r="E80">
        <v>4759</v>
      </c>
      <c r="F80">
        <v>4637</v>
      </c>
      <c r="G80">
        <v>122</v>
      </c>
      <c r="H80">
        <v>4511</v>
      </c>
      <c r="I80">
        <v>4404</v>
      </c>
      <c r="J80">
        <v>107</v>
      </c>
      <c r="K80">
        <v>248</v>
      </c>
      <c r="L80">
        <v>233</v>
      </c>
      <c r="M80">
        <v>15</v>
      </c>
    </row>
    <row r="81" spans="2:13" x14ac:dyDescent="0.35">
      <c r="B81" t="s">
        <v>848</v>
      </c>
      <c r="C81" t="s">
        <v>884</v>
      </c>
      <c r="D81" t="s">
        <v>942</v>
      </c>
      <c r="E81">
        <v>1098</v>
      </c>
      <c r="F81">
        <v>582</v>
      </c>
      <c r="G81">
        <v>516</v>
      </c>
      <c r="H81">
        <v>1073</v>
      </c>
      <c r="I81">
        <v>559</v>
      </c>
      <c r="J81">
        <v>514</v>
      </c>
      <c r="K81">
        <v>25</v>
      </c>
      <c r="L81">
        <v>23</v>
      </c>
      <c r="M81">
        <v>2</v>
      </c>
    </row>
    <row r="82" spans="2:13" x14ac:dyDescent="0.35">
      <c r="B82" t="s">
        <v>848</v>
      </c>
      <c r="C82" t="s">
        <v>884</v>
      </c>
      <c r="D82" t="s">
        <v>773</v>
      </c>
      <c r="E82">
        <v>2858</v>
      </c>
      <c r="F82">
        <v>2750</v>
      </c>
      <c r="G82">
        <v>108</v>
      </c>
      <c r="H82">
        <v>2703</v>
      </c>
      <c r="I82">
        <v>2606</v>
      </c>
      <c r="J82">
        <v>97</v>
      </c>
      <c r="K82">
        <v>155</v>
      </c>
      <c r="L82">
        <v>144</v>
      </c>
      <c r="M82">
        <v>11</v>
      </c>
    </row>
    <row r="83" spans="2:13" x14ac:dyDescent="0.35">
      <c r="B83" t="s">
        <v>848</v>
      </c>
      <c r="C83" t="s">
        <v>884</v>
      </c>
      <c r="D83" t="s">
        <v>943</v>
      </c>
      <c r="E83">
        <v>239</v>
      </c>
      <c r="F83">
        <v>124</v>
      </c>
      <c r="G83">
        <v>115</v>
      </c>
      <c r="H83">
        <v>198</v>
      </c>
      <c r="I83">
        <v>89</v>
      </c>
      <c r="J83">
        <v>109</v>
      </c>
      <c r="K83">
        <v>41</v>
      </c>
      <c r="L83">
        <v>35</v>
      </c>
      <c r="M83">
        <v>6</v>
      </c>
    </row>
    <row r="84" spans="2:13" x14ac:dyDescent="0.35">
      <c r="B84" t="s">
        <v>848</v>
      </c>
      <c r="C84" t="s">
        <v>884</v>
      </c>
      <c r="D84" t="s">
        <v>944</v>
      </c>
      <c r="E84">
        <v>17</v>
      </c>
      <c r="F84">
        <v>16</v>
      </c>
      <c r="G84">
        <v>1</v>
      </c>
      <c r="H84">
        <v>0</v>
      </c>
      <c r="I84">
        <v>0</v>
      </c>
      <c r="J84">
        <v>0</v>
      </c>
      <c r="K84">
        <v>17</v>
      </c>
      <c r="L84">
        <v>16</v>
      </c>
      <c r="M84">
        <v>1</v>
      </c>
    </row>
    <row r="85" spans="2:13" x14ac:dyDescent="0.35">
      <c r="B85" t="s">
        <v>848</v>
      </c>
      <c r="C85" t="s">
        <v>884</v>
      </c>
      <c r="D85" t="s">
        <v>945</v>
      </c>
      <c r="E85">
        <v>15</v>
      </c>
      <c r="F85">
        <v>15</v>
      </c>
      <c r="G85">
        <v>0</v>
      </c>
      <c r="H85">
        <v>0</v>
      </c>
      <c r="I85">
        <v>0</v>
      </c>
      <c r="J85">
        <v>0</v>
      </c>
      <c r="K85">
        <v>15</v>
      </c>
      <c r="L85">
        <v>15</v>
      </c>
      <c r="M85">
        <v>0</v>
      </c>
    </row>
    <row r="86" spans="2:13" x14ac:dyDescent="0.35">
      <c r="B86" t="s">
        <v>848</v>
      </c>
      <c r="C86" t="s">
        <v>884</v>
      </c>
      <c r="D86" t="s">
        <v>946</v>
      </c>
      <c r="E86">
        <v>4</v>
      </c>
      <c r="F86">
        <v>2</v>
      </c>
      <c r="G86">
        <v>2</v>
      </c>
      <c r="H86">
        <v>2</v>
      </c>
      <c r="I86">
        <v>1</v>
      </c>
      <c r="J86">
        <v>1</v>
      </c>
      <c r="K86">
        <v>2</v>
      </c>
      <c r="L86">
        <v>1</v>
      </c>
      <c r="M86">
        <v>1</v>
      </c>
    </row>
    <row r="87" spans="2:13" x14ac:dyDescent="0.35">
      <c r="B87" t="s">
        <v>848</v>
      </c>
      <c r="C87" t="s">
        <v>884</v>
      </c>
      <c r="D87" t="s">
        <v>947</v>
      </c>
      <c r="E87">
        <v>9</v>
      </c>
      <c r="F87">
        <v>9</v>
      </c>
      <c r="G87">
        <v>0</v>
      </c>
      <c r="H87">
        <v>1</v>
      </c>
      <c r="I87">
        <v>1</v>
      </c>
      <c r="J87">
        <v>0</v>
      </c>
      <c r="K87">
        <v>8</v>
      </c>
      <c r="L87">
        <v>8</v>
      </c>
      <c r="M87">
        <v>0</v>
      </c>
    </row>
    <row r="88" spans="2:13" x14ac:dyDescent="0.35">
      <c r="B88" t="s">
        <v>848</v>
      </c>
      <c r="C88" t="s">
        <v>884</v>
      </c>
      <c r="D88" t="s">
        <v>948</v>
      </c>
      <c r="E88">
        <v>6</v>
      </c>
      <c r="F88">
        <v>6</v>
      </c>
      <c r="G88">
        <v>0</v>
      </c>
      <c r="H88">
        <v>0</v>
      </c>
      <c r="I88">
        <v>0</v>
      </c>
      <c r="J88">
        <v>0</v>
      </c>
      <c r="K88">
        <v>6</v>
      </c>
      <c r="L88">
        <v>6</v>
      </c>
      <c r="M88">
        <v>0</v>
      </c>
    </row>
    <row r="89" spans="2:13" x14ac:dyDescent="0.35">
      <c r="B89" t="s">
        <v>848</v>
      </c>
      <c r="C89" t="s">
        <v>884</v>
      </c>
      <c r="D89" t="s">
        <v>949</v>
      </c>
      <c r="E89">
        <v>3</v>
      </c>
      <c r="F89">
        <v>3</v>
      </c>
      <c r="G89">
        <v>0</v>
      </c>
      <c r="H89">
        <v>3</v>
      </c>
      <c r="I89">
        <v>3</v>
      </c>
      <c r="J89">
        <v>0</v>
      </c>
      <c r="K89">
        <v>0</v>
      </c>
      <c r="L89">
        <v>0</v>
      </c>
      <c r="M89">
        <v>0</v>
      </c>
    </row>
    <row r="90" spans="2:13" x14ac:dyDescent="0.35">
      <c r="B90" t="s">
        <v>848</v>
      </c>
      <c r="C90" t="s">
        <v>884</v>
      </c>
      <c r="D90" t="s">
        <v>950</v>
      </c>
      <c r="E90">
        <v>2</v>
      </c>
      <c r="F90">
        <v>1</v>
      </c>
      <c r="G90">
        <v>1</v>
      </c>
      <c r="H90">
        <v>0</v>
      </c>
      <c r="I90">
        <v>0</v>
      </c>
      <c r="J90">
        <v>0</v>
      </c>
      <c r="K90">
        <v>2</v>
      </c>
      <c r="L90">
        <v>1</v>
      </c>
      <c r="M90">
        <v>1</v>
      </c>
    </row>
    <row r="91" spans="2:13" x14ac:dyDescent="0.35">
      <c r="B91" t="s">
        <v>848</v>
      </c>
      <c r="C91" t="s">
        <v>884</v>
      </c>
      <c r="D91" t="s">
        <v>951</v>
      </c>
      <c r="E91">
        <v>28</v>
      </c>
      <c r="F91">
        <v>27</v>
      </c>
      <c r="G91">
        <v>1</v>
      </c>
      <c r="H91">
        <v>3</v>
      </c>
      <c r="I91">
        <v>3</v>
      </c>
      <c r="J91">
        <v>0</v>
      </c>
      <c r="K91">
        <v>25</v>
      </c>
      <c r="L91">
        <v>24</v>
      </c>
      <c r="M91">
        <v>1</v>
      </c>
    </row>
    <row r="92" spans="2:13" x14ac:dyDescent="0.35">
      <c r="B92" t="s">
        <v>848</v>
      </c>
      <c r="C92" t="s">
        <v>884</v>
      </c>
      <c r="D92" t="s">
        <v>952</v>
      </c>
      <c r="E92">
        <v>4</v>
      </c>
      <c r="F92">
        <v>4</v>
      </c>
      <c r="G92">
        <v>0</v>
      </c>
      <c r="H92">
        <v>1</v>
      </c>
      <c r="I92">
        <v>1</v>
      </c>
      <c r="J92">
        <v>0</v>
      </c>
      <c r="K92">
        <v>3</v>
      </c>
      <c r="L92">
        <v>3</v>
      </c>
      <c r="M92">
        <v>0</v>
      </c>
    </row>
    <row r="93" spans="2:13" x14ac:dyDescent="0.35">
      <c r="B93" t="s">
        <v>848</v>
      </c>
      <c r="C93" t="s">
        <v>884</v>
      </c>
      <c r="D93" t="s">
        <v>953</v>
      </c>
      <c r="E93">
        <v>34</v>
      </c>
      <c r="F93">
        <v>31</v>
      </c>
      <c r="G93">
        <v>3</v>
      </c>
      <c r="H93">
        <v>0</v>
      </c>
      <c r="I93">
        <v>0</v>
      </c>
      <c r="J93">
        <v>0</v>
      </c>
      <c r="K93">
        <v>34</v>
      </c>
      <c r="L93">
        <v>31</v>
      </c>
      <c r="M93">
        <v>3</v>
      </c>
    </row>
    <row r="94" spans="2:13" x14ac:dyDescent="0.35">
      <c r="B94" t="s">
        <v>848</v>
      </c>
      <c r="C94" t="s">
        <v>884</v>
      </c>
      <c r="D94" t="s">
        <v>954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</row>
    <row r="95" spans="2:13" x14ac:dyDescent="0.35">
      <c r="B95" t="s">
        <v>848</v>
      </c>
      <c r="C95" t="s">
        <v>884</v>
      </c>
      <c r="D95" t="s">
        <v>955</v>
      </c>
      <c r="E95">
        <v>17</v>
      </c>
      <c r="F95">
        <v>14</v>
      </c>
      <c r="G95">
        <v>3</v>
      </c>
      <c r="H95">
        <v>0</v>
      </c>
      <c r="I95">
        <v>0</v>
      </c>
      <c r="J95">
        <v>0</v>
      </c>
      <c r="K95">
        <v>17</v>
      </c>
      <c r="L95">
        <v>14</v>
      </c>
      <c r="M95">
        <v>3</v>
      </c>
    </row>
    <row r="96" spans="2:13" x14ac:dyDescent="0.35">
      <c r="B96" t="s">
        <v>848</v>
      </c>
      <c r="C96" t="s">
        <v>884</v>
      </c>
      <c r="D96" t="s">
        <v>956</v>
      </c>
      <c r="E96">
        <v>47</v>
      </c>
      <c r="F96">
        <v>46</v>
      </c>
      <c r="G96">
        <v>1</v>
      </c>
      <c r="H96">
        <v>0</v>
      </c>
      <c r="I96">
        <v>0</v>
      </c>
      <c r="J96">
        <v>0</v>
      </c>
      <c r="K96">
        <v>47</v>
      </c>
      <c r="L96">
        <v>46</v>
      </c>
      <c r="M96">
        <v>1</v>
      </c>
    </row>
    <row r="97" spans="2:13" x14ac:dyDescent="0.35">
      <c r="B97" t="s">
        <v>848</v>
      </c>
      <c r="C97" t="s">
        <v>884</v>
      </c>
      <c r="D97" t="s">
        <v>957</v>
      </c>
      <c r="E97">
        <v>201</v>
      </c>
      <c r="F97">
        <v>189</v>
      </c>
      <c r="G97">
        <v>12</v>
      </c>
      <c r="H97">
        <v>1</v>
      </c>
      <c r="I97">
        <v>1</v>
      </c>
      <c r="J97">
        <v>0</v>
      </c>
      <c r="K97">
        <v>200</v>
      </c>
      <c r="L97">
        <v>188</v>
      </c>
      <c r="M97">
        <v>12</v>
      </c>
    </row>
    <row r="98" spans="2:13" x14ac:dyDescent="0.35">
      <c r="B98" t="s">
        <v>848</v>
      </c>
      <c r="C98" t="s">
        <v>884</v>
      </c>
      <c r="D98" t="s">
        <v>958</v>
      </c>
      <c r="E98">
        <v>177</v>
      </c>
      <c r="F98">
        <v>170</v>
      </c>
      <c r="G98">
        <v>7</v>
      </c>
      <c r="H98">
        <v>0</v>
      </c>
      <c r="I98">
        <v>0</v>
      </c>
      <c r="J98">
        <v>0</v>
      </c>
      <c r="K98">
        <v>177</v>
      </c>
      <c r="L98">
        <v>170</v>
      </c>
      <c r="M98">
        <v>7</v>
      </c>
    </row>
    <row r="99" spans="2:13" x14ac:dyDescent="0.35">
      <c r="B99" t="s">
        <v>848</v>
      </c>
      <c r="C99" t="s">
        <v>884</v>
      </c>
      <c r="D99" t="s">
        <v>959</v>
      </c>
      <c r="E99">
        <v>3</v>
      </c>
      <c r="F99">
        <v>3</v>
      </c>
      <c r="G99">
        <v>0</v>
      </c>
      <c r="H99">
        <v>0</v>
      </c>
      <c r="I99">
        <v>0</v>
      </c>
      <c r="J99">
        <v>0</v>
      </c>
      <c r="K99">
        <v>3</v>
      </c>
      <c r="L99">
        <v>3</v>
      </c>
      <c r="M99">
        <v>0</v>
      </c>
    </row>
    <row r="100" spans="2:13" x14ac:dyDescent="0.35">
      <c r="B100" t="s">
        <v>848</v>
      </c>
      <c r="C100" t="s">
        <v>884</v>
      </c>
      <c r="D100" t="s">
        <v>960</v>
      </c>
      <c r="E100">
        <v>8</v>
      </c>
      <c r="F100">
        <v>7</v>
      </c>
      <c r="G100">
        <v>1</v>
      </c>
      <c r="H100">
        <v>0</v>
      </c>
      <c r="I100">
        <v>0</v>
      </c>
      <c r="J100">
        <v>0</v>
      </c>
      <c r="K100">
        <v>8</v>
      </c>
      <c r="L100">
        <v>7</v>
      </c>
      <c r="M100">
        <v>1</v>
      </c>
    </row>
    <row r="101" spans="2:13" x14ac:dyDescent="0.35">
      <c r="B101" t="s">
        <v>848</v>
      </c>
      <c r="C101" t="s">
        <v>884</v>
      </c>
      <c r="D101" t="s">
        <v>961</v>
      </c>
      <c r="E101">
        <v>98</v>
      </c>
      <c r="F101">
        <v>89</v>
      </c>
      <c r="G101">
        <v>9</v>
      </c>
      <c r="H101">
        <v>0</v>
      </c>
      <c r="I101">
        <v>0</v>
      </c>
      <c r="J101">
        <v>0</v>
      </c>
      <c r="K101">
        <v>98</v>
      </c>
      <c r="L101">
        <v>89</v>
      </c>
      <c r="M101">
        <v>9</v>
      </c>
    </row>
    <row r="102" spans="2:13" x14ac:dyDescent="0.35">
      <c r="B102" t="s">
        <v>848</v>
      </c>
      <c r="C102" t="s">
        <v>884</v>
      </c>
      <c r="D102" t="s">
        <v>962</v>
      </c>
      <c r="E102">
        <v>47</v>
      </c>
      <c r="F102">
        <v>47</v>
      </c>
      <c r="G102">
        <v>0</v>
      </c>
      <c r="H102">
        <v>0</v>
      </c>
      <c r="I102">
        <v>0</v>
      </c>
      <c r="J102">
        <v>0</v>
      </c>
      <c r="K102">
        <v>47</v>
      </c>
      <c r="L102">
        <v>47</v>
      </c>
      <c r="M102">
        <v>0</v>
      </c>
    </row>
    <row r="103" spans="2:13" x14ac:dyDescent="0.35">
      <c r="B103" t="s">
        <v>848</v>
      </c>
      <c r="C103" t="s">
        <v>884</v>
      </c>
      <c r="D103" t="s">
        <v>963</v>
      </c>
      <c r="E103">
        <v>24</v>
      </c>
      <c r="F103">
        <v>19</v>
      </c>
      <c r="G103">
        <v>5</v>
      </c>
      <c r="H103">
        <v>0</v>
      </c>
      <c r="I103">
        <v>0</v>
      </c>
      <c r="J103">
        <v>0</v>
      </c>
      <c r="K103">
        <v>24</v>
      </c>
      <c r="L103">
        <v>19</v>
      </c>
      <c r="M103">
        <v>5</v>
      </c>
    </row>
    <row r="104" spans="2:13" x14ac:dyDescent="0.35">
      <c r="B104" t="s">
        <v>848</v>
      </c>
      <c r="C104" t="s">
        <v>884</v>
      </c>
      <c r="D104" t="s">
        <v>964</v>
      </c>
      <c r="E104">
        <v>486</v>
      </c>
      <c r="F104">
        <v>455</v>
      </c>
      <c r="G104">
        <v>31</v>
      </c>
      <c r="H104">
        <v>451</v>
      </c>
      <c r="I104">
        <v>423</v>
      </c>
      <c r="J104">
        <v>28</v>
      </c>
      <c r="K104">
        <v>35</v>
      </c>
      <c r="L104">
        <v>32</v>
      </c>
      <c r="M104">
        <v>3</v>
      </c>
    </row>
    <row r="105" spans="2:13" x14ac:dyDescent="0.35">
      <c r="B105" t="s">
        <v>848</v>
      </c>
      <c r="C105" t="s">
        <v>884</v>
      </c>
      <c r="D105" t="s">
        <v>965</v>
      </c>
      <c r="E105">
        <v>8</v>
      </c>
      <c r="F105">
        <v>7</v>
      </c>
      <c r="G105">
        <v>1</v>
      </c>
      <c r="H105">
        <v>0</v>
      </c>
      <c r="I105">
        <v>0</v>
      </c>
      <c r="J105">
        <v>0</v>
      </c>
      <c r="K105">
        <v>8</v>
      </c>
      <c r="L105">
        <v>7</v>
      </c>
      <c r="M105">
        <v>1</v>
      </c>
    </row>
    <row r="106" spans="2:13" x14ac:dyDescent="0.35">
      <c r="B106" t="s">
        <v>848</v>
      </c>
      <c r="C106" t="s">
        <v>884</v>
      </c>
      <c r="D106" t="s">
        <v>966</v>
      </c>
      <c r="E106">
        <v>2047</v>
      </c>
      <c r="F106">
        <v>1</v>
      </c>
      <c r="G106">
        <v>2045</v>
      </c>
      <c r="H106">
        <v>2047</v>
      </c>
      <c r="I106">
        <v>1</v>
      </c>
      <c r="J106">
        <v>2045</v>
      </c>
      <c r="K106">
        <v>0</v>
      </c>
      <c r="L106">
        <v>0</v>
      </c>
      <c r="M106">
        <v>0</v>
      </c>
    </row>
    <row r="107" spans="2:13" x14ac:dyDescent="0.35">
      <c r="B107" t="s">
        <v>848</v>
      </c>
      <c r="C107" t="s">
        <v>884</v>
      </c>
      <c r="D107" t="s">
        <v>359</v>
      </c>
      <c r="E107">
        <v>3027</v>
      </c>
      <c r="F107">
        <v>3026</v>
      </c>
      <c r="G107">
        <v>1</v>
      </c>
      <c r="H107">
        <v>3027</v>
      </c>
      <c r="I107">
        <v>3026</v>
      </c>
      <c r="J107">
        <v>1</v>
      </c>
      <c r="K107">
        <v>0</v>
      </c>
      <c r="L107">
        <v>0</v>
      </c>
      <c r="M107">
        <v>0</v>
      </c>
    </row>
    <row r="108" spans="2:13" x14ac:dyDescent="0.35">
      <c r="B108" t="s">
        <v>848</v>
      </c>
      <c r="C108" t="s">
        <v>884</v>
      </c>
      <c r="D108" t="s">
        <v>967</v>
      </c>
      <c r="E108">
        <v>8284</v>
      </c>
      <c r="F108">
        <v>7390</v>
      </c>
      <c r="G108">
        <v>894</v>
      </c>
      <c r="H108">
        <v>7927</v>
      </c>
      <c r="I108">
        <v>7058</v>
      </c>
      <c r="J108">
        <v>869</v>
      </c>
      <c r="K108">
        <v>357</v>
      </c>
      <c r="L108">
        <v>332</v>
      </c>
      <c r="M108">
        <v>25</v>
      </c>
    </row>
    <row r="109" spans="2:13" x14ac:dyDescent="0.35">
      <c r="B109" t="s">
        <v>848</v>
      </c>
      <c r="C109" t="s">
        <v>884</v>
      </c>
      <c r="D109" t="s">
        <v>968</v>
      </c>
      <c r="E109">
        <v>854</v>
      </c>
      <c r="F109">
        <v>161</v>
      </c>
      <c r="G109">
        <v>693</v>
      </c>
      <c r="H109">
        <v>847</v>
      </c>
      <c r="I109">
        <v>154</v>
      </c>
      <c r="J109">
        <v>693</v>
      </c>
      <c r="K109">
        <v>7</v>
      </c>
      <c r="L109">
        <v>7</v>
      </c>
      <c r="M109">
        <v>0</v>
      </c>
    </row>
    <row r="110" spans="2:13" x14ac:dyDescent="0.35">
      <c r="B110" t="s">
        <v>848</v>
      </c>
      <c r="C110" t="s">
        <v>884</v>
      </c>
      <c r="D110" t="s">
        <v>969</v>
      </c>
      <c r="E110">
        <v>9</v>
      </c>
      <c r="F110">
        <v>9</v>
      </c>
      <c r="G110">
        <v>0</v>
      </c>
      <c r="H110">
        <v>0</v>
      </c>
      <c r="I110">
        <v>0</v>
      </c>
      <c r="J110">
        <v>0</v>
      </c>
      <c r="K110">
        <v>9</v>
      </c>
      <c r="L110">
        <v>9</v>
      </c>
      <c r="M110">
        <v>0</v>
      </c>
    </row>
    <row r="111" spans="2:13" x14ac:dyDescent="0.35">
      <c r="B111" t="s">
        <v>848</v>
      </c>
      <c r="C111" t="s">
        <v>884</v>
      </c>
      <c r="D111" t="s">
        <v>970</v>
      </c>
      <c r="E111">
        <v>526</v>
      </c>
      <c r="F111">
        <v>498</v>
      </c>
      <c r="G111">
        <v>28</v>
      </c>
      <c r="H111">
        <v>523</v>
      </c>
      <c r="I111">
        <v>497</v>
      </c>
      <c r="J111">
        <v>26</v>
      </c>
      <c r="K111">
        <v>3</v>
      </c>
      <c r="L111">
        <v>1</v>
      </c>
      <c r="M111">
        <v>2</v>
      </c>
    </row>
    <row r="112" spans="2:13" x14ac:dyDescent="0.35">
      <c r="B112" t="s">
        <v>848</v>
      </c>
      <c r="C112" t="s">
        <v>884</v>
      </c>
      <c r="D112" t="s">
        <v>971</v>
      </c>
      <c r="E112">
        <v>30</v>
      </c>
      <c r="F112">
        <v>29</v>
      </c>
      <c r="G112">
        <v>1</v>
      </c>
      <c r="H112">
        <v>0</v>
      </c>
      <c r="I112">
        <v>0</v>
      </c>
      <c r="J112">
        <v>0</v>
      </c>
      <c r="K112">
        <v>30</v>
      </c>
      <c r="L112">
        <v>29</v>
      </c>
      <c r="M112">
        <v>1</v>
      </c>
    </row>
    <row r="113" spans="2:13" x14ac:dyDescent="0.35">
      <c r="B113" t="s">
        <v>848</v>
      </c>
      <c r="C113" t="s">
        <v>884</v>
      </c>
      <c r="D113" t="s">
        <v>972</v>
      </c>
      <c r="E113">
        <v>5</v>
      </c>
      <c r="F113">
        <v>0</v>
      </c>
      <c r="G113">
        <v>5</v>
      </c>
      <c r="H113">
        <v>0</v>
      </c>
      <c r="I113">
        <v>0</v>
      </c>
      <c r="J113">
        <v>0</v>
      </c>
      <c r="K113">
        <v>5</v>
      </c>
      <c r="L113">
        <v>0</v>
      </c>
      <c r="M113">
        <v>5</v>
      </c>
    </row>
    <row r="114" spans="2:13" x14ac:dyDescent="0.35">
      <c r="B114" t="s">
        <v>848</v>
      </c>
      <c r="C114" t="s">
        <v>884</v>
      </c>
      <c r="D114" t="s">
        <v>973</v>
      </c>
      <c r="E114">
        <v>5743</v>
      </c>
      <c r="F114">
        <v>661</v>
      </c>
      <c r="G114">
        <v>5082</v>
      </c>
      <c r="H114">
        <v>5079</v>
      </c>
      <c r="I114">
        <v>5</v>
      </c>
      <c r="J114">
        <v>5074</v>
      </c>
      <c r="K114">
        <v>664</v>
      </c>
      <c r="L114">
        <v>656</v>
      </c>
      <c r="M114">
        <v>8</v>
      </c>
    </row>
    <row r="115" spans="2:13" x14ac:dyDescent="0.35">
      <c r="B115" s="4" t="s">
        <v>848</v>
      </c>
      <c r="C115" s="4" t="s">
        <v>43</v>
      </c>
      <c r="D115" s="4" t="s">
        <v>0</v>
      </c>
      <c r="E115" s="4">
        <v>14259</v>
      </c>
      <c r="F115" s="4">
        <v>11936</v>
      </c>
      <c r="G115" s="4">
        <v>2323</v>
      </c>
      <c r="H115" s="4">
        <v>14259</v>
      </c>
      <c r="I115" s="4">
        <v>11936</v>
      </c>
      <c r="J115" s="4">
        <v>2323</v>
      </c>
      <c r="K115" s="4">
        <v>0</v>
      </c>
      <c r="L115" s="4">
        <v>0</v>
      </c>
      <c r="M115" s="4">
        <v>0</v>
      </c>
    </row>
    <row r="116" spans="2:13" x14ac:dyDescent="0.35">
      <c r="B116" s="4" t="s">
        <v>848</v>
      </c>
      <c r="C116" s="4" t="s">
        <v>43</v>
      </c>
      <c r="D116" s="4" t="s">
        <v>860</v>
      </c>
      <c r="E116" s="4">
        <v>597</v>
      </c>
      <c r="F116" s="4">
        <v>11</v>
      </c>
      <c r="G116" s="4">
        <v>586</v>
      </c>
      <c r="H116" s="4">
        <v>597</v>
      </c>
      <c r="I116" s="4">
        <v>11</v>
      </c>
      <c r="J116" s="4">
        <v>586</v>
      </c>
      <c r="K116" s="4">
        <v>0</v>
      </c>
      <c r="L116" s="4">
        <v>0</v>
      </c>
      <c r="M116" s="4">
        <v>0</v>
      </c>
    </row>
    <row r="117" spans="2:13" x14ac:dyDescent="0.35">
      <c r="B117" s="4" t="s">
        <v>848</v>
      </c>
      <c r="C117" s="4" t="s">
        <v>43</v>
      </c>
      <c r="D117" s="4" t="s">
        <v>108</v>
      </c>
      <c r="E117" s="4">
        <v>601</v>
      </c>
      <c r="F117" s="4">
        <v>567</v>
      </c>
      <c r="G117" s="4">
        <v>34</v>
      </c>
      <c r="H117" s="4">
        <v>601</v>
      </c>
      <c r="I117" s="4">
        <v>567</v>
      </c>
      <c r="J117" s="4">
        <v>34</v>
      </c>
      <c r="K117" s="4">
        <v>0</v>
      </c>
      <c r="L117" s="4">
        <v>0</v>
      </c>
      <c r="M117" s="4">
        <v>0</v>
      </c>
    </row>
    <row r="118" spans="2:13" x14ac:dyDescent="0.35">
      <c r="B118" t="s">
        <v>848</v>
      </c>
      <c r="C118" t="s">
        <v>866</v>
      </c>
      <c r="D118" t="s">
        <v>867</v>
      </c>
      <c r="E118">
        <v>461</v>
      </c>
      <c r="F118">
        <v>292</v>
      </c>
      <c r="G118">
        <v>169</v>
      </c>
      <c r="H118">
        <v>392</v>
      </c>
      <c r="I118">
        <v>239</v>
      </c>
      <c r="J118">
        <v>153</v>
      </c>
      <c r="K118">
        <v>69</v>
      </c>
      <c r="L118">
        <v>53</v>
      </c>
      <c r="M118">
        <v>16</v>
      </c>
    </row>
    <row r="119" spans="2:13" x14ac:dyDescent="0.35">
      <c r="B119" t="s">
        <v>848</v>
      </c>
      <c r="C119" t="s">
        <v>866</v>
      </c>
      <c r="D119" t="s">
        <v>153</v>
      </c>
      <c r="E119">
        <v>1577</v>
      </c>
      <c r="F119">
        <v>1509</v>
      </c>
      <c r="G119">
        <v>68</v>
      </c>
      <c r="H119">
        <v>1200</v>
      </c>
      <c r="I119">
        <v>1145</v>
      </c>
      <c r="J119">
        <v>55</v>
      </c>
      <c r="K119">
        <v>377</v>
      </c>
      <c r="L119">
        <v>364</v>
      </c>
      <c r="M119">
        <v>13</v>
      </c>
    </row>
    <row r="120" spans="2:13" x14ac:dyDescent="0.35">
      <c r="B120" t="s">
        <v>848</v>
      </c>
      <c r="C120" t="s">
        <v>866</v>
      </c>
      <c r="D120" t="s">
        <v>150</v>
      </c>
      <c r="E120">
        <v>1269</v>
      </c>
      <c r="F120">
        <v>1240</v>
      </c>
      <c r="G120">
        <v>29</v>
      </c>
      <c r="H120">
        <v>898</v>
      </c>
      <c r="I120">
        <v>877</v>
      </c>
      <c r="J120">
        <v>21</v>
      </c>
      <c r="K120">
        <v>371</v>
      </c>
      <c r="L120">
        <v>363</v>
      </c>
      <c r="M120">
        <v>8</v>
      </c>
    </row>
    <row r="121" spans="2:13" x14ac:dyDescent="0.35">
      <c r="B121" t="s">
        <v>848</v>
      </c>
      <c r="C121" t="s">
        <v>866</v>
      </c>
      <c r="D121" t="s">
        <v>868</v>
      </c>
      <c r="E121">
        <v>76</v>
      </c>
      <c r="F121">
        <v>31</v>
      </c>
      <c r="G121">
        <v>45</v>
      </c>
      <c r="H121">
        <v>64</v>
      </c>
      <c r="I121">
        <v>25</v>
      </c>
      <c r="J121">
        <v>39</v>
      </c>
      <c r="K121">
        <v>12</v>
      </c>
      <c r="L121">
        <v>6</v>
      </c>
      <c r="M121">
        <v>6</v>
      </c>
    </row>
    <row r="122" spans="2:13" x14ac:dyDescent="0.35">
      <c r="B122" t="s">
        <v>848</v>
      </c>
      <c r="C122" t="s">
        <v>866</v>
      </c>
      <c r="D122" t="s">
        <v>318</v>
      </c>
      <c r="E122">
        <v>674</v>
      </c>
      <c r="F122">
        <v>618</v>
      </c>
      <c r="G122">
        <v>56</v>
      </c>
      <c r="H122">
        <v>168</v>
      </c>
      <c r="I122">
        <v>143</v>
      </c>
      <c r="J122">
        <v>25</v>
      </c>
      <c r="K122">
        <v>506</v>
      </c>
      <c r="L122">
        <v>475</v>
      </c>
      <c r="M122">
        <v>31</v>
      </c>
    </row>
    <row r="123" spans="2:13" x14ac:dyDescent="0.35">
      <c r="B123" t="s">
        <v>848</v>
      </c>
      <c r="C123" t="s">
        <v>866</v>
      </c>
      <c r="D123" t="s">
        <v>869</v>
      </c>
      <c r="E123">
        <v>450</v>
      </c>
      <c r="F123">
        <v>20</v>
      </c>
      <c r="G123">
        <v>430</v>
      </c>
      <c r="H123">
        <v>339</v>
      </c>
      <c r="I123">
        <v>7</v>
      </c>
      <c r="J123">
        <v>332</v>
      </c>
      <c r="K123">
        <v>111</v>
      </c>
      <c r="L123">
        <v>13</v>
      </c>
      <c r="M123">
        <v>98</v>
      </c>
    </row>
    <row r="124" spans="2:13" x14ac:dyDescent="0.35">
      <c r="B124" t="s">
        <v>848</v>
      </c>
      <c r="C124" t="s">
        <v>866</v>
      </c>
      <c r="D124" t="s">
        <v>102</v>
      </c>
      <c r="E124">
        <v>523</v>
      </c>
      <c r="F124">
        <v>508</v>
      </c>
      <c r="G124">
        <v>15</v>
      </c>
      <c r="H124">
        <v>493</v>
      </c>
      <c r="I124">
        <v>481</v>
      </c>
      <c r="J124">
        <v>12</v>
      </c>
      <c r="K124">
        <v>30</v>
      </c>
      <c r="L124">
        <v>27</v>
      </c>
      <c r="M124">
        <v>3</v>
      </c>
    </row>
    <row r="125" spans="2:13" x14ac:dyDescent="0.35">
      <c r="B125" t="s">
        <v>848</v>
      </c>
      <c r="C125" t="s">
        <v>866</v>
      </c>
      <c r="D125" t="s">
        <v>110</v>
      </c>
      <c r="E125">
        <v>686</v>
      </c>
      <c r="F125">
        <v>668</v>
      </c>
      <c r="G125">
        <v>18</v>
      </c>
      <c r="H125">
        <v>637</v>
      </c>
      <c r="I125">
        <v>622</v>
      </c>
      <c r="J125">
        <v>15</v>
      </c>
      <c r="K125">
        <v>49</v>
      </c>
      <c r="L125">
        <v>46</v>
      </c>
      <c r="M125">
        <v>3</v>
      </c>
    </row>
    <row r="126" spans="2:13" x14ac:dyDescent="0.35">
      <c r="B126" t="s">
        <v>848</v>
      </c>
      <c r="C126" t="s">
        <v>866</v>
      </c>
      <c r="D126" t="s">
        <v>281</v>
      </c>
      <c r="E126">
        <v>880</v>
      </c>
      <c r="F126">
        <v>806</v>
      </c>
      <c r="G126">
        <v>74</v>
      </c>
      <c r="H126">
        <v>109</v>
      </c>
      <c r="I126">
        <v>91</v>
      </c>
      <c r="J126">
        <v>18</v>
      </c>
      <c r="K126">
        <v>771</v>
      </c>
      <c r="L126">
        <v>715</v>
      </c>
      <c r="M126">
        <v>56</v>
      </c>
    </row>
    <row r="127" spans="2:13" x14ac:dyDescent="0.35">
      <c r="B127" t="s">
        <v>848</v>
      </c>
      <c r="C127" t="s">
        <v>866</v>
      </c>
      <c r="D127" t="s">
        <v>870</v>
      </c>
      <c r="E127">
        <v>386</v>
      </c>
      <c r="F127">
        <v>375</v>
      </c>
      <c r="G127">
        <v>11</v>
      </c>
      <c r="H127">
        <v>47</v>
      </c>
      <c r="I127">
        <v>46</v>
      </c>
      <c r="J127">
        <v>1</v>
      </c>
      <c r="K127">
        <v>339</v>
      </c>
      <c r="L127">
        <v>329</v>
      </c>
      <c r="M127">
        <v>10</v>
      </c>
    </row>
    <row r="128" spans="2:13" x14ac:dyDescent="0.35">
      <c r="B128" t="s">
        <v>848</v>
      </c>
      <c r="C128" t="s">
        <v>866</v>
      </c>
      <c r="D128" t="s">
        <v>871</v>
      </c>
      <c r="E128">
        <v>248</v>
      </c>
      <c r="F128">
        <v>240</v>
      </c>
      <c r="G128">
        <v>8</v>
      </c>
      <c r="H128">
        <v>134</v>
      </c>
      <c r="I128">
        <v>129</v>
      </c>
      <c r="J128">
        <v>5</v>
      </c>
      <c r="K128">
        <v>114</v>
      </c>
      <c r="L128">
        <v>111</v>
      </c>
      <c r="M128">
        <v>3</v>
      </c>
    </row>
    <row r="129" spans="2:13" x14ac:dyDescent="0.35">
      <c r="B129" t="s">
        <v>848</v>
      </c>
      <c r="C129" t="s">
        <v>866</v>
      </c>
      <c r="D129" t="s">
        <v>872</v>
      </c>
      <c r="E129">
        <v>390</v>
      </c>
      <c r="F129">
        <v>373</v>
      </c>
      <c r="G129">
        <v>17</v>
      </c>
      <c r="H129">
        <v>171</v>
      </c>
      <c r="I129">
        <v>159</v>
      </c>
      <c r="J129">
        <v>12</v>
      </c>
      <c r="K129">
        <v>219</v>
      </c>
      <c r="L129">
        <v>214</v>
      </c>
      <c r="M129">
        <v>5</v>
      </c>
    </row>
    <row r="130" spans="2:13" x14ac:dyDescent="0.35">
      <c r="B130" t="s">
        <v>848</v>
      </c>
      <c r="C130" t="s">
        <v>866</v>
      </c>
      <c r="D130" t="s">
        <v>873</v>
      </c>
      <c r="E130">
        <v>398</v>
      </c>
      <c r="F130">
        <v>387</v>
      </c>
      <c r="G130">
        <v>11</v>
      </c>
      <c r="H130">
        <v>105</v>
      </c>
      <c r="I130">
        <v>104</v>
      </c>
      <c r="J130">
        <v>1</v>
      </c>
      <c r="K130">
        <v>293</v>
      </c>
      <c r="L130">
        <v>283</v>
      </c>
      <c r="M130">
        <v>10</v>
      </c>
    </row>
    <row r="131" spans="2:13" x14ac:dyDescent="0.35">
      <c r="B131" t="s">
        <v>848</v>
      </c>
      <c r="C131" t="s">
        <v>866</v>
      </c>
      <c r="D131" t="s">
        <v>187</v>
      </c>
      <c r="E131">
        <v>796</v>
      </c>
      <c r="F131">
        <v>763</v>
      </c>
      <c r="G131">
        <v>33</v>
      </c>
      <c r="H131">
        <v>791</v>
      </c>
      <c r="I131">
        <v>758</v>
      </c>
      <c r="J131">
        <v>33</v>
      </c>
      <c r="K131">
        <v>5</v>
      </c>
      <c r="L131">
        <v>5</v>
      </c>
      <c r="M131">
        <v>0</v>
      </c>
    </row>
    <row r="132" spans="2:13" x14ac:dyDescent="0.35">
      <c r="B132" t="s">
        <v>848</v>
      </c>
      <c r="C132" t="s">
        <v>866</v>
      </c>
      <c r="D132" t="s">
        <v>874</v>
      </c>
      <c r="E132">
        <v>41</v>
      </c>
      <c r="F132">
        <v>2</v>
      </c>
      <c r="G132">
        <v>39</v>
      </c>
      <c r="H132">
        <v>36</v>
      </c>
      <c r="I132">
        <v>1</v>
      </c>
      <c r="J132">
        <v>35</v>
      </c>
      <c r="K132">
        <v>5</v>
      </c>
      <c r="L132">
        <v>1</v>
      </c>
      <c r="M132">
        <v>4</v>
      </c>
    </row>
    <row r="133" spans="2:13" x14ac:dyDescent="0.35">
      <c r="B133" t="s">
        <v>848</v>
      </c>
      <c r="C133" t="s">
        <v>866</v>
      </c>
      <c r="D133" t="s">
        <v>875</v>
      </c>
      <c r="E133">
        <v>10</v>
      </c>
      <c r="F133">
        <v>1</v>
      </c>
      <c r="G133">
        <v>9</v>
      </c>
      <c r="H133">
        <v>9</v>
      </c>
      <c r="I133">
        <v>1</v>
      </c>
      <c r="J133">
        <v>8</v>
      </c>
      <c r="K133">
        <v>1</v>
      </c>
      <c r="L133">
        <v>0</v>
      </c>
      <c r="M133">
        <v>1</v>
      </c>
    </row>
    <row r="134" spans="2:13" x14ac:dyDescent="0.35">
      <c r="B134" t="s">
        <v>848</v>
      </c>
      <c r="C134" t="s">
        <v>866</v>
      </c>
      <c r="D134" t="s">
        <v>876</v>
      </c>
      <c r="E134">
        <v>8</v>
      </c>
      <c r="F134">
        <v>0</v>
      </c>
      <c r="G134">
        <v>8</v>
      </c>
      <c r="H134">
        <v>7</v>
      </c>
      <c r="I134">
        <v>0</v>
      </c>
      <c r="J134">
        <v>7</v>
      </c>
      <c r="K134">
        <v>1</v>
      </c>
      <c r="L134">
        <v>0</v>
      </c>
      <c r="M134">
        <v>1</v>
      </c>
    </row>
    <row r="135" spans="2:13" x14ac:dyDescent="0.35">
      <c r="B135" t="s">
        <v>848</v>
      </c>
      <c r="C135" t="s">
        <v>866</v>
      </c>
      <c r="D135" t="s">
        <v>322</v>
      </c>
      <c r="E135">
        <v>1064</v>
      </c>
      <c r="F135">
        <v>1003</v>
      </c>
      <c r="G135">
        <v>61</v>
      </c>
      <c r="H135">
        <v>893</v>
      </c>
      <c r="I135">
        <v>838</v>
      </c>
      <c r="J135">
        <v>55</v>
      </c>
      <c r="K135">
        <v>171</v>
      </c>
      <c r="L135">
        <v>165</v>
      </c>
      <c r="M135">
        <v>6</v>
      </c>
    </row>
    <row r="136" spans="2:13" x14ac:dyDescent="0.35">
      <c r="B136" t="s">
        <v>848</v>
      </c>
      <c r="C136" t="s">
        <v>866</v>
      </c>
      <c r="D136" t="s">
        <v>84</v>
      </c>
      <c r="E136">
        <v>2012</v>
      </c>
      <c r="F136">
        <v>1890</v>
      </c>
      <c r="G136">
        <v>122</v>
      </c>
      <c r="H136">
        <v>1691</v>
      </c>
      <c r="I136">
        <v>1587</v>
      </c>
      <c r="J136">
        <v>104</v>
      </c>
      <c r="K136">
        <v>321</v>
      </c>
      <c r="L136">
        <v>303</v>
      </c>
      <c r="M136">
        <v>18</v>
      </c>
    </row>
    <row r="137" spans="2:13" x14ac:dyDescent="0.35">
      <c r="B137" t="s">
        <v>848</v>
      </c>
      <c r="C137" t="s">
        <v>866</v>
      </c>
      <c r="D137" t="s">
        <v>88</v>
      </c>
      <c r="E137">
        <v>1822</v>
      </c>
      <c r="F137">
        <v>1707</v>
      </c>
      <c r="G137">
        <v>115</v>
      </c>
      <c r="H137">
        <v>1475</v>
      </c>
      <c r="I137">
        <v>1382</v>
      </c>
      <c r="J137">
        <v>93</v>
      </c>
      <c r="K137">
        <v>347</v>
      </c>
      <c r="L137">
        <v>325</v>
      </c>
      <c r="M137">
        <v>22</v>
      </c>
    </row>
    <row r="138" spans="2:13" x14ac:dyDescent="0.35">
      <c r="B138" t="s">
        <v>848</v>
      </c>
      <c r="C138" t="s">
        <v>866</v>
      </c>
      <c r="D138" t="s">
        <v>99</v>
      </c>
      <c r="E138">
        <v>696</v>
      </c>
      <c r="F138">
        <v>667</v>
      </c>
      <c r="G138">
        <v>29</v>
      </c>
      <c r="H138">
        <v>569</v>
      </c>
      <c r="I138">
        <v>551</v>
      </c>
      <c r="J138">
        <v>18</v>
      </c>
      <c r="K138">
        <v>127</v>
      </c>
      <c r="L138">
        <v>116</v>
      </c>
      <c r="M138">
        <v>11</v>
      </c>
    </row>
    <row r="139" spans="2:13" x14ac:dyDescent="0.35">
      <c r="B139" t="s">
        <v>848</v>
      </c>
      <c r="C139" t="s">
        <v>866</v>
      </c>
      <c r="D139" t="s">
        <v>540</v>
      </c>
      <c r="E139">
        <v>867</v>
      </c>
      <c r="F139">
        <v>783</v>
      </c>
      <c r="G139">
        <v>84</v>
      </c>
      <c r="H139">
        <v>738</v>
      </c>
      <c r="I139">
        <v>660</v>
      </c>
      <c r="J139">
        <v>78</v>
      </c>
      <c r="K139">
        <v>129</v>
      </c>
      <c r="L139">
        <v>123</v>
      </c>
      <c r="M139">
        <v>6</v>
      </c>
    </row>
    <row r="140" spans="2:13" x14ac:dyDescent="0.35">
      <c r="B140" t="s">
        <v>848</v>
      </c>
      <c r="C140" t="s">
        <v>866</v>
      </c>
      <c r="D140" t="s">
        <v>74</v>
      </c>
      <c r="E140">
        <v>485</v>
      </c>
      <c r="F140">
        <v>266</v>
      </c>
      <c r="G140">
        <v>219</v>
      </c>
      <c r="H140">
        <v>411</v>
      </c>
      <c r="I140">
        <v>208</v>
      </c>
      <c r="J140">
        <v>203</v>
      </c>
      <c r="K140">
        <v>74</v>
      </c>
      <c r="L140">
        <v>58</v>
      </c>
      <c r="M140">
        <v>16</v>
      </c>
    </row>
    <row r="141" spans="2:13" x14ac:dyDescent="0.35">
      <c r="B141" t="s">
        <v>848</v>
      </c>
      <c r="C141" t="s">
        <v>866</v>
      </c>
      <c r="D141" t="s">
        <v>877</v>
      </c>
      <c r="E141">
        <v>35</v>
      </c>
      <c r="F141">
        <v>33</v>
      </c>
      <c r="G141">
        <v>2</v>
      </c>
      <c r="H141">
        <v>33</v>
      </c>
      <c r="I141">
        <v>31</v>
      </c>
      <c r="J141">
        <v>2</v>
      </c>
      <c r="K141">
        <v>2</v>
      </c>
      <c r="L141">
        <v>2</v>
      </c>
      <c r="M141">
        <v>0</v>
      </c>
    </row>
    <row r="142" spans="2:13" x14ac:dyDescent="0.35">
      <c r="B142" t="s">
        <v>848</v>
      </c>
      <c r="C142" t="s">
        <v>866</v>
      </c>
      <c r="D142" t="s">
        <v>231</v>
      </c>
      <c r="E142">
        <v>1800</v>
      </c>
      <c r="F142">
        <v>1776</v>
      </c>
      <c r="G142">
        <v>24</v>
      </c>
      <c r="H142">
        <v>1416</v>
      </c>
      <c r="I142">
        <v>1399</v>
      </c>
      <c r="J142">
        <v>17</v>
      </c>
      <c r="K142">
        <v>384</v>
      </c>
      <c r="L142">
        <v>377</v>
      </c>
      <c r="M142">
        <v>7</v>
      </c>
    </row>
    <row r="143" spans="2:13" x14ac:dyDescent="0.35">
      <c r="B143" t="s">
        <v>848</v>
      </c>
      <c r="C143" t="s">
        <v>866</v>
      </c>
      <c r="D143" t="s">
        <v>58</v>
      </c>
      <c r="E143">
        <v>1357</v>
      </c>
      <c r="F143">
        <v>1300</v>
      </c>
      <c r="G143">
        <v>57</v>
      </c>
      <c r="H143">
        <v>1171</v>
      </c>
      <c r="I143">
        <v>1128</v>
      </c>
      <c r="J143">
        <v>43</v>
      </c>
      <c r="K143">
        <v>186</v>
      </c>
      <c r="L143">
        <v>172</v>
      </c>
      <c r="M143">
        <v>14</v>
      </c>
    </row>
    <row r="144" spans="2:13" x14ac:dyDescent="0.35">
      <c r="B144" t="s">
        <v>848</v>
      </c>
      <c r="C144" t="s">
        <v>866</v>
      </c>
      <c r="D144" t="s">
        <v>51</v>
      </c>
      <c r="E144">
        <v>1708</v>
      </c>
      <c r="F144">
        <v>1648</v>
      </c>
      <c r="G144">
        <v>60</v>
      </c>
      <c r="H144">
        <v>1412</v>
      </c>
      <c r="I144">
        <v>1360</v>
      </c>
      <c r="J144">
        <v>52</v>
      </c>
      <c r="K144">
        <v>296</v>
      </c>
      <c r="L144">
        <v>288</v>
      </c>
      <c r="M144">
        <v>8</v>
      </c>
    </row>
    <row r="145" spans="2:13" x14ac:dyDescent="0.35">
      <c r="B145" t="s">
        <v>848</v>
      </c>
      <c r="C145" t="s">
        <v>866</v>
      </c>
      <c r="D145" t="s">
        <v>157</v>
      </c>
      <c r="E145">
        <v>934</v>
      </c>
      <c r="F145">
        <v>910</v>
      </c>
      <c r="G145">
        <v>24</v>
      </c>
      <c r="H145">
        <v>701</v>
      </c>
      <c r="I145">
        <v>683</v>
      </c>
      <c r="J145">
        <v>18</v>
      </c>
      <c r="K145">
        <v>233</v>
      </c>
      <c r="L145">
        <v>227</v>
      </c>
      <c r="M145">
        <v>6</v>
      </c>
    </row>
    <row r="146" spans="2:13" x14ac:dyDescent="0.35">
      <c r="B146" t="s">
        <v>848</v>
      </c>
      <c r="C146" t="s">
        <v>866</v>
      </c>
      <c r="D146" t="s">
        <v>114</v>
      </c>
      <c r="E146">
        <v>1056</v>
      </c>
      <c r="F146">
        <v>1026</v>
      </c>
      <c r="G146">
        <v>30</v>
      </c>
      <c r="H146">
        <v>641</v>
      </c>
      <c r="I146">
        <v>622</v>
      </c>
      <c r="J146">
        <v>19</v>
      </c>
      <c r="K146">
        <v>415</v>
      </c>
      <c r="L146">
        <v>404</v>
      </c>
      <c r="M146">
        <v>11</v>
      </c>
    </row>
    <row r="147" spans="2:13" x14ac:dyDescent="0.35">
      <c r="B147" t="s">
        <v>848</v>
      </c>
      <c r="C147" t="s">
        <v>866</v>
      </c>
      <c r="D147" t="s">
        <v>163</v>
      </c>
      <c r="E147">
        <v>1559</v>
      </c>
      <c r="F147">
        <v>1535</v>
      </c>
      <c r="G147">
        <v>24</v>
      </c>
      <c r="H147">
        <v>1280</v>
      </c>
      <c r="I147">
        <v>1260</v>
      </c>
      <c r="J147">
        <v>20</v>
      </c>
      <c r="K147">
        <v>279</v>
      </c>
      <c r="L147">
        <v>275</v>
      </c>
      <c r="M147">
        <v>4</v>
      </c>
    </row>
    <row r="148" spans="2:13" x14ac:dyDescent="0.35">
      <c r="B148" t="s">
        <v>848</v>
      </c>
      <c r="C148" t="s">
        <v>866</v>
      </c>
      <c r="D148" t="s">
        <v>169</v>
      </c>
      <c r="E148">
        <v>1322</v>
      </c>
      <c r="F148">
        <v>1289</v>
      </c>
      <c r="G148">
        <v>33</v>
      </c>
      <c r="H148">
        <v>976</v>
      </c>
      <c r="I148">
        <v>949</v>
      </c>
      <c r="J148">
        <v>27</v>
      </c>
      <c r="K148">
        <v>346</v>
      </c>
      <c r="L148">
        <v>340</v>
      </c>
      <c r="M148">
        <v>6</v>
      </c>
    </row>
    <row r="149" spans="2:13" x14ac:dyDescent="0.35">
      <c r="B149" t="s">
        <v>848</v>
      </c>
      <c r="C149" t="s">
        <v>878</v>
      </c>
      <c r="D149" t="s">
        <v>240</v>
      </c>
      <c r="E149">
        <v>121</v>
      </c>
      <c r="F149">
        <v>26</v>
      </c>
      <c r="G149">
        <v>95</v>
      </c>
      <c r="H149">
        <v>60</v>
      </c>
      <c r="I149">
        <v>12</v>
      </c>
      <c r="J149">
        <v>48</v>
      </c>
      <c r="K149">
        <v>61</v>
      </c>
      <c r="L149">
        <v>14</v>
      </c>
      <c r="M149">
        <v>47</v>
      </c>
    </row>
    <row r="150" spans="2:13" x14ac:dyDescent="0.35">
      <c r="B150" t="s">
        <v>848</v>
      </c>
      <c r="C150" t="s">
        <v>878</v>
      </c>
      <c r="D150" t="s">
        <v>235</v>
      </c>
      <c r="E150">
        <v>302</v>
      </c>
      <c r="F150">
        <v>37</v>
      </c>
      <c r="G150">
        <v>265</v>
      </c>
      <c r="H150">
        <v>220</v>
      </c>
      <c r="I150">
        <v>22</v>
      </c>
      <c r="J150">
        <v>198</v>
      </c>
      <c r="K150">
        <v>82</v>
      </c>
      <c r="L150">
        <v>15</v>
      </c>
      <c r="M150">
        <v>67</v>
      </c>
    </row>
    <row r="151" spans="2:13" x14ac:dyDescent="0.35">
      <c r="B151" t="s">
        <v>848</v>
      </c>
      <c r="C151" t="s">
        <v>878</v>
      </c>
      <c r="D151" t="s">
        <v>879</v>
      </c>
      <c r="E151">
        <v>38</v>
      </c>
      <c r="F151">
        <v>2</v>
      </c>
      <c r="G151">
        <v>36</v>
      </c>
      <c r="H151">
        <v>27</v>
      </c>
      <c r="I151">
        <v>0</v>
      </c>
      <c r="J151">
        <v>27</v>
      </c>
      <c r="K151">
        <v>11</v>
      </c>
      <c r="L151">
        <v>2</v>
      </c>
      <c r="M151">
        <v>9</v>
      </c>
    </row>
    <row r="152" spans="2:13" x14ac:dyDescent="0.35">
      <c r="B152" t="s">
        <v>848</v>
      </c>
      <c r="C152" t="s">
        <v>878</v>
      </c>
      <c r="D152" t="s">
        <v>880</v>
      </c>
      <c r="E152">
        <v>34</v>
      </c>
      <c r="F152">
        <v>5</v>
      </c>
      <c r="G152">
        <v>29</v>
      </c>
      <c r="H152">
        <v>25</v>
      </c>
      <c r="I152">
        <v>2</v>
      </c>
      <c r="J152">
        <v>23</v>
      </c>
      <c r="K152">
        <v>9</v>
      </c>
      <c r="L152">
        <v>3</v>
      </c>
      <c r="M152">
        <v>6</v>
      </c>
    </row>
    <row r="153" spans="2:13" x14ac:dyDescent="0.35">
      <c r="B153" t="s">
        <v>848</v>
      </c>
      <c r="C153" t="s">
        <v>878</v>
      </c>
      <c r="D153" t="s">
        <v>215</v>
      </c>
      <c r="E153">
        <v>310</v>
      </c>
      <c r="F153">
        <v>299</v>
      </c>
      <c r="G153">
        <v>11</v>
      </c>
      <c r="H153">
        <v>122</v>
      </c>
      <c r="I153">
        <v>118</v>
      </c>
      <c r="J153">
        <v>4</v>
      </c>
      <c r="K153">
        <v>188</v>
      </c>
      <c r="L153">
        <v>181</v>
      </c>
      <c r="M153">
        <v>7</v>
      </c>
    </row>
    <row r="154" spans="2:13" x14ac:dyDescent="0.35">
      <c r="B154" t="s">
        <v>848</v>
      </c>
      <c r="C154" t="s">
        <v>878</v>
      </c>
      <c r="D154" t="s">
        <v>881</v>
      </c>
      <c r="E154">
        <v>39</v>
      </c>
      <c r="F154">
        <v>35</v>
      </c>
      <c r="G154">
        <v>4</v>
      </c>
      <c r="H154">
        <v>31</v>
      </c>
      <c r="I154">
        <v>27</v>
      </c>
      <c r="J154">
        <v>4</v>
      </c>
      <c r="K154">
        <v>8</v>
      </c>
      <c r="L154">
        <v>8</v>
      </c>
      <c r="M154">
        <v>0</v>
      </c>
    </row>
    <row r="155" spans="2:13" x14ac:dyDescent="0.35">
      <c r="B155" t="s">
        <v>848</v>
      </c>
      <c r="C155" t="s">
        <v>878</v>
      </c>
      <c r="D155" t="s">
        <v>882</v>
      </c>
      <c r="E155">
        <v>224</v>
      </c>
      <c r="F155">
        <v>211</v>
      </c>
      <c r="G155">
        <v>13</v>
      </c>
      <c r="H155">
        <v>135</v>
      </c>
      <c r="I155">
        <v>127</v>
      </c>
      <c r="J155">
        <v>8</v>
      </c>
      <c r="K155">
        <v>89</v>
      </c>
      <c r="L155">
        <v>84</v>
      </c>
      <c r="M155">
        <v>5</v>
      </c>
    </row>
    <row r="156" spans="2:13" x14ac:dyDescent="0.35">
      <c r="B156" t="s">
        <v>848</v>
      </c>
      <c r="C156" t="s">
        <v>878</v>
      </c>
      <c r="D156" t="s">
        <v>883</v>
      </c>
      <c r="E156">
        <v>116</v>
      </c>
      <c r="F156">
        <v>113</v>
      </c>
      <c r="G156">
        <v>3</v>
      </c>
      <c r="H156">
        <v>87</v>
      </c>
      <c r="I156">
        <v>86</v>
      </c>
      <c r="J156">
        <v>1</v>
      </c>
      <c r="K156">
        <v>29</v>
      </c>
      <c r="L156">
        <v>27</v>
      </c>
      <c r="M156">
        <v>2</v>
      </c>
    </row>
    <row r="157" spans="2:13" x14ac:dyDescent="0.35">
      <c r="B157" t="s">
        <v>848</v>
      </c>
      <c r="C157" t="s">
        <v>864</v>
      </c>
      <c r="D157" t="s">
        <v>78</v>
      </c>
      <c r="E157">
        <v>760</v>
      </c>
      <c r="F157">
        <v>750</v>
      </c>
      <c r="G157">
        <v>10</v>
      </c>
      <c r="H157">
        <v>668</v>
      </c>
      <c r="I157">
        <v>659</v>
      </c>
      <c r="J157">
        <v>9</v>
      </c>
      <c r="K157">
        <v>92</v>
      </c>
      <c r="L157">
        <v>91</v>
      </c>
      <c r="M157">
        <v>1</v>
      </c>
    </row>
    <row r="158" spans="2:13" x14ac:dyDescent="0.35">
      <c r="B158" t="s">
        <v>848</v>
      </c>
      <c r="C158" t="s">
        <v>865</v>
      </c>
      <c r="D158" t="s">
        <v>211</v>
      </c>
      <c r="E158">
        <v>945</v>
      </c>
      <c r="F158">
        <v>895</v>
      </c>
      <c r="G158">
        <v>50</v>
      </c>
      <c r="H158">
        <v>263</v>
      </c>
      <c r="I158">
        <v>239</v>
      </c>
      <c r="J158">
        <v>24</v>
      </c>
      <c r="K158">
        <v>682</v>
      </c>
      <c r="L158">
        <v>656</v>
      </c>
      <c r="M158">
        <v>26</v>
      </c>
    </row>
    <row r="159" spans="2:13" x14ac:dyDescent="0.35">
      <c r="B159" t="s">
        <v>848</v>
      </c>
      <c r="C159" t="s">
        <v>719</v>
      </c>
      <c r="D159" t="s">
        <v>720</v>
      </c>
      <c r="E159">
        <v>12077</v>
      </c>
      <c r="F159">
        <v>11448</v>
      </c>
      <c r="G159">
        <v>629</v>
      </c>
      <c r="H159">
        <v>192</v>
      </c>
      <c r="I159">
        <v>1</v>
      </c>
      <c r="J159">
        <v>191</v>
      </c>
      <c r="K159">
        <v>11885</v>
      </c>
      <c r="L159">
        <v>11447</v>
      </c>
      <c r="M159">
        <v>438</v>
      </c>
    </row>
    <row r="160" spans="2:13" x14ac:dyDescent="0.35">
      <c r="B160" t="s">
        <v>848</v>
      </c>
      <c r="C160" t="s">
        <v>688</v>
      </c>
      <c r="D160" t="s">
        <v>849</v>
      </c>
      <c r="E160">
        <v>1346</v>
      </c>
      <c r="F160">
        <v>1107</v>
      </c>
      <c r="G160">
        <v>239</v>
      </c>
      <c r="H160">
        <v>0</v>
      </c>
      <c r="I160">
        <v>0</v>
      </c>
      <c r="J160">
        <v>0</v>
      </c>
      <c r="K160">
        <v>1346</v>
      </c>
      <c r="L160">
        <v>1107</v>
      </c>
      <c r="M160">
        <v>239</v>
      </c>
    </row>
    <row r="161" spans="2:13" x14ac:dyDescent="0.35">
      <c r="B161" t="s">
        <v>848</v>
      </c>
      <c r="C161" t="s">
        <v>688</v>
      </c>
      <c r="D161" t="s">
        <v>689</v>
      </c>
      <c r="E161">
        <v>6826</v>
      </c>
      <c r="F161">
        <v>6261</v>
      </c>
      <c r="G161">
        <v>565</v>
      </c>
      <c r="H161">
        <v>2</v>
      </c>
      <c r="I161">
        <v>0</v>
      </c>
      <c r="J161">
        <v>2</v>
      </c>
      <c r="K161">
        <v>6824</v>
      </c>
      <c r="L161">
        <v>6261</v>
      </c>
      <c r="M161">
        <v>563</v>
      </c>
    </row>
    <row r="162" spans="2:13" x14ac:dyDescent="0.35">
      <c r="B162" t="s">
        <v>848</v>
      </c>
      <c r="C162" t="s">
        <v>850</v>
      </c>
      <c r="D162" t="s">
        <v>850</v>
      </c>
      <c r="E162">
        <v>13</v>
      </c>
      <c r="F162">
        <v>12</v>
      </c>
      <c r="G162">
        <v>1</v>
      </c>
      <c r="H162">
        <v>0</v>
      </c>
      <c r="I162">
        <v>0</v>
      </c>
      <c r="J162">
        <v>0</v>
      </c>
      <c r="K162">
        <v>13</v>
      </c>
      <c r="L162">
        <v>12</v>
      </c>
      <c r="M162">
        <v>1</v>
      </c>
    </row>
    <row r="163" spans="2:13" x14ac:dyDescent="0.35">
      <c r="B163" t="s">
        <v>848</v>
      </c>
      <c r="C163" t="s">
        <v>41</v>
      </c>
      <c r="D163" t="s">
        <v>113</v>
      </c>
      <c r="E163">
        <v>65551</v>
      </c>
      <c r="F163">
        <v>43660</v>
      </c>
      <c r="G163">
        <v>21891</v>
      </c>
      <c r="H163">
        <v>0</v>
      </c>
      <c r="I163">
        <v>0</v>
      </c>
      <c r="J163">
        <v>0</v>
      </c>
      <c r="K163">
        <v>65551</v>
      </c>
      <c r="L163">
        <v>43660</v>
      </c>
      <c r="M163">
        <v>21891</v>
      </c>
    </row>
    <row r="164" spans="2:13" x14ac:dyDescent="0.35">
      <c r="B164" t="s">
        <v>848</v>
      </c>
      <c r="C164" t="s">
        <v>41</v>
      </c>
      <c r="D164" t="s">
        <v>92</v>
      </c>
      <c r="E164">
        <v>58377</v>
      </c>
      <c r="F164">
        <v>56097</v>
      </c>
      <c r="G164">
        <v>2280</v>
      </c>
      <c r="H164">
        <v>0</v>
      </c>
      <c r="I164">
        <v>0</v>
      </c>
      <c r="J164">
        <v>0</v>
      </c>
      <c r="K164">
        <v>58377</v>
      </c>
      <c r="L164">
        <v>56097</v>
      </c>
      <c r="M164">
        <v>2280</v>
      </c>
    </row>
    <row r="165" spans="2:13" x14ac:dyDescent="0.35">
      <c r="B165" t="s">
        <v>848</v>
      </c>
      <c r="C165" t="s">
        <v>41</v>
      </c>
      <c r="D165" t="s">
        <v>851</v>
      </c>
      <c r="E165">
        <v>15216</v>
      </c>
      <c r="F165">
        <v>9004</v>
      </c>
      <c r="G165">
        <v>6212</v>
      </c>
      <c r="H165">
        <v>0</v>
      </c>
      <c r="I165">
        <v>0</v>
      </c>
      <c r="J165">
        <v>0</v>
      </c>
      <c r="K165">
        <v>15216</v>
      </c>
      <c r="L165">
        <v>9004</v>
      </c>
      <c r="M165">
        <v>6212</v>
      </c>
    </row>
    <row r="166" spans="2:13" x14ac:dyDescent="0.35">
      <c r="B166" t="s">
        <v>848</v>
      </c>
      <c r="C166" t="s">
        <v>41</v>
      </c>
      <c r="D166" t="s">
        <v>852</v>
      </c>
      <c r="E166">
        <v>15039</v>
      </c>
      <c r="F166">
        <v>13580</v>
      </c>
      <c r="G166">
        <v>1459</v>
      </c>
      <c r="H166">
        <v>0</v>
      </c>
      <c r="I166">
        <v>0</v>
      </c>
      <c r="J166">
        <v>0</v>
      </c>
      <c r="K166">
        <v>15039</v>
      </c>
      <c r="L166">
        <v>13580</v>
      </c>
      <c r="M166">
        <v>1459</v>
      </c>
    </row>
    <row r="167" spans="2:13" x14ac:dyDescent="0.35">
      <c r="B167" t="s">
        <v>848</v>
      </c>
      <c r="C167" t="s">
        <v>41</v>
      </c>
      <c r="D167" t="s">
        <v>42</v>
      </c>
      <c r="E167">
        <v>89136</v>
      </c>
      <c r="F167">
        <v>79558</v>
      </c>
      <c r="G167">
        <v>9578</v>
      </c>
      <c r="H167">
        <v>0</v>
      </c>
      <c r="I167">
        <v>0</v>
      </c>
      <c r="J167">
        <v>0</v>
      </c>
      <c r="K167">
        <v>89136</v>
      </c>
      <c r="L167">
        <v>79558</v>
      </c>
      <c r="M167">
        <v>9578</v>
      </c>
    </row>
    <row r="168" spans="2:13" x14ac:dyDescent="0.35">
      <c r="B168" t="s">
        <v>848</v>
      </c>
      <c r="C168" t="s">
        <v>41</v>
      </c>
      <c r="D168" t="s">
        <v>772</v>
      </c>
      <c r="E168">
        <v>73448</v>
      </c>
      <c r="F168">
        <v>71412</v>
      </c>
      <c r="G168">
        <v>2036</v>
      </c>
      <c r="H168">
        <v>0</v>
      </c>
      <c r="I168">
        <v>0</v>
      </c>
      <c r="J168">
        <v>0</v>
      </c>
      <c r="K168">
        <v>73448</v>
      </c>
      <c r="L168">
        <v>71412</v>
      </c>
      <c r="M168">
        <v>2036</v>
      </c>
    </row>
    <row r="169" spans="2:13" x14ac:dyDescent="0.35">
      <c r="B169" t="s">
        <v>848</v>
      </c>
      <c r="C169" t="s">
        <v>41</v>
      </c>
      <c r="D169" t="s">
        <v>853</v>
      </c>
      <c r="E169">
        <v>13369</v>
      </c>
      <c r="F169">
        <v>6507</v>
      </c>
      <c r="G169">
        <v>6862</v>
      </c>
      <c r="H169">
        <v>0</v>
      </c>
      <c r="I169">
        <v>0</v>
      </c>
      <c r="J169">
        <v>0</v>
      </c>
      <c r="K169">
        <v>13369</v>
      </c>
      <c r="L169">
        <v>6507</v>
      </c>
      <c r="M169">
        <v>6862</v>
      </c>
    </row>
    <row r="170" spans="2:13" x14ac:dyDescent="0.35">
      <c r="B170" t="s">
        <v>848</v>
      </c>
      <c r="C170" t="s">
        <v>41</v>
      </c>
      <c r="D170" t="s">
        <v>854</v>
      </c>
      <c r="E170">
        <v>243</v>
      </c>
      <c r="F170">
        <v>0</v>
      </c>
      <c r="G170">
        <v>243</v>
      </c>
      <c r="H170">
        <v>0</v>
      </c>
      <c r="I170">
        <v>0</v>
      </c>
      <c r="J170">
        <v>0</v>
      </c>
      <c r="K170">
        <v>243</v>
      </c>
      <c r="L170">
        <v>0</v>
      </c>
      <c r="M170">
        <v>243</v>
      </c>
    </row>
    <row r="171" spans="2:13" x14ac:dyDescent="0.35">
      <c r="B171" t="s">
        <v>848</v>
      </c>
      <c r="C171" t="s">
        <v>41</v>
      </c>
      <c r="D171" t="s">
        <v>855</v>
      </c>
      <c r="E171">
        <v>2456</v>
      </c>
      <c r="F171">
        <v>2114</v>
      </c>
      <c r="G171">
        <v>342</v>
      </c>
      <c r="H171">
        <v>0</v>
      </c>
      <c r="I171">
        <v>0</v>
      </c>
      <c r="J171">
        <v>0</v>
      </c>
      <c r="K171">
        <v>2456</v>
      </c>
      <c r="L171">
        <v>2114</v>
      </c>
      <c r="M171">
        <v>342</v>
      </c>
    </row>
    <row r="172" spans="2:13" x14ac:dyDescent="0.35">
      <c r="B172" t="s">
        <v>848</v>
      </c>
      <c r="C172" t="s">
        <v>41</v>
      </c>
      <c r="D172" t="s">
        <v>856</v>
      </c>
      <c r="E172">
        <v>3775</v>
      </c>
      <c r="F172">
        <v>3763</v>
      </c>
      <c r="G172">
        <v>12</v>
      </c>
      <c r="H172">
        <v>0</v>
      </c>
      <c r="I172">
        <v>0</v>
      </c>
      <c r="J172">
        <v>0</v>
      </c>
      <c r="K172">
        <v>3775</v>
      </c>
      <c r="L172">
        <v>3763</v>
      </c>
      <c r="M172">
        <v>12</v>
      </c>
    </row>
    <row r="173" spans="2:13" x14ac:dyDescent="0.35">
      <c r="B173" t="s">
        <v>848</v>
      </c>
      <c r="C173" t="s">
        <v>41</v>
      </c>
      <c r="D173" t="s">
        <v>49</v>
      </c>
      <c r="E173">
        <v>158788</v>
      </c>
      <c r="F173">
        <v>152898</v>
      </c>
      <c r="G173">
        <v>5890</v>
      </c>
      <c r="H173">
        <v>0</v>
      </c>
      <c r="I173">
        <v>0</v>
      </c>
      <c r="J173">
        <v>0</v>
      </c>
      <c r="K173">
        <v>158788</v>
      </c>
      <c r="L173">
        <v>152898</v>
      </c>
      <c r="M173">
        <v>5890</v>
      </c>
    </row>
    <row r="174" spans="2:13" x14ac:dyDescent="0.35">
      <c r="B174" t="s">
        <v>848</v>
      </c>
      <c r="C174" t="s">
        <v>41</v>
      </c>
      <c r="D174" t="s">
        <v>857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</row>
    <row r="175" spans="2:13" x14ac:dyDescent="0.35">
      <c r="B175" t="s">
        <v>848</v>
      </c>
      <c r="C175" t="s">
        <v>62</v>
      </c>
      <c r="D175" t="s">
        <v>63</v>
      </c>
      <c r="E175">
        <v>101528</v>
      </c>
      <c r="F175">
        <v>91264</v>
      </c>
      <c r="G175">
        <v>10264</v>
      </c>
      <c r="H175">
        <v>0</v>
      </c>
      <c r="I175">
        <v>0</v>
      </c>
      <c r="J175">
        <v>0</v>
      </c>
      <c r="K175">
        <v>101528</v>
      </c>
      <c r="L175">
        <v>91264</v>
      </c>
      <c r="M175">
        <v>10264</v>
      </c>
    </row>
    <row r="176" spans="2:13" x14ac:dyDescent="0.35">
      <c r="B176" t="s">
        <v>848</v>
      </c>
      <c r="C176" t="s">
        <v>62</v>
      </c>
      <c r="D176" t="s">
        <v>560</v>
      </c>
      <c r="E176">
        <v>85911</v>
      </c>
      <c r="F176">
        <v>71852</v>
      </c>
      <c r="G176">
        <v>14058</v>
      </c>
      <c r="H176">
        <v>11714</v>
      </c>
      <c r="I176">
        <v>3206</v>
      </c>
      <c r="J176">
        <v>8507</v>
      </c>
      <c r="K176">
        <v>74197</v>
      </c>
      <c r="L176">
        <v>68646</v>
      </c>
      <c r="M176">
        <v>5551</v>
      </c>
    </row>
    <row r="177" spans="2:13" x14ac:dyDescent="0.35">
      <c r="B177" t="s">
        <v>848</v>
      </c>
      <c r="C177" t="s">
        <v>62</v>
      </c>
      <c r="D177" t="s">
        <v>858</v>
      </c>
      <c r="E177">
        <v>53</v>
      </c>
      <c r="F177">
        <v>40</v>
      </c>
      <c r="G177">
        <v>13</v>
      </c>
      <c r="H177">
        <v>0</v>
      </c>
      <c r="I177">
        <v>0</v>
      </c>
      <c r="J177">
        <v>0</v>
      </c>
      <c r="K177">
        <v>53</v>
      </c>
      <c r="L177">
        <v>40</v>
      </c>
      <c r="M177">
        <v>13</v>
      </c>
    </row>
    <row r="178" spans="2:13" x14ac:dyDescent="0.35">
      <c r="B178" t="s">
        <v>848</v>
      </c>
      <c r="C178" t="s">
        <v>62</v>
      </c>
      <c r="D178" t="s">
        <v>859</v>
      </c>
      <c r="E178">
        <v>6142</v>
      </c>
      <c r="F178">
        <v>5221</v>
      </c>
      <c r="G178">
        <v>921</v>
      </c>
      <c r="H178">
        <v>497</v>
      </c>
      <c r="I178">
        <v>0</v>
      </c>
      <c r="J178">
        <v>497</v>
      </c>
      <c r="K178">
        <v>5645</v>
      </c>
      <c r="L178">
        <v>5221</v>
      </c>
      <c r="M178">
        <v>424</v>
      </c>
    </row>
    <row r="179" spans="2:13" x14ac:dyDescent="0.35">
      <c r="B179" t="s">
        <v>848</v>
      </c>
      <c r="C179" t="s">
        <v>62</v>
      </c>
      <c r="D179" t="s">
        <v>203</v>
      </c>
      <c r="E179">
        <v>15359</v>
      </c>
      <c r="F179">
        <v>14597</v>
      </c>
      <c r="G179">
        <v>762</v>
      </c>
      <c r="H179">
        <v>8</v>
      </c>
      <c r="I179">
        <v>2</v>
      </c>
      <c r="J179">
        <v>6</v>
      </c>
      <c r="K179">
        <v>15351</v>
      </c>
      <c r="L179">
        <v>14595</v>
      </c>
      <c r="M179">
        <v>756</v>
      </c>
    </row>
    <row r="180" spans="2:13" x14ac:dyDescent="0.35">
      <c r="B180" t="s">
        <v>848</v>
      </c>
      <c r="C180" t="s">
        <v>72</v>
      </c>
      <c r="D180" t="s">
        <v>73</v>
      </c>
      <c r="E180">
        <v>16513</v>
      </c>
      <c r="F180">
        <v>14136</v>
      </c>
      <c r="G180">
        <v>2377</v>
      </c>
      <c r="H180">
        <v>3</v>
      </c>
      <c r="I180">
        <v>0</v>
      </c>
      <c r="J180">
        <v>3</v>
      </c>
      <c r="K180">
        <v>16510</v>
      </c>
      <c r="L180">
        <v>14136</v>
      </c>
      <c r="M180">
        <v>2374</v>
      </c>
    </row>
    <row r="181" spans="2:13" x14ac:dyDescent="0.35">
      <c r="B181" t="s">
        <v>848</v>
      </c>
      <c r="C181" t="s">
        <v>72</v>
      </c>
      <c r="D181" t="s">
        <v>544</v>
      </c>
      <c r="E181">
        <v>29303</v>
      </c>
      <c r="F181">
        <v>26391</v>
      </c>
      <c r="G181">
        <v>2912</v>
      </c>
      <c r="H181">
        <v>599</v>
      </c>
      <c r="I181">
        <v>21</v>
      </c>
      <c r="J181">
        <v>578</v>
      </c>
      <c r="K181">
        <v>28704</v>
      </c>
      <c r="L181">
        <v>26370</v>
      </c>
      <c r="M181">
        <v>2334</v>
      </c>
    </row>
    <row r="182" spans="2:13" x14ac:dyDescent="0.35">
      <c r="B182" t="s">
        <v>848</v>
      </c>
      <c r="C182" t="s">
        <v>589</v>
      </c>
      <c r="D182" t="s">
        <v>603</v>
      </c>
      <c r="E182">
        <v>15288</v>
      </c>
      <c r="F182">
        <v>14277</v>
      </c>
      <c r="G182">
        <v>1011</v>
      </c>
      <c r="H182">
        <v>14193</v>
      </c>
      <c r="I182">
        <v>13227</v>
      </c>
      <c r="J182">
        <v>966</v>
      </c>
      <c r="K182">
        <v>1095</v>
      </c>
      <c r="L182">
        <v>1050</v>
      </c>
      <c r="M182">
        <v>45</v>
      </c>
    </row>
    <row r="183" spans="2:13" x14ac:dyDescent="0.35">
      <c r="B183" t="s">
        <v>848</v>
      </c>
      <c r="C183" t="s">
        <v>589</v>
      </c>
      <c r="D183" t="s">
        <v>861</v>
      </c>
      <c r="E183">
        <v>217</v>
      </c>
      <c r="F183">
        <v>0</v>
      </c>
      <c r="G183">
        <v>217</v>
      </c>
      <c r="H183">
        <v>217</v>
      </c>
      <c r="I183">
        <v>0</v>
      </c>
      <c r="J183">
        <v>217</v>
      </c>
      <c r="K183">
        <v>0</v>
      </c>
      <c r="L183">
        <v>0</v>
      </c>
      <c r="M183">
        <v>0</v>
      </c>
    </row>
    <row r="184" spans="2:13" x14ac:dyDescent="0.35">
      <c r="B184" t="s">
        <v>848</v>
      </c>
      <c r="C184" t="s">
        <v>589</v>
      </c>
      <c r="D184" t="s">
        <v>862</v>
      </c>
      <c r="E184">
        <v>206</v>
      </c>
      <c r="F184">
        <v>3</v>
      </c>
      <c r="G184">
        <v>203</v>
      </c>
      <c r="H184">
        <v>204</v>
      </c>
      <c r="I184">
        <v>1</v>
      </c>
      <c r="J184">
        <v>203</v>
      </c>
      <c r="K184">
        <v>2</v>
      </c>
      <c r="L184">
        <v>2</v>
      </c>
      <c r="M184">
        <v>0</v>
      </c>
    </row>
    <row r="185" spans="2:13" x14ac:dyDescent="0.35">
      <c r="B185" t="s">
        <v>848</v>
      </c>
      <c r="C185" t="s">
        <v>589</v>
      </c>
      <c r="D185" t="s">
        <v>863</v>
      </c>
      <c r="E185">
        <v>800</v>
      </c>
      <c r="F185">
        <v>7</v>
      </c>
      <c r="G185">
        <v>793</v>
      </c>
      <c r="H185">
        <v>793</v>
      </c>
      <c r="I185">
        <v>2</v>
      </c>
      <c r="J185">
        <v>791</v>
      </c>
      <c r="K185">
        <v>7</v>
      </c>
      <c r="L185">
        <v>5</v>
      </c>
      <c r="M185">
        <v>2</v>
      </c>
    </row>
    <row r="186" spans="2:13" x14ac:dyDescent="0.35">
      <c r="B186" t="s">
        <v>848</v>
      </c>
      <c r="C186" t="s">
        <v>589</v>
      </c>
      <c r="D186" t="s">
        <v>590</v>
      </c>
      <c r="E186">
        <v>12783</v>
      </c>
      <c r="F186">
        <v>11960</v>
      </c>
      <c r="G186">
        <v>823</v>
      </c>
      <c r="H186">
        <v>10168</v>
      </c>
      <c r="I186">
        <v>9572</v>
      </c>
      <c r="J186">
        <v>596</v>
      </c>
      <c r="K186">
        <v>2615</v>
      </c>
      <c r="L186">
        <v>2388</v>
      </c>
      <c r="M186">
        <v>227</v>
      </c>
    </row>
    <row r="187" spans="2:13" x14ac:dyDescent="0.35">
      <c r="B187" t="s">
        <v>848</v>
      </c>
      <c r="C187" t="s">
        <v>589</v>
      </c>
      <c r="D187" t="s">
        <v>608</v>
      </c>
      <c r="E187">
        <v>5005</v>
      </c>
      <c r="F187">
        <v>4813</v>
      </c>
      <c r="G187">
        <v>192</v>
      </c>
      <c r="H187">
        <v>3512</v>
      </c>
      <c r="I187">
        <v>3352</v>
      </c>
      <c r="J187">
        <v>160</v>
      </c>
      <c r="K187">
        <v>1493</v>
      </c>
      <c r="L187">
        <v>1461</v>
      </c>
      <c r="M187">
        <v>32</v>
      </c>
    </row>
    <row r="188" spans="2:13" x14ac:dyDescent="0.35">
      <c r="B188" t="s">
        <v>848</v>
      </c>
      <c r="C188" t="s">
        <v>589</v>
      </c>
      <c r="D188" t="s">
        <v>621</v>
      </c>
      <c r="E188">
        <v>3866</v>
      </c>
      <c r="F188">
        <v>3817</v>
      </c>
      <c r="G188">
        <v>49</v>
      </c>
      <c r="H188">
        <v>1929</v>
      </c>
      <c r="I188">
        <v>1880</v>
      </c>
      <c r="J188">
        <v>49</v>
      </c>
      <c r="K188">
        <v>1937</v>
      </c>
      <c r="L188">
        <v>1937</v>
      </c>
      <c r="M18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showGridLines="0" tabSelected="1" workbookViewId="0">
      <selection activeCell="C4" sqref="C4"/>
    </sheetView>
  </sheetViews>
  <sheetFormatPr defaultRowHeight="14.5" x14ac:dyDescent="0.35"/>
  <cols>
    <col min="1" max="1" width="4.90625" customWidth="1"/>
    <col min="2" max="2" width="34.36328125" style="7" bestFit="1" customWidth="1"/>
    <col min="3" max="13" width="12.08984375" style="3" customWidth="1"/>
  </cols>
  <sheetData>
    <row r="2" spans="2:13" s="2" customFormat="1" x14ac:dyDescent="0.35">
      <c r="B2" s="13" t="s">
        <v>40</v>
      </c>
      <c r="C2" s="14" t="s">
        <v>33</v>
      </c>
      <c r="D2" s="14"/>
      <c r="E2" s="14" t="s">
        <v>34</v>
      </c>
      <c r="F2" s="14" t="s">
        <v>35</v>
      </c>
      <c r="G2" s="15" t="s">
        <v>1</v>
      </c>
      <c r="H2" s="15"/>
      <c r="I2" s="15" t="s">
        <v>36</v>
      </c>
      <c r="J2" s="15" t="s">
        <v>37</v>
      </c>
      <c r="K2" s="14" t="s">
        <v>2</v>
      </c>
      <c r="L2" s="14" t="s">
        <v>38</v>
      </c>
      <c r="M2" s="14" t="s">
        <v>39</v>
      </c>
    </row>
    <row r="3" spans="2:13" x14ac:dyDescent="0.35">
      <c r="B3" s="7" t="s">
        <v>31</v>
      </c>
      <c r="C3" s="20">
        <v>260837</v>
      </c>
      <c r="D3" s="23">
        <f>C3/9*12</f>
        <v>347782.66666666669</v>
      </c>
      <c r="E3" s="3">
        <v>210944</v>
      </c>
      <c r="F3" s="3">
        <v>49888</v>
      </c>
      <c r="G3" s="10">
        <v>231538</v>
      </c>
      <c r="H3" s="22">
        <f t="shared" ref="H3:H6" si="0">G3/9*12</f>
        <v>308717.33333333337</v>
      </c>
      <c r="I3" s="10">
        <v>183823</v>
      </c>
      <c r="J3" s="10">
        <v>47710</v>
      </c>
      <c r="K3" s="3">
        <v>29299</v>
      </c>
      <c r="L3" s="3">
        <v>27121</v>
      </c>
      <c r="M3" s="3">
        <v>2178</v>
      </c>
    </row>
    <row r="4" spans="2:13" x14ac:dyDescent="0.35">
      <c r="B4" s="7" t="s">
        <v>32</v>
      </c>
      <c r="C4" s="3">
        <v>355084</v>
      </c>
      <c r="D4" s="23">
        <f t="shared" ref="D4:D31" si="1">C4/9*12</f>
        <v>473445.33333333337</v>
      </c>
      <c r="E4" s="3">
        <v>285141</v>
      </c>
      <c r="F4" s="3">
        <v>69937</v>
      </c>
      <c r="G4" s="10">
        <v>328909</v>
      </c>
      <c r="H4" s="22">
        <f t="shared" si="0"/>
        <v>438545.33333333337</v>
      </c>
      <c r="I4" s="10">
        <v>260524</v>
      </c>
      <c r="J4" s="10">
        <v>68379</v>
      </c>
      <c r="K4" s="3">
        <v>26175</v>
      </c>
      <c r="L4" s="3">
        <v>24617</v>
      </c>
      <c r="M4" s="3">
        <v>1558</v>
      </c>
    </row>
    <row r="5" spans="2:13" x14ac:dyDescent="0.35">
      <c r="B5" s="8" t="s">
        <v>15</v>
      </c>
      <c r="C5" s="21">
        <v>15457</v>
      </c>
      <c r="D5" s="23">
        <f t="shared" si="1"/>
        <v>20609.333333333332</v>
      </c>
      <c r="E5" s="5">
        <v>12514</v>
      </c>
      <c r="F5" s="5">
        <v>2943</v>
      </c>
      <c r="G5" s="11">
        <v>15457</v>
      </c>
      <c r="H5" s="22">
        <f t="shared" si="0"/>
        <v>20609.333333333332</v>
      </c>
      <c r="I5" s="11">
        <v>12514</v>
      </c>
      <c r="J5" s="11">
        <v>2943</v>
      </c>
      <c r="K5" s="5">
        <v>0</v>
      </c>
      <c r="L5" s="5">
        <v>0</v>
      </c>
      <c r="M5" s="5">
        <v>0</v>
      </c>
    </row>
    <row r="6" spans="2:13" x14ac:dyDescent="0.35">
      <c r="B6" s="8" t="s">
        <v>16</v>
      </c>
      <c r="C6" s="5">
        <v>48083</v>
      </c>
      <c r="D6" s="23">
        <f t="shared" si="1"/>
        <v>64110.666666666672</v>
      </c>
      <c r="E6" s="5">
        <v>40315</v>
      </c>
      <c r="F6" s="5">
        <v>7768</v>
      </c>
      <c r="G6" s="11">
        <v>48083</v>
      </c>
      <c r="H6" s="22">
        <f t="shared" si="0"/>
        <v>64110.666666666672</v>
      </c>
      <c r="I6" s="11">
        <v>40315</v>
      </c>
      <c r="J6" s="11">
        <v>7768</v>
      </c>
      <c r="K6" s="5">
        <v>0</v>
      </c>
      <c r="L6" s="5">
        <v>0</v>
      </c>
      <c r="M6" s="5">
        <v>0</v>
      </c>
    </row>
    <row r="7" spans="2:13" x14ac:dyDescent="0.35">
      <c r="B7" s="9" t="s">
        <v>25</v>
      </c>
      <c r="C7" s="6">
        <v>25590</v>
      </c>
      <c r="D7" s="23">
        <f t="shared" si="1"/>
        <v>34120</v>
      </c>
      <c r="E7" s="6">
        <v>23666</v>
      </c>
      <c r="F7" s="6">
        <v>1924</v>
      </c>
      <c r="G7" s="12">
        <v>19007</v>
      </c>
      <c r="H7" s="22">
        <f>G7/9*12</f>
        <v>25342.666666666664</v>
      </c>
      <c r="I7" s="12">
        <v>17486</v>
      </c>
      <c r="J7" s="12">
        <v>1521</v>
      </c>
      <c r="K7" s="6">
        <v>6583</v>
      </c>
      <c r="L7" s="6">
        <v>6180</v>
      </c>
      <c r="M7" s="6">
        <v>403</v>
      </c>
    </row>
    <row r="8" spans="2:13" x14ac:dyDescent="0.35">
      <c r="B8" s="9" t="s">
        <v>26</v>
      </c>
      <c r="C8" s="21">
        <v>90016</v>
      </c>
      <c r="D8" s="23">
        <f t="shared" si="1"/>
        <v>120021.33333333333</v>
      </c>
      <c r="E8" s="6">
        <v>83309</v>
      </c>
      <c r="F8" s="6">
        <v>6707</v>
      </c>
      <c r="G8" s="12">
        <v>69196</v>
      </c>
      <c r="H8" s="22">
        <f t="shared" ref="H8:H31" si="2">G8/9*12</f>
        <v>92261.333333333328</v>
      </c>
      <c r="I8" s="12">
        <v>63776</v>
      </c>
      <c r="J8" s="12">
        <v>5420</v>
      </c>
      <c r="K8" s="6">
        <v>20820</v>
      </c>
      <c r="L8" s="6">
        <v>19533</v>
      </c>
      <c r="M8" s="6">
        <v>1287</v>
      </c>
    </row>
    <row r="9" spans="2:13" x14ac:dyDescent="0.35">
      <c r="B9" s="9" t="s">
        <v>27</v>
      </c>
      <c r="C9" s="6">
        <v>526360</v>
      </c>
      <c r="D9" s="23">
        <f t="shared" si="1"/>
        <v>701813.33333333337</v>
      </c>
      <c r="E9" s="6">
        <v>489203</v>
      </c>
      <c r="F9" s="6">
        <v>37157</v>
      </c>
      <c r="G9" s="12">
        <v>375887</v>
      </c>
      <c r="H9" s="22">
        <f t="shared" si="2"/>
        <v>501182.66666666663</v>
      </c>
      <c r="I9" s="12">
        <v>347058</v>
      </c>
      <c r="J9" s="12">
        <v>28829</v>
      </c>
      <c r="K9" s="6">
        <v>150473</v>
      </c>
      <c r="L9" s="6">
        <v>142145</v>
      </c>
      <c r="M9" s="6">
        <v>8328</v>
      </c>
    </row>
    <row r="10" spans="2:13" x14ac:dyDescent="0.35">
      <c r="B10" s="8" t="s">
        <v>28</v>
      </c>
      <c r="C10" s="5">
        <v>1184</v>
      </c>
      <c r="D10" s="23">
        <f t="shared" si="1"/>
        <v>1578.6666666666665</v>
      </c>
      <c r="E10" s="5">
        <v>728</v>
      </c>
      <c r="F10" s="5">
        <v>456</v>
      </c>
      <c r="G10" s="11">
        <v>707</v>
      </c>
      <c r="H10" s="22">
        <f t="shared" si="2"/>
        <v>942.66666666666674</v>
      </c>
      <c r="I10" s="11">
        <v>394</v>
      </c>
      <c r="J10" s="11">
        <v>313</v>
      </c>
      <c r="K10" s="5">
        <v>477</v>
      </c>
      <c r="L10" s="5">
        <v>334</v>
      </c>
      <c r="M10" s="5">
        <v>143</v>
      </c>
    </row>
    <row r="11" spans="2:13" x14ac:dyDescent="0.35">
      <c r="B11" s="8" t="s">
        <v>29</v>
      </c>
      <c r="C11" s="21">
        <v>3677</v>
      </c>
      <c r="D11" s="23">
        <f t="shared" si="1"/>
        <v>4902.6666666666661</v>
      </c>
      <c r="E11" s="5">
        <v>2055</v>
      </c>
      <c r="F11" s="5">
        <v>1622</v>
      </c>
      <c r="G11" s="11">
        <v>2252</v>
      </c>
      <c r="H11" s="22">
        <f t="shared" si="2"/>
        <v>3002.666666666667</v>
      </c>
      <c r="I11" s="11">
        <v>1188</v>
      </c>
      <c r="J11" s="11">
        <v>1064</v>
      </c>
      <c r="K11" s="5">
        <v>1425</v>
      </c>
      <c r="L11" s="5">
        <v>867</v>
      </c>
      <c r="M11" s="5">
        <v>558</v>
      </c>
    </row>
    <row r="12" spans="2:13" x14ac:dyDescent="0.35">
      <c r="B12" s="8" t="s">
        <v>30</v>
      </c>
      <c r="C12" s="5">
        <v>57588</v>
      </c>
      <c r="D12" s="23">
        <f t="shared" si="1"/>
        <v>76784</v>
      </c>
      <c r="E12" s="5">
        <v>44336</v>
      </c>
      <c r="F12" s="5">
        <v>13252</v>
      </c>
      <c r="G12" s="11">
        <v>35737</v>
      </c>
      <c r="H12" s="22">
        <f t="shared" si="2"/>
        <v>47649.333333333336</v>
      </c>
      <c r="I12" s="11">
        <v>26791</v>
      </c>
      <c r="J12" s="11">
        <v>8946</v>
      </c>
      <c r="K12" s="5">
        <v>21851</v>
      </c>
      <c r="L12" s="5">
        <v>17545</v>
      </c>
      <c r="M12" s="5">
        <v>4306</v>
      </c>
    </row>
    <row r="13" spans="2:13" x14ac:dyDescent="0.35">
      <c r="B13" s="7" t="s">
        <v>22</v>
      </c>
      <c r="C13" s="3">
        <v>945</v>
      </c>
      <c r="D13" s="23">
        <f t="shared" si="1"/>
        <v>1260</v>
      </c>
      <c r="E13" s="3">
        <v>895</v>
      </c>
      <c r="F13" s="3">
        <v>50</v>
      </c>
      <c r="G13" s="10">
        <v>263</v>
      </c>
      <c r="H13" s="22">
        <f t="shared" si="2"/>
        <v>350.66666666666663</v>
      </c>
      <c r="I13" s="10">
        <v>239</v>
      </c>
      <c r="J13" s="10">
        <v>24</v>
      </c>
      <c r="K13" s="3">
        <v>682</v>
      </c>
      <c r="L13" s="3">
        <v>656</v>
      </c>
      <c r="M13" s="3">
        <v>26</v>
      </c>
    </row>
    <row r="14" spans="2:13" x14ac:dyDescent="0.35">
      <c r="B14" s="7" t="s">
        <v>23</v>
      </c>
      <c r="C14" s="21">
        <v>1782</v>
      </c>
      <c r="D14" s="23">
        <f t="shared" si="1"/>
        <v>2376</v>
      </c>
      <c r="E14" s="3">
        <v>1697</v>
      </c>
      <c r="F14" s="3">
        <v>85</v>
      </c>
      <c r="G14" s="10">
        <v>795</v>
      </c>
      <c r="H14" s="22">
        <f t="shared" si="2"/>
        <v>1060</v>
      </c>
      <c r="I14" s="10">
        <v>747</v>
      </c>
      <c r="J14" s="10">
        <v>48</v>
      </c>
      <c r="K14" s="3">
        <v>987</v>
      </c>
      <c r="L14" s="3">
        <v>950</v>
      </c>
      <c r="M14" s="3">
        <v>37</v>
      </c>
    </row>
    <row r="15" spans="2:13" x14ac:dyDescent="0.35">
      <c r="B15" s="7" t="s">
        <v>24</v>
      </c>
      <c r="C15" s="3">
        <v>51600</v>
      </c>
      <c r="D15" s="23">
        <f t="shared" si="1"/>
        <v>68800</v>
      </c>
      <c r="E15" s="3">
        <v>49302</v>
      </c>
      <c r="F15" s="3">
        <v>2298</v>
      </c>
      <c r="G15" s="10">
        <v>17593</v>
      </c>
      <c r="H15" s="22">
        <f t="shared" si="2"/>
        <v>23457.333333333336</v>
      </c>
      <c r="I15" s="10">
        <v>16182</v>
      </c>
      <c r="J15" s="10">
        <v>1411</v>
      </c>
      <c r="K15" s="3">
        <v>34007</v>
      </c>
      <c r="L15" s="3">
        <v>33120</v>
      </c>
      <c r="M15" s="3">
        <v>887</v>
      </c>
    </row>
    <row r="16" spans="2:13" x14ac:dyDescent="0.35">
      <c r="B16" s="8" t="s">
        <v>19</v>
      </c>
      <c r="C16" s="5">
        <v>760</v>
      </c>
      <c r="D16" s="23">
        <f t="shared" si="1"/>
        <v>1013.3333333333333</v>
      </c>
      <c r="E16" s="5">
        <v>750</v>
      </c>
      <c r="F16" s="5">
        <v>10</v>
      </c>
      <c r="G16" s="11">
        <v>668</v>
      </c>
      <c r="H16" s="22">
        <f t="shared" si="2"/>
        <v>890.66666666666674</v>
      </c>
      <c r="I16" s="11">
        <v>659</v>
      </c>
      <c r="J16" s="11">
        <v>9</v>
      </c>
      <c r="K16" s="5">
        <v>92</v>
      </c>
      <c r="L16" s="5">
        <v>91</v>
      </c>
      <c r="M16" s="5">
        <v>1</v>
      </c>
    </row>
    <row r="17" spans="2:13" x14ac:dyDescent="0.35">
      <c r="B17" s="8" t="s">
        <v>20</v>
      </c>
      <c r="C17" s="21">
        <v>4361</v>
      </c>
      <c r="D17" s="23">
        <f t="shared" si="1"/>
        <v>5814.6666666666661</v>
      </c>
      <c r="E17" s="5">
        <v>4329</v>
      </c>
      <c r="F17" s="5">
        <v>32</v>
      </c>
      <c r="G17" s="11">
        <v>3890</v>
      </c>
      <c r="H17" s="22">
        <f t="shared" si="2"/>
        <v>5186.666666666667</v>
      </c>
      <c r="I17" s="11">
        <v>3858</v>
      </c>
      <c r="J17" s="11">
        <v>32</v>
      </c>
      <c r="K17" s="5">
        <v>471</v>
      </c>
      <c r="L17" s="5">
        <v>471</v>
      </c>
      <c r="M17" s="5">
        <v>0</v>
      </c>
    </row>
    <row r="18" spans="2:13" x14ac:dyDescent="0.35">
      <c r="B18" s="8" t="s">
        <v>21</v>
      </c>
      <c r="C18" s="5">
        <v>23306</v>
      </c>
      <c r="D18" s="23">
        <f t="shared" si="1"/>
        <v>31074.666666666668</v>
      </c>
      <c r="E18" s="5">
        <v>23122</v>
      </c>
      <c r="F18" s="5">
        <v>184</v>
      </c>
      <c r="G18" s="11">
        <v>20165</v>
      </c>
      <c r="H18" s="22">
        <f t="shared" si="2"/>
        <v>26886.666666666668</v>
      </c>
      <c r="I18" s="11">
        <v>20007</v>
      </c>
      <c r="J18" s="11">
        <v>158</v>
      </c>
      <c r="K18" s="5">
        <v>3141</v>
      </c>
      <c r="L18" s="5">
        <v>3115</v>
      </c>
      <c r="M18" s="5">
        <v>26</v>
      </c>
    </row>
    <row r="19" spans="2:13" x14ac:dyDescent="0.35">
      <c r="B19" s="7" t="s">
        <v>6</v>
      </c>
      <c r="C19" s="3">
        <v>8172</v>
      </c>
      <c r="D19" s="23">
        <f t="shared" si="1"/>
        <v>10896</v>
      </c>
      <c r="E19" s="3">
        <v>7368</v>
      </c>
      <c r="F19" s="3">
        <v>804</v>
      </c>
      <c r="G19" s="10">
        <v>2</v>
      </c>
      <c r="H19" s="22">
        <f t="shared" si="2"/>
        <v>2.6666666666666665</v>
      </c>
      <c r="I19" s="10">
        <v>0</v>
      </c>
      <c r="J19" s="10">
        <v>2</v>
      </c>
      <c r="K19" s="3">
        <v>8170</v>
      </c>
      <c r="L19" s="3">
        <v>7368</v>
      </c>
      <c r="M19" s="3">
        <v>802</v>
      </c>
    </row>
    <row r="20" spans="2:13" x14ac:dyDescent="0.35">
      <c r="B20" s="7" t="s">
        <v>7</v>
      </c>
      <c r="C20" s="3">
        <v>13251</v>
      </c>
      <c r="D20" s="23">
        <f t="shared" si="1"/>
        <v>17668</v>
      </c>
      <c r="E20" s="3">
        <v>12239</v>
      </c>
      <c r="F20" s="3">
        <v>1012</v>
      </c>
      <c r="G20" s="10">
        <v>2</v>
      </c>
      <c r="H20" s="22">
        <f t="shared" si="2"/>
        <v>2.6666666666666665</v>
      </c>
      <c r="I20" s="10">
        <v>0</v>
      </c>
      <c r="J20" s="10">
        <v>2</v>
      </c>
      <c r="K20" s="3">
        <v>13249</v>
      </c>
      <c r="L20" s="3">
        <v>12239</v>
      </c>
      <c r="M20" s="3">
        <v>1010</v>
      </c>
    </row>
    <row r="21" spans="2:13" x14ac:dyDescent="0.35">
      <c r="B21" s="7" t="s">
        <v>8</v>
      </c>
      <c r="C21" s="21">
        <v>12106</v>
      </c>
      <c r="D21" s="23">
        <f t="shared" si="1"/>
        <v>16141.333333333332</v>
      </c>
      <c r="E21" s="3">
        <v>11157</v>
      </c>
      <c r="F21" s="3">
        <v>949</v>
      </c>
      <c r="G21" s="10">
        <v>2</v>
      </c>
      <c r="H21" s="22">
        <f t="shared" si="2"/>
        <v>2.6666666666666665</v>
      </c>
      <c r="I21" s="10">
        <v>0</v>
      </c>
      <c r="J21" s="10">
        <v>2</v>
      </c>
      <c r="K21" s="3">
        <v>12104</v>
      </c>
      <c r="L21" s="3">
        <v>11157</v>
      </c>
      <c r="M21" s="3">
        <v>947</v>
      </c>
    </row>
    <row r="22" spans="2:13" x14ac:dyDescent="0.35">
      <c r="B22" s="8" t="s">
        <v>11</v>
      </c>
      <c r="C22" s="5">
        <v>208993</v>
      </c>
      <c r="D22" s="23">
        <f t="shared" si="1"/>
        <v>278657.33333333337</v>
      </c>
      <c r="E22" s="5">
        <v>182974</v>
      </c>
      <c r="F22" s="5">
        <v>26018</v>
      </c>
      <c r="G22" s="11">
        <v>12219</v>
      </c>
      <c r="H22" s="22">
        <f t="shared" si="2"/>
        <v>16292</v>
      </c>
      <c r="I22" s="11">
        <v>3208</v>
      </c>
      <c r="J22" s="11">
        <v>9010</v>
      </c>
      <c r="K22" s="5">
        <v>196774</v>
      </c>
      <c r="L22" s="5">
        <v>179766</v>
      </c>
      <c r="M22" s="5">
        <v>17008</v>
      </c>
    </row>
    <row r="23" spans="2:13" x14ac:dyDescent="0.35">
      <c r="B23" s="8" t="s">
        <v>12</v>
      </c>
      <c r="C23" s="21">
        <v>636707</v>
      </c>
      <c r="D23" s="23">
        <f t="shared" si="1"/>
        <v>848942.66666666663</v>
      </c>
      <c r="E23" s="5">
        <v>564839</v>
      </c>
      <c r="F23" s="5">
        <v>71868</v>
      </c>
      <c r="G23" s="11">
        <v>18807</v>
      </c>
      <c r="H23" s="22">
        <f t="shared" si="2"/>
        <v>25076</v>
      </c>
      <c r="I23" s="11">
        <v>6356</v>
      </c>
      <c r="J23" s="11">
        <v>12451</v>
      </c>
      <c r="K23" s="5">
        <v>617900</v>
      </c>
      <c r="L23" s="5">
        <v>558483</v>
      </c>
      <c r="M23" s="5">
        <v>59417</v>
      </c>
    </row>
    <row r="24" spans="2:13" x14ac:dyDescent="0.35">
      <c r="B24" s="7" t="s">
        <v>13</v>
      </c>
      <c r="C24" s="3">
        <v>45816</v>
      </c>
      <c r="D24" s="23">
        <f t="shared" si="1"/>
        <v>61088</v>
      </c>
      <c r="E24" s="3">
        <v>40527</v>
      </c>
      <c r="F24" s="3">
        <v>5289</v>
      </c>
      <c r="G24" s="10">
        <v>602</v>
      </c>
      <c r="H24" s="22">
        <f t="shared" si="2"/>
        <v>802.66666666666663</v>
      </c>
      <c r="I24" s="10">
        <v>21</v>
      </c>
      <c r="J24" s="10">
        <v>581</v>
      </c>
      <c r="K24" s="3">
        <v>45214</v>
      </c>
      <c r="L24" s="3">
        <v>40506</v>
      </c>
      <c r="M24" s="3">
        <v>4708</v>
      </c>
    </row>
    <row r="25" spans="2:13" x14ac:dyDescent="0.35">
      <c r="B25" s="7" t="s">
        <v>14</v>
      </c>
      <c r="C25" s="21">
        <v>51875</v>
      </c>
      <c r="D25" s="23">
        <f t="shared" si="1"/>
        <v>69166.666666666657</v>
      </c>
      <c r="E25" s="3">
        <v>45544</v>
      </c>
      <c r="F25" s="3">
        <v>6331</v>
      </c>
      <c r="G25" s="10">
        <v>638</v>
      </c>
      <c r="H25" s="22">
        <f t="shared" si="2"/>
        <v>850.66666666666663</v>
      </c>
      <c r="I25" s="10">
        <v>21</v>
      </c>
      <c r="J25" s="10">
        <v>617</v>
      </c>
      <c r="K25" s="3">
        <v>51237</v>
      </c>
      <c r="L25" s="3">
        <v>45523</v>
      </c>
      <c r="M25" s="3">
        <v>5714</v>
      </c>
    </row>
    <row r="26" spans="2:13" x14ac:dyDescent="0.35">
      <c r="B26" s="8" t="s">
        <v>17</v>
      </c>
      <c r="C26" s="21">
        <v>38165</v>
      </c>
      <c r="D26" s="23">
        <f t="shared" si="1"/>
        <v>50886.666666666672</v>
      </c>
      <c r="E26" s="5">
        <v>34877</v>
      </c>
      <c r="F26" s="5">
        <v>3288</v>
      </c>
      <c r="G26" s="11">
        <v>31016</v>
      </c>
      <c r="H26" s="22">
        <f t="shared" si="2"/>
        <v>41354.666666666664</v>
      </c>
      <c r="I26" s="11">
        <v>28034</v>
      </c>
      <c r="J26" s="11">
        <v>2982</v>
      </c>
      <c r="K26" s="5">
        <v>7149</v>
      </c>
      <c r="L26" s="5">
        <v>6843</v>
      </c>
      <c r="M26" s="5">
        <v>306</v>
      </c>
    </row>
    <row r="27" spans="2:13" x14ac:dyDescent="0.35">
      <c r="B27" s="8" t="s">
        <v>18</v>
      </c>
      <c r="C27" s="5">
        <v>54660</v>
      </c>
      <c r="D27" s="23">
        <f t="shared" si="1"/>
        <v>72880</v>
      </c>
      <c r="E27" s="5">
        <v>50092</v>
      </c>
      <c r="F27" s="5">
        <v>4568</v>
      </c>
      <c r="G27" s="11">
        <v>48686</v>
      </c>
      <c r="H27" s="22">
        <f t="shared" si="2"/>
        <v>64914.666666666672</v>
      </c>
      <c r="I27" s="11">
        <v>44272</v>
      </c>
      <c r="J27" s="11">
        <v>4414</v>
      </c>
      <c r="K27" s="5">
        <v>5974</v>
      </c>
      <c r="L27" s="5">
        <v>5820</v>
      </c>
      <c r="M27" s="5">
        <v>154</v>
      </c>
    </row>
    <row r="28" spans="2:13" x14ac:dyDescent="0.35">
      <c r="B28" s="7" t="s">
        <v>10</v>
      </c>
      <c r="C28" s="21">
        <v>495399</v>
      </c>
      <c r="D28" s="23">
        <f t="shared" si="1"/>
        <v>660532</v>
      </c>
      <c r="E28" s="3">
        <v>438593</v>
      </c>
      <c r="F28" s="3">
        <v>56806</v>
      </c>
      <c r="G28" s="10">
        <v>0</v>
      </c>
      <c r="H28" s="22">
        <f t="shared" si="2"/>
        <v>0</v>
      </c>
      <c r="I28" s="10">
        <v>0</v>
      </c>
      <c r="J28" s="10">
        <v>0</v>
      </c>
      <c r="K28" s="3">
        <v>495399</v>
      </c>
      <c r="L28" s="3">
        <v>438593</v>
      </c>
      <c r="M28" s="3">
        <v>56806</v>
      </c>
    </row>
    <row r="29" spans="2:13" x14ac:dyDescent="0.35">
      <c r="B29" s="8" t="s">
        <v>4</v>
      </c>
      <c r="C29" s="5">
        <v>12077</v>
      </c>
      <c r="D29" s="23">
        <f t="shared" si="1"/>
        <v>16102.666666666668</v>
      </c>
      <c r="E29" s="5">
        <v>11448</v>
      </c>
      <c r="F29" s="5">
        <v>629</v>
      </c>
      <c r="G29" s="11">
        <v>192</v>
      </c>
      <c r="H29" s="22">
        <f t="shared" si="2"/>
        <v>256</v>
      </c>
      <c r="I29" s="11">
        <v>1</v>
      </c>
      <c r="J29" s="11">
        <v>191</v>
      </c>
      <c r="K29" s="5">
        <v>11885</v>
      </c>
      <c r="L29" s="5">
        <v>11447</v>
      </c>
      <c r="M29" s="5">
        <v>438</v>
      </c>
    </row>
    <row r="30" spans="2:13" x14ac:dyDescent="0.35">
      <c r="B30" s="8" t="s">
        <v>5</v>
      </c>
      <c r="C30" s="5">
        <v>14788</v>
      </c>
      <c r="D30" s="23">
        <f t="shared" si="1"/>
        <v>19717.333333333332</v>
      </c>
      <c r="E30" s="5">
        <v>13984</v>
      </c>
      <c r="F30" s="5">
        <v>804</v>
      </c>
      <c r="G30" s="11">
        <v>233</v>
      </c>
      <c r="H30" s="22">
        <f t="shared" si="2"/>
        <v>310.66666666666669</v>
      </c>
      <c r="I30" s="11">
        <v>1</v>
      </c>
      <c r="J30" s="11">
        <v>232</v>
      </c>
      <c r="K30" s="5">
        <v>14555</v>
      </c>
      <c r="L30" s="5">
        <v>13983</v>
      </c>
      <c r="M30" s="5">
        <v>572</v>
      </c>
    </row>
    <row r="31" spans="2:13" x14ac:dyDescent="0.35">
      <c r="B31" s="9" t="s">
        <v>9</v>
      </c>
      <c r="C31" s="6">
        <v>13</v>
      </c>
      <c r="D31" s="23">
        <f t="shared" si="1"/>
        <v>17.333333333333332</v>
      </c>
      <c r="E31" s="6">
        <v>12</v>
      </c>
      <c r="F31" s="6">
        <v>1</v>
      </c>
      <c r="G31" s="12">
        <v>0</v>
      </c>
      <c r="H31" s="22">
        <f t="shared" si="2"/>
        <v>0</v>
      </c>
      <c r="I31" s="12">
        <v>0</v>
      </c>
      <c r="J31" s="12">
        <v>0</v>
      </c>
      <c r="K31" s="6">
        <v>13</v>
      </c>
      <c r="L31" s="6">
        <v>12</v>
      </c>
      <c r="M31" s="6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4"/>
  <sheetViews>
    <sheetView workbookViewId="0">
      <selection activeCell="A2" sqref="A2"/>
    </sheetView>
  </sheetViews>
  <sheetFormatPr defaultRowHeight="14.5" x14ac:dyDescent="0.35"/>
  <cols>
    <col min="1" max="1" width="5.453125" customWidth="1"/>
    <col min="2" max="2" width="24.81640625" bestFit="1" customWidth="1"/>
    <col min="3" max="3" width="11.08984375" bestFit="1" customWidth="1"/>
    <col min="4" max="4" width="20" style="3" customWidth="1"/>
    <col min="5" max="5" width="17.453125" customWidth="1"/>
    <col min="6" max="6" width="17.08984375" customWidth="1"/>
    <col min="7" max="7" width="18.1796875" bestFit="1" customWidth="1"/>
    <col min="8" max="8" width="18.36328125" bestFit="1" customWidth="1"/>
    <col min="9" max="10" width="18.1796875" bestFit="1" customWidth="1"/>
    <col min="11" max="12" width="19.1796875" bestFit="1" customWidth="1"/>
    <col min="13" max="13" width="18.1796875" bestFit="1" customWidth="1"/>
  </cols>
  <sheetData>
    <row r="2" spans="2:13" x14ac:dyDescent="0.35">
      <c r="B2" s="13" t="s">
        <v>40</v>
      </c>
      <c r="C2" s="13" t="s">
        <v>1082</v>
      </c>
      <c r="D2" s="14" t="s">
        <v>1083</v>
      </c>
      <c r="E2" s="14"/>
      <c r="F2" s="14" t="s">
        <v>34</v>
      </c>
      <c r="G2" s="14" t="s">
        <v>35</v>
      </c>
      <c r="H2" s="15" t="s">
        <v>1</v>
      </c>
      <c r="I2" s="15" t="s">
        <v>36</v>
      </c>
      <c r="J2" s="15" t="s">
        <v>37</v>
      </c>
      <c r="K2" s="14" t="s">
        <v>2</v>
      </c>
      <c r="L2" s="14" t="s">
        <v>38</v>
      </c>
      <c r="M2" s="14" t="s">
        <v>39</v>
      </c>
    </row>
    <row r="3" spans="2:13" x14ac:dyDescent="0.35">
      <c r="B3" t="s">
        <v>43</v>
      </c>
      <c r="C3" s="3">
        <v>48098</v>
      </c>
      <c r="D3" s="3">
        <v>5019527700</v>
      </c>
      <c r="E3" s="24">
        <f>D3/$D$14</f>
        <v>1.2484830725421813E-2</v>
      </c>
      <c r="F3" s="3">
        <v>4254615700</v>
      </c>
      <c r="G3" s="3">
        <v>764912000</v>
      </c>
      <c r="H3" s="3">
        <v>5019527700</v>
      </c>
      <c r="I3" s="3">
        <v>4254615700</v>
      </c>
      <c r="J3" s="3">
        <v>764912000</v>
      </c>
      <c r="K3" s="3">
        <v>0</v>
      </c>
      <c r="L3" s="3">
        <v>0</v>
      </c>
      <c r="M3" s="3">
        <v>0</v>
      </c>
    </row>
    <row r="4" spans="2:13" x14ac:dyDescent="0.35">
      <c r="B4" t="s">
        <v>62</v>
      </c>
      <c r="C4" s="3">
        <v>637135</v>
      </c>
      <c r="D4" s="3">
        <v>85062530000</v>
      </c>
      <c r="E4" s="24">
        <f t="shared" ref="E4:E13" si="0">D4/$D$14</f>
        <v>0.21157195489251207</v>
      </c>
      <c r="F4" s="3">
        <v>75727702000</v>
      </c>
      <c r="G4" s="3">
        <v>9334828000</v>
      </c>
      <c r="H4" s="3">
        <v>2306272000</v>
      </c>
      <c r="I4" s="3">
        <v>674679000</v>
      </c>
      <c r="J4" s="3">
        <v>1631593000</v>
      </c>
      <c r="K4" s="3">
        <v>82756258000</v>
      </c>
      <c r="L4" s="3">
        <v>75053023000</v>
      </c>
      <c r="M4" s="3">
        <v>7703235000</v>
      </c>
    </row>
    <row r="5" spans="2:13" x14ac:dyDescent="0.35">
      <c r="B5" t="s">
        <v>72</v>
      </c>
      <c r="C5" s="3">
        <v>51925</v>
      </c>
      <c r="D5" s="3">
        <v>47169179054</v>
      </c>
      <c r="E5" s="24">
        <f t="shared" si="0"/>
        <v>0.11732163883592121</v>
      </c>
      <c r="F5" s="3">
        <v>43334540054</v>
      </c>
      <c r="G5" s="3">
        <v>3834639000</v>
      </c>
      <c r="H5" s="3">
        <v>679925200</v>
      </c>
      <c r="I5" s="3">
        <v>45062000</v>
      </c>
      <c r="J5" s="3">
        <v>634863200</v>
      </c>
      <c r="K5" s="3">
        <v>46489253854</v>
      </c>
      <c r="L5" s="3">
        <v>43289478054</v>
      </c>
      <c r="M5" s="3">
        <v>3199775800</v>
      </c>
    </row>
    <row r="6" spans="2:13" x14ac:dyDescent="0.35">
      <c r="B6" t="s">
        <v>884</v>
      </c>
      <c r="C6" s="3">
        <v>355676</v>
      </c>
      <c r="D6" s="3">
        <v>84369409940</v>
      </c>
      <c r="E6" s="24">
        <f t="shared" si="0"/>
        <v>0.20984799057979511</v>
      </c>
      <c r="F6" s="3">
        <v>67125150418</v>
      </c>
      <c r="G6" s="3">
        <v>17243594522</v>
      </c>
      <c r="H6" s="3">
        <v>63723391200</v>
      </c>
      <c r="I6" s="3">
        <v>47010978678</v>
      </c>
      <c r="J6" s="3">
        <v>16711747522</v>
      </c>
      <c r="K6" s="3">
        <v>20646018740</v>
      </c>
      <c r="L6" s="3">
        <v>20114171740</v>
      </c>
      <c r="M6" s="3">
        <v>531847000</v>
      </c>
    </row>
    <row r="7" spans="2:13" x14ac:dyDescent="0.35">
      <c r="B7" t="s">
        <v>866</v>
      </c>
      <c r="C7" s="3">
        <v>526354</v>
      </c>
      <c r="D7" s="3">
        <v>39084975000</v>
      </c>
      <c r="E7" s="24">
        <f t="shared" si="0"/>
        <v>9.7214185466561617E-2</v>
      </c>
      <c r="F7" s="3">
        <v>36200391400</v>
      </c>
      <c r="G7" s="3">
        <v>2884583600</v>
      </c>
      <c r="H7" s="3">
        <v>27806650300</v>
      </c>
      <c r="I7" s="3">
        <v>25586802300</v>
      </c>
      <c r="J7" s="3">
        <v>2219848000</v>
      </c>
      <c r="K7" s="3">
        <v>11278324700</v>
      </c>
      <c r="L7" s="3">
        <v>10613589100</v>
      </c>
      <c r="M7" s="3">
        <v>664735600</v>
      </c>
    </row>
    <row r="8" spans="2:13" x14ac:dyDescent="0.35">
      <c r="B8" t="s">
        <v>878</v>
      </c>
      <c r="C8" s="3">
        <v>57600</v>
      </c>
      <c r="D8" s="3">
        <v>5891913200</v>
      </c>
      <c r="E8" s="24">
        <f t="shared" si="0"/>
        <v>1.4654673377114418E-2</v>
      </c>
      <c r="F8" s="3">
        <v>3627946200</v>
      </c>
      <c r="G8" s="3">
        <v>2263967000</v>
      </c>
      <c r="H8" s="3">
        <v>3433771800</v>
      </c>
      <c r="I8" s="3">
        <v>2063032000</v>
      </c>
      <c r="J8" s="3">
        <v>1370739800</v>
      </c>
      <c r="K8" s="3">
        <v>2458141400</v>
      </c>
      <c r="L8" s="3">
        <v>1564914200</v>
      </c>
      <c r="M8" s="3">
        <v>893227200</v>
      </c>
    </row>
    <row r="9" spans="2:13" x14ac:dyDescent="0.35">
      <c r="B9" t="s">
        <v>864</v>
      </c>
      <c r="C9" s="3">
        <v>23306</v>
      </c>
      <c r="D9" s="3">
        <v>2130422300</v>
      </c>
      <c r="E9" s="24">
        <f t="shared" si="0"/>
        <v>5.2988973024621043E-3</v>
      </c>
      <c r="F9" s="3">
        <v>2112186300</v>
      </c>
      <c r="G9" s="3">
        <v>18236000</v>
      </c>
      <c r="H9" s="3">
        <v>1824339700</v>
      </c>
      <c r="I9" s="3">
        <v>1808907700</v>
      </c>
      <c r="J9" s="3">
        <v>15432000</v>
      </c>
      <c r="K9" s="3">
        <v>306082600</v>
      </c>
      <c r="L9" s="3">
        <v>303278600</v>
      </c>
      <c r="M9" s="3">
        <v>2804000</v>
      </c>
    </row>
    <row r="10" spans="2:13" x14ac:dyDescent="0.35">
      <c r="B10" t="s">
        <v>589</v>
      </c>
      <c r="C10" s="3">
        <v>54784</v>
      </c>
      <c r="D10" s="3">
        <v>7642060000</v>
      </c>
      <c r="E10" s="24">
        <f t="shared" si="0"/>
        <v>1.9007729650245189E-2</v>
      </c>
      <c r="F10" s="3">
        <v>7051487500</v>
      </c>
      <c r="G10" s="3">
        <v>590572500</v>
      </c>
      <c r="H10" s="3">
        <v>6817942000</v>
      </c>
      <c r="I10" s="3">
        <v>6247469500</v>
      </c>
      <c r="J10" s="3">
        <v>570472500</v>
      </c>
      <c r="K10" s="3">
        <v>824118000</v>
      </c>
      <c r="L10" s="3">
        <v>804018000</v>
      </c>
      <c r="M10" s="3">
        <v>20100000</v>
      </c>
    </row>
    <row r="11" spans="2:13" x14ac:dyDescent="0.35">
      <c r="B11" t="s">
        <v>865</v>
      </c>
      <c r="C11" s="3">
        <v>51600</v>
      </c>
      <c r="D11" s="3">
        <v>9172135100</v>
      </c>
      <c r="E11" s="24">
        <f t="shared" si="0"/>
        <v>2.2813412129232772E-2</v>
      </c>
      <c r="F11" s="3">
        <v>8701262400</v>
      </c>
      <c r="G11" s="3">
        <v>470872700</v>
      </c>
      <c r="H11" s="3">
        <v>3259304000</v>
      </c>
      <c r="I11" s="3">
        <v>3034594700</v>
      </c>
      <c r="J11" s="3">
        <v>224709300</v>
      </c>
      <c r="K11" s="3">
        <v>5912831100</v>
      </c>
      <c r="L11" s="3">
        <v>5666667700</v>
      </c>
      <c r="M11" s="3">
        <v>246163400</v>
      </c>
    </row>
    <row r="12" spans="2:13" x14ac:dyDescent="0.35">
      <c r="B12" t="s">
        <v>719</v>
      </c>
      <c r="C12" s="3">
        <v>14814</v>
      </c>
      <c r="D12" s="3">
        <v>9842511000</v>
      </c>
      <c r="E12" s="24">
        <f t="shared" si="0"/>
        <v>2.4480805982623064E-2</v>
      </c>
      <c r="F12" s="3">
        <v>9327758000</v>
      </c>
      <c r="G12" s="3">
        <v>514753000</v>
      </c>
      <c r="H12" s="3">
        <v>147804000</v>
      </c>
      <c r="I12" s="3">
        <v>1500000</v>
      </c>
      <c r="J12" s="3">
        <v>146304000</v>
      </c>
      <c r="K12" s="3">
        <v>9694707000</v>
      </c>
      <c r="L12" s="3">
        <v>9326258000</v>
      </c>
      <c r="M12" s="3">
        <v>368449000</v>
      </c>
    </row>
    <row r="13" spans="2:13" x14ac:dyDescent="0.35">
      <c r="B13" t="s">
        <v>688</v>
      </c>
      <c r="C13" s="3">
        <v>13253</v>
      </c>
      <c r="D13" s="3">
        <v>106665457400</v>
      </c>
      <c r="E13" s="24">
        <f t="shared" si="0"/>
        <v>0.26530388105811065</v>
      </c>
      <c r="F13" s="3">
        <v>93264052400</v>
      </c>
      <c r="G13" s="3">
        <v>13401405000</v>
      </c>
      <c r="H13" s="3">
        <v>50780000</v>
      </c>
      <c r="I13" s="3">
        <v>0</v>
      </c>
      <c r="J13" s="3">
        <v>50780000</v>
      </c>
      <c r="K13" s="3">
        <v>106614677400</v>
      </c>
      <c r="L13" s="3">
        <v>93264052400</v>
      </c>
      <c r="M13" s="3">
        <v>13350625000</v>
      </c>
    </row>
    <row r="14" spans="2:13" x14ac:dyDescent="0.35">
      <c r="D14" s="19">
        <f>SUM(D3:D13)</f>
        <v>402050120694</v>
      </c>
      <c r="E14" s="25">
        <f>SUM(E3:E13)</f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2"/>
  <sheetViews>
    <sheetView zoomScale="85" zoomScaleNormal="85" workbookViewId="0">
      <pane ySplit="840" topLeftCell="A24" activePane="bottomLeft"/>
      <selection activeCell="C42" sqref="C42"/>
      <selection pane="bottomLeft" activeCell="C32" sqref="C32"/>
    </sheetView>
  </sheetViews>
  <sheetFormatPr defaultRowHeight="14.5" x14ac:dyDescent="0.35"/>
  <cols>
    <col min="2" max="2" width="26.90625" customWidth="1"/>
    <col min="3" max="3" width="27.7265625" customWidth="1"/>
    <col min="4" max="4" width="21.7265625" style="26" hidden="1" customWidth="1"/>
    <col min="5" max="5" width="34.54296875" hidden="1" customWidth="1"/>
    <col min="6" max="6" width="67.81640625" hidden="1" customWidth="1"/>
    <col min="7" max="7" width="11.90625" style="3" customWidth="1"/>
    <col min="11" max="12" width="0" hidden="1" customWidth="1"/>
    <col min="14" max="15" width="0" hidden="1" customWidth="1"/>
  </cols>
  <sheetData>
    <row r="2" spans="2:15" x14ac:dyDescent="0.35">
      <c r="B2" s="13" t="s">
        <v>974</v>
      </c>
      <c r="C2" s="13" t="s">
        <v>1194</v>
      </c>
      <c r="D2" s="13" t="s">
        <v>1195</v>
      </c>
      <c r="E2" s="13" t="s">
        <v>1196</v>
      </c>
      <c r="F2" s="13" t="s">
        <v>1197</v>
      </c>
      <c r="G2" s="14" t="s">
        <v>33</v>
      </c>
      <c r="H2" s="14" t="s">
        <v>34</v>
      </c>
      <c r="I2" s="14" t="s">
        <v>35</v>
      </c>
      <c r="J2" s="15" t="s">
        <v>1</v>
      </c>
      <c r="K2" s="15" t="s">
        <v>36</v>
      </c>
      <c r="L2" s="15" t="s">
        <v>37</v>
      </c>
      <c r="M2" s="14" t="s">
        <v>2</v>
      </c>
      <c r="N2" s="14" t="s">
        <v>38</v>
      </c>
      <c r="O2" s="14" t="s">
        <v>39</v>
      </c>
    </row>
    <row r="3" spans="2:15" x14ac:dyDescent="0.35">
      <c r="B3" t="s">
        <v>884</v>
      </c>
      <c r="F3" t="s">
        <v>1177</v>
      </c>
      <c r="G3" s="3">
        <v>34700</v>
      </c>
      <c r="H3">
        <v>26774</v>
      </c>
      <c r="I3">
        <v>7926</v>
      </c>
      <c r="J3">
        <v>33438</v>
      </c>
      <c r="K3">
        <v>25584</v>
      </c>
      <c r="L3">
        <v>7854</v>
      </c>
      <c r="M3">
        <v>1262</v>
      </c>
      <c r="N3">
        <v>1190</v>
      </c>
      <c r="O3">
        <v>72</v>
      </c>
    </row>
    <row r="4" spans="2:15" x14ac:dyDescent="0.35">
      <c r="B4" t="s">
        <v>884</v>
      </c>
      <c r="C4" t="s">
        <v>390</v>
      </c>
      <c r="D4" s="26" t="s">
        <v>996</v>
      </c>
      <c r="E4" t="s">
        <v>997</v>
      </c>
      <c r="F4" t="s">
        <v>1178</v>
      </c>
      <c r="G4" s="3">
        <v>26107</v>
      </c>
      <c r="H4">
        <v>23943</v>
      </c>
      <c r="I4">
        <v>2164</v>
      </c>
      <c r="J4">
        <v>24860</v>
      </c>
      <c r="K4">
        <v>22769</v>
      </c>
      <c r="L4">
        <v>2091</v>
      </c>
      <c r="M4">
        <v>1247</v>
      </c>
      <c r="N4">
        <v>1174</v>
      </c>
      <c r="O4">
        <v>73</v>
      </c>
    </row>
    <row r="5" spans="2:15" x14ac:dyDescent="0.35">
      <c r="B5" t="s">
        <v>884</v>
      </c>
      <c r="C5" t="s">
        <v>1014</v>
      </c>
      <c r="D5" s="26" t="s">
        <v>1073</v>
      </c>
      <c r="E5" t="s">
        <v>1074</v>
      </c>
      <c r="F5" t="s">
        <v>1106</v>
      </c>
      <c r="G5" s="3">
        <v>9991</v>
      </c>
      <c r="H5">
        <v>8241</v>
      </c>
      <c r="I5">
        <v>1750</v>
      </c>
      <c r="J5">
        <v>5795</v>
      </c>
      <c r="K5">
        <v>4453</v>
      </c>
      <c r="L5">
        <v>1342</v>
      </c>
      <c r="M5">
        <v>4196</v>
      </c>
      <c r="N5">
        <v>3788</v>
      </c>
      <c r="O5">
        <v>408</v>
      </c>
    </row>
    <row r="6" spans="2:15" x14ac:dyDescent="0.35">
      <c r="B6" t="s">
        <v>884</v>
      </c>
      <c r="C6" t="s">
        <v>1031</v>
      </c>
      <c r="D6" s="26">
        <v>2.02005197910092E+17</v>
      </c>
      <c r="E6" t="s">
        <v>1032</v>
      </c>
      <c r="F6" t="s">
        <v>1064</v>
      </c>
      <c r="G6" s="3">
        <v>1738</v>
      </c>
      <c r="H6">
        <v>1619</v>
      </c>
      <c r="I6">
        <v>119</v>
      </c>
      <c r="J6">
        <v>1699</v>
      </c>
      <c r="K6">
        <v>1584</v>
      </c>
      <c r="L6">
        <v>115</v>
      </c>
      <c r="M6">
        <v>39</v>
      </c>
      <c r="N6">
        <v>35</v>
      </c>
      <c r="O6">
        <v>4</v>
      </c>
    </row>
    <row r="7" spans="2:15" x14ac:dyDescent="0.35">
      <c r="B7" t="s">
        <v>884</v>
      </c>
      <c r="C7" t="s">
        <v>1012</v>
      </c>
      <c r="D7" s="26">
        <v>1.9800514202012099E+17</v>
      </c>
      <c r="E7" t="s">
        <v>1179</v>
      </c>
      <c r="F7" t="s">
        <v>987</v>
      </c>
      <c r="G7" s="3">
        <v>2648</v>
      </c>
      <c r="H7">
        <v>2345</v>
      </c>
      <c r="I7">
        <v>303</v>
      </c>
      <c r="J7">
        <v>2590</v>
      </c>
      <c r="K7">
        <v>2288</v>
      </c>
      <c r="L7">
        <v>302</v>
      </c>
      <c r="M7">
        <v>58</v>
      </c>
      <c r="N7">
        <v>57</v>
      </c>
      <c r="O7">
        <v>1</v>
      </c>
    </row>
    <row r="8" spans="2:15" x14ac:dyDescent="0.35">
      <c r="B8" t="s">
        <v>884</v>
      </c>
      <c r="C8" t="s">
        <v>1020</v>
      </c>
      <c r="D8" s="26">
        <v>2.0200519870815101E+17</v>
      </c>
      <c r="E8" t="s">
        <v>1021</v>
      </c>
      <c r="F8" t="s">
        <v>1064</v>
      </c>
      <c r="G8" s="3">
        <v>15047</v>
      </c>
      <c r="H8">
        <v>13012</v>
      </c>
      <c r="I8">
        <v>2033</v>
      </c>
      <c r="J8">
        <v>15025</v>
      </c>
      <c r="K8">
        <v>12991</v>
      </c>
      <c r="L8">
        <v>2032</v>
      </c>
      <c r="M8">
        <v>22</v>
      </c>
      <c r="N8">
        <v>21</v>
      </c>
      <c r="O8">
        <v>1</v>
      </c>
    </row>
    <row r="9" spans="2:15" x14ac:dyDescent="0.35">
      <c r="B9" t="s">
        <v>884</v>
      </c>
      <c r="C9" t="s">
        <v>1028</v>
      </c>
      <c r="D9" s="26" t="s">
        <v>1029</v>
      </c>
      <c r="E9" t="s">
        <v>1030</v>
      </c>
      <c r="F9" t="s">
        <v>1180</v>
      </c>
      <c r="G9" s="3">
        <v>3674</v>
      </c>
      <c r="H9">
        <v>2353</v>
      </c>
      <c r="I9">
        <v>1321</v>
      </c>
      <c r="J9">
        <v>3615</v>
      </c>
      <c r="K9">
        <v>2295</v>
      </c>
      <c r="L9">
        <v>1320</v>
      </c>
      <c r="M9">
        <v>59</v>
      </c>
      <c r="N9">
        <v>58</v>
      </c>
      <c r="O9">
        <v>1</v>
      </c>
    </row>
    <row r="10" spans="2:15" x14ac:dyDescent="0.35">
      <c r="B10" t="s">
        <v>884</v>
      </c>
      <c r="C10" t="s">
        <v>888</v>
      </c>
      <c r="D10" s="26">
        <v>1.9840809201902099E+17</v>
      </c>
      <c r="E10" t="s">
        <v>1003</v>
      </c>
      <c r="F10" t="s">
        <v>1064</v>
      </c>
      <c r="G10" s="3">
        <v>2129</v>
      </c>
      <c r="H10">
        <v>2001</v>
      </c>
      <c r="I10">
        <v>128</v>
      </c>
      <c r="J10">
        <v>1979</v>
      </c>
      <c r="K10">
        <v>1858</v>
      </c>
      <c r="L10">
        <v>121</v>
      </c>
      <c r="M10">
        <v>150</v>
      </c>
      <c r="N10">
        <v>143</v>
      </c>
      <c r="O10">
        <v>7</v>
      </c>
    </row>
    <row r="11" spans="2:15" x14ac:dyDescent="0.35">
      <c r="B11" t="s">
        <v>884</v>
      </c>
      <c r="C11" t="s">
        <v>1037</v>
      </c>
      <c r="D11" s="26">
        <v>1.9870608202012198E+17</v>
      </c>
      <c r="E11" t="s">
        <v>1038</v>
      </c>
      <c r="F11" t="s">
        <v>1063</v>
      </c>
      <c r="G11" s="3">
        <v>691</v>
      </c>
      <c r="H11">
        <v>607</v>
      </c>
      <c r="I11">
        <v>84</v>
      </c>
      <c r="J11">
        <v>608</v>
      </c>
      <c r="K11">
        <v>529</v>
      </c>
      <c r="L11">
        <v>79</v>
      </c>
      <c r="M11">
        <v>83</v>
      </c>
      <c r="N11">
        <v>78</v>
      </c>
      <c r="O11">
        <v>5</v>
      </c>
    </row>
    <row r="12" spans="2:15" x14ac:dyDescent="0.35">
      <c r="B12" t="s">
        <v>884</v>
      </c>
      <c r="C12" t="s">
        <v>994</v>
      </c>
      <c r="D12" s="26">
        <v>1.9760127200912099E+17</v>
      </c>
      <c r="E12" t="s">
        <v>995</v>
      </c>
      <c r="F12" t="s">
        <v>1052</v>
      </c>
      <c r="G12" s="3">
        <v>8789</v>
      </c>
      <c r="H12">
        <v>7884</v>
      </c>
      <c r="I12">
        <v>905</v>
      </c>
      <c r="J12">
        <v>8769</v>
      </c>
      <c r="K12">
        <v>7865</v>
      </c>
      <c r="L12">
        <v>904</v>
      </c>
      <c r="M12">
        <v>20</v>
      </c>
      <c r="N12">
        <v>19</v>
      </c>
      <c r="O12">
        <v>1</v>
      </c>
    </row>
    <row r="13" spans="2:15" x14ac:dyDescent="0.35">
      <c r="B13" t="s">
        <v>884</v>
      </c>
      <c r="C13" t="s">
        <v>777</v>
      </c>
      <c r="D13" s="26">
        <v>1.9620211198703101E+17</v>
      </c>
      <c r="E13" t="s">
        <v>1024</v>
      </c>
      <c r="F13" t="s">
        <v>987</v>
      </c>
      <c r="G13" s="3">
        <v>2703</v>
      </c>
      <c r="H13">
        <v>2118</v>
      </c>
      <c r="I13">
        <v>585</v>
      </c>
      <c r="J13">
        <v>2672</v>
      </c>
      <c r="K13">
        <v>2090</v>
      </c>
      <c r="L13">
        <v>582</v>
      </c>
      <c r="M13">
        <v>31</v>
      </c>
      <c r="N13">
        <v>28</v>
      </c>
      <c r="O13">
        <v>3</v>
      </c>
    </row>
    <row r="14" spans="2:15" x14ac:dyDescent="0.35">
      <c r="B14" t="s">
        <v>884</v>
      </c>
      <c r="C14" t="s">
        <v>1022</v>
      </c>
      <c r="D14" s="26">
        <v>1.9850505202012099E+17</v>
      </c>
      <c r="E14" t="s">
        <v>1023</v>
      </c>
      <c r="F14" t="s">
        <v>1064</v>
      </c>
      <c r="G14" s="3">
        <v>6458</v>
      </c>
      <c r="H14">
        <v>5823</v>
      </c>
      <c r="I14">
        <v>635</v>
      </c>
      <c r="J14">
        <v>6431</v>
      </c>
      <c r="K14">
        <v>5798</v>
      </c>
      <c r="L14">
        <v>633</v>
      </c>
      <c r="M14">
        <v>27</v>
      </c>
      <c r="N14">
        <v>25</v>
      </c>
      <c r="O14">
        <v>2</v>
      </c>
    </row>
    <row r="15" spans="2:15" x14ac:dyDescent="0.35">
      <c r="B15" t="s">
        <v>884</v>
      </c>
      <c r="C15" t="s">
        <v>1016</v>
      </c>
      <c r="D15" s="26">
        <v>1.9790911202221101E+17</v>
      </c>
      <c r="E15" t="s">
        <v>1017</v>
      </c>
      <c r="F15" t="s">
        <v>1181</v>
      </c>
      <c r="G15" s="3">
        <v>4406</v>
      </c>
      <c r="H15">
        <v>4157</v>
      </c>
      <c r="I15">
        <v>249</v>
      </c>
      <c r="J15">
        <v>4293</v>
      </c>
      <c r="K15">
        <v>4044</v>
      </c>
      <c r="L15">
        <v>249</v>
      </c>
      <c r="M15">
        <v>113</v>
      </c>
      <c r="N15">
        <v>113</v>
      </c>
      <c r="O15">
        <v>0</v>
      </c>
    </row>
    <row r="16" spans="2:15" x14ac:dyDescent="0.35">
      <c r="B16" t="s">
        <v>884</v>
      </c>
      <c r="C16" t="s">
        <v>977</v>
      </c>
      <c r="D16" s="26" t="s">
        <v>978</v>
      </c>
      <c r="E16" t="s">
        <v>979</v>
      </c>
      <c r="F16" t="s">
        <v>1075</v>
      </c>
      <c r="G16" s="3">
        <v>16027</v>
      </c>
      <c r="H16">
        <v>2456</v>
      </c>
      <c r="I16">
        <v>13571</v>
      </c>
      <c r="J16">
        <v>15310</v>
      </c>
      <c r="K16">
        <v>1748</v>
      </c>
      <c r="L16">
        <v>13562</v>
      </c>
      <c r="M16">
        <v>717</v>
      </c>
      <c r="N16">
        <v>708</v>
      </c>
      <c r="O16">
        <v>9</v>
      </c>
    </row>
    <row r="17" spans="2:15" x14ac:dyDescent="0.35">
      <c r="B17" t="s">
        <v>884</v>
      </c>
      <c r="C17" t="s">
        <v>1007</v>
      </c>
      <c r="D17" s="26">
        <v>1.9800412201412198E+17</v>
      </c>
      <c r="E17" t="s">
        <v>1008</v>
      </c>
      <c r="F17" t="s">
        <v>987</v>
      </c>
      <c r="G17" s="3">
        <v>5347</v>
      </c>
      <c r="H17">
        <v>4531</v>
      </c>
      <c r="I17">
        <v>816</v>
      </c>
      <c r="J17">
        <v>4766</v>
      </c>
      <c r="K17">
        <v>3982</v>
      </c>
      <c r="L17">
        <v>784</v>
      </c>
      <c r="M17">
        <v>581</v>
      </c>
      <c r="N17">
        <v>549</v>
      </c>
      <c r="O17">
        <v>32</v>
      </c>
    </row>
    <row r="18" spans="2:15" x14ac:dyDescent="0.35">
      <c r="B18" t="s">
        <v>884</v>
      </c>
      <c r="C18" t="s">
        <v>985</v>
      </c>
      <c r="D18" s="26">
        <v>1.98411262018012E+17</v>
      </c>
      <c r="E18" t="s">
        <v>986</v>
      </c>
      <c r="F18" t="s">
        <v>1182</v>
      </c>
      <c r="G18" s="3">
        <v>7840</v>
      </c>
      <c r="H18">
        <v>63</v>
      </c>
      <c r="I18">
        <v>7777</v>
      </c>
      <c r="J18">
        <v>7836</v>
      </c>
      <c r="K18">
        <v>61</v>
      </c>
      <c r="L18">
        <v>7775</v>
      </c>
      <c r="M18">
        <v>4</v>
      </c>
      <c r="N18">
        <v>2</v>
      </c>
      <c r="O18">
        <v>2</v>
      </c>
    </row>
    <row r="19" spans="2:15" x14ac:dyDescent="0.35">
      <c r="B19" t="s">
        <v>884</v>
      </c>
      <c r="C19" t="s">
        <v>1093</v>
      </c>
      <c r="D19" s="26">
        <v>1.9650516199903101E+17</v>
      </c>
      <c r="E19" t="s">
        <v>1094</v>
      </c>
      <c r="F19" t="s">
        <v>987</v>
      </c>
      <c r="G19" s="3">
        <v>2441</v>
      </c>
      <c r="H19">
        <v>1897</v>
      </c>
      <c r="I19">
        <v>544</v>
      </c>
      <c r="J19">
        <v>2425</v>
      </c>
      <c r="K19">
        <v>1883</v>
      </c>
      <c r="L19">
        <v>542</v>
      </c>
      <c r="M19">
        <v>16</v>
      </c>
      <c r="N19">
        <v>14</v>
      </c>
      <c r="O19">
        <v>2</v>
      </c>
    </row>
    <row r="20" spans="2:15" x14ac:dyDescent="0.35">
      <c r="B20" t="s">
        <v>884</v>
      </c>
      <c r="C20" t="s">
        <v>1040</v>
      </c>
      <c r="D20" s="26">
        <v>1.99206092018012E+17</v>
      </c>
      <c r="E20" t="s">
        <v>1172</v>
      </c>
      <c r="F20" t="s">
        <v>1183</v>
      </c>
      <c r="G20" s="3">
        <v>20876</v>
      </c>
      <c r="H20">
        <v>17787</v>
      </c>
      <c r="I20">
        <v>3086</v>
      </c>
      <c r="J20">
        <v>20586</v>
      </c>
      <c r="K20">
        <v>17507</v>
      </c>
      <c r="L20">
        <v>3076</v>
      </c>
      <c r="M20">
        <v>290</v>
      </c>
      <c r="N20">
        <v>280</v>
      </c>
      <c r="O20">
        <v>10</v>
      </c>
    </row>
    <row r="21" spans="2:15" x14ac:dyDescent="0.35">
      <c r="B21" t="s">
        <v>884</v>
      </c>
      <c r="C21" t="s">
        <v>998</v>
      </c>
      <c r="D21" s="26">
        <v>1.9860720202203101E+17</v>
      </c>
      <c r="E21" t="s">
        <v>999</v>
      </c>
      <c r="F21" t="s">
        <v>980</v>
      </c>
      <c r="G21" s="3">
        <v>23058</v>
      </c>
      <c r="H21">
        <v>22362</v>
      </c>
      <c r="I21">
        <v>696</v>
      </c>
      <c r="J21">
        <v>18518</v>
      </c>
      <c r="K21">
        <v>18148</v>
      </c>
      <c r="L21">
        <v>370</v>
      </c>
      <c r="M21">
        <v>4540</v>
      </c>
      <c r="N21">
        <v>4214</v>
      </c>
      <c r="O21">
        <v>326</v>
      </c>
    </row>
    <row r="22" spans="2:15" x14ac:dyDescent="0.35">
      <c r="B22" t="s">
        <v>884</v>
      </c>
      <c r="C22" t="s">
        <v>898</v>
      </c>
      <c r="D22" s="26">
        <v>1.9731011200112198E+17</v>
      </c>
      <c r="E22" t="s">
        <v>993</v>
      </c>
      <c r="F22" t="s">
        <v>1184</v>
      </c>
      <c r="G22" s="3">
        <v>380</v>
      </c>
      <c r="H22">
        <v>276</v>
      </c>
      <c r="I22">
        <v>104</v>
      </c>
      <c r="J22">
        <v>156</v>
      </c>
      <c r="K22">
        <v>58</v>
      </c>
      <c r="L22">
        <v>98</v>
      </c>
      <c r="M22">
        <v>224</v>
      </c>
      <c r="N22">
        <v>218</v>
      </c>
      <c r="O22">
        <v>6</v>
      </c>
    </row>
    <row r="23" spans="2:15" x14ac:dyDescent="0.35">
      <c r="B23" t="s">
        <v>884</v>
      </c>
      <c r="C23" t="s">
        <v>1043</v>
      </c>
      <c r="D23" s="26">
        <v>1.9750329200812198E+17</v>
      </c>
      <c r="E23" t="s">
        <v>1044</v>
      </c>
      <c r="F23" t="s">
        <v>1049</v>
      </c>
      <c r="G23" s="3">
        <v>3745</v>
      </c>
      <c r="H23">
        <v>3566</v>
      </c>
      <c r="I23">
        <v>179</v>
      </c>
      <c r="J23">
        <v>3675</v>
      </c>
      <c r="K23">
        <v>3501</v>
      </c>
      <c r="L23">
        <v>174</v>
      </c>
      <c r="M23">
        <v>70</v>
      </c>
      <c r="N23">
        <v>65</v>
      </c>
      <c r="O23">
        <v>5</v>
      </c>
    </row>
    <row r="24" spans="2:15" x14ac:dyDescent="0.35">
      <c r="B24" t="s">
        <v>884</v>
      </c>
      <c r="C24" t="s">
        <v>990</v>
      </c>
      <c r="D24" s="26" t="s">
        <v>991</v>
      </c>
      <c r="E24" t="s">
        <v>992</v>
      </c>
      <c r="F24" t="s">
        <v>980</v>
      </c>
      <c r="G24" s="3">
        <v>19751</v>
      </c>
      <c r="H24">
        <v>18384</v>
      </c>
      <c r="I24">
        <v>1367</v>
      </c>
      <c r="J24">
        <v>17820</v>
      </c>
      <c r="K24">
        <v>16545</v>
      </c>
      <c r="L24">
        <v>1275</v>
      </c>
      <c r="M24">
        <v>1931</v>
      </c>
      <c r="N24">
        <v>1839</v>
      </c>
      <c r="O24">
        <v>92</v>
      </c>
    </row>
    <row r="25" spans="2:15" x14ac:dyDescent="0.35">
      <c r="B25" t="s">
        <v>884</v>
      </c>
      <c r="C25" t="s">
        <v>1000</v>
      </c>
      <c r="D25" s="26" t="s">
        <v>1001</v>
      </c>
      <c r="E25" t="s">
        <v>1002</v>
      </c>
      <c r="F25" t="s">
        <v>1085</v>
      </c>
      <c r="G25" s="3">
        <v>40944</v>
      </c>
      <c r="H25">
        <v>35872</v>
      </c>
      <c r="I25">
        <v>5072</v>
      </c>
      <c r="J25">
        <v>32316</v>
      </c>
      <c r="K25">
        <v>27612</v>
      </c>
      <c r="L25">
        <v>4704</v>
      </c>
      <c r="M25">
        <v>8628</v>
      </c>
      <c r="N25">
        <v>8260</v>
      </c>
      <c r="O25">
        <v>368</v>
      </c>
    </row>
    <row r="26" spans="2:15" x14ac:dyDescent="0.35">
      <c r="B26" t="s">
        <v>884</v>
      </c>
      <c r="C26" t="s">
        <v>904</v>
      </c>
      <c r="D26" s="26">
        <v>1.9830316201412198E+17</v>
      </c>
      <c r="E26" t="s">
        <v>1173</v>
      </c>
      <c r="F26" t="s">
        <v>1064</v>
      </c>
      <c r="G26" s="3">
        <v>5304</v>
      </c>
      <c r="H26">
        <v>2265</v>
      </c>
      <c r="I26">
        <v>3039</v>
      </c>
      <c r="J26">
        <v>5050</v>
      </c>
      <c r="K26">
        <v>2034</v>
      </c>
      <c r="L26">
        <v>3016</v>
      </c>
      <c r="M26">
        <v>254</v>
      </c>
      <c r="N26">
        <v>231</v>
      </c>
      <c r="O26">
        <v>23</v>
      </c>
    </row>
    <row r="27" spans="2:15" x14ac:dyDescent="0.35">
      <c r="B27" t="s">
        <v>884</v>
      </c>
      <c r="C27" t="s">
        <v>1018</v>
      </c>
      <c r="D27" s="26">
        <v>1.9751204201412198E+17</v>
      </c>
      <c r="E27" t="s">
        <v>1019</v>
      </c>
      <c r="F27" t="s">
        <v>1185</v>
      </c>
      <c r="G27" s="3">
        <v>8567</v>
      </c>
      <c r="H27">
        <v>5848</v>
      </c>
      <c r="I27">
        <v>2719</v>
      </c>
      <c r="J27">
        <v>8301</v>
      </c>
      <c r="K27">
        <v>5597</v>
      </c>
      <c r="L27">
        <v>2704</v>
      </c>
      <c r="M27">
        <v>266</v>
      </c>
      <c r="N27">
        <v>251</v>
      </c>
      <c r="O27">
        <v>15</v>
      </c>
    </row>
    <row r="28" spans="2:15" x14ac:dyDescent="0.35">
      <c r="B28" t="s">
        <v>884</v>
      </c>
      <c r="C28" t="s">
        <v>655</v>
      </c>
      <c r="D28" s="26" t="s">
        <v>1009</v>
      </c>
      <c r="E28" t="s">
        <v>1110</v>
      </c>
      <c r="F28" t="s">
        <v>1177</v>
      </c>
      <c r="G28" s="3">
        <v>22381</v>
      </c>
      <c r="H28">
        <v>20440</v>
      </c>
      <c r="I28">
        <v>1941</v>
      </c>
      <c r="J28">
        <v>22271</v>
      </c>
      <c r="K28">
        <v>20334</v>
      </c>
      <c r="L28">
        <v>1937</v>
      </c>
      <c r="M28">
        <v>110</v>
      </c>
      <c r="N28">
        <v>106</v>
      </c>
      <c r="O28">
        <v>4</v>
      </c>
    </row>
    <row r="29" spans="2:15" x14ac:dyDescent="0.35">
      <c r="B29" t="s">
        <v>884</v>
      </c>
      <c r="C29" t="s">
        <v>1111</v>
      </c>
      <c r="D29" s="26">
        <v>2.0160119830408198E+17</v>
      </c>
      <c r="E29" t="s">
        <v>1186</v>
      </c>
      <c r="F29" t="s">
        <v>987</v>
      </c>
      <c r="G29" s="3">
        <v>6</v>
      </c>
      <c r="H29">
        <v>0</v>
      </c>
      <c r="I29">
        <v>6</v>
      </c>
      <c r="J29">
        <v>6</v>
      </c>
      <c r="K29">
        <v>0</v>
      </c>
      <c r="L29">
        <v>6</v>
      </c>
      <c r="M29">
        <v>0</v>
      </c>
      <c r="N29">
        <v>0</v>
      </c>
      <c r="O29">
        <v>0</v>
      </c>
    </row>
    <row r="30" spans="2:15" x14ac:dyDescent="0.35">
      <c r="B30" t="s">
        <v>884</v>
      </c>
      <c r="C30" t="s">
        <v>1025</v>
      </c>
      <c r="D30" s="26" t="s">
        <v>1026</v>
      </c>
      <c r="E30" t="s">
        <v>1114</v>
      </c>
      <c r="F30" t="s">
        <v>1187</v>
      </c>
      <c r="G30" s="3">
        <v>25931</v>
      </c>
      <c r="H30">
        <v>22335</v>
      </c>
      <c r="I30">
        <v>3596</v>
      </c>
      <c r="J30">
        <v>25858</v>
      </c>
      <c r="K30">
        <v>22265</v>
      </c>
      <c r="L30">
        <v>3593</v>
      </c>
      <c r="M30">
        <v>73</v>
      </c>
      <c r="N30">
        <v>70</v>
      </c>
      <c r="O30">
        <v>3</v>
      </c>
    </row>
    <row r="31" spans="2:15" x14ac:dyDescent="0.35">
      <c r="B31" t="s">
        <v>884</v>
      </c>
      <c r="C31" t="s">
        <v>755</v>
      </c>
      <c r="D31" s="26" t="s">
        <v>1188</v>
      </c>
      <c r="E31" t="s">
        <v>988</v>
      </c>
      <c r="F31" t="s">
        <v>1189</v>
      </c>
      <c r="G31" s="3">
        <v>10195</v>
      </c>
      <c r="H31">
        <v>6381</v>
      </c>
      <c r="I31">
        <v>3813</v>
      </c>
      <c r="J31">
        <v>9851</v>
      </c>
      <c r="K31">
        <v>6051</v>
      </c>
      <c r="L31">
        <v>3799</v>
      </c>
      <c r="M31">
        <v>344</v>
      </c>
      <c r="N31">
        <v>330</v>
      </c>
      <c r="O31">
        <v>14</v>
      </c>
    </row>
    <row r="32" spans="2:15" x14ac:dyDescent="0.35">
      <c r="B32" t="s">
        <v>884</v>
      </c>
      <c r="C32" t="s">
        <v>1128</v>
      </c>
      <c r="D32" s="26" t="s">
        <v>1076</v>
      </c>
      <c r="E32" t="s">
        <v>1129</v>
      </c>
      <c r="F32" t="s">
        <v>1190</v>
      </c>
      <c r="G32" s="3">
        <v>148</v>
      </c>
      <c r="H32">
        <v>131</v>
      </c>
      <c r="I32">
        <v>17</v>
      </c>
      <c r="J32">
        <v>1</v>
      </c>
      <c r="K32">
        <v>1</v>
      </c>
      <c r="L32">
        <v>0</v>
      </c>
      <c r="M32">
        <v>147</v>
      </c>
      <c r="N32">
        <v>130</v>
      </c>
      <c r="O32">
        <v>17</v>
      </c>
    </row>
    <row r="33" spans="2:15" x14ac:dyDescent="0.35">
      <c r="B33" t="s">
        <v>884</v>
      </c>
      <c r="C33" t="s">
        <v>1041</v>
      </c>
      <c r="D33" s="26">
        <v>1.9660414199803101E+17</v>
      </c>
      <c r="E33" t="s">
        <v>1042</v>
      </c>
      <c r="F33" t="s">
        <v>987</v>
      </c>
      <c r="G33" s="3">
        <v>2914</v>
      </c>
      <c r="H33">
        <v>2519</v>
      </c>
      <c r="I33">
        <v>395</v>
      </c>
      <c r="J33">
        <v>2503</v>
      </c>
      <c r="K33">
        <v>2129</v>
      </c>
      <c r="L33">
        <v>374</v>
      </c>
      <c r="M33">
        <v>411</v>
      </c>
      <c r="N33">
        <v>390</v>
      </c>
      <c r="O33">
        <v>21</v>
      </c>
    </row>
    <row r="34" spans="2:15" x14ac:dyDescent="0.35">
      <c r="B34" t="s">
        <v>884</v>
      </c>
      <c r="C34" t="s">
        <v>982</v>
      </c>
      <c r="D34" s="26" t="s">
        <v>1136</v>
      </c>
      <c r="E34" t="s">
        <v>1191</v>
      </c>
      <c r="F34" t="s">
        <v>1192</v>
      </c>
      <c r="G34" s="3">
        <v>33</v>
      </c>
      <c r="H34">
        <v>28</v>
      </c>
      <c r="I34">
        <v>5</v>
      </c>
      <c r="J34">
        <v>5</v>
      </c>
      <c r="K34">
        <v>0</v>
      </c>
      <c r="L34">
        <v>5</v>
      </c>
      <c r="M34">
        <v>28</v>
      </c>
      <c r="N34">
        <v>28</v>
      </c>
      <c r="O34">
        <v>0</v>
      </c>
    </row>
    <row r="35" spans="2:15" x14ac:dyDescent="0.35">
      <c r="B35" t="s">
        <v>884</v>
      </c>
      <c r="C35" t="s">
        <v>1004</v>
      </c>
      <c r="D35" s="26" t="s">
        <v>1005</v>
      </c>
      <c r="E35" t="s">
        <v>1006</v>
      </c>
      <c r="F35" t="s">
        <v>1080</v>
      </c>
      <c r="G35" s="3">
        <v>1531</v>
      </c>
      <c r="H35">
        <v>1259</v>
      </c>
      <c r="I35">
        <v>272</v>
      </c>
      <c r="J35">
        <v>1480</v>
      </c>
      <c r="K35">
        <v>1215</v>
      </c>
      <c r="L35">
        <v>265</v>
      </c>
      <c r="M35">
        <v>51</v>
      </c>
      <c r="N35">
        <v>44</v>
      </c>
      <c r="O35">
        <v>7</v>
      </c>
    </row>
    <row r="36" spans="2:15" x14ac:dyDescent="0.35">
      <c r="B36" t="s">
        <v>884</v>
      </c>
      <c r="C36" t="s">
        <v>662</v>
      </c>
      <c r="D36" s="26">
        <v>1.9840915201412198E+17</v>
      </c>
      <c r="E36" t="s">
        <v>989</v>
      </c>
      <c r="F36" t="s">
        <v>1064</v>
      </c>
      <c r="G36" s="3">
        <v>13060</v>
      </c>
      <c r="H36">
        <v>11842</v>
      </c>
      <c r="I36">
        <v>1218</v>
      </c>
      <c r="J36">
        <v>12705</v>
      </c>
      <c r="K36">
        <v>11521</v>
      </c>
      <c r="L36">
        <v>1184</v>
      </c>
      <c r="M36">
        <v>355</v>
      </c>
      <c r="N36">
        <v>321</v>
      </c>
      <c r="O36">
        <v>34</v>
      </c>
    </row>
    <row r="37" spans="2:15" x14ac:dyDescent="0.35">
      <c r="B37" t="s">
        <v>884</v>
      </c>
      <c r="C37" t="s">
        <v>1034</v>
      </c>
      <c r="D37" s="26" t="s">
        <v>1035</v>
      </c>
      <c r="E37" t="s">
        <v>1036</v>
      </c>
      <c r="F37" t="s">
        <v>1193</v>
      </c>
      <c r="G37" s="3">
        <v>15027</v>
      </c>
      <c r="H37">
        <v>12641</v>
      </c>
      <c r="I37">
        <v>2386</v>
      </c>
      <c r="J37">
        <v>14659</v>
      </c>
      <c r="K37">
        <v>12292</v>
      </c>
      <c r="L37">
        <v>2367</v>
      </c>
      <c r="M37">
        <v>368</v>
      </c>
      <c r="N37">
        <v>349</v>
      </c>
      <c r="O37">
        <v>19</v>
      </c>
    </row>
    <row r="38" spans="2:15" ht="18.5" x14ac:dyDescent="0.45">
      <c r="G38" s="28">
        <f>SUM(G3:G37)</f>
        <v>364587</v>
      </c>
    </row>
    <row r="39" spans="2:15" ht="15.5" x14ac:dyDescent="0.35">
      <c r="G39" s="27"/>
    </row>
    <row r="40" spans="2:15" x14ac:dyDescent="0.35">
      <c r="B40" t="s">
        <v>43</v>
      </c>
      <c r="F40" t="s">
        <v>1139</v>
      </c>
      <c r="G40" s="3">
        <v>25725</v>
      </c>
      <c r="H40">
        <v>21953</v>
      </c>
      <c r="I40">
        <v>3772</v>
      </c>
      <c r="J40">
        <v>25725</v>
      </c>
      <c r="K40">
        <v>21953</v>
      </c>
      <c r="L40">
        <v>3772</v>
      </c>
      <c r="M40">
        <v>0</v>
      </c>
      <c r="N40">
        <v>0</v>
      </c>
      <c r="O40">
        <v>0</v>
      </c>
    </row>
    <row r="41" spans="2:15" x14ac:dyDescent="0.35">
      <c r="B41" t="s">
        <v>43</v>
      </c>
      <c r="C41" t="s">
        <v>390</v>
      </c>
      <c r="D41" s="26" t="s">
        <v>996</v>
      </c>
      <c r="E41" t="s">
        <v>1101</v>
      </c>
      <c r="F41" t="s">
        <v>1140</v>
      </c>
      <c r="G41" s="3">
        <v>1022</v>
      </c>
      <c r="H41">
        <v>883</v>
      </c>
      <c r="I41">
        <v>139</v>
      </c>
      <c r="J41">
        <v>1022</v>
      </c>
      <c r="K41">
        <v>883</v>
      </c>
      <c r="L41">
        <v>139</v>
      </c>
      <c r="M41">
        <v>0</v>
      </c>
      <c r="N41">
        <v>0</v>
      </c>
      <c r="O41">
        <v>0</v>
      </c>
    </row>
    <row r="42" spans="2:15" x14ac:dyDescent="0.35">
      <c r="B42" t="s">
        <v>43</v>
      </c>
      <c r="C42" t="s">
        <v>1014</v>
      </c>
      <c r="D42" s="26" t="s">
        <v>1073</v>
      </c>
      <c r="E42" t="s">
        <v>1074</v>
      </c>
      <c r="F42" t="s">
        <v>1140</v>
      </c>
      <c r="G42" s="3">
        <v>671</v>
      </c>
      <c r="H42">
        <v>562</v>
      </c>
      <c r="I42">
        <v>109</v>
      </c>
      <c r="J42">
        <v>671</v>
      </c>
      <c r="K42">
        <v>562</v>
      </c>
      <c r="L42">
        <v>109</v>
      </c>
      <c r="M42">
        <v>0</v>
      </c>
      <c r="N42">
        <v>0</v>
      </c>
      <c r="O42">
        <v>0</v>
      </c>
    </row>
    <row r="43" spans="2:15" x14ac:dyDescent="0.35">
      <c r="B43" t="s">
        <v>43</v>
      </c>
      <c r="C43" t="s">
        <v>1031</v>
      </c>
      <c r="D43" s="26">
        <v>2.02005197910092E+17</v>
      </c>
      <c r="E43" t="s">
        <v>1032</v>
      </c>
      <c r="F43" t="s">
        <v>1089</v>
      </c>
      <c r="G43" s="3">
        <v>11</v>
      </c>
      <c r="H43">
        <v>11</v>
      </c>
      <c r="I43">
        <v>0</v>
      </c>
      <c r="J43">
        <v>11</v>
      </c>
      <c r="K43">
        <v>11</v>
      </c>
      <c r="L43">
        <v>0</v>
      </c>
      <c r="M43">
        <v>0</v>
      </c>
      <c r="N43">
        <v>0</v>
      </c>
      <c r="O43">
        <v>0</v>
      </c>
    </row>
    <row r="44" spans="2:15" x14ac:dyDescent="0.35">
      <c r="B44" t="s">
        <v>43</v>
      </c>
      <c r="C44" t="s">
        <v>1012</v>
      </c>
      <c r="D44" s="26">
        <v>1.9800514202012099E+17</v>
      </c>
      <c r="E44" t="s">
        <v>1066</v>
      </c>
      <c r="F44" t="s">
        <v>1141</v>
      </c>
      <c r="G44" s="3">
        <v>9</v>
      </c>
      <c r="H44">
        <v>8</v>
      </c>
      <c r="I44">
        <v>1</v>
      </c>
      <c r="J44">
        <v>9</v>
      </c>
      <c r="K44">
        <v>8</v>
      </c>
      <c r="L44">
        <v>1</v>
      </c>
      <c r="M44">
        <v>0</v>
      </c>
      <c r="N44">
        <v>0</v>
      </c>
      <c r="O44">
        <v>0</v>
      </c>
    </row>
    <row r="45" spans="2:15" x14ac:dyDescent="0.35">
      <c r="B45" t="s">
        <v>43</v>
      </c>
      <c r="C45" t="s">
        <v>1020</v>
      </c>
      <c r="D45" s="26">
        <v>2.0200519870815101E+17</v>
      </c>
      <c r="E45" t="s">
        <v>1021</v>
      </c>
      <c r="F45" t="s">
        <v>1046</v>
      </c>
      <c r="G45" s="3">
        <v>49</v>
      </c>
      <c r="H45">
        <v>35</v>
      </c>
      <c r="I45">
        <v>14</v>
      </c>
      <c r="J45">
        <v>49</v>
      </c>
      <c r="K45">
        <v>35</v>
      </c>
      <c r="L45">
        <v>14</v>
      </c>
      <c r="M45">
        <v>0</v>
      </c>
      <c r="N45">
        <v>0</v>
      </c>
      <c r="O45">
        <v>0</v>
      </c>
    </row>
    <row r="46" spans="2:15" x14ac:dyDescent="0.35">
      <c r="B46" t="s">
        <v>43</v>
      </c>
      <c r="C46" t="s">
        <v>1028</v>
      </c>
      <c r="D46" s="26" t="s">
        <v>1029</v>
      </c>
      <c r="E46" t="s">
        <v>1030</v>
      </c>
      <c r="F46" t="s">
        <v>1048</v>
      </c>
      <c r="G46" s="3">
        <v>22</v>
      </c>
      <c r="H46">
        <v>12</v>
      </c>
      <c r="I46">
        <v>10</v>
      </c>
      <c r="J46">
        <v>22</v>
      </c>
      <c r="K46">
        <v>12</v>
      </c>
      <c r="L46">
        <v>10</v>
      </c>
      <c r="M46">
        <v>0</v>
      </c>
      <c r="N46">
        <v>0</v>
      </c>
      <c r="O46">
        <v>0</v>
      </c>
    </row>
    <row r="47" spans="2:15" x14ac:dyDescent="0.35">
      <c r="B47" t="s">
        <v>43</v>
      </c>
      <c r="C47" t="s">
        <v>888</v>
      </c>
      <c r="D47" s="26">
        <v>1.9840809201902099E+17</v>
      </c>
      <c r="E47" t="s">
        <v>1003</v>
      </c>
      <c r="F47" t="s">
        <v>1046</v>
      </c>
      <c r="G47" s="3">
        <v>23</v>
      </c>
      <c r="H47">
        <v>16</v>
      </c>
      <c r="I47">
        <v>7</v>
      </c>
      <c r="J47">
        <v>23</v>
      </c>
      <c r="K47">
        <v>16</v>
      </c>
      <c r="L47">
        <v>7</v>
      </c>
      <c r="M47">
        <v>0</v>
      </c>
      <c r="N47">
        <v>0</v>
      </c>
      <c r="O47">
        <v>0</v>
      </c>
    </row>
    <row r="48" spans="2:15" x14ac:dyDescent="0.35">
      <c r="B48" t="s">
        <v>43</v>
      </c>
      <c r="C48" t="s">
        <v>1037</v>
      </c>
      <c r="D48" s="26">
        <v>1.9870608202012198E+17</v>
      </c>
      <c r="E48" t="s">
        <v>1038</v>
      </c>
      <c r="F48" t="s">
        <v>1139</v>
      </c>
      <c r="G48" s="3">
        <v>42</v>
      </c>
      <c r="H48">
        <v>42</v>
      </c>
      <c r="I48">
        <v>0</v>
      </c>
      <c r="J48">
        <v>42</v>
      </c>
      <c r="K48">
        <v>42</v>
      </c>
      <c r="L48">
        <v>0</v>
      </c>
      <c r="M48">
        <v>0</v>
      </c>
      <c r="N48">
        <v>0</v>
      </c>
      <c r="O48">
        <v>0</v>
      </c>
    </row>
    <row r="49" spans="2:15" x14ac:dyDescent="0.35">
      <c r="B49" t="s">
        <v>43</v>
      </c>
      <c r="C49" t="s">
        <v>994</v>
      </c>
      <c r="D49" s="26">
        <v>1.9760127200912099E+17</v>
      </c>
      <c r="E49" t="s">
        <v>995</v>
      </c>
      <c r="F49" t="s">
        <v>1069</v>
      </c>
      <c r="G49" s="3">
        <v>4</v>
      </c>
      <c r="H49">
        <v>4</v>
      </c>
      <c r="I49">
        <v>0</v>
      </c>
      <c r="J49">
        <v>4</v>
      </c>
      <c r="K49">
        <v>4</v>
      </c>
      <c r="L49">
        <v>0</v>
      </c>
      <c r="M49">
        <v>0</v>
      </c>
      <c r="N49">
        <v>0</v>
      </c>
      <c r="O49">
        <v>0</v>
      </c>
    </row>
    <row r="50" spans="2:15" x14ac:dyDescent="0.35">
      <c r="B50" t="s">
        <v>43</v>
      </c>
      <c r="C50" t="s">
        <v>777</v>
      </c>
      <c r="D50" s="26">
        <v>1.9620211198703101E+17</v>
      </c>
      <c r="E50" t="s">
        <v>1024</v>
      </c>
      <c r="F50" t="s">
        <v>1072</v>
      </c>
      <c r="G50" s="3">
        <v>371</v>
      </c>
      <c r="H50">
        <v>224</v>
      </c>
      <c r="I50">
        <v>147</v>
      </c>
      <c r="J50">
        <v>371</v>
      </c>
      <c r="K50">
        <v>224</v>
      </c>
      <c r="L50">
        <v>147</v>
      </c>
      <c r="M50">
        <v>0</v>
      </c>
      <c r="N50">
        <v>0</v>
      </c>
      <c r="O50">
        <v>0</v>
      </c>
    </row>
    <row r="51" spans="2:15" x14ac:dyDescent="0.35">
      <c r="B51" t="s">
        <v>43</v>
      </c>
      <c r="C51" t="s">
        <v>1022</v>
      </c>
      <c r="D51" s="26">
        <v>1.9850505202012099E+17</v>
      </c>
      <c r="E51" t="s">
        <v>1023</v>
      </c>
      <c r="F51" t="s">
        <v>1142</v>
      </c>
      <c r="G51" s="3">
        <v>15</v>
      </c>
      <c r="H51">
        <v>13</v>
      </c>
      <c r="I51">
        <v>2</v>
      </c>
      <c r="J51">
        <v>15</v>
      </c>
      <c r="K51">
        <v>13</v>
      </c>
      <c r="L51">
        <v>2</v>
      </c>
      <c r="M51">
        <v>0</v>
      </c>
      <c r="N51">
        <v>0</v>
      </c>
      <c r="O51">
        <v>0</v>
      </c>
    </row>
    <row r="52" spans="2:15" x14ac:dyDescent="0.35">
      <c r="B52" t="s">
        <v>43</v>
      </c>
      <c r="C52" t="s">
        <v>1016</v>
      </c>
      <c r="D52" s="26">
        <v>1.9790911202221101E+17</v>
      </c>
      <c r="E52" t="s">
        <v>1017</v>
      </c>
      <c r="F52" t="s">
        <v>1143</v>
      </c>
      <c r="G52" s="3">
        <v>10</v>
      </c>
      <c r="H52">
        <v>9</v>
      </c>
      <c r="I52">
        <v>1</v>
      </c>
      <c r="J52">
        <v>10</v>
      </c>
      <c r="K52">
        <v>9</v>
      </c>
      <c r="L52">
        <v>1</v>
      </c>
      <c r="M52">
        <v>0</v>
      </c>
      <c r="N52">
        <v>0</v>
      </c>
      <c r="O52">
        <v>0</v>
      </c>
    </row>
    <row r="53" spans="2:15" x14ac:dyDescent="0.35">
      <c r="B53" t="s">
        <v>43</v>
      </c>
      <c r="C53" t="s">
        <v>977</v>
      </c>
      <c r="D53" s="26" t="s">
        <v>1144</v>
      </c>
      <c r="E53" t="s">
        <v>979</v>
      </c>
      <c r="F53" t="s">
        <v>1139</v>
      </c>
      <c r="G53" s="3">
        <v>16616</v>
      </c>
      <c r="H53">
        <v>13317</v>
      </c>
      <c r="I53">
        <v>3299</v>
      </c>
      <c r="J53">
        <v>16616</v>
      </c>
      <c r="K53">
        <v>13317</v>
      </c>
      <c r="L53">
        <v>3299</v>
      </c>
      <c r="M53">
        <v>0</v>
      </c>
      <c r="N53">
        <v>0</v>
      </c>
      <c r="O53">
        <v>0</v>
      </c>
    </row>
    <row r="54" spans="2:15" x14ac:dyDescent="0.35">
      <c r="B54" t="s">
        <v>43</v>
      </c>
      <c r="C54" t="s">
        <v>1007</v>
      </c>
      <c r="D54" s="26">
        <v>1.9800412201412198E+17</v>
      </c>
      <c r="E54" t="s">
        <v>1008</v>
      </c>
      <c r="F54" t="s">
        <v>1048</v>
      </c>
      <c r="G54" s="3">
        <v>228</v>
      </c>
      <c r="H54">
        <v>205</v>
      </c>
      <c r="I54">
        <v>23</v>
      </c>
      <c r="J54">
        <v>228</v>
      </c>
      <c r="K54">
        <v>205</v>
      </c>
      <c r="L54">
        <v>23</v>
      </c>
      <c r="M54">
        <v>0</v>
      </c>
      <c r="N54">
        <v>0</v>
      </c>
      <c r="O54">
        <v>0</v>
      </c>
    </row>
    <row r="55" spans="2:15" x14ac:dyDescent="0.35">
      <c r="B55" t="s">
        <v>43</v>
      </c>
      <c r="C55" t="s">
        <v>985</v>
      </c>
      <c r="D55" s="26">
        <v>1.98411262018012E+17</v>
      </c>
      <c r="E55" t="s">
        <v>986</v>
      </c>
      <c r="F55" t="s">
        <v>1140</v>
      </c>
      <c r="G55" s="3">
        <v>57</v>
      </c>
      <c r="H55">
        <v>1</v>
      </c>
      <c r="I55">
        <v>56</v>
      </c>
      <c r="J55">
        <v>57</v>
      </c>
      <c r="K55">
        <v>1</v>
      </c>
      <c r="L55">
        <v>56</v>
      </c>
      <c r="M55">
        <v>0</v>
      </c>
      <c r="N55">
        <v>0</v>
      </c>
      <c r="O55">
        <v>0</v>
      </c>
    </row>
    <row r="56" spans="2:15" x14ac:dyDescent="0.35">
      <c r="B56" t="s">
        <v>43</v>
      </c>
      <c r="C56" t="s">
        <v>1093</v>
      </c>
      <c r="D56" s="26">
        <v>1.9650516199903101E+17</v>
      </c>
      <c r="E56" t="s">
        <v>1094</v>
      </c>
      <c r="F56" t="s">
        <v>1067</v>
      </c>
      <c r="G56" s="3">
        <v>41</v>
      </c>
      <c r="H56">
        <v>37</v>
      </c>
      <c r="I56">
        <v>4</v>
      </c>
      <c r="J56">
        <v>41</v>
      </c>
      <c r="K56">
        <v>37</v>
      </c>
      <c r="L56">
        <v>4</v>
      </c>
      <c r="M56">
        <v>0</v>
      </c>
      <c r="N56">
        <v>0</v>
      </c>
      <c r="O56">
        <v>0</v>
      </c>
    </row>
    <row r="57" spans="2:15" x14ac:dyDescent="0.35">
      <c r="B57" t="s">
        <v>43</v>
      </c>
      <c r="C57" t="s">
        <v>1040</v>
      </c>
      <c r="D57" s="26">
        <v>1.9800311200502202E+17</v>
      </c>
      <c r="E57" t="s">
        <v>1145</v>
      </c>
      <c r="F57" t="s">
        <v>1046</v>
      </c>
      <c r="G57" s="3">
        <v>46</v>
      </c>
      <c r="H57">
        <v>35</v>
      </c>
      <c r="I57">
        <v>11</v>
      </c>
      <c r="J57">
        <v>46</v>
      </c>
      <c r="K57">
        <v>35</v>
      </c>
      <c r="L57">
        <v>11</v>
      </c>
      <c r="M57">
        <v>0</v>
      </c>
      <c r="N57">
        <v>0</v>
      </c>
      <c r="O57">
        <v>0</v>
      </c>
    </row>
    <row r="58" spans="2:15" x14ac:dyDescent="0.35">
      <c r="B58" t="s">
        <v>43</v>
      </c>
      <c r="C58" t="s">
        <v>998</v>
      </c>
      <c r="D58" s="26">
        <v>1.9860720202203101E+17</v>
      </c>
      <c r="E58" t="s">
        <v>999</v>
      </c>
      <c r="F58" t="s">
        <v>1046</v>
      </c>
      <c r="G58" s="3">
        <v>496</v>
      </c>
      <c r="H58">
        <v>472</v>
      </c>
      <c r="I58">
        <v>24</v>
      </c>
      <c r="J58">
        <v>496</v>
      </c>
      <c r="K58">
        <v>472</v>
      </c>
      <c r="L58">
        <v>24</v>
      </c>
      <c r="M58">
        <v>0</v>
      </c>
      <c r="N58">
        <v>0</v>
      </c>
      <c r="O58">
        <v>0</v>
      </c>
    </row>
    <row r="59" spans="2:15" x14ac:dyDescent="0.35">
      <c r="B59" t="s">
        <v>43</v>
      </c>
      <c r="C59" t="s">
        <v>898</v>
      </c>
      <c r="D59" s="26">
        <v>1.97001101998032E+17</v>
      </c>
      <c r="E59" t="s">
        <v>993</v>
      </c>
      <c r="F59" t="s">
        <v>1048</v>
      </c>
      <c r="G59" s="3">
        <v>2</v>
      </c>
      <c r="H59">
        <v>2</v>
      </c>
      <c r="I59">
        <v>0</v>
      </c>
      <c r="J59">
        <v>2</v>
      </c>
      <c r="K59">
        <v>2</v>
      </c>
      <c r="L59">
        <v>0</v>
      </c>
      <c r="M59">
        <v>0</v>
      </c>
      <c r="N59">
        <v>0</v>
      </c>
      <c r="O59">
        <v>0</v>
      </c>
    </row>
    <row r="60" spans="2:15" x14ac:dyDescent="0.35">
      <c r="B60" t="s">
        <v>43</v>
      </c>
      <c r="C60" t="s">
        <v>1043</v>
      </c>
      <c r="D60" s="26">
        <v>1.9750329200812198E+17</v>
      </c>
      <c r="E60" t="s">
        <v>1044</v>
      </c>
      <c r="F60" t="s">
        <v>1067</v>
      </c>
      <c r="G60" s="3">
        <v>67</v>
      </c>
      <c r="H60">
        <v>64</v>
      </c>
      <c r="I60">
        <v>3</v>
      </c>
      <c r="J60">
        <v>67</v>
      </c>
      <c r="K60">
        <v>64</v>
      </c>
      <c r="L60">
        <v>3</v>
      </c>
      <c r="M60">
        <v>0</v>
      </c>
      <c r="N60">
        <v>0</v>
      </c>
      <c r="O60">
        <v>0</v>
      </c>
    </row>
    <row r="61" spans="2:15" x14ac:dyDescent="0.35">
      <c r="B61" t="s">
        <v>43</v>
      </c>
      <c r="C61" t="s">
        <v>990</v>
      </c>
      <c r="D61" s="26" t="s">
        <v>1146</v>
      </c>
      <c r="E61" t="s">
        <v>992</v>
      </c>
      <c r="F61" t="s">
        <v>1147</v>
      </c>
      <c r="G61" s="3">
        <v>1122</v>
      </c>
      <c r="H61">
        <v>1041</v>
      </c>
      <c r="I61">
        <v>81</v>
      </c>
      <c r="J61">
        <v>1122</v>
      </c>
      <c r="K61">
        <v>1041</v>
      </c>
      <c r="L61">
        <v>81</v>
      </c>
      <c r="M61">
        <v>0</v>
      </c>
      <c r="N61">
        <v>0</v>
      </c>
      <c r="O61">
        <v>0</v>
      </c>
    </row>
    <row r="62" spans="2:15" x14ac:dyDescent="0.35">
      <c r="B62" t="s">
        <v>43</v>
      </c>
      <c r="C62" t="s">
        <v>1000</v>
      </c>
      <c r="D62" s="26" t="s">
        <v>1148</v>
      </c>
      <c r="E62" t="s">
        <v>1002</v>
      </c>
      <c r="F62" t="s">
        <v>1067</v>
      </c>
      <c r="G62" s="3">
        <v>157</v>
      </c>
      <c r="H62">
        <v>146</v>
      </c>
      <c r="I62">
        <v>11</v>
      </c>
      <c r="J62">
        <v>157</v>
      </c>
      <c r="K62">
        <v>146</v>
      </c>
      <c r="L62">
        <v>11</v>
      </c>
      <c r="M62">
        <v>0</v>
      </c>
      <c r="N62">
        <v>0</v>
      </c>
      <c r="O62">
        <v>0</v>
      </c>
    </row>
    <row r="63" spans="2:15" x14ac:dyDescent="0.35">
      <c r="B63" t="s">
        <v>43</v>
      </c>
      <c r="C63" t="s">
        <v>904</v>
      </c>
      <c r="D63" s="26">
        <v>1.9670310200912198E+17</v>
      </c>
      <c r="E63" t="s">
        <v>1039</v>
      </c>
      <c r="F63" t="s">
        <v>1069</v>
      </c>
      <c r="G63" s="3">
        <v>1</v>
      </c>
      <c r="H63">
        <v>1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</row>
    <row r="64" spans="2:15" x14ac:dyDescent="0.35">
      <c r="B64" t="s">
        <v>43</v>
      </c>
      <c r="C64" t="s">
        <v>1018</v>
      </c>
      <c r="D64" s="26">
        <v>1.9621007198910099E+17</v>
      </c>
      <c r="E64" t="s">
        <v>1149</v>
      </c>
      <c r="F64" t="s">
        <v>1069</v>
      </c>
      <c r="G64" s="3">
        <v>2</v>
      </c>
      <c r="H64">
        <v>2</v>
      </c>
      <c r="I64">
        <v>0</v>
      </c>
      <c r="J64">
        <v>2</v>
      </c>
      <c r="K64">
        <v>2</v>
      </c>
      <c r="L64">
        <v>0</v>
      </c>
      <c r="M64">
        <v>0</v>
      </c>
      <c r="N64">
        <v>0</v>
      </c>
      <c r="O64">
        <v>0</v>
      </c>
    </row>
    <row r="65" spans="2:15" x14ac:dyDescent="0.35">
      <c r="B65" t="s">
        <v>43</v>
      </c>
      <c r="C65" t="s">
        <v>655</v>
      </c>
      <c r="D65" s="26">
        <v>1.9790415201412099E+17</v>
      </c>
      <c r="E65" t="s">
        <v>1150</v>
      </c>
      <c r="F65" t="s">
        <v>1089</v>
      </c>
      <c r="G65" s="3">
        <v>1</v>
      </c>
      <c r="H65">
        <v>1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2:15" x14ac:dyDescent="0.35">
      <c r="B66" t="s">
        <v>43</v>
      </c>
      <c r="C66" t="s">
        <v>1025</v>
      </c>
      <c r="D66" s="26" t="s">
        <v>1026</v>
      </c>
      <c r="E66" t="s">
        <v>1114</v>
      </c>
      <c r="F66" t="s">
        <v>1140</v>
      </c>
      <c r="G66" s="3">
        <v>1440</v>
      </c>
      <c r="H66">
        <v>1336</v>
      </c>
      <c r="I66">
        <v>104</v>
      </c>
      <c r="J66">
        <v>1440</v>
      </c>
      <c r="K66">
        <v>1336</v>
      </c>
      <c r="L66">
        <v>104</v>
      </c>
      <c r="M66">
        <v>0</v>
      </c>
      <c r="N66">
        <v>0</v>
      </c>
      <c r="O66">
        <v>0</v>
      </c>
    </row>
    <row r="67" spans="2:15" x14ac:dyDescent="0.35">
      <c r="B67" t="s">
        <v>43</v>
      </c>
      <c r="C67" t="s">
        <v>755</v>
      </c>
      <c r="D67" s="26">
        <v>2.0200519850129101E+17</v>
      </c>
      <c r="E67" t="s">
        <v>988</v>
      </c>
      <c r="F67" t="s">
        <v>1139</v>
      </c>
      <c r="G67" s="3">
        <v>106</v>
      </c>
      <c r="H67">
        <v>98</v>
      </c>
      <c r="I67">
        <v>8</v>
      </c>
      <c r="J67">
        <v>106</v>
      </c>
      <c r="K67">
        <v>98</v>
      </c>
      <c r="L67">
        <v>8</v>
      </c>
      <c r="M67">
        <v>0</v>
      </c>
      <c r="N67">
        <v>0</v>
      </c>
      <c r="O67">
        <v>0</v>
      </c>
    </row>
    <row r="68" spans="2:15" x14ac:dyDescent="0.35">
      <c r="B68" t="s">
        <v>43</v>
      </c>
      <c r="C68" t="s">
        <v>1128</v>
      </c>
      <c r="D68" s="26">
        <v>1.98706022018012E+17</v>
      </c>
      <c r="E68" t="s">
        <v>1151</v>
      </c>
      <c r="F68" t="s">
        <v>1067</v>
      </c>
      <c r="G68" s="3">
        <v>8</v>
      </c>
      <c r="H68">
        <v>7</v>
      </c>
      <c r="I68">
        <v>1</v>
      </c>
      <c r="J68">
        <v>8</v>
      </c>
      <c r="K68">
        <v>7</v>
      </c>
      <c r="L68">
        <v>1</v>
      </c>
      <c r="M68">
        <v>0</v>
      </c>
      <c r="N68">
        <v>0</v>
      </c>
      <c r="O68">
        <v>0</v>
      </c>
    </row>
    <row r="69" spans="2:15" x14ac:dyDescent="0.35">
      <c r="B69" t="s">
        <v>43</v>
      </c>
      <c r="C69" t="s">
        <v>1041</v>
      </c>
      <c r="D69" s="26">
        <v>1.9660414199803101E+17</v>
      </c>
      <c r="E69" t="s">
        <v>1042</v>
      </c>
      <c r="F69" t="s">
        <v>1152</v>
      </c>
      <c r="G69" s="3">
        <v>68</v>
      </c>
      <c r="H69">
        <v>64</v>
      </c>
      <c r="I69">
        <v>4</v>
      </c>
      <c r="J69">
        <v>68</v>
      </c>
      <c r="K69">
        <v>64</v>
      </c>
      <c r="L69">
        <v>4</v>
      </c>
      <c r="M69">
        <v>0</v>
      </c>
      <c r="N69">
        <v>0</v>
      </c>
      <c r="O69">
        <v>0</v>
      </c>
    </row>
    <row r="70" spans="2:15" x14ac:dyDescent="0.35">
      <c r="B70" t="s">
        <v>43</v>
      </c>
      <c r="C70" t="s">
        <v>1004</v>
      </c>
      <c r="D70" s="26">
        <v>1.98503192022032E+17</v>
      </c>
      <c r="E70" t="s">
        <v>1050</v>
      </c>
      <c r="F70" t="s">
        <v>1046</v>
      </c>
      <c r="G70" s="3">
        <v>3</v>
      </c>
      <c r="H70">
        <v>3</v>
      </c>
      <c r="I70">
        <v>0</v>
      </c>
      <c r="J70">
        <v>3</v>
      </c>
      <c r="K70">
        <v>3</v>
      </c>
      <c r="L70">
        <v>0</v>
      </c>
      <c r="M70">
        <v>0</v>
      </c>
      <c r="N70">
        <v>0</v>
      </c>
      <c r="O70">
        <v>0</v>
      </c>
    </row>
    <row r="71" spans="2:15" x14ac:dyDescent="0.35">
      <c r="B71" t="s">
        <v>43</v>
      </c>
      <c r="C71" t="s">
        <v>662</v>
      </c>
      <c r="D71" s="26">
        <v>1.9840915201412198E+17</v>
      </c>
      <c r="E71" t="s">
        <v>989</v>
      </c>
      <c r="F71" t="s">
        <v>1153</v>
      </c>
      <c r="G71" s="3">
        <v>261</v>
      </c>
      <c r="H71">
        <v>218</v>
      </c>
      <c r="I71">
        <v>43</v>
      </c>
      <c r="J71">
        <v>261</v>
      </c>
      <c r="K71">
        <v>218</v>
      </c>
      <c r="L71">
        <v>43</v>
      </c>
      <c r="M71">
        <v>0</v>
      </c>
      <c r="N71">
        <v>0</v>
      </c>
      <c r="O71">
        <v>0</v>
      </c>
    </row>
    <row r="72" spans="2:15" x14ac:dyDescent="0.35">
      <c r="B72" t="s">
        <v>43</v>
      </c>
      <c r="C72" t="s">
        <v>1034</v>
      </c>
      <c r="D72" s="26" t="s">
        <v>1035</v>
      </c>
      <c r="E72" t="s">
        <v>1036</v>
      </c>
      <c r="F72" t="s">
        <v>1067</v>
      </c>
      <c r="G72" s="3">
        <v>26</v>
      </c>
      <c r="H72">
        <v>24</v>
      </c>
      <c r="I72">
        <v>2</v>
      </c>
      <c r="J72">
        <v>26</v>
      </c>
      <c r="K72">
        <v>24</v>
      </c>
      <c r="L72">
        <v>2</v>
      </c>
      <c r="M72">
        <v>0</v>
      </c>
      <c r="N72">
        <v>0</v>
      </c>
      <c r="O72">
        <v>0</v>
      </c>
    </row>
    <row r="73" spans="2:15" ht="18.5" x14ac:dyDescent="0.45">
      <c r="G73" s="28">
        <f>SUM(G40:G72)</f>
        <v>48722</v>
      </c>
    </row>
    <row r="75" spans="2:15" x14ac:dyDescent="0.35">
      <c r="B75" t="s">
        <v>866</v>
      </c>
      <c r="F75" t="s">
        <v>980</v>
      </c>
      <c r="G75" s="3">
        <v>394981</v>
      </c>
      <c r="H75">
        <v>367738</v>
      </c>
      <c r="I75">
        <v>27243</v>
      </c>
      <c r="J75">
        <v>280401</v>
      </c>
      <c r="K75">
        <v>259242</v>
      </c>
      <c r="L75">
        <v>21159</v>
      </c>
      <c r="M75">
        <v>114580</v>
      </c>
      <c r="N75">
        <v>108496</v>
      </c>
      <c r="O75">
        <v>6084</v>
      </c>
    </row>
    <row r="76" spans="2:15" x14ac:dyDescent="0.35">
      <c r="B76" t="s">
        <v>866</v>
      </c>
      <c r="C76" t="s">
        <v>390</v>
      </c>
      <c r="D76" s="26" t="s">
        <v>996</v>
      </c>
      <c r="E76" t="s">
        <v>997</v>
      </c>
      <c r="F76" t="s">
        <v>980</v>
      </c>
      <c r="G76" s="3">
        <v>15705</v>
      </c>
      <c r="H76">
        <v>15049</v>
      </c>
      <c r="I76">
        <v>656</v>
      </c>
      <c r="J76">
        <v>11691</v>
      </c>
      <c r="K76">
        <v>11157</v>
      </c>
      <c r="L76">
        <v>534</v>
      </c>
      <c r="M76">
        <v>4014</v>
      </c>
      <c r="N76">
        <v>3892</v>
      </c>
      <c r="O76">
        <v>122</v>
      </c>
    </row>
    <row r="77" spans="2:15" x14ac:dyDescent="0.35">
      <c r="B77" t="s">
        <v>866</v>
      </c>
      <c r="C77" t="s">
        <v>1014</v>
      </c>
      <c r="D77" s="26" t="s">
        <v>1073</v>
      </c>
      <c r="E77" t="s">
        <v>1074</v>
      </c>
      <c r="F77" t="s">
        <v>1011</v>
      </c>
      <c r="G77" s="3">
        <v>5500</v>
      </c>
      <c r="H77">
        <v>5038</v>
      </c>
      <c r="I77">
        <v>462</v>
      </c>
      <c r="J77">
        <v>2425</v>
      </c>
      <c r="K77">
        <v>2155</v>
      </c>
      <c r="L77">
        <v>270</v>
      </c>
      <c r="M77">
        <v>3075</v>
      </c>
      <c r="N77">
        <v>2883</v>
      </c>
      <c r="O77">
        <v>192</v>
      </c>
    </row>
    <row r="78" spans="2:15" x14ac:dyDescent="0.35">
      <c r="B78" t="s">
        <v>866</v>
      </c>
      <c r="C78" t="s">
        <v>1031</v>
      </c>
      <c r="D78" s="26">
        <v>2.02005197910092E+17</v>
      </c>
      <c r="E78" t="s">
        <v>1032</v>
      </c>
      <c r="F78" t="s">
        <v>980</v>
      </c>
      <c r="G78" s="3">
        <v>1037</v>
      </c>
      <c r="H78">
        <v>1016</v>
      </c>
      <c r="I78">
        <v>21</v>
      </c>
      <c r="J78">
        <v>642</v>
      </c>
      <c r="K78">
        <v>623</v>
      </c>
      <c r="L78">
        <v>19</v>
      </c>
      <c r="M78">
        <v>395</v>
      </c>
      <c r="N78">
        <v>393</v>
      </c>
      <c r="O78">
        <v>2</v>
      </c>
    </row>
    <row r="79" spans="2:15" x14ac:dyDescent="0.35">
      <c r="B79" t="s">
        <v>866</v>
      </c>
      <c r="C79" t="s">
        <v>1012</v>
      </c>
      <c r="D79" s="26">
        <v>1.9800514202012099E+17</v>
      </c>
      <c r="E79" t="s">
        <v>1103</v>
      </c>
      <c r="F79" t="s">
        <v>980</v>
      </c>
      <c r="G79" s="3">
        <v>3358</v>
      </c>
      <c r="H79">
        <v>3216</v>
      </c>
      <c r="I79">
        <v>142</v>
      </c>
      <c r="J79">
        <v>2075</v>
      </c>
      <c r="K79">
        <v>1980</v>
      </c>
      <c r="L79">
        <v>95</v>
      </c>
      <c r="M79">
        <v>1283</v>
      </c>
      <c r="N79">
        <v>1236</v>
      </c>
      <c r="O79">
        <v>47</v>
      </c>
    </row>
    <row r="80" spans="2:15" x14ac:dyDescent="0.35">
      <c r="B80" t="s">
        <v>866</v>
      </c>
      <c r="C80" t="s">
        <v>1020</v>
      </c>
      <c r="D80" s="26">
        <v>2.0200519870815101E+17</v>
      </c>
      <c r="E80" t="s">
        <v>1021</v>
      </c>
      <c r="F80" t="s">
        <v>980</v>
      </c>
      <c r="G80" s="3">
        <v>7409</v>
      </c>
      <c r="H80">
        <v>6608</v>
      </c>
      <c r="I80">
        <v>801</v>
      </c>
      <c r="J80">
        <v>6026</v>
      </c>
      <c r="K80">
        <v>5330</v>
      </c>
      <c r="L80">
        <v>696</v>
      </c>
      <c r="M80">
        <v>1383</v>
      </c>
      <c r="N80">
        <v>1278</v>
      </c>
      <c r="O80">
        <v>105</v>
      </c>
    </row>
    <row r="81" spans="2:15" x14ac:dyDescent="0.35">
      <c r="B81" t="s">
        <v>866</v>
      </c>
      <c r="C81" t="s">
        <v>1028</v>
      </c>
      <c r="D81" s="26" t="s">
        <v>1029</v>
      </c>
      <c r="E81" t="s">
        <v>1030</v>
      </c>
      <c r="F81" t="s">
        <v>980</v>
      </c>
      <c r="G81" s="3">
        <v>2142</v>
      </c>
      <c r="H81">
        <v>1936</v>
      </c>
      <c r="I81">
        <v>206</v>
      </c>
      <c r="J81">
        <v>1456</v>
      </c>
      <c r="K81">
        <v>1296</v>
      </c>
      <c r="L81">
        <v>160</v>
      </c>
      <c r="M81">
        <v>686</v>
      </c>
      <c r="N81">
        <v>640</v>
      </c>
      <c r="O81">
        <v>46</v>
      </c>
    </row>
    <row r="82" spans="2:15" x14ac:dyDescent="0.35">
      <c r="B82" t="s">
        <v>866</v>
      </c>
      <c r="C82" t="s">
        <v>888</v>
      </c>
      <c r="D82" s="26">
        <v>1.9840809201902099E+17</v>
      </c>
      <c r="E82" t="s">
        <v>1003</v>
      </c>
      <c r="F82" t="s">
        <v>980</v>
      </c>
      <c r="G82" s="3">
        <v>2170</v>
      </c>
      <c r="H82">
        <v>1869</v>
      </c>
      <c r="I82">
        <v>301</v>
      </c>
      <c r="J82">
        <v>1025</v>
      </c>
      <c r="K82">
        <v>868</v>
      </c>
      <c r="L82">
        <v>157</v>
      </c>
      <c r="M82">
        <v>1145</v>
      </c>
      <c r="N82">
        <v>1001</v>
      </c>
      <c r="O82">
        <v>144</v>
      </c>
    </row>
    <row r="83" spans="2:15" x14ac:dyDescent="0.35">
      <c r="B83" t="s">
        <v>866</v>
      </c>
      <c r="C83" t="s">
        <v>1037</v>
      </c>
      <c r="D83" s="26">
        <v>1.9870608202012198E+17</v>
      </c>
      <c r="E83" t="s">
        <v>1038</v>
      </c>
      <c r="F83" t="s">
        <v>1078</v>
      </c>
      <c r="G83" s="3">
        <v>1223</v>
      </c>
      <c r="H83">
        <v>1119</v>
      </c>
      <c r="I83">
        <v>104</v>
      </c>
      <c r="J83">
        <v>588</v>
      </c>
      <c r="K83">
        <v>519</v>
      </c>
      <c r="L83">
        <v>69</v>
      </c>
      <c r="M83">
        <v>635</v>
      </c>
      <c r="N83">
        <v>600</v>
      </c>
      <c r="O83">
        <v>35</v>
      </c>
    </row>
    <row r="84" spans="2:15" x14ac:dyDescent="0.35">
      <c r="B84" t="s">
        <v>866</v>
      </c>
      <c r="C84" t="s">
        <v>994</v>
      </c>
      <c r="D84" s="26">
        <v>1.9760127200912099E+17</v>
      </c>
      <c r="E84" t="s">
        <v>995</v>
      </c>
      <c r="F84" t="s">
        <v>980</v>
      </c>
      <c r="G84" s="3">
        <v>2730</v>
      </c>
      <c r="H84">
        <v>2588</v>
      </c>
      <c r="I84">
        <v>142</v>
      </c>
      <c r="J84">
        <v>2312</v>
      </c>
      <c r="K84">
        <v>2188</v>
      </c>
      <c r="L84">
        <v>124</v>
      </c>
      <c r="M84">
        <v>418</v>
      </c>
      <c r="N84">
        <v>400</v>
      </c>
      <c r="O84">
        <v>18</v>
      </c>
    </row>
    <row r="85" spans="2:15" x14ac:dyDescent="0.35">
      <c r="B85" t="s">
        <v>866</v>
      </c>
      <c r="C85" t="s">
        <v>777</v>
      </c>
      <c r="D85" s="26">
        <v>1.9620211198703101E+17</v>
      </c>
      <c r="E85" t="s">
        <v>1024</v>
      </c>
      <c r="F85" t="s">
        <v>1078</v>
      </c>
      <c r="G85" s="3">
        <v>2197</v>
      </c>
      <c r="H85">
        <v>2012</v>
      </c>
      <c r="I85">
        <v>185</v>
      </c>
      <c r="J85">
        <v>1532</v>
      </c>
      <c r="K85">
        <v>1407</v>
      </c>
      <c r="L85">
        <v>125</v>
      </c>
      <c r="M85">
        <v>665</v>
      </c>
      <c r="N85">
        <v>605</v>
      </c>
      <c r="O85">
        <v>60</v>
      </c>
    </row>
    <row r="86" spans="2:15" x14ac:dyDescent="0.35">
      <c r="B86" t="s">
        <v>866</v>
      </c>
      <c r="C86" t="s">
        <v>1022</v>
      </c>
      <c r="D86" s="26">
        <v>1.9850505202012099E+17</v>
      </c>
      <c r="E86" t="s">
        <v>1023</v>
      </c>
      <c r="F86" t="s">
        <v>980</v>
      </c>
      <c r="G86" s="3">
        <v>2952</v>
      </c>
      <c r="H86">
        <v>2726</v>
      </c>
      <c r="I86">
        <v>226</v>
      </c>
      <c r="J86">
        <v>2209</v>
      </c>
      <c r="K86">
        <v>2010</v>
      </c>
      <c r="L86">
        <v>199</v>
      </c>
      <c r="M86">
        <v>743</v>
      </c>
      <c r="N86">
        <v>716</v>
      </c>
      <c r="O86">
        <v>27</v>
      </c>
    </row>
    <row r="87" spans="2:15" x14ac:dyDescent="0.35">
      <c r="B87" t="s">
        <v>866</v>
      </c>
      <c r="C87" t="s">
        <v>1016</v>
      </c>
      <c r="D87" s="26">
        <v>1.9790911202221101E+17</v>
      </c>
      <c r="E87" t="s">
        <v>1017</v>
      </c>
      <c r="F87" t="s">
        <v>980</v>
      </c>
      <c r="G87" s="3">
        <v>1418</v>
      </c>
      <c r="H87">
        <v>1358</v>
      </c>
      <c r="I87">
        <v>60</v>
      </c>
      <c r="J87">
        <v>1056</v>
      </c>
      <c r="K87">
        <v>1004</v>
      </c>
      <c r="L87">
        <v>52</v>
      </c>
      <c r="M87">
        <v>362</v>
      </c>
      <c r="N87">
        <v>354</v>
      </c>
      <c r="O87">
        <v>8</v>
      </c>
    </row>
    <row r="88" spans="2:15" x14ac:dyDescent="0.35">
      <c r="B88" t="s">
        <v>866</v>
      </c>
      <c r="C88" t="s">
        <v>977</v>
      </c>
      <c r="D88" s="26" t="s">
        <v>978</v>
      </c>
      <c r="E88" t="s">
        <v>979</v>
      </c>
      <c r="F88" t="s">
        <v>980</v>
      </c>
      <c r="G88" s="3">
        <v>2412</v>
      </c>
      <c r="H88">
        <v>2355</v>
      </c>
      <c r="I88">
        <v>57</v>
      </c>
      <c r="J88">
        <v>2246</v>
      </c>
      <c r="K88">
        <v>2199</v>
      </c>
      <c r="L88">
        <v>47</v>
      </c>
      <c r="M88">
        <v>166</v>
      </c>
      <c r="N88">
        <v>156</v>
      </c>
      <c r="O88">
        <v>10</v>
      </c>
    </row>
    <row r="89" spans="2:15" x14ac:dyDescent="0.35">
      <c r="B89" t="s">
        <v>866</v>
      </c>
      <c r="C89" t="s">
        <v>1007</v>
      </c>
      <c r="D89" s="26">
        <v>1.9800412201412198E+17</v>
      </c>
      <c r="E89" t="s">
        <v>1008</v>
      </c>
      <c r="F89" t="s">
        <v>980</v>
      </c>
      <c r="G89" s="3">
        <v>4452</v>
      </c>
      <c r="H89">
        <v>3766</v>
      </c>
      <c r="I89">
        <v>686</v>
      </c>
      <c r="J89">
        <v>3227</v>
      </c>
      <c r="K89">
        <v>2677</v>
      </c>
      <c r="L89">
        <v>550</v>
      </c>
      <c r="M89">
        <v>1225</v>
      </c>
      <c r="N89">
        <v>1089</v>
      </c>
      <c r="O89">
        <v>136</v>
      </c>
    </row>
    <row r="90" spans="2:15" x14ac:dyDescent="0.35">
      <c r="B90" t="s">
        <v>866</v>
      </c>
      <c r="C90" t="s">
        <v>985</v>
      </c>
      <c r="D90" s="26">
        <v>1.98411262018012E+17</v>
      </c>
      <c r="E90" t="s">
        <v>986</v>
      </c>
      <c r="F90" t="s">
        <v>980</v>
      </c>
      <c r="G90" s="3">
        <v>2</v>
      </c>
      <c r="H90">
        <v>2</v>
      </c>
      <c r="I90">
        <v>0</v>
      </c>
      <c r="J90">
        <v>1</v>
      </c>
      <c r="K90">
        <v>1</v>
      </c>
      <c r="L90">
        <v>0</v>
      </c>
      <c r="M90">
        <v>1</v>
      </c>
      <c r="N90">
        <v>1</v>
      </c>
      <c r="O90">
        <v>0</v>
      </c>
    </row>
    <row r="91" spans="2:15" x14ac:dyDescent="0.35">
      <c r="B91" t="s">
        <v>866</v>
      </c>
      <c r="C91" t="s">
        <v>1093</v>
      </c>
      <c r="D91" s="26">
        <v>1.9650516199903101E+17</v>
      </c>
      <c r="E91" t="s">
        <v>1094</v>
      </c>
      <c r="F91" t="s">
        <v>980</v>
      </c>
      <c r="G91" s="3">
        <v>1778</v>
      </c>
      <c r="H91">
        <v>1764</v>
      </c>
      <c r="I91">
        <v>14</v>
      </c>
      <c r="J91">
        <v>1366</v>
      </c>
      <c r="K91">
        <v>1352</v>
      </c>
      <c r="L91">
        <v>14</v>
      </c>
      <c r="M91">
        <v>412</v>
      </c>
      <c r="N91">
        <v>412</v>
      </c>
      <c r="O91">
        <v>0</v>
      </c>
    </row>
    <row r="92" spans="2:15" x14ac:dyDescent="0.35">
      <c r="B92" t="s">
        <v>866</v>
      </c>
      <c r="C92" t="s">
        <v>1040</v>
      </c>
      <c r="D92" s="26">
        <v>1.99206092018012E+17</v>
      </c>
      <c r="E92" t="s">
        <v>1172</v>
      </c>
      <c r="F92" t="s">
        <v>980</v>
      </c>
      <c r="G92" s="3">
        <v>383</v>
      </c>
      <c r="H92">
        <v>355</v>
      </c>
      <c r="I92">
        <v>28</v>
      </c>
      <c r="J92">
        <v>317</v>
      </c>
      <c r="K92">
        <v>305</v>
      </c>
      <c r="L92">
        <v>12</v>
      </c>
      <c r="M92">
        <v>66</v>
      </c>
      <c r="N92">
        <v>50</v>
      </c>
      <c r="O92">
        <v>16</v>
      </c>
    </row>
    <row r="93" spans="2:15" x14ac:dyDescent="0.35">
      <c r="B93" t="s">
        <v>866</v>
      </c>
      <c r="C93" t="s">
        <v>998</v>
      </c>
      <c r="D93" s="26">
        <v>1.9860720202203101E+17</v>
      </c>
      <c r="E93" t="s">
        <v>999</v>
      </c>
      <c r="F93" t="s">
        <v>980</v>
      </c>
      <c r="G93" s="3">
        <v>3038</v>
      </c>
      <c r="H93">
        <v>2942</v>
      </c>
      <c r="I93">
        <v>96</v>
      </c>
      <c r="J93">
        <v>2374</v>
      </c>
      <c r="K93">
        <v>2303</v>
      </c>
      <c r="L93">
        <v>71</v>
      </c>
      <c r="M93">
        <v>664</v>
      </c>
      <c r="N93">
        <v>639</v>
      </c>
      <c r="O93">
        <v>25</v>
      </c>
    </row>
    <row r="94" spans="2:15" x14ac:dyDescent="0.35">
      <c r="B94" t="s">
        <v>866</v>
      </c>
      <c r="C94" t="s">
        <v>898</v>
      </c>
      <c r="D94" s="26">
        <v>1.9731011200112198E+17</v>
      </c>
      <c r="E94" t="s">
        <v>993</v>
      </c>
      <c r="F94" t="s">
        <v>980</v>
      </c>
      <c r="G94" s="3">
        <v>4453</v>
      </c>
      <c r="H94">
        <v>3958</v>
      </c>
      <c r="I94">
        <v>495</v>
      </c>
      <c r="J94">
        <v>3074</v>
      </c>
      <c r="K94">
        <v>2705</v>
      </c>
      <c r="L94">
        <v>369</v>
      </c>
      <c r="M94">
        <v>1379</v>
      </c>
      <c r="N94">
        <v>1253</v>
      </c>
      <c r="O94">
        <v>126</v>
      </c>
    </row>
    <row r="95" spans="2:15" x14ac:dyDescent="0.35">
      <c r="B95" t="s">
        <v>866</v>
      </c>
      <c r="C95" t="s">
        <v>1043</v>
      </c>
      <c r="D95" s="26">
        <v>1.9750329200812198E+17</v>
      </c>
      <c r="E95" t="s">
        <v>1044</v>
      </c>
      <c r="F95" t="s">
        <v>980</v>
      </c>
      <c r="G95" s="3">
        <v>620</v>
      </c>
      <c r="H95">
        <v>618</v>
      </c>
      <c r="I95">
        <v>2</v>
      </c>
      <c r="J95">
        <v>516</v>
      </c>
      <c r="K95">
        <v>514</v>
      </c>
      <c r="L95">
        <v>2</v>
      </c>
      <c r="M95">
        <v>104</v>
      </c>
      <c r="N95">
        <v>104</v>
      </c>
      <c r="O95">
        <v>0</v>
      </c>
    </row>
    <row r="96" spans="2:15" x14ac:dyDescent="0.35">
      <c r="B96" t="s">
        <v>866</v>
      </c>
      <c r="C96" t="s">
        <v>990</v>
      </c>
      <c r="D96" s="26" t="s">
        <v>991</v>
      </c>
      <c r="E96" t="s">
        <v>992</v>
      </c>
      <c r="F96" t="s">
        <v>980</v>
      </c>
      <c r="G96" s="3">
        <v>27958</v>
      </c>
      <c r="H96">
        <v>26215</v>
      </c>
      <c r="I96">
        <v>1743</v>
      </c>
      <c r="J96">
        <v>21243</v>
      </c>
      <c r="K96">
        <v>19844</v>
      </c>
      <c r="L96">
        <v>1399</v>
      </c>
      <c r="M96">
        <v>6715</v>
      </c>
      <c r="N96">
        <v>6371</v>
      </c>
      <c r="O96">
        <v>344</v>
      </c>
    </row>
    <row r="97" spans="2:15" x14ac:dyDescent="0.35">
      <c r="B97" t="s">
        <v>866</v>
      </c>
      <c r="C97" t="s">
        <v>1000</v>
      </c>
      <c r="D97" s="26" t="s">
        <v>1001</v>
      </c>
      <c r="E97" t="s">
        <v>1002</v>
      </c>
      <c r="F97" t="s">
        <v>980</v>
      </c>
      <c r="G97" s="3">
        <v>5568</v>
      </c>
      <c r="H97">
        <v>5222</v>
      </c>
      <c r="I97">
        <v>346</v>
      </c>
      <c r="J97">
        <v>4231</v>
      </c>
      <c r="K97">
        <v>3971</v>
      </c>
      <c r="L97">
        <v>260</v>
      </c>
      <c r="M97">
        <v>1337</v>
      </c>
      <c r="N97">
        <v>1251</v>
      </c>
      <c r="O97">
        <v>86</v>
      </c>
    </row>
    <row r="98" spans="2:15" x14ac:dyDescent="0.35">
      <c r="B98" t="s">
        <v>866</v>
      </c>
      <c r="C98" t="s">
        <v>904</v>
      </c>
      <c r="D98" s="26">
        <v>1.9830316201412198E+17</v>
      </c>
      <c r="E98" t="s">
        <v>1173</v>
      </c>
      <c r="F98" t="s">
        <v>980</v>
      </c>
      <c r="G98" s="3">
        <v>216</v>
      </c>
      <c r="H98">
        <v>190</v>
      </c>
      <c r="I98">
        <v>26</v>
      </c>
      <c r="J98">
        <v>132</v>
      </c>
      <c r="K98">
        <v>113</v>
      </c>
      <c r="L98">
        <v>19</v>
      </c>
      <c r="M98">
        <v>84</v>
      </c>
      <c r="N98">
        <v>77</v>
      </c>
      <c r="O98">
        <v>7</v>
      </c>
    </row>
    <row r="99" spans="2:15" x14ac:dyDescent="0.35">
      <c r="B99" t="s">
        <v>866</v>
      </c>
      <c r="C99" t="s">
        <v>1018</v>
      </c>
      <c r="D99" s="26">
        <v>1.9751204201412198E+17</v>
      </c>
      <c r="E99" t="s">
        <v>1019</v>
      </c>
      <c r="F99" t="s">
        <v>980</v>
      </c>
      <c r="G99" s="3">
        <v>241</v>
      </c>
      <c r="H99">
        <v>233</v>
      </c>
      <c r="I99">
        <v>8</v>
      </c>
      <c r="J99">
        <v>187</v>
      </c>
      <c r="K99">
        <v>179</v>
      </c>
      <c r="L99">
        <v>8</v>
      </c>
      <c r="M99">
        <v>54</v>
      </c>
      <c r="N99">
        <v>54</v>
      </c>
      <c r="O99">
        <v>0</v>
      </c>
    </row>
    <row r="100" spans="2:15" x14ac:dyDescent="0.35">
      <c r="B100" t="s">
        <v>866</v>
      </c>
      <c r="C100" t="s">
        <v>655</v>
      </c>
      <c r="D100" s="26" t="s">
        <v>1009</v>
      </c>
      <c r="E100" t="s">
        <v>1110</v>
      </c>
      <c r="F100" t="s">
        <v>1011</v>
      </c>
      <c r="G100" s="3">
        <v>484</v>
      </c>
      <c r="H100">
        <v>473</v>
      </c>
      <c r="I100">
        <v>11</v>
      </c>
      <c r="J100">
        <v>453</v>
      </c>
      <c r="K100">
        <v>442</v>
      </c>
      <c r="L100">
        <v>11</v>
      </c>
      <c r="M100">
        <v>31</v>
      </c>
      <c r="N100">
        <v>31</v>
      </c>
      <c r="O100">
        <v>0</v>
      </c>
    </row>
    <row r="101" spans="2:15" x14ac:dyDescent="0.35">
      <c r="B101" t="s">
        <v>866</v>
      </c>
      <c r="C101" t="s">
        <v>1025</v>
      </c>
      <c r="D101" s="26" t="s">
        <v>1026</v>
      </c>
      <c r="E101" t="s">
        <v>1114</v>
      </c>
      <c r="F101" t="s">
        <v>980</v>
      </c>
      <c r="G101" s="3">
        <v>7210</v>
      </c>
      <c r="H101">
        <v>6932</v>
      </c>
      <c r="I101">
        <v>278</v>
      </c>
      <c r="J101">
        <v>4729</v>
      </c>
      <c r="K101">
        <v>4560</v>
      </c>
      <c r="L101">
        <v>169</v>
      </c>
      <c r="M101">
        <v>2481</v>
      </c>
      <c r="N101">
        <v>2372</v>
      </c>
      <c r="O101">
        <v>109</v>
      </c>
    </row>
    <row r="102" spans="2:15" x14ac:dyDescent="0.35">
      <c r="B102" t="s">
        <v>866</v>
      </c>
      <c r="C102" t="s">
        <v>755</v>
      </c>
      <c r="D102" s="26">
        <v>2.0200519850129101E+17</v>
      </c>
      <c r="E102" t="s">
        <v>988</v>
      </c>
      <c r="F102" t="s">
        <v>1078</v>
      </c>
      <c r="G102" s="3">
        <v>13526</v>
      </c>
      <c r="H102">
        <v>11282</v>
      </c>
      <c r="I102">
        <v>2244</v>
      </c>
      <c r="J102">
        <v>9609</v>
      </c>
      <c r="K102">
        <v>7837</v>
      </c>
      <c r="L102">
        <v>1772</v>
      </c>
      <c r="M102">
        <v>3917</v>
      </c>
      <c r="N102">
        <v>3445</v>
      </c>
      <c r="O102">
        <v>472</v>
      </c>
    </row>
    <row r="103" spans="2:15" x14ac:dyDescent="0.35">
      <c r="B103" t="s">
        <v>866</v>
      </c>
      <c r="C103" t="s">
        <v>859</v>
      </c>
      <c r="D103" s="26">
        <v>1.9800223200912198E+17</v>
      </c>
      <c r="E103" t="s">
        <v>1045</v>
      </c>
      <c r="F103" t="s">
        <v>1052</v>
      </c>
      <c r="G103" s="3">
        <v>1</v>
      </c>
      <c r="H103">
        <v>1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</row>
    <row r="104" spans="2:15" x14ac:dyDescent="0.35">
      <c r="B104" t="s">
        <v>866</v>
      </c>
      <c r="C104" t="s">
        <v>1128</v>
      </c>
      <c r="D104" s="26">
        <v>1.98706022018012E+17</v>
      </c>
      <c r="E104" t="s">
        <v>1151</v>
      </c>
      <c r="F104" t="s">
        <v>1051</v>
      </c>
      <c r="G104" s="3">
        <v>53</v>
      </c>
      <c r="H104">
        <v>51</v>
      </c>
      <c r="I104">
        <v>2</v>
      </c>
      <c r="J104">
        <v>36</v>
      </c>
      <c r="K104">
        <v>35</v>
      </c>
      <c r="L104">
        <v>1</v>
      </c>
      <c r="M104">
        <v>17</v>
      </c>
      <c r="N104">
        <v>16</v>
      </c>
      <c r="O104">
        <v>1</v>
      </c>
    </row>
    <row r="105" spans="2:15" x14ac:dyDescent="0.35">
      <c r="B105" t="s">
        <v>866</v>
      </c>
      <c r="C105" t="s">
        <v>1041</v>
      </c>
      <c r="D105" s="26">
        <v>1.9660414199803101E+17</v>
      </c>
      <c r="E105" t="s">
        <v>1042</v>
      </c>
      <c r="F105" t="s">
        <v>980</v>
      </c>
      <c r="G105" s="3">
        <v>2506</v>
      </c>
      <c r="H105">
        <v>2465</v>
      </c>
      <c r="I105">
        <v>41</v>
      </c>
      <c r="J105">
        <v>1870</v>
      </c>
      <c r="K105">
        <v>1849</v>
      </c>
      <c r="L105">
        <v>21</v>
      </c>
      <c r="M105">
        <v>636</v>
      </c>
      <c r="N105">
        <v>616</v>
      </c>
      <c r="O105">
        <v>20</v>
      </c>
    </row>
    <row r="106" spans="2:15" x14ac:dyDescent="0.35">
      <c r="B106" t="s">
        <v>866</v>
      </c>
      <c r="C106" t="s">
        <v>982</v>
      </c>
      <c r="D106" s="26" t="s">
        <v>1136</v>
      </c>
      <c r="E106" t="s">
        <v>983</v>
      </c>
      <c r="F106" t="s">
        <v>980</v>
      </c>
      <c r="G106" s="3">
        <v>25</v>
      </c>
      <c r="H106">
        <v>21</v>
      </c>
      <c r="I106">
        <v>4</v>
      </c>
      <c r="J106">
        <v>24</v>
      </c>
      <c r="K106">
        <v>20</v>
      </c>
      <c r="L106">
        <v>4</v>
      </c>
      <c r="M106">
        <v>1</v>
      </c>
      <c r="N106">
        <v>1</v>
      </c>
      <c r="O106">
        <v>0</v>
      </c>
    </row>
    <row r="107" spans="2:15" x14ac:dyDescent="0.35">
      <c r="B107" t="s">
        <v>866</v>
      </c>
      <c r="C107" t="s">
        <v>1004</v>
      </c>
      <c r="D107" s="26" t="s">
        <v>1005</v>
      </c>
      <c r="E107" t="s">
        <v>1006</v>
      </c>
      <c r="F107" t="s">
        <v>980</v>
      </c>
      <c r="G107" s="3">
        <v>5561</v>
      </c>
      <c r="H107">
        <v>5248</v>
      </c>
      <c r="I107">
        <v>313</v>
      </c>
      <c r="J107">
        <v>3801</v>
      </c>
      <c r="K107">
        <v>3573</v>
      </c>
      <c r="L107">
        <v>228</v>
      </c>
      <c r="M107">
        <v>1760</v>
      </c>
      <c r="N107">
        <v>1675</v>
      </c>
      <c r="O107">
        <v>85</v>
      </c>
    </row>
    <row r="108" spans="2:15" x14ac:dyDescent="0.35">
      <c r="B108" t="s">
        <v>866</v>
      </c>
      <c r="C108" t="s">
        <v>662</v>
      </c>
      <c r="D108" s="26">
        <v>1.9840915201412198E+17</v>
      </c>
      <c r="E108" t="s">
        <v>989</v>
      </c>
      <c r="F108" t="s">
        <v>980</v>
      </c>
      <c r="G108" s="3">
        <v>11248</v>
      </c>
      <c r="H108">
        <v>10804</v>
      </c>
      <c r="I108">
        <v>444</v>
      </c>
      <c r="J108">
        <v>8427</v>
      </c>
      <c r="K108">
        <v>8059</v>
      </c>
      <c r="L108">
        <v>368</v>
      </c>
      <c r="M108">
        <v>2821</v>
      </c>
      <c r="N108">
        <v>2745</v>
      </c>
      <c r="O108">
        <v>76</v>
      </c>
    </row>
    <row r="109" spans="2:15" x14ac:dyDescent="0.35">
      <c r="B109" t="s">
        <v>866</v>
      </c>
      <c r="C109" t="s">
        <v>1034</v>
      </c>
      <c r="D109" s="26" t="s">
        <v>1035</v>
      </c>
      <c r="E109" t="s">
        <v>1036</v>
      </c>
      <c r="F109" t="s">
        <v>980</v>
      </c>
      <c r="G109" s="3">
        <v>2282</v>
      </c>
      <c r="H109">
        <v>2091</v>
      </c>
      <c r="I109">
        <v>191</v>
      </c>
      <c r="J109">
        <v>1946</v>
      </c>
      <c r="K109">
        <v>1789</v>
      </c>
      <c r="L109">
        <v>157</v>
      </c>
      <c r="M109">
        <v>336</v>
      </c>
      <c r="N109">
        <v>302</v>
      </c>
      <c r="O109">
        <v>34</v>
      </c>
    </row>
    <row r="110" spans="2:15" ht="18.5" x14ac:dyDescent="0.45">
      <c r="G110" s="28">
        <f>SUM(G75:G109)</f>
        <v>536839</v>
      </c>
    </row>
    <row r="112" spans="2:15" x14ac:dyDescent="0.35">
      <c r="B112" t="s">
        <v>878</v>
      </c>
      <c r="F112" t="s">
        <v>980</v>
      </c>
      <c r="G112" s="3">
        <v>42132</v>
      </c>
      <c r="H112">
        <v>35524</v>
      </c>
      <c r="I112">
        <v>6608</v>
      </c>
      <c r="J112">
        <v>25879</v>
      </c>
      <c r="K112">
        <v>21502</v>
      </c>
      <c r="L112">
        <v>4377</v>
      </c>
      <c r="M112">
        <v>16253</v>
      </c>
      <c r="N112">
        <v>14022</v>
      </c>
      <c r="O112">
        <v>2231</v>
      </c>
    </row>
    <row r="113" spans="2:15" x14ac:dyDescent="0.35">
      <c r="B113" t="s">
        <v>878</v>
      </c>
      <c r="C113" t="s">
        <v>390</v>
      </c>
      <c r="D113" s="26" t="s">
        <v>996</v>
      </c>
      <c r="E113" t="s">
        <v>997</v>
      </c>
      <c r="F113" t="s">
        <v>980</v>
      </c>
      <c r="G113" s="3">
        <v>7947</v>
      </c>
      <c r="H113">
        <v>7403</v>
      </c>
      <c r="I113">
        <v>544</v>
      </c>
      <c r="J113">
        <v>5009</v>
      </c>
      <c r="K113">
        <v>4641</v>
      </c>
      <c r="L113">
        <v>368</v>
      </c>
      <c r="M113">
        <v>2938</v>
      </c>
      <c r="N113">
        <v>2762</v>
      </c>
      <c r="O113">
        <v>176</v>
      </c>
    </row>
    <row r="114" spans="2:15" x14ac:dyDescent="0.35">
      <c r="B114" t="s">
        <v>878</v>
      </c>
      <c r="C114" t="s">
        <v>1014</v>
      </c>
      <c r="D114" s="26" t="s">
        <v>1073</v>
      </c>
      <c r="E114" t="s">
        <v>1074</v>
      </c>
      <c r="F114" t="s">
        <v>980</v>
      </c>
      <c r="G114" s="3">
        <v>3288</v>
      </c>
      <c r="H114">
        <v>417</v>
      </c>
      <c r="I114">
        <v>2871</v>
      </c>
      <c r="J114">
        <v>2172</v>
      </c>
      <c r="K114">
        <v>226</v>
      </c>
      <c r="L114">
        <v>1946</v>
      </c>
      <c r="M114">
        <v>1116</v>
      </c>
      <c r="N114">
        <v>191</v>
      </c>
      <c r="O114">
        <v>925</v>
      </c>
    </row>
    <row r="115" spans="2:15" x14ac:dyDescent="0.35">
      <c r="B115" t="s">
        <v>878</v>
      </c>
      <c r="C115" t="s">
        <v>1031</v>
      </c>
      <c r="D115" s="26">
        <v>2.02005197910092E+17</v>
      </c>
      <c r="E115" t="s">
        <v>1032</v>
      </c>
      <c r="F115" t="s">
        <v>980</v>
      </c>
      <c r="G115" s="3">
        <v>580</v>
      </c>
      <c r="H115">
        <v>522</v>
      </c>
      <c r="I115">
        <v>58</v>
      </c>
      <c r="J115">
        <v>280</v>
      </c>
      <c r="K115">
        <v>246</v>
      </c>
      <c r="L115">
        <v>34</v>
      </c>
      <c r="M115">
        <v>300</v>
      </c>
      <c r="N115">
        <v>276</v>
      </c>
      <c r="O115">
        <v>24</v>
      </c>
    </row>
    <row r="116" spans="2:15" x14ac:dyDescent="0.35">
      <c r="B116" t="s">
        <v>878</v>
      </c>
      <c r="C116" t="s">
        <v>1012</v>
      </c>
      <c r="D116" s="26">
        <v>1.9800514202012099E+17</v>
      </c>
      <c r="E116" t="s">
        <v>1013</v>
      </c>
      <c r="F116" t="s">
        <v>980</v>
      </c>
      <c r="G116" s="3">
        <v>8</v>
      </c>
      <c r="H116">
        <v>0</v>
      </c>
      <c r="I116">
        <v>8</v>
      </c>
      <c r="J116">
        <v>4</v>
      </c>
      <c r="K116">
        <v>0</v>
      </c>
      <c r="L116">
        <v>4</v>
      </c>
      <c r="M116">
        <v>4</v>
      </c>
      <c r="N116">
        <v>0</v>
      </c>
      <c r="O116">
        <v>4</v>
      </c>
    </row>
    <row r="117" spans="2:15" x14ac:dyDescent="0.35">
      <c r="B117" t="s">
        <v>878</v>
      </c>
      <c r="C117" t="s">
        <v>1020</v>
      </c>
      <c r="D117" s="26">
        <v>2.0200519870429101E+17</v>
      </c>
      <c r="E117" t="s">
        <v>1021</v>
      </c>
      <c r="F117" t="s">
        <v>980</v>
      </c>
      <c r="G117" s="3">
        <v>79</v>
      </c>
      <c r="H117">
        <v>62</v>
      </c>
      <c r="I117">
        <v>17</v>
      </c>
      <c r="J117">
        <v>13</v>
      </c>
      <c r="K117">
        <v>0</v>
      </c>
      <c r="L117">
        <v>13</v>
      </c>
      <c r="M117">
        <v>66</v>
      </c>
      <c r="N117">
        <v>62</v>
      </c>
      <c r="O117">
        <v>4</v>
      </c>
    </row>
    <row r="118" spans="2:15" x14ac:dyDescent="0.35">
      <c r="B118" t="s">
        <v>878</v>
      </c>
      <c r="C118" t="s">
        <v>1028</v>
      </c>
      <c r="D118" s="26" t="s">
        <v>1029</v>
      </c>
      <c r="E118" t="s">
        <v>1030</v>
      </c>
      <c r="F118" t="s">
        <v>980</v>
      </c>
      <c r="G118" s="3">
        <v>137</v>
      </c>
      <c r="H118">
        <v>96</v>
      </c>
      <c r="I118">
        <v>41</v>
      </c>
      <c r="J118">
        <v>76</v>
      </c>
      <c r="K118">
        <v>58</v>
      </c>
      <c r="L118">
        <v>18</v>
      </c>
      <c r="M118">
        <v>61</v>
      </c>
      <c r="N118">
        <v>38</v>
      </c>
      <c r="O118">
        <v>23</v>
      </c>
    </row>
    <row r="119" spans="2:15" x14ac:dyDescent="0.35">
      <c r="B119" t="s">
        <v>878</v>
      </c>
      <c r="C119" t="s">
        <v>888</v>
      </c>
      <c r="D119" s="26">
        <v>1.9840809201902099E+17</v>
      </c>
      <c r="E119" t="s">
        <v>1003</v>
      </c>
      <c r="F119" t="s">
        <v>980</v>
      </c>
      <c r="G119" s="3">
        <v>223</v>
      </c>
      <c r="H119">
        <v>155</v>
      </c>
      <c r="I119">
        <v>68</v>
      </c>
      <c r="J119">
        <v>151</v>
      </c>
      <c r="K119">
        <v>93</v>
      </c>
      <c r="L119">
        <v>58</v>
      </c>
      <c r="M119">
        <v>72</v>
      </c>
      <c r="N119">
        <v>62</v>
      </c>
      <c r="O119">
        <v>10</v>
      </c>
    </row>
    <row r="120" spans="2:15" x14ac:dyDescent="0.35">
      <c r="B120" t="s">
        <v>878</v>
      </c>
      <c r="C120" t="s">
        <v>1037</v>
      </c>
      <c r="D120" s="26">
        <v>1.9870608202012198E+17</v>
      </c>
      <c r="E120" t="s">
        <v>1038</v>
      </c>
      <c r="F120" t="s">
        <v>1078</v>
      </c>
      <c r="G120" s="3">
        <v>177</v>
      </c>
      <c r="H120">
        <v>123</v>
      </c>
      <c r="I120">
        <v>54</v>
      </c>
      <c r="J120">
        <v>66</v>
      </c>
      <c r="K120">
        <v>30</v>
      </c>
      <c r="L120">
        <v>36</v>
      </c>
      <c r="M120">
        <v>111</v>
      </c>
      <c r="N120">
        <v>93</v>
      </c>
      <c r="O120">
        <v>18</v>
      </c>
    </row>
    <row r="121" spans="2:15" x14ac:dyDescent="0.35">
      <c r="B121" t="s">
        <v>878</v>
      </c>
      <c r="C121" t="s">
        <v>994</v>
      </c>
      <c r="D121" s="26">
        <v>1.9750909201412099E+17</v>
      </c>
      <c r="E121" t="s">
        <v>995</v>
      </c>
      <c r="F121" t="s">
        <v>980</v>
      </c>
      <c r="G121" s="3">
        <v>3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3</v>
      </c>
      <c r="O121">
        <v>0</v>
      </c>
    </row>
    <row r="122" spans="2:15" x14ac:dyDescent="0.35">
      <c r="B122" t="s">
        <v>878</v>
      </c>
      <c r="C122" t="s">
        <v>777</v>
      </c>
      <c r="D122" s="26">
        <v>1.9620211198703101E+17</v>
      </c>
      <c r="E122" t="s">
        <v>1024</v>
      </c>
      <c r="F122" t="s">
        <v>980</v>
      </c>
      <c r="G122" s="3">
        <v>63</v>
      </c>
      <c r="H122">
        <v>32</v>
      </c>
      <c r="I122">
        <v>31</v>
      </c>
      <c r="J122">
        <v>37</v>
      </c>
      <c r="K122">
        <v>18</v>
      </c>
      <c r="L122">
        <v>19</v>
      </c>
      <c r="M122">
        <v>26</v>
      </c>
      <c r="N122">
        <v>14</v>
      </c>
      <c r="O122">
        <v>12</v>
      </c>
    </row>
    <row r="123" spans="2:15" x14ac:dyDescent="0.35">
      <c r="B123" t="s">
        <v>878</v>
      </c>
      <c r="C123" t="s">
        <v>1022</v>
      </c>
      <c r="D123" s="26">
        <v>1.9850505202012099E+17</v>
      </c>
      <c r="E123" t="s">
        <v>1023</v>
      </c>
      <c r="F123" t="s">
        <v>980</v>
      </c>
      <c r="G123" s="3">
        <v>35</v>
      </c>
      <c r="H123">
        <v>32</v>
      </c>
      <c r="I123">
        <v>3</v>
      </c>
      <c r="J123">
        <v>5</v>
      </c>
      <c r="K123">
        <v>3</v>
      </c>
      <c r="L123">
        <v>2</v>
      </c>
      <c r="M123">
        <v>30</v>
      </c>
      <c r="N123">
        <v>29</v>
      </c>
      <c r="O123">
        <v>1</v>
      </c>
    </row>
    <row r="124" spans="2:15" x14ac:dyDescent="0.35">
      <c r="B124" t="s">
        <v>878</v>
      </c>
      <c r="C124" t="s">
        <v>1016</v>
      </c>
      <c r="D124" s="26">
        <v>1.9790911202221101E+17</v>
      </c>
      <c r="E124" t="s">
        <v>1017</v>
      </c>
      <c r="F124" t="s">
        <v>980</v>
      </c>
      <c r="G124" s="3">
        <v>60</v>
      </c>
      <c r="H124">
        <v>5</v>
      </c>
      <c r="I124">
        <v>55</v>
      </c>
      <c r="J124">
        <v>31</v>
      </c>
      <c r="K124">
        <v>3</v>
      </c>
      <c r="L124">
        <v>28</v>
      </c>
      <c r="M124">
        <v>29</v>
      </c>
      <c r="N124">
        <v>2</v>
      </c>
      <c r="O124">
        <v>27</v>
      </c>
    </row>
    <row r="125" spans="2:15" x14ac:dyDescent="0.35">
      <c r="B125" t="s">
        <v>878</v>
      </c>
      <c r="C125" t="s">
        <v>977</v>
      </c>
      <c r="D125" s="26">
        <v>2.0180119880921101E+17</v>
      </c>
      <c r="E125" t="s">
        <v>1090</v>
      </c>
      <c r="F125" t="s">
        <v>980</v>
      </c>
      <c r="G125" s="3">
        <v>4</v>
      </c>
      <c r="H125">
        <v>3</v>
      </c>
      <c r="I125">
        <v>1</v>
      </c>
      <c r="J125">
        <v>4</v>
      </c>
      <c r="K125">
        <v>3</v>
      </c>
      <c r="L125">
        <v>1</v>
      </c>
      <c r="M125">
        <v>0</v>
      </c>
      <c r="N125">
        <v>0</v>
      </c>
      <c r="O125">
        <v>0</v>
      </c>
    </row>
    <row r="126" spans="2:15" x14ac:dyDescent="0.35">
      <c r="B126" t="s">
        <v>878</v>
      </c>
      <c r="C126" t="s">
        <v>1007</v>
      </c>
      <c r="D126" s="26">
        <v>1.9800412201412198E+17</v>
      </c>
      <c r="E126" t="s">
        <v>1008</v>
      </c>
      <c r="F126" t="s">
        <v>980</v>
      </c>
      <c r="G126" s="3">
        <v>24</v>
      </c>
      <c r="H126">
        <v>3</v>
      </c>
      <c r="I126">
        <v>21</v>
      </c>
      <c r="J126">
        <v>12</v>
      </c>
      <c r="K126">
        <v>0</v>
      </c>
      <c r="L126">
        <v>12</v>
      </c>
      <c r="M126">
        <v>12</v>
      </c>
      <c r="N126">
        <v>3</v>
      </c>
      <c r="O126">
        <v>9</v>
      </c>
    </row>
    <row r="127" spans="2:15" x14ac:dyDescent="0.35">
      <c r="B127" t="s">
        <v>878</v>
      </c>
      <c r="C127" t="s">
        <v>998</v>
      </c>
      <c r="D127" s="26">
        <v>1.9860720202203101E+17</v>
      </c>
      <c r="E127" t="s">
        <v>999</v>
      </c>
      <c r="F127" t="s">
        <v>980</v>
      </c>
      <c r="G127" s="3">
        <v>69</v>
      </c>
      <c r="H127">
        <v>2</v>
      </c>
      <c r="I127">
        <v>67</v>
      </c>
      <c r="J127">
        <v>43</v>
      </c>
      <c r="K127">
        <v>1</v>
      </c>
      <c r="L127">
        <v>42</v>
      </c>
      <c r="M127">
        <v>26</v>
      </c>
      <c r="N127">
        <v>1</v>
      </c>
      <c r="O127">
        <v>25</v>
      </c>
    </row>
    <row r="128" spans="2:15" x14ac:dyDescent="0.35">
      <c r="B128" t="s">
        <v>878</v>
      </c>
      <c r="C128" t="s">
        <v>898</v>
      </c>
      <c r="D128" s="26">
        <v>1.9731011200112198E+17</v>
      </c>
      <c r="E128" t="s">
        <v>993</v>
      </c>
      <c r="F128" t="s">
        <v>980</v>
      </c>
      <c r="G128" s="3">
        <v>42</v>
      </c>
      <c r="H128">
        <v>13</v>
      </c>
      <c r="I128">
        <v>29</v>
      </c>
      <c r="J128">
        <v>25</v>
      </c>
      <c r="K128">
        <v>7</v>
      </c>
      <c r="L128">
        <v>18</v>
      </c>
      <c r="M128">
        <v>17</v>
      </c>
      <c r="N128">
        <v>6</v>
      </c>
      <c r="O128">
        <v>11</v>
      </c>
    </row>
    <row r="129" spans="2:15" x14ac:dyDescent="0.35">
      <c r="B129" t="s">
        <v>878</v>
      </c>
      <c r="C129" t="s">
        <v>990</v>
      </c>
      <c r="D129" s="26" t="s">
        <v>1146</v>
      </c>
      <c r="E129" t="s">
        <v>992</v>
      </c>
      <c r="F129" t="s">
        <v>980</v>
      </c>
      <c r="G129" s="3">
        <v>1408</v>
      </c>
      <c r="H129">
        <v>147</v>
      </c>
      <c r="I129">
        <v>1261</v>
      </c>
      <c r="J129">
        <v>943</v>
      </c>
      <c r="K129">
        <v>73</v>
      </c>
      <c r="L129">
        <v>870</v>
      </c>
      <c r="M129">
        <v>465</v>
      </c>
      <c r="N129">
        <v>74</v>
      </c>
      <c r="O129">
        <v>391</v>
      </c>
    </row>
    <row r="130" spans="2:15" x14ac:dyDescent="0.35">
      <c r="B130" t="s">
        <v>878</v>
      </c>
      <c r="C130" t="s">
        <v>1000</v>
      </c>
      <c r="D130" s="26" t="s">
        <v>1148</v>
      </c>
      <c r="E130" t="s">
        <v>1002</v>
      </c>
      <c r="F130" t="s">
        <v>980</v>
      </c>
      <c r="G130" s="3">
        <v>330</v>
      </c>
      <c r="H130">
        <v>34</v>
      </c>
      <c r="I130">
        <v>296</v>
      </c>
      <c r="J130">
        <v>239</v>
      </c>
      <c r="K130">
        <v>20</v>
      </c>
      <c r="L130">
        <v>219</v>
      </c>
      <c r="M130">
        <v>91</v>
      </c>
      <c r="N130">
        <v>14</v>
      </c>
      <c r="O130">
        <v>77</v>
      </c>
    </row>
    <row r="131" spans="2:15" x14ac:dyDescent="0.35">
      <c r="B131" t="s">
        <v>878</v>
      </c>
      <c r="C131" t="s">
        <v>904</v>
      </c>
      <c r="D131" s="26">
        <v>1.96902122008012E+17</v>
      </c>
      <c r="E131" t="s">
        <v>1174</v>
      </c>
      <c r="F131" t="s">
        <v>980</v>
      </c>
      <c r="G131" s="3">
        <v>3</v>
      </c>
      <c r="H131">
        <v>3</v>
      </c>
      <c r="I131">
        <v>0</v>
      </c>
      <c r="J131">
        <v>1</v>
      </c>
      <c r="K131">
        <v>1</v>
      </c>
      <c r="L131">
        <v>0</v>
      </c>
      <c r="M131">
        <v>2</v>
      </c>
      <c r="N131">
        <v>2</v>
      </c>
      <c r="O131">
        <v>0</v>
      </c>
    </row>
    <row r="132" spans="2:15" x14ac:dyDescent="0.35">
      <c r="B132" t="s">
        <v>878</v>
      </c>
      <c r="C132" t="s">
        <v>1018</v>
      </c>
      <c r="D132" s="26">
        <v>1.96405091991032E+17</v>
      </c>
      <c r="E132" t="s">
        <v>1019</v>
      </c>
      <c r="F132" t="s">
        <v>980</v>
      </c>
      <c r="G132" s="3">
        <v>5</v>
      </c>
      <c r="H132">
        <v>0</v>
      </c>
      <c r="I132">
        <v>5</v>
      </c>
      <c r="J132">
        <v>3</v>
      </c>
      <c r="K132">
        <v>0</v>
      </c>
      <c r="L132">
        <v>3</v>
      </c>
      <c r="M132">
        <v>2</v>
      </c>
      <c r="N132">
        <v>0</v>
      </c>
      <c r="O132">
        <v>2</v>
      </c>
    </row>
    <row r="133" spans="2:15" x14ac:dyDescent="0.35">
      <c r="B133" t="s">
        <v>878</v>
      </c>
      <c r="C133" t="s">
        <v>655</v>
      </c>
      <c r="D133" s="26">
        <v>1.98607042022032E+17</v>
      </c>
      <c r="E133" t="s">
        <v>1110</v>
      </c>
      <c r="F133" t="s">
        <v>980</v>
      </c>
      <c r="G133" s="3">
        <v>8</v>
      </c>
      <c r="H133">
        <v>8</v>
      </c>
      <c r="I133">
        <v>0</v>
      </c>
      <c r="J133">
        <v>2</v>
      </c>
      <c r="K133">
        <v>2</v>
      </c>
      <c r="L133">
        <v>0</v>
      </c>
      <c r="M133">
        <v>6</v>
      </c>
      <c r="N133">
        <v>6</v>
      </c>
      <c r="O133">
        <v>0</v>
      </c>
    </row>
    <row r="134" spans="2:15" x14ac:dyDescent="0.35">
      <c r="B134" t="s">
        <v>878</v>
      </c>
      <c r="C134" t="s">
        <v>1111</v>
      </c>
      <c r="D134" s="26">
        <v>2.0160119830408198E+17</v>
      </c>
      <c r="E134" t="s">
        <v>1112</v>
      </c>
      <c r="F134" t="s">
        <v>1175</v>
      </c>
      <c r="G134" s="3">
        <v>2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0</v>
      </c>
    </row>
    <row r="135" spans="2:15" x14ac:dyDescent="0.35">
      <c r="B135" t="s">
        <v>878</v>
      </c>
      <c r="C135" t="s">
        <v>1025</v>
      </c>
      <c r="D135" s="26" t="s">
        <v>1068</v>
      </c>
      <c r="E135" t="s">
        <v>1114</v>
      </c>
      <c r="F135" t="s">
        <v>980</v>
      </c>
      <c r="G135" s="3">
        <v>25</v>
      </c>
      <c r="H135">
        <v>13</v>
      </c>
      <c r="I135">
        <v>12</v>
      </c>
      <c r="J135">
        <v>2</v>
      </c>
      <c r="K135">
        <v>1</v>
      </c>
      <c r="L135">
        <v>1</v>
      </c>
      <c r="M135">
        <v>23</v>
      </c>
      <c r="N135">
        <v>12</v>
      </c>
      <c r="O135">
        <v>11</v>
      </c>
    </row>
    <row r="136" spans="2:15" x14ac:dyDescent="0.35">
      <c r="B136" t="s">
        <v>878</v>
      </c>
      <c r="C136" t="s">
        <v>755</v>
      </c>
      <c r="D136" s="26">
        <v>2.0200519850129101E+17</v>
      </c>
      <c r="E136" t="s">
        <v>988</v>
      </c>
      <c r="F136" t="s">
        <v>980</v>
      </c>
      <c r="G136" s="3">
        <v>1353</v>
      </c>
      <c r="H136">
        <v>162</v>
      </c>
      <c r="I136">
        <v>1191</v>
      </c>
      <c r="J136">
        <v>946</v>
      </c>
      <c r="K136">
        <v>95</v>
      </c>
      <c r="L136">
        <v>851</v>
      </c>
      <c r="M136">
        <v>407</v>
      </c>
      <c r="N136">
        <v>67</v>
      </c>
      <c r="O136">
        <v>340</v>
      </c>
    </row>
    <row r="137" spans="2:15" x14ac:dyDescent="0.35">
      <c r="B137" t="s">
        <v>878</v>
      </c>
      <c r="C137" t="s">
        <v>1128</v>
      </c>
      <c r="D137" s="26">
        <v>1.98706022018012E+17</v>
      </c>
      <c r="E137" t="s">
        <v>1151</v>
      </c>
      <c r="F137" t="s">
        <v>1033</v>
      </c>
      <c r="G137" s="3">
        <v>21</v>
      </c>
      <c r="H137">
        <v>6</v>
      </c>
      <c r="I137">
        <v>15</v>
      </c>
      <c r="J137">
        <v>18</v>
      </c>
      <c r="K137">
        <v>4</v>
      </c>
      <c r="L137">
        <v>14</v>
      </c>
      <c r="M137">
        <v>3</v>
      </c>
      <c r="N137">
        <v>2</v>
      </c>
      <c r="O137">
        <v>1</v>
      </c>
    </row>
    <row r="138" spans="2:15" x14ac:dyDescent="0.35">
      <c r="B138" t="s">
        <v>878</v>
      </c>
      <c r="C138" t="s">
        <v>1041</v>
      </c>
      <c r="D138" s="26">
        <v>1.9660414199803101E+17</v>
      </c>
      <c r="E138" t="s">
        <v>1042</v>
      </c>
      <c r="F138" t="s">
        <v>1033</v>
      </c>
      <c r="G138" s="3">
        <v>1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</row>
    <row r="139" spans="2:15" x14ac:dyDescent="0.35">
      <c r="B139" t="s">
        <v>878</v>
      </c>
      <c r="C139" t="s">
        <v>982</v>
      </c>
      <c r="D139" s="26">
        <v>1.98602132018012E+17</v>
      </c>
      <c r="E139" t="s">
        <v>983</v>
      </c>
      <c r="F139" t="s">
        <v>980</v>
      </c>
      <c r="G139" s="3">
        <v>3</v>
      </c>
      <c r="H139">
        <v>1</v>
      </c>
      <c r="I139">
        <v>2</v>
      </c>
      <c r="J139">
        <v>3</v>
      </c>
      <c r="K139">
        <v>1</v>
      </c>
      <c r="L139">
        <v>2</v>
      </c>
      <c r="M139">
        <v>0</v>
      </c>
      <c r="N139">
        <v>0</v>
      </c>
      <c r="O139">
        <v>0</v>
      </c>
    </row>
    <row r="140" spans="2:15" x14ac:dyDescent="0.35">
      <c r="B140" t="s">
        <v>878</v>
      </c>
      <c r="C140" t="s">
        <v>1004</v>
      </c>
      <c r="D140" s="26">
        <v>1.98503192022032E+17</v>
      </c>
      <c r="E140" t="s">
        <v>1055</v>
      </c>
      <c r="F140" t="s">
        <v>980</v>
      </c>
      <c r="G140" s="3">
        <v>134</v>
      </c>
      <c r="H140">
        <v>46</v>
      </c>
      <c r="I140">
        <v>88</v>
      </c>
      <c r="J140">
        <v>87</v>
      </c>
      <c r="K140">
        <v>19</v>
      </c>
      <c r="L140">
        <v>68</v>
      </c>
      <c r="M140">
        <v>47</v>
      </c>
      <c r="N140">
        <v>27</v>
      </c>
      <c r="O140">
        <v>20</v>
      </c>
    </row>
    <row r="141" spans="2:15" x14ac:dyDescent="0.35">
      <c r="B141" t="s">
        <v>878</v>
      </c>
      <c r="C141" t="s">
        <v>662</v>
      </c>
      <c r="D141" s="26">
        <v>1.98407152022032E+17</v>
      </c>
      <c r="E141" t="s">
        <v>1176</v>
      </c>
      <c r="F141" t="s">
        <v>980</v>
      </c>
      <c r="G141" s="3">
        <v>161</v>
      </c>
      <c r="H141">
        <v>15</v>
      </c>
      <c r="I141">
        <v>146</v>
      </c>
      <c r="J141">
        <v>113</v>
      </c>
      <c r="K141">
        <v>8</v>
      </c>
      <c r="L141">
        <v>105</v>
      </c>
      <c r="M141">
        <v>48</v>
      </c>
      <c r="N141">
        <v>7</v>
      </c>
      <c r="O141">
        <v>41</v>
      </c>
    </row>
    <row r="142" spans="2:15" x14ac:dyDescent="0.35">
      <c r="B142" t="s">
        <v>878</v>
      </c>
      <c r="C142" t="s">
        <v>1034</v>
      </c>
      <c r="D142" s="26" t="s">
        <v>1035</v>
      </c>
      <c r="E142" t="s">
        <v>1036</v>
      </c>
      <c r="F142" t="s">
        <v>980</v>
      </c>
      <c r="G142" s="3">
        <v>66</v>
      </c>
      <c r="H142">
        <v>44</v>
      </c>
      <c r="I142">
        <v>22</v>
      </c>
      <c r="J142">
        <v>9</v>
      </c>
      <c r="K142">
        <v>2</v>
      </c>
      <c r="L142">
        <v>7</v>
      </c>
      <c r="M142">
        <v>57</v>
      </c>
      <c r="N142">
        <v>42</v>
      </c>
      <c r="O142">
        <v>15</v>
      </c>
    </row>
    <row r="143" spans="2:15" ht="18.5" x14ac:dyDescent="0.45">
      <c r="G143" s="28">
        <f>SUM(G112:G142)</f>
        <v>58391</v>
      </c>
    </row>
    <row r="145" spans="2:15" x14ac:dyDescent="0.35">
      <c r="B145" t="s">
        <v>865</v>
      </c>
      <c r="F145" t="s">
        <v>980</v>
      </c>
      <c r="G145" s="3">
        <v>37034</v>
      </c>
      <c r="H145">
        <v>35356</v>
      </c>
      <c r="I145">
        <v>1678</v>
      </c>
      <c r="J145">
        <v>12659</v>
      </c>
      <c r="K145">
        <v>11613</v>
      </c>
      <c r="L145">
        <v>1046</v>
      </c>
      <c r="M145">
        <v>24375</v>
      </c>
      <c r="N145">
        <v>23743</v>
      </c>
      <c r="O145">
        <v>632</v>
      </c>
    </row>
    <row r="146" spans="2:15" x14ac:dyDescent="0.35">
      <c r="B146" t="s">
        <v>865</v>
      </c>
      <c r="C146" t="s">
        <v>390</v>
      </c>
      <c r="D146" s="26" t="s">
        <v>996</v>
      </c>
      <c r="E146" t="s">
        <v>1065</v>
      </c>
      <c r="F146" t="s">
        <v>980</v>
      </c>
      <c r="G146" s="3">
        <v>15</v>
      </c>
      <c r="H146">
        <v>15</v>
      </c>
      <c r="I146">
        <v>0</v>
      </c>
      <c r="J146">
        <v>8</v>
      </c>
      <c r="K146">
        <v>8</v>
      </c>
      <c r="L146">
        <v>0</v>
      </c>
      <c r="M146">
        <v>7</v>
      </c>
      <c r="N146">
        <v>7</v>
      </c>
      <c r="O146">
        <v>0</v>
      </c>
    </row>
    <row r="147" spans="2:15" x14ac:dyDescent="0.35">
      <c r="B147" t="s">
        <v>865</v>
      </c>
      <c r="C147" t="s">
        <v>1014</v>
      </c>
      <c r="D147" s="26" t="s">
        <v>1073</v>
      </c>
      <c r="E147" t="s">
        <v>1074</v>
      </c>
      <c r="F147" t="s">
        <v>980</v>
      </c>
      <c r="G147" s="3">
        <v>9503</v>
      </c>
      <c r="H147">
        <v>9085</v>
      </c>
      <c r="I147">
        <v>418</v>
      </c>
      <c r="J147">
        <v>3128</v>
      </c>
      <c r="K147">
        <v>2882</v>
      </c>
      <c r="L147">
        <v>246</v>
      </c>
      <c r="M147">
        <v>6375</v>
      </c>
      <c r="N147">
        <v>6203</v>
      </c>
      <c r="O147">
        <v>172</v>
      </c>
    </row>
    <row r="148" spans="2:15" x14ac:dyDescent="0.35">
      <c r="B148" t="s">
        <v>865</v>
      </c>
      <c r="C148" t="s">
        <v>1012</v>
      </c>
      <c r="D148" s="26">
        <v>1.9800514202012099E+17</v>
      </c>
      <c r="E148" t="s">
        <v>1103</v>
      </c>
      <c r="F148" t="s">
        <v>980</v>
      </c>
      <c r="G148" s="3">
        <v>268</v>
      </c>
      <c r="H148">
        <v>257</v>
      </c>
      <c r="I148">
        <v>11</v>
      </c>
      <c r="J148">
        <v>5</v>
      </c>
      <c r="K148">
        <v>4</v>
      </c>
      <c r="L148">
        <v>1</v>
      </c>
      <c r="M148">
        <v>263</v>
      </c>
      <c r="N148">
        <v>253</v>
      </c>
      <c r="O148">
        <v>10</v>
      </c>
    </row>
    <row r="149" spans="2:15" x14ac:dyDescent="0.35">
      <c r="B149" t="s">
        <v>865</v>
      </c>
      <c r="C149" t="s">
        <v>1020</v>
      </c>
      <c r="D149" s="26">
        <v>2.0200519870815101E+17</v>
      </c>
      <c r="E149" t="s">
        <v>1021</v>
      </c>
      <c r="F149" t="s">
        <v>980</v>
      </c>
      <c r="G149" s="3">
        <v>168</v>
      </c>
      <c r="H149">
        <v>144</v>
      </c>
      <c r="I149">
        <v>24</v>
      </c>
      <c r="J149">
        <v>40</v>
      </c>
      <c r="K149">
        <v>29</v>
      </c>
      <c r="L149">
        <v>11</v>
      </c>
      <c r="M149">
        <v>128</v>
      </c>
      <c r="N149">
        <v>115</v>
      </c>
      <c r="O149">
        <v>13</v>
      </c>
    </row>
    <row r="150" spans="2:15" x14ac:dyDescent="0.35">
      <c r="B150" t="s">
        <v>865</v>
      </c>
      <c r="C150" t="s">
        <v>1028</v>
      </c>
      <c r="D150" s="26" t="s">
        <v>1029</v>
      </c>
      <c r="E150" t="s">
        <v>1030</v>
      </c>
      <c r="F150" t="s">
        <v>980</v>
      </c>
      <c r="G150" s="3">
        <v>157</v>
      </c>
      <c r="H150">
        <v>126</v>
      </c>
      <c r="I150">
        <v>31</v>
      </c>
      <c r="J150">
        <v>46</v>
      </c>
      <c r="K150">
        <v>17</v>
      </c>
      <c r="L150">
        <v>29</v>
      </c>
      <c r="M150">
        <v>111</v>
      </c>
      <c r="N150">
        <v>109</v>
      </c>
      <c r="O150">
        <v>2</v>
      </c>
    </row>
    <row r="151" spans="2:15" x14ac:dyDescent="0.35">
      <c r="B151" t="s">
        <v>865</v>
      </c>
      <c r="C151" t="s">
        <v>888</v>
      </c>
      <c r="D151" s="26">
        <v>1.9840809201902099E+17</v>
      </c>
      <c r="E151" t="s">
        <v>1003</v>
      </c>
      <c r="F151" t="s">
        <v>980</v>
      </c>
      <c r="G151" s="3">
        <v>424</v>
      </c>
      <c r="H151">
        <v>402</v>
      </c>
      <c r="I151">
        <v>22</v>
      </c>
      <c r="J151">
        <v>234</v>
      </c>
      <c r="K151">
        <v>213</v>
      </c>
      <c r="L151">
        <v>21</v>
      </c>
      <c r="M151">
        <v>190</v>
      </c>
      <c r="N151">
        <v>189</v>
      </c>
      <c r="O151">
        <v>1</v>
      </c>
    </row>
    <row r="152" spans="2:15" x14ac:dyDescent="0.35">
      <c r="B152" t="s">
        <v>865</v>
      </c>
      <c r="C152" t="s">
        <v>1037</v>
      </c>
      <c r="D152" s="26">
        <v>1.9870608202012198E+17</v>
      </c>
      <c r="E152" t="s">
        <v>1038</v>
      </c>
      <c r="F152" t="s">
        <v>1078</v>
      </c>
      <c r="G152" s="3">
        <v>304</v>
      </c>
      <c r="H152">
        <v>278</v>
      </c>
      <c r="I152">
        <v>26</v>
      </c>
      <c r="J152">
        <v>23</v>
      </c>
      <c r="K152">
        <v>10</v>
      </c>
      <c r="L152">
        <v>13</v>
      </c>
      <c r="M152">
        <v>281</v>
      </c>
      <c r="N152">
        <v>268</v>
      </c>
      <c r="O152">
        <v>13</v>
      </c>
    </row>
    <row r="153" spans="2:15" x14ac:dyDescent="0.35">
      <c r="B153" t="s">
        <v>865</v>
      </c>
      <c r="C153" t="s">
        <v>994</v>
      </c>
      <c r="D153" s="26">
        <v>1.9760127200912099E+17</v>
      </c>
      <c r="E153" t="s">
        <v>995</v>
      </c>
      <c r="F153" t="s">
        <v>980</v>
      </c>
      <c r="G153" s="3">
        <v>115</v>
      </c>
      <c r="H153">
        <v>112</v>
      </c>
      <c r="I153">
        <v>3</v>
      </c>
      <c r="J153">
        <v>27</v>
      </c>
      <c r="K153">
        <v>27</v>
      </c>
      <c r="L153">
        <v>0</v>
      </c>
      <c r="M153">
        <v>88</v>
      </c>
      <c r="N153">
        <v>85</v>
      </c>
      <c r="O153">
        <v>3</v>
      </c>
    </row>
    <row r="154" spans="2:15" x14ac:dyDescent="0.35">
      <c r="B154" t="s">
        <v>865</v>
      </c>
      <c r="C154" t="s">
        <v>777</v>
      </c>
      <c r="D154" s="26">
        <v>1.9620211198703101E+17</v>
      </c>
      <c r="E154" t="s">
        <v>1024</v>
      </c>
      <c r="F154" t="s">
        <v>1078</v>
      </c>
      <c r="G154" s="3">
        <v>189</v>
      </c>
      <c r="H154">
        <v>170</v>
      </c>
      <c r="I154">
        <v>19</v>
      </c>
      <c r="J154">
        <v>85</v>
      </c>
      <c r="K154">
        <v>68</v>
      </c>
      <c r="L154">
        <v>17</v>
      </c>
      <c r="M154">
        <v>104</v>
      </c>
      <c r="N154">
        <v>102</v>
      </c>
      <c r="O154">
        <v>2</v>
      </c>
    </row>
    <row r="155" spans="2:15" x14ac:dyDescent="0.35">
      <c r="B155" t="s">
        <v>865</v>
      </c>
      <c r="C155" t="s">
        <v>1022</v>
      </c>
      <c r="D155" s="26">
        <v>1.9850505202012099E+17</v>
      </c>
      <c r="E155" t="s">
        <v>1023</v>
      </c>
      <c r="F155" t="s">
        <v>980</v>
      </c>
      <c r="G155" s="3">
        <v>122</v>
      </c>
      <c r="H155">
        <v>114</v>
      </c>
      <c r="I155">
        <v>8</v>
      </c>
      <c r="J155">
        <v>11</v>
      </c>
      <c r="K155">
        <v>11</v>
      </c>
      <c r="L155">
        <v>0</v>
      </c>
      <c r="M155">
        <v>111</v>
      </c>
      <c r="N155">
        <v>103</v>
      </c>
      <c r="O155">
        <v>8</v>
      </c>
    </row>
    <row r="156" spans="2:15" x14ac:dyDescent="0.35">
      <c r="B156" t="s">
        <v>865</v>
      </c>
      <c r="C156" t="s">
        <v>1016</v>
      </c>
      <c r="D156" s="26">
        <v>1.9790911202221101E+17</v>
      </c>
      <c r="E156" t="s">
        <v>1017</v>
      </c>
      <c r="F156" t="s">
        <v>980</v>
      </c>
      <c r="G156" s="3">
        <v>64</v>
      </c>
      <c r="H156">
        <v>64</v>
      </c>
      <c r="I156">
        <v>0</v>
      </c>
      <c r="J156">
        <v>10</v>
      </c>
      <c r="K156">
        <v>10</v>
      </c>
      <c r="L156">
        <v>0</v>
      </c>
      <c r="M156">
        <v>54</v>
      </c>
      <c r="N156">
        <v>54</v>
      </c>
      <c r="O156">
        <v>0</v>
      </c>
    </row>
    <row r="157" spans="2:15" x14ac:dyDescent="0.35">
      <c r="B157" t="s">
        <v>865</v>
      </c>
      <c r="C157" t="s">
        <v>977</v>
      </c>
      <c r="D157" s="26" t="s">
        <v>1169</v>
      </c>
      <c r="E157" t="s">
        <v>1162</v>
      </c>
      <c r="F157" t="s">
        <v>980</v>
      </c>
      <c r="G157" s="3">
        <v>14</v>
      </c>
      <c r="H157">
        <v>14</v>
      </c>
      <c r="I157">
        <v>0</v>
      </c>
      <c r="J157">
        <v>2</v>
      </c>
      <c r="K157">
        <v>2</v>
      </c>
      <c r="L157">
        <v>0</v>
      </c>
      <c r="M157">
        <v>12</v>
      </c>
      <c r="N157">
        <v>12</v>
      </c>
      <c r="O157">
        <v>0</v>
      </c>
    </row>
    <row r="158" spans="2:15" x14ac:dyDescent="0.35">
      <c r="B158" t="s">
        <v>865</v>
      </c>
      <c r="C158" t="s">
        <v>1007</v>
      </c>
      <c r="D158" s="26">
        <v>1.9800412201412198E+17</v>
      </c>
      <c r="E158" t="s">
        <v>1008</v>
      </c>
      <c r="F158" t="s">
        <v>980</v>
      </c>
      <c r="G158" s="3">
        <v>191</v>
      </c>
      <c r="H158">
        <v>187</v>
      </c>
      <c r="I158">
        <v>4</v>
      </c>
      <c r="J158">
        <v>85</v>
      </c>
      <c r="K158">
        <v>85</v>
      </c>
      <c r="L158">
        <v>0</v>
      </c>
      <c r="M158">
        <v>106</v>
      </c>
      <c r="N158">
        <v>102</v>
      </c>
      <c r="O158">
        <v>4</v>
      </c>
    </row>
    <row r="159" spans="2:15" x14ac:dyDescent="0.35">
      <c r="B159" t="s">
        <v>865</v>
      </c>
      <c r="C159" t="s">
        <v>1040</v>
      </c>
      <c r="D159" s="26">
        <v>1.97004172000032E+17</v>
      </c>
      <c r="E159" t="s">
        <v>1163</v>
      </c>
      <c r="F159" t="s">
        <v>980</v>
      </c>
      <c r="G159" s="3">
        <v>3</v>
      </c>
      <c r="H159">
        <v>2</v>
      </c>
      <c r="I159">
        <v>1</v>
      </c>
      <c r="J159">
        <v>1</v>
      </c>
      <c r="K159">
        <v>0</v>
      </c>
      <c r="L159">
        <v>1</v>
      </c>
      <c r="M159">
        <v>2</v>
      </c>
      <c r="N159">
        <v>2</v>
      </c>
      <c r="O159">
        <v>0</v>
      </c>
    </row>
    <row r="160" spans="2:15" x14ac:dyDescent="0.35">
      <c r="B160" t="s">
        <v>865</v>
      </c>
      <c r="C160" t="s">
        <v>998</v>
      </c>
      <c r="D160" s="26">
        <v>1.9860720202203101E+17</v>
      </c>
      <c r="E160" t="s">
        <v>999</v>
      </c>
      <c r="F160" t="s">
        <v>980</v>
      </c>
      <c r="G160" s="3">
        <v>171</v>
      </c>
      <c r="H160">
        <v>169</v>
      </c>
      <c r="I160">
        <v>2</v>
      </c>
      <c r="J160">
        <v>93</v>
      </c>
      <c r="K160">
        <v>92</v>
      </c>
      <c r="L160">
        <v>1</v>
      </c>
      <c r="M160">
        <v>78</v>
      </c>
      <c r="N160">
        <v>77</v>
      </c>
      <c r="O160">
        <v>1</v>
      </c>
    </row>
    <row r="161" spans="2:15" x14ac:dyDescent="0.35">
      <c r="B161" t="s">
        <v>865</v>
      </c>
      <c r="C161" t="s">
        <v>898</v>
      </c>
      <c r="D161" s="26">
        <v>1.9731011200112198E+17</v>
      </c>
      <c r="E161" t="s">
        <v>993</v>
      </c>
      <c r="F161" t="s">
        <v>980</v>
      </c>
      <c r="G161" s="3">
        <v>10</v>
      </c>
      <c r="H161">
        <v>10</v>
      </c>
      <c r="I161">
        <v>0</v>
      </c>
      <c r="J161">
        <v>5</v>
      </c>
      <c r="K161">
        <v>5</v>
      </c>
      <c r="L161">
        <v>0</v>
      </c>
      <c r="M161">
        <v>5</v>
      </c>
      <c r="N161">
        <v>5</v>
      </c>
      <c r="O161">
        <v>0</v>
      </c>
    </row>
    <row r="162" spans="2:15" x14ac:dyDescent="0.35">
      <c r="B162" t="s">
        <v>865</v>
      </c>
      <c r="C162" t="s">
        <v>1043</v>
      </c>
      <c r="D162" s="26">
        <v>1.9750329200812198E+17</v>
      </c>
      <c r="E162" t="s">
        <v>1044</v>
      </c>
      <c r="F162" t="s">
        <v>980</v>
      </c>
      <c r="G162" s="3">
        <v>217</v>
      </c>
      <c r="H162">
        <v>212</v>
      </c>
      <c r="I162">
        <v>5</v>
      </c>
      <c r="J162">
        <v>98</v>
      </c>
      <c r="K162">
        <v>95</v>
      </c>
      <c r="L162">
        <v>3</v>
      </c>
      <c r="M162">
        <v>119</v>
      </c>
      <c r="N162">
        <v>117</v>
      </c>
      <c r="O162">
        <v>2</v>
      </c>
    </row>
    <row r="163" spans="2:15" x14ac:dyDescent="0.35">
      <c r="B163" t="s">
        <v>865</v>
      </c>
      <c r="C163" t="s">
        <v>990</v>
      </c>
      <c r="D163" s="26" t="s">
        <v>991</v>
      </c>
      <c r="E163" t="s">
        <v>992</v>
      </c>
      <c r="F163" t="s">
        <v>980</v>
      </c>
      <c r="G163" s="3">
        <v>174</v>
      </c>
      <c r="H163">
        <v>168</v>
      </c>
      <c r="I163">
        <v>6</v>
      </c>
      <c r="J163">
        <v>77</v>
      </c>
      <c r="K163">
        <v>73</v>
      </c>
      <c r="L163">
        <v>4</v>
      </c>
      <c r="M163">
        <v>97</v>
      </c>
      <c r="N163">
        <v>95</v>
      </c>
      <c r="O163">
        <v>2</v>
      </c>
    </row>
    <row r="164" spans="2:15" x14ac:dyDescent="0.35">
      <c r="B164" t="s">
        <v>865</v>
      </c>
      <c r="C164" t="s">
        <v>1000</v>
      </c>
      <c r="D164" s="26" t="s">
        <v>1148</v>
      </c>
      <c r="E164" t="s">
        <v>1002</v>
      </c>
      <c r="F164" t="s">
        <v>980</v>
      </c>
      <c r="G164" s="3">
        <v>577</v>
      </c>
      <c r="H164">
        <v>571</v>
      </c>
      <c r="I164">
        <v>6</v>
      </c>
      <c r="J164">
        <v>299</v>
      </c>
      <c r="K164">
        <v>297</v>
      </c>
      <c r="L164">
        <v>2</v>
      </c>
      <c r="M164">
        <v>278</v>
      </c>
      <c r="N164">
        <v>274</v>
      </c>
      <c r="O164">
        <v>4</v>
      </c>
    </row>
    <row r="165" spans="2:15" x14ac:dyDescent="0.35">
      <c r="B165" t="s">
        <v>865</v>
      </c>
      <c r="C165" t="s">
        <v>904</v>
      </c>
      <c r="D165" s="26">
        <v>1.9670310200912198E+17</v>
      </c>
      <c r="E165" t="s">
        <v>1039</v>
      </c>
      <c r="F165" t="s">
        <v>980</v>
      </c>
      <c r="G165" s="3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0</v>
      </c>
    </row>
    <row r="166" spans="2:15" x14ac:dyDescent="0.35">
      <c r="B166" t="s">
        <v>865</v>
      </c>
      <c r="C166" t="s">
        <v>1018</v>
      </c>
      <c r="D166" s="26">
        <v>1.9751204201412198E+17</v>
      </c>
      <c r="E166" t="s">
        <v>1019</v>
      </c>
      <c r="F166" t="s">
        <v>1170</v>
      </c>
      <c r="G166" s="3">
        <v>8</v>
      </c>
      <c r="H166">
        <v>8</v>
      </c>
      <c r="I166">
        <v>0</v>
      </c>
      <c r="J166">
        <v>4</v>
      </c>
      <c r="K166">
        <v>4</v>
      </c>
      <c r="L166">
        <v>0</v>
      </c>
      <c r="M166">
        <v>4</v>
      </c>
      <c r="N166">
        <v>4</v>
      </c>
      <c r="O166">
        <v>0</v>
      </c>
    </row>
    <row r="167" spans="2:15" x14ac:dyDescent="0.35">
      <c r="B167" t="s">
        <v>865</v>
      </c>
      <c r="C167" t="s">
        <v>655</v>
      </c>
      <c r="D167" s="26">
        <v>1.9601218198902099E+17</v>
      </c>
      <c r="E167" t="s">
        <v>1010</v>
      </c>
      <c r="F167" t="s">
        <v>1051</v>
      </c>
      <c r="G167" s="3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</row>
    <row r="168" spans="2:15" x14ac:dyDescent="0.35">
      <c r="B168" t="s">
        <v>865</v>
      </c>
      <c r="C168" t="s">
        <v>1025</v>
      </c>
      <c r="D168" s="26" t="s">
        <v>1026</v>
      </c>
      <c r="E168" t="s">
        <v>1114</v>
      </c>
      <c r="F168" t="s">
        <v>980</v>
      </c>
      <c r="G168" s="3">
        <v>220</v>
      </c>
      <c r="H168">
        <v>217</v>
      </c>
      <c r="I168">
        <v>3</v>
      </c>
      <c r="J168">
        <v>21</v>
      </c>
      <c r="K168">
        <v>21</v>
      </c>
      <c r="L168">
        <v>0</v>
      </c>
      <c r="M168">
        <v>199</v>
      </c>
      <c r="N168">
        <v>196</v>
      </c>
      <c r="O168">
        <v>3</v>
      </c>
    </row>
    <row r="169" spans="2:15" x14ac:dyDescent="0.35">
      <c r="B169" t="s">
        <v>865</v>
      </c>
      <c r="C169" t="s">
        <v>755</v>
      </c>
      <c r="D169" s="26">
        <v>2.0200519850129101E+17</v>
      </c>
      <c r="E169" t="s">
        <v>988</v>
      </c>
      <c r="F169" t="s">
        <v>980</v>
      </c>
      <c r="G169" s="3">
        <v>945</v>
      </c>
      <c r="H169">
        <v>922</v>
      </c>
      <c r="I169">
        <v>23</v>
      </c>
      <c r="J169">
        <v>312</v>
      </c>
      <c r="K169">
        <v>302</v>
      </c>
      <c r="L169">
        <v>10</v>
      </c>
      <c r="M169">
        <v>633</v>
      </c>
      <c r="N169">
        <v>620</v>
      </c>
      <c r="O169">
        <v>13</v>
      </c>
    </row>
    <row r="170" spans="2:15" x14ac:dyDescent="0.35">
      <c r="B170" t="s">
        <v>865</v>
      </c>
      <c r="C170" t="s">
        <v>1128</v>
      </c>
      <c r="D170" s="26">
        <v>1.98706022018012E+17</v>
      </c>
      <c r="E170" t="s">
        <v>1151</v>
      </c>
      <c r="F170" t="s">
        <v>1051</v>
      </c>
      <c r="G170" s="3">
        <v>28</v>
      </c>
      <c r="H170">
        <v>28</v>
      </c>
      <c r="I170">
        <v>0</v>
      </c>
      <c r="J170">
        <v>10</v>
      </c>
      <c r="K170">
        <v>10</v>
      </c>
      <c r="L170">
        <v>0</v>
      </c>
      <c r="M170">
        <v>18</v>
      </c>
      <c r="N170">
        <v>18</v>
      </c>
      <c r="O170">
        <v>0</v>
      </c>
    </row>
    <row r="171" spans="2:15" x14ac:dyDescent="0.35">
      <c r="B171" t="s">
        <v>865</v>
      </c>
      <c r="C171" t="s">
        <v>1041</v>
      </c>
      <c r="D171" s="26">
        <v>1.9660414199803101E+17</v>
      </c>
      <c r="E171" t="s">
        <v>1042</v>
      </c>
      <c r="F171" t="s">
        <v>980</v>
      </c>
      <c r="G171" s="3">
        <v>6</v>
      </c>
      <c r="H171">
        <v>6</v>
      </c>
      <c r="I171">
        <v>0</v>
      </c>
      <c r="J171">
        <v>1</v>
      </c>
      <c r="K171">
        <v>1</v>
      </c>
      <c r="L171">
        <v>0</v>
      </c>
      <c r="M171">
        <v>5</v>
      </c>
      <c r="N171">
        <v>5</v>
      </c>
      <c r="O171">
        <v>0</v>
      </c>
    </row>
    <row r="172" spans="2:15" x14ac:dyDescent="0.35">
      <c r="B172" t="s">
        <v>865</v>
      </c>
      <c r="C172" t="s">
        <v>1004</v>
      </c>
      <c r="D172" s="26" t="s">
        <v>1171</v>
      </c>
      <c r="E172" t="s">
        <v>1006</v>
      </c>
      <c r="F172" t="s">
        <v>980</v>
      </c>
      <c r="G172" s="3">
        <v>165</v>
      </c>
      <c r="H172">
        <v>163</v>
      </c>
      <c r="I172">
        <v>2</v>
      </c>
      <c r="J172">
        <v>64</v>
      </c>
      <c r="K172">
        <v>62</v>
      </c>
      <c r="L172">
        <v>2</v>
      </c>
      <c r="M172">
        <v>101</v>
      </c>
      <c r="N172">
        <v>101</v>
      </c>
      <c r="O172">
        <v>0</v>
      </c>
    </row>
    <row r="173" spans="2:15" x14ac:dyDescent="0.35">
      <c r="B173" t="s">
        <v>865</v>
      </c>
      <c r="C173" t="s">
        <v>662</v>
      </c>
      <c r="D173" s="26">
        <v>1.9840915201412198E+17</v>
      </c>
      <c r="E173" t="s">
        <v>989</v>
      </c>
      <c r="F173" t="s">
        <v>980</v>
      </c>
      <c r="G173" s="3">
        <v>605</v>
      </c>
      <c r="H173">
        <v>592</v>
      </c>
      <c r="I173">
        <v>13</v>
      </c>
      <c r="J173">
        <v>249</v>
      </c>
      <c r="K173">
        <v>245</v>
      </c>
      <c r="L173">
        <v>4</v>
      </c>
      <c r="M173">
        <v>356</v>
      </c>
      <c r="N173">
        <v>347</v>
      </c>
      <c r="O173">
        <v>9</v>
      </c>
    </row>
    <row r="174" spans="2:15" x14ac:dyDescent="0.35">
      <c r="B174" t="s">
        <v>865</v>
      </c>
      <c r="C174" t="s">
        <v>1034</v>
      </c>
      <c r="D174" s="26" t="s">
        <v>1035</v>
      </c>
      <c r="E174" t="s">
        <v>1036</v>
      </c>
      <c r="F174" t="s">
        <v>980</v>
      </c>
      <c r="G174" s="3">
        <v>210</v>
      </c>
      <c r="H174">
        <v>199</v>
      </c>
      <c r="I174">
        <v>11</v>
      </c>
      <c r="J174">
        <v>104</v>
      </c>
      <c r="K174">
        <v>94</v>
      </c>
      <c r="L174">
        <v>10</v>
      </c>
      <c r="M174">
        <v>106</v>
      </c>
      <c r="N174">
        <v>105</v>
      </c>
      <c r="O174">
        <v>1</v>
      </c>
    </row>
    <row r="175" spans="2:15" ht="18.5" x14ac:dyDescent="0.45">
      <c r="G175" s="28">
        <f>SUM(G145:G174)</f>
        <v>51909</v>
      </c>
    </row>
    <row r="177" spans="2:15" x14ac:dyDescent="0.35">
      <c r="B177" t="s">
        <v>864</v>
      </c>
      <c r="F177" t="s">
        <v>980</v>
      </c>
      <c r="G177" s="3">
        <v>14039</v>
      </c>
      <c r="H177">
        <v>13935</v>
      </c>
      <c r="I177">
        <v>104</v>
      </c>
      <c r="J177">
        <v>12275</v>
      </c>
      <c r="K177">
        <v>12184</v>
      </c>
      <c r="L177">
        <v>91</v>
      </c>
      <c r="M177">
        <v>1764</v>
      </c>
      <c r="N177">
        <v>1751</v>
      </c>
      <c r="O177">
        <v>13</v>
      </c>
    </row>
    <row r="178" spans="2:15" x14ac:dyDescent="0.35">
      <c r="B178" t="s">
        <v>864</v>
      </c>
      <c r="C178" t="s">
        <v>1014</v>
      </c>
      <c r="D178" s="26" t="s">
        <v>1015</v>
      </c>
      <c r="E178" t="s">
        <v>1160</v>
      </c>
      <c r="F178" t="s">
        <v>980</v>
      </c>
      <c r="G178" s="3">
        <v>19</v>
      </c>
      <c r="H178">
        <v>19</v>
      </c>
      <c r="I178">
        <v>0</v>
      </c>
      <c r="J178">
        <v>19</v>
      </c>
      <c r="K178">
        <v>19</v>
      </c>
      <c r="L178">
        <v>0</v>
      </c>
      <c r="M178">
        <v>0</v>
      </c>
      <c r="N178">
        <v>0</v>
      </c>
      <c r="O178">
        <v>0</v>
      </c>
    </row>
    <row r="179" spans="2:15" x14ac:dyDescent="0.35">
      <c r="B179" t="s">
        <v>864</v>
      </c>
      <c r="C179" t="s">
        <v>1012</v>
      </c>
      <c r="D179" s="26">
        <v>1.9800514202012099E+17</v>
      </c>
      <c r="E179" t="s">
        <v>1103</v>
      </c>
      <c r="F179" t="s">
        <v>980</v>
      </c>
      <c r="G179" s="3">
        <v>2</v>
      </c>
      <c r="H179">
        <v>2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0</v>
      </c>
    </row>
    <row r="180" spans="2:15" x14ac:dyDescent="0.35">
      <c r="B180" t="s">
        <v>864</v>
      </c>
      <c r="C180" t="s">
        <v>1020</v>
      </c>
      <c r="D180" s="26">
        <v>2.0200519870429101E+17</v>
      </c>
      <c r="E180" t="s">
        <v>1021</v>
      </c>
      <c r="F180" t="s">
        <v>980</v>
      </c>
      <c r="G180" s="3">
        <v>17</v>
      </c>
      <c r="H180">
        <v>17</v>
      </c>
      <c r="I180">
        <v>0</v>
      </c>
      <c r="J180">
        <v>1</v>
      </c>
      <c r="K180">
        <v>1</v>
      </c>
      <c r="L180">
        <v>0</v>
      </c>
      <c r="M180">
        <v>16</v>
      </c>
      <c r="N180">
        <v>16</v>
      </c>
      <c r="O180">
        <v>0</v>
      </c>
    </row>
    <row r="181" spans="2:15" x14ac:dyDescent="0.35">
      <c r="B181" t="s">
        <v>864</v>
      </c>
      <c r="C181" t="s">
        <v>1028</v>
      </c>
      <c r="D181" s="26">
        <v>1.9710130200003101E+17</v>
      </c>
      <c r="E181" t="s">
        <v>1058</v>
      </c>
      <c r="F181" t="s">
        <v>980</v>
      </c>
      <c r="G181" s="3">
        <v>3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3</v>
      </c>
      <c r="O181">
        <v>0</v>
      </c>
    </row>
    <row r="182" spans="2:15" x14ac:dyDescent="0.35">
      <c r="B182" t="s">
        <v>864</v>
      </c>
      <c r="C182" t="s">
        <v>888</v>
      </c>
      <c r="D182" s="26">
        <v>1.9840809201902099E+17</v>
      </c>
      <c r="E182" t="s">
        <v>1161</v>
      </c>
      <c r="F182" t="s">
        <v>980</v>
      </c>
      <c r="G182" s="3">
        <v>3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3</v>
      </c>
      <c r="N182">
        <v>3</v>
      </c>
      <c r="O182">
        <v>0</v>
      </c>
    </row>
    <row r="183" spans="2:15" x14ac:dyDescent="0.35">
      <c r="B183" t="s">
        <v>864</v>
      </c>
      <c r="C183" t="s">
        <v>1037</v>
      </c>
      <c r="D183" s="26">
        <v>1.9870608202012198E+17</v>
      </c>
      <c r="E183" t="s">
        <v>1038</v>
      </c>
      <c r="F183" t="s">
        <v>980</v>
      </c>
      <c r="G183" s="3">
        <v>84</v>
      </c>
      <c r="H183">
        <v>84</v>
      </c>
      <c r="I183">
        <v>0</v>
      </c>
      <c r="J183">
        <v>62</v>
      </c>
      <c r="K183">
        <v>62</v>
      </c>
      <c r="L183">
        <v>0</v>
      </c>
      <c r="M183">
        <v>22</v>
      </c>
      <c r="N183">
        <v>22</v>
      </c>
      <c r="O183">
        <v>0</v>
      </c>
    </row>
    <row r="184" spans="2:15" x14ac:dyDescent="0.35">
      <c r="B184" t="s">
        <v>864</v>
      </c>
      <c r="C184" t="s">
        <v>994</v>
      </c>
      <c r="D184" s="26">
        <v>1.9760127200912099E+17</v>
      </c>
      <c r="E184" t="s">
        <v>995</v>
      </c>
      <c r="F184" t="s">
        <v>980</v>
      </c>
      <c r="G184" s="3">
        <v>9</v>
      </c>
      <c r="H184">
        <v>9</v>
      </c>
      <c r="I184">
        <v>0</v>
      </c>
      <c r="J184">
        <v>4</v>
      </c>
      <c r="K184">
        <v>4</v>
      </c>
      <c r="L184">
        <v>0</v>
      </c>
      <c r="M184">
        <v>5</v>
      </c>
      <c r="N184">
        <v>5</v>
      </c>
      <c r="O184">
        <v>0</v>
      </c>
    </row>
    <row r="185" spans="2:15" x14ac:dyDescent="0.35">
      <c r="B185" t="s">
        <v>864</v>
      </c>
      <c r="C185" t="s">
        <v>777</v>
      </c>
      <c r="D185" s="26">
        <v>1.9620211198703101E+17</v>
      </c>
      <c r="E185" t="s">
        <v>1024</v>
      </c>
      <c r="F185" t="s">
        <v>980</v>
      </c>
      <c r="G185" s="3">
        <v>9</v>
      </c>
      <c r="H185">
        <v>9</v>
      </c>
      <c r="I185">
        <v>0</v>
      </c>
      <c r="J185">
        <v>9</v>
      </c>
      <c r="K185">
        <v>9</v>
      </c>
      <c r="L185">
        <v>0</v>
      </c>
      <c r="M185">
        <v>0</v>
      </c>
      <c r="N185">
        <v>0</v>
      </c>
      <c r="O185">
        <v>0</v>
      </c>
    </row>
    <row r="186" spans="2:15" x14ac:dyDescent="0.35">
      <c r="B186" t="s">
        <v>864</v>
      </c>
      <c r="C186" t="s">
        <v>1022</v>
      </c>
      <c r="D186" s="26">
        <v>1.9751015201412099E+17</v>
      </c>
      <c r="E186" t="s">
        <v>1071</v>
      </c>
      <c r="F186" t="s">
        <v>1051</v>
      </c>
      <c r="G186" s="3">
        <v>1</v>
      </c>
      <c r="H186">
        <v>1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</row>
    <row r="187" spans="2:15" x14ac:dyDescent="0.35">
      <c r="B187" t="s">
        <v>864</v>
      </c>
      <c r="C187" t="s">
        <v>1016</v>
      </c>
      <c r="D187" s="26">
        <v>1.9790911202221101E+17</v>
      </c>
      <c r="E187" t="s">
        <v>1017</v>
      </c>
      <c r="F187" t="s">
        <v>980</v>
      </c>
      <c r="G187" s="3">
        <v>19</v>
      </c>
      <c r="H187">
        <v>19</v>
      </c>
      <c r="I187">
        <v>0</v>
      </c>
      <c r="J187">
        <v>10</v>
      </c>
      <c r="K187">
        <v>10</v>
      </c>
      <c r="L187">
        <v>0</v>
      </c>
      <c r="M187">
        <v>9</v>
      </c>
      <c r="N187">
        <v>9</v>
      </c>
      <c r="O187">
        <v>0</v>
      </c>
    </row>
    <row r="188" spans="2:15" x14ac:dyDescent="0.35">
      <c r="B188" t="s">
        <v>864</v>
      </c>
      <c r="C188" t="s">
        <v>977</v>
      </c>
      <c r="D188" s="26">
        <v>1.9771016201412198E+17</v>
      </c>
      <c r="E188" t="s">
        <v>1162</v>
      </c>
      <c r="F188" t="s">
        <v>980</v>
      </c>
      <c r="G188" s="3">
        <v>4</v>
      </c>
      <c r="H188">
        <v>4</v>
      </c>
      <c r="I188">
        <v>0</v>
      </c>
      <c r="J188">
        <v>3</v>
      </c>
      <c r="K188">
        <v>3</v>
      </c>
      <c r="L188">
        <v>0</v>
      </c>
      <c r="M188">
        <v>1</v>
      </c>
      <c r="N188">
        <v>1</v>
      </c>
      <c r="O188">
        <v>0</v>
      </c>
    </row>
    <row r="189" spans="2:15" x14ac:dyDescent="0.35">
      <c r="B189" t="s">
        <v>864</v>
      </c>
      <c r="C189" t="s">
        <v>1007</v>
      </c>
      <c r="D189" s="26">
        <v>1.9800412201412198E+17</v>
      </c>
      <c r="E189" t="s">
        <v>1008</v>
      </c>
      <c r="F189" t="s">
        <v>980</v>
      </c>
      <c r="G189" s="3">
        <v>191</v>
      </c>
      <c r="H189">
        <v>188</v>
      </c>
      <c r="I189">
        <v>3</v>
      </c>
      <c r="J189">
        <v>162</v>
      </c>
      <c r="K189">
        <v>159</v>
      </c>
      <c r="L189">
        <v>3</v>
      </c>
      <c r="M189">
        <v>29</v>
      </c>
      <c r="N189">
        <v>29</v>
      </c>
      <c r="O189">
        <v>0</v>
      </c>
    </row>
    <row r="190" spans="2:15" x14ac:dyDescent="0.35">
      <c r="B190" t="s">
        <v>864</v>
      </c>
      <c r="C190" t="s">
        <v>1040</v>
      </c>
      <c r="D190" s="26">
        <v>1.96711291994032E+17</v>
      </c>
      <c r="E190" t="s">
        <v>1163</v>
      </c>
      <c r="F190" t="s">
        <v>1051</v>
      </c>
      <c r="G190" s="3">
        <v>6</v>
      </c>
      <c r="H190">
        <v>6</v>
      </c>
      <c r="I190">
        <v>0</v>
      </c>
      <c r="J190">
        <v>5</v>
      </c>
      <c r="K190">
        <v>5</v>
      </c>
      <c r="L190">
        <v>0</v>
      </c>
      <c r="M190">
        <v>1</v>
      </c>
      <c r="N190">
        <v>1</v>
      </c>
      <c r="O190">
        <v>0</v>
      </c>
    </row>
    <row r="191" spans="2:15" x14ac:dyDescent="0.35">
      <c r="B191" t="s">
        <v>864</v>
      </c>
      <c r="C191" t="s">
        <v>998</v>
      </c>
      <c r="D191" s="26">
        <v>1.9860720202203101E+17</v>
      </c>
      <c r="E191" t="s">
        <v>999</v>
      </c>
      <c r="F191" t="s">
        <v>980</v>
      </c>
      <c r="G191" s="3">
        <v>197</v>
      </c>
      <c r="H191">
        <v>196</v>
      </c>
      <c r="I191">
        <v>1</v>
      </c>
      <c r="J191">
        <v>161</v>
      </c>
      <c r="K191">
        <v>161</v>
      </c>
      <c r="L191">
        <v>0</v>
      </c>
      <c r="M191">
        <v>36</v>
      </c>
      <c r="N191">
        <v>35</v>
      </c>
      <c r="O191">
        <v>1</v>
      </c>
    </row>
    <row r="192" spans="2:15" x14ac:dyDescent="0.35">
      <c r="B192" t="s">
        <v>864</v>
      </c>
      <c r="C192" t="s">
        <v>898</v>
      </c>
      <c r="D192" s="26">
        <v>1.9731011200112198E+17</v>
      </c>
      <c r="E192" t="s">
        <v>993</v>
      </c>
      <c r="F192" t="s">
        <v>980</v>
      </c>
      <c r="G192" s="3">
        <v>583</v>
      </c>
      <c r="H192">
        <v>580</v>
      </c>
      <c r="I192">
        <v>3</v>
      </c>
      <c r="J192">
        <v>507</v>
      </c>
      <c r="K192">
        <v>504</v>
      </c>
      <c r="L192">
        <v>3</v>
      </c>
      <c r="M192">
        <v>76</v>
      </c>
      <c r="N192">
        <v>76</v>
      </c>
      <c r="O192">
        <v>0</v>
      </c>
    </row>
    <row r="193" spans="2:15" x14ac:dyDescent="0.35">
      <c r="B193" t="s">
        <v>864</v>
      </c>
      <c r="C193" t="s">
        <v>1043</v>
      </c>
      <c r="D193" s="26">
        <v>1.9750329200812198E+17</v>
      </c>
      <c r="E193" t="s">
        <v>1044</v>
      </c>
      <c r="F193" t="s">
        <v>980</v>
      </c>
      <c r="G193" s="3">
        <v>201</v>
      </c>
      <c r="H193">
        <v>199</v>
      </c>
      <c r="I193">
        <v>2</v>
      </c>
      <c r="J193">
        <v>154</v>
      </c>
      <c r="K193">
        <v>153</v>
      </c>
      <c r="L193">
        <v>1</v>
      </c>
      <c r="M193">
        <v>47</v>
      </c>
      <c r="N193">
        <v>46</v>
      </c>
      <c r="O193">
        <v>1</v>
      </c>
    </row>
    <row r="194" spans="2:15" x14ac:dyDescent="0.35">
      <c r="B194" t="s">
        <v>864</v>
      </c>
      <c r="C194" t="s">
        <v>990</v>
      </c>
      <c r="D194" s="26" t="s">
        <v>991</v>
      </c>
      <c r="E194" t="s">
        <v>992</v>
      </c>
      <c r="F194" t="s">
        <v>980</v>
      </c>
      <c r="G194" s="3">
        <v>343</v>
      </c>
      <c r="H194">
        <v>336</v>
      </c>
      <c r="I194">
        <v>7</v>
      </c>
      <c r="J194">
        <v>282</v>
      </c>
      <c r="K194">
        <v>277</v>
      </c>
      <c r="L194">
        <v>5</v>
      </c>
      <c r="M194">
        <v>61</v>
      </c>
      <c r="N194">
        <v>59</v>
      </c>
      <c r="O194">
        <v>2</v>
      </c>
    </row>
    <row r="195" spans="2:15" x14ac:dyDescent="0.35">
      <c r="B195" t="s">
        <v>864</v>
      </c>
      <c r="C195" t="s">
        <v>1000</v>
      </c>
      <c r="D195" s="26" t="s">
        <v>1001</v>
      </c>
      <c r="E195" t="s">
        <v>1002</v>
      </c>
      <c r="F195" t="s">
        <v>980</v>
      </c>
      <c r="G195" s="3">
        <v>6238</v>
      </c>
      <c r="H195">
        <v>6190</v>
      </c>
      <c r="I195">
        <v>48</v>
      </c>
      <c r="J195">
        <v>5378</v>
      </c>
      <c r="K195">
        <v>5336</v>
      </c>
      <c r="L195">
        <v>42</v>
      </c>
      <c r="M195">
        <v>860</v>
      </c>
      <c r="N195">
        <v>854</v>
      </c>
      <c r="O195">
        <v>6</v>
      </c>
    </row>
    <row r="196" spans="2:15" x14ac:dyDescent="0.35">
      <c r="B196" t="s">
        <v>864</v>
      </c>
      <c r="C196" t="s">
        <v>904</v>
      </c>
      <c r="D196" s="26">
        <v>1.97812022022212E+17</v>
      </c>
      <c r="E196" t="s">
        <v>1164</v>
      </c>
      <c r="F196" t="s">
        <v>1165</v>
      </c>
      <c r="G196" s="3">
        <v>5</v>
      </c>
      <c r="H196">
        <v>5</v>
      </c>
      <c r="I196">
        <v>0</v>
      </c>
      <c r="J196">
        <v>4</v>
      </c>
      <c r="K196">
        <v>4</v>
      </c>
      <c r="L196">
        <v>0</v>
      </c>
      <c r="M196">
        <v>1</v>
      </c>
      <c r="N196">
        <v>1</v>
      </c>
      <c r="O196">
        <v>0</v>
      </c>
    </row>
    <row r="197" spans="2:15" x14ac:dyDescent="0.35">
      <c r="B197" t="s">
        <v>864</v>
      </c>
      <c r="C197" t="s">
        <v>1018</v>
      </c>
      <c r="D197" s="26">
        <v>1.9751204201412198E+17</v>
      </c>
      <c r="E197" t="s">
        <v>1019</v>
      </c>
      <c r="F197" t="s">
        <v>1051</v>
      </c>
      <c r="G197" s="3">
        <v>3</v>
      </c>
      <c r="H197">
        <v>3</v>
      </c>
      <c r="I197">
        <v>0</v>
      </c>
      <c r="J197">
        <v>3</v>
      </c>
      <c r="K197">
        <v>3</v>
      </c>
      <c r="L197">
        <v>0</v>
      </c>
      <c r="M197">
        <v>0</v>
      </c>
      <c r="N197">
        <v>0</v>
      </c>
      <c r="O197">
        <v>0</v>
      </c>
    </row>
    <row r="198" spans="2:15" x14ac:dyDescent="0.35">
      <c r="B198" t="s">
        <v>864</v>
      </c>
      <c r="C198" t="s">
        <v>655</v>
      </c>
      <c r="D198" s="26">
        <v>1.9790415201412099E+17</v>
      </c>
      <c r="E198" t="s">
        <v>1010</v>
      </c>
      <c r="F198" t="s">
        <v>980</v>
      </c>
      <c r="G198" s="3">
        <v>3</v>
      </c>
      <c r="H198">
        <v>3</v>
      </c>
      <c r="I198">
        <v>0</v>
      </c>
      <c r="J198">
        <v>2</v>
      </c>
      <c r="K198">
        <v>2</v>
      </c>
      <c r="L198">
        <v>0</v>
      </c>
      <c r="M198">
        <v>1</v>
      </c>
      <c r="N198">
        <v>1</v>
      </c>
      <c r="O198">
        <v>0</v>
      </c>
    </row>
    <row r="199" spans="2:15" x14ac:dyDescent="0.35">
      <c r="B199" t="s">
        <v>864</v>
      </c>
      <c r="C199" t="s">
        <v>1025</v>
      </c>
      <c r="D199" s="26" t="s">
        <v>1166</v>
      </c>
      <c r="E199" t="s">
        <v>1167</v>
      </c>
      <c r="F199" t="s">
        <v>980</v>
      </c>
      <c r="G199" s="3">
        <v>13</v>
      </c>
      <c r="H199">
        <v>13</v>
      </c>
      <c r="I199">
        <v>0</v>
      </c>
      <c r="J199">
        <v>8</v>
      </c>
      <c r="K199">
        <v>8</v>
      </c>
      <c r="L199">
        <v>0</v>
      </c>
      <c r="M199">
        <v>5</v>
      </c>
      <c r="N199">
        <v>5</v>
      </c>
      <c r="O199">
        <v>0</v>
      </c>
    </row>
    <row r="200" spans="2:15" x14ac:dyDescent="0.35">
      <c r="B200" t="s">
        <v>864</v>
      </c>
      <c r="C200" t="s">
        <v>755</v>
      </c>
      <c r="D200" s="26">
        <v>2.0200519850129101E+17</v>
      </c>
      <c r="E200" t="s">
        <v>988</v>
      </c>
      <c r="F200" t="s">
        <v>980</v>
      </c>
      <c r="G200" s="3">
        <v>1244</v>
      </c>
      <c r="H200">
        <v>1229</v>
      </c>
      <c r="I200">
        <v>15</v>
      </c>
      <c r="J200">
        <v>1071</v>
      </c>
      <c r="K200">
        <v>1057</v>
      </c>
      <c r="L200">
        <v>14</v>
      </c>
      <c r="M200">
        <v>173</v>
      </c>
      <c r="N200">
        <v>172</v>
      </c>
      <c r="O200">
        <v>1</v>
      </c>
    </row>
    <row r="201" spans="2:15" x14ac:dyDescent="0.35">
      <c r="B201" t="s">
        <v>864</v>
      </c>
      <c r="C201" t="s">
        <v>1128</v>
      </c>
      <c r="D201" s="26">
        <v>1.95908301986012E+17</v>
      </c>
      <c r="E201" t="s">
        <v>1168</v>
      </c>
      <c r="F201" t="s">
        <v>1051</v>
      </c>
      <c r="G201" s="3">
        <v>3</v>
      </c>
      <c r="H201">
        <v>3</v>
      </c>
      <c r="I201">
        <v>0</v>
      </c>
      <c r="J201">
        <v>2</v>
      </c>
      <c r="K201">
        <v>2</v>
      </c>
      <c r="L201">
        <v>0</v>
      </c>
      <c r="M201">
        <v>1</v>
      </c>
      <c r="N201">
        <v>1</v>
      </c>
      <c r="O201">
        <v>0</v>
      </c>
    </row>
    <row r="202" spans="2:15" x14ac:dyDescent="0.35">
      <c r="B202" t="s">
        <v>864</v>
      </c>
      <c r="C202" t="s">
        <v>1004</v>
      </c>
      <c r="D202" s="26">
        <v>1.98503192022032E+17</v>
      </c>
      <c r="E202" t="s">
        <v>1006</v>
      </c>
      <c r="F202" t="s">
        <v>980</v>
      </c>
      <c r="G202" s="3">
        <v>86</v>
      </c>
      <c r="H202">
        <v>84</v>
      </c>
      <c r="I202">
        <v>2</v>
      </c>
      <c r="J202">
        <v>65</v>
      </c>
      <c r="K202">
        <v>65</v>
      </c>
      <c r="L202">
        <v>0</v>
      </c>
      <c r="M202">
        <v>21</v>
      </c>
      <c r="N202">
        <v>19</v>
      </c>
      <c r="O202">
        <v>2</v>
      </c>
    </row>
    <row r="203" spans="2:15" x14ac:dyDescent="0.35">
      <c r="B203" t="s">
        <v>864</v>
      </c>
      <c r="C203" t="s">
        <v>662</v>
      </c>
      <c r="D203" s="26">
        <v>1.9840915201412198E+17</v>
      </c>
      <c r="E203" t="s">
        <v>989</v>
      </c>
      <c r="F203" t="s">
        <v>980</v>
      </c>
      <c r="G203" s="3">
        <v>229</v>
      </c>
      <c r="H203">
        <v>229</v>
      </c>
      <c r="I203">
        <v>0</v>
      </c>
      <c r="J203">
        <v>171</v>
      </c>
      <c r="K203">
        <v>171</v>
      </c>
      <c r="L203">
        <v>0</v>
      </c>
      <c r="M203">
        <v>58</v>
      </c>
      <c r="N203">
        <v>58</v>
      </c>
      <c r="O203">
        <v>0</v>
      </c>
    </row>
    <row r="204" spans="2:15" x14ac:dyDescent="0.35">
      <c r="B204" t="s">
        <v>864</v>
      </c>
      <c r="C204" t="s">
        <v>1034</v>
      </c>
      <c r="D204" s="26">
        <v>2.02005198901232E+17</v>
      </c>
      <c r="E204" t="s">
        <v>1036</v>
      </c>
      <c r="F204" t="s">
        <v>980</v>
      </c>
      <c r="G204" s="3">
        <v>8</v>
      </c>
      <c r="H204">
        <v>8</v>
      </c>
      <c r="I204">
        <v>0</v>
      </c>
      <c r="J204">
        <v>8</v>
      </c>
      <c r="K204">
        <v>8</v>
      </c>
      <c r="L204">
        <v>0</v>
      </c>
      <c r="M204">
        <v>0</v>
      </c>
      <c r="N204">
        <v>0</v>
      </c>
      <c r="O204">
        <v>0</v>
      </c>
    </row>
    <row r="205" spans="2:15" ht="18.5" x14ac:dyDescent="0.45">
      <c r="G205" s="28">
        <f>SUM(G177:G204)</f>
        <v>23562</v>
      </c>
    </row>
    <row r="207" spans="2:15" x14ac:dyDescent="0.35">
      <c r="B207" t="s">
        <v>688</v>
      </c>
      <c r="F207" t="s">
        <v>1100</v>
      </c>
      <c r="G207" s="3">
        <v>316</v>
      </c>
      <c r="H207">
        <v>278</v>
      </c>
      <c r="I207">
        <v>38</v>
      </c>
      <c r="J207">
        <v>0</v>
      </c>
      <c r="K207">
        <v>0</v>
      </c>
      <c r="L207">
        <v>0</v>
      </c>
      <c r="M207">
        <v>316</v>
      </c>
      <c r="N207">
        <v>278</v>
      </c>
      <c r="O207">
        <v>38</v>
      </c>
    </row>
    <row r="208" spans="2:15" x14ac:dyDescent="0.35">
      <c r="B208" t="s">
        <v>688</v>
      </c>
      <c r="C208" t="s">
        <v>390</v>
      </c>
      <c r="D208" s="26" t="s">
        <v>996</v>
      </c>
      <c r="E208" t="s">
        <v>1101</v>
      </c>
      <c r="F208" t="s">
        <v>1102</v>
      </c>
      <c r="G208" s="3">
        <v>269</v>
      </c>
      <c r="H208">
        <v>252</v>
      </c>
      <c r="I208">
        <v>17</v>
      </c>
      <c r="J208">
        <v>0</v>
      </c>
      <c r="K208">
        <v>0</v>
      </c>
      <c r="L208">
        <v>0</v>
      </c>
      <c r="M208">
        <v>269</v>
      </c>
      <c r="N208">
        <v>252</v>
      </c>
      <c r="O208">
        <v>17</v>
      </c>
    </row>
    <row r="209" spans="2:15" x14ac:dyDescent="0.35">
      <c r="B209" t="s">
        <v>688</v>
      </c>
      <c r="C209" t="s">
        <v>1014</v>
      </c>
      <c r="D209" s="26" t="s">
        <v>1073</v>
      </c>
      <c r="E209" t="s">
        <v>1074</v>
      </c>
      <c r="F209" t="s">
        <v>1081</v>
      </c>
      <c r="G209" s="3">
        <v>7676</v>
      </c>
      <c r="H209">
        <v>7260</v>
      </c>
      <c r="I209">
        <v>416</v>
      </c>
      <c r="J209">
        <v>1</v>
      </c>
      <c r="K209">
        <v>0</v>
      </c>
      <c r="L209">
        <v>1</v>
      </c>
      <c r="M209">
        <v>7675</v>
      </c>
      <c r="N209">
        <v>7260</v>
      </c>
      <c r="O209">
        <v>415</v>
      </c>
    </row>
    <row r="210" spans="2:15" x14ac:dyDescent="0.35">
      <c r="B210" t="s">
        <v>688</v>
      </c>
      <c r="C210" t="s">
        <v>1031</v>
      </c>
      <c r="D210" s="26">
        <v>2.02005197910092E+17</v>
      </c>
      <c r="E210" t="s">
        <v>1032</v>
      </c>
      <c r="F210" t="s">
        <v>1100</v>
      </c>
      <c r="G210" s="3">
        <v>367</v>
      </c>
      <c r="H210">
        <v>335</v>
      </c>
      <c r="I210">
        <v>32</v>
      </c>
      <c r="J210">
        <v>0</v>
      </c>
      <c r="K210">
        <v>0</v>
      </c>
      <c r="L210">
        <v>0</v>
      </c>
      <c r="M210">
        <v>367</v>
      </c>
      <c r="N210">
        <v>335</v>
      </c>
      <c r="O210">
        <v>32</v>
      </c>
    </row>
    <row r="211" spans="2:15" x14ac:dyDescent="0.35">
      <c r="B211" t="s">
        <v>688</v>
      </c>
      <c r="C211" t="s">
        <v>1012</v>
      </c>
      <c r="D211" s="26">
        <v>1.9800514202012099E+17</v>
      </c>
      <c r="E211" t="s">
        <v>1103</v>
      </c>
      <c r="F211" t="s">
        <v>1100</v>
      </c>
      <c r="G211" s="3">
        <v>928</v>
      </c>
      <c r="H211">
        <v>882</v>
      </c>
      <c r="I211">
        <v>46</v>
      </c>
      <c r="J211">
        <v>0</v>
      </c>
      <c r="K211">
        <v>0</v>
      </c>
      <c r="L211">
        <v>0</v>
      </c>
      <c r="M211">
        <v>928</v>
      </c>
      <c r="N211">
        <v>882</v>
      </c>
      <c r="O211">
        <v>46</v>
      </c>
    </row>
    <row r="212" spans="2:15" x14ac:dyDescent="0.35">
      <c r="B212" t="s">
        <v>688</v>
      </c>
      <c r="C212" t="s">
        <v>1020</v>
      </c>
      <c r="D212" s="26">
        <v>2.0200519870815101E+17</v>
      </c>
      <c r="E212" t="s">
        <v>1021</v>
      </c>
      <c r="F212" t="s">
        <v>1100</v>
      </c>
      <c r="G212" s="3">
        <v>2070</v>
      </c>
      <c r="H212">
        <v>1799</v>
      </c>
      <c r="I212">
        <v>271</v>
      </c>
      <c r="J212">
        <v>0</v>
      </c>
      <c r="K212">
        <v>0</v>
      </c>
      <c r="L212">
        <v>0</v>
      </c>
      <c r="M212">
        <v>2070</v>
      </c>
      <c r="N212">
        <v>1799</v>
      </c>
      <c r="O212">
        <v>271</v>
      </c>
    </row>
    <row r="213" spans="2:15" x14ac:dyDescent="0.35">
      <c r="B213" t="s">
        <v>688</v>
      </c>
      <c r="C213" t="s">
        <v>1028</v>
      </c>
      <c r="D213" s="26" t="s">
        <v>1029</v>
      </c>
      <c r="E213" t="s">
        <v>1030</v>
      </c>
      <c r="F213" t="s">
        <v>1100</v>
      </c>
      <c r="G213" s="3">
        <v>729</v>
      </c>
      <c r="H213">
        <v>592</v>
      </c>
      <c r="I213">
        <v>137</v>
      </c>
      <c r="J213">
        <v>2</v>
      </c>
      <c r="K213">
        <v>0</v>
      </c>
      <c r="L213">
        <v>2</v>
      </c>
      <c r="M213">
        <v>727</v>
      </c>
      <c r="N213">
        <v>592</v>
      </c>
      <c r="O213">
        <v>135</v>
      </c>
    </row>
    <row r="214" spans="2:15" x14ac:dyDescent="0.35">
      <c r="B214" t="s">
        <v>688</v>
      </c>
      <c r="C214" t="s">
        <v>888</v>
      </c>
      <c r="D214" s="26">
        <v>1.9840809201902099E+17</v>
      </c>
      <c r="E214" t="s">
        <v>1003</v>
      </c>
      <c r="F214" t="s">
        <v>1100</v>
      </c>
      <c r="G214" s="3">
        <v>495</v>
      </c>
      <c r="H214">
        <v>439</v>
      </c>
      <c r="I214">
        <v>56</v>
      </c>
      <c r="J214">
        <v>0</v>
      </c>
      <c r="K214">
        <v>0</v>
      </c>
      <c r="L214">
        <v>0</v>
      </c>
      <c r="M214">
        <v>495</v>
      </c>
      <c r="N214">
        <v>439</v>
      </c>
      <c r="O214">
        <v>56</v>
      </c>
    </row>
    <row r="215" spans="2:15" x14ac:dyDescent="0.35">
      <c r="B215" t="s">
        <v>688</v>
      </c>
      <c r="C215" t="s">
        <v>1037</v>
      </c>
      <c r="D215" s="26">
        <v>1.9870608202012198E+17</v>
      </c>
      <c r="E215" t="s">
        <v>1038</v>
      </c>
      <c r="F215" t="s">
        <v>1104</v>
      </c>
      <c r="G215" s="3">
        <v>330</v>
      </c>
      <c r="H215">
        <v>294</v>
      </c>
      <c r="I215">
        <v>36</v>
      </c>
      <c r="J215">
        <v>0</v>
      </c>
      <c r="K215">
        <v>0</v>
      </c>
      <c r="L215">
        <v>0</v>
      </c>
      <c r="M215">
        <v>330</v>
      </c>
      <c r="N215">
        <v>294</v>
      </c>
      <c r="O215">
        <v>36</v>
      </c>
    </row>
    <row r="216" spans="2:15" x14ac:dyDescent="0.35">
      <c r="B216" t="s">
        <v>688</v>
      </c>
      <c r="C216" t="s">
        <v>994</v>
      </c>
      <c r="D216" s="26">
        <v>1.9760127200912099E+17</v>
      </c>
      <c r="E216" t="s">
        <v>995</v>
      </c>
      <c r="F216" t="s">
        <v>1081</v>
      </c>
      <c r="G216" s="3">
        <v>525</v>
      </c>
      <c r="H216">
        <v>488</v>
      </c>
      <c r="I216">
        <v>37</v>
      </c>
      <c r="J216">
        <v>0</v>
      </c>
      <c r="K216">
        <v>0</v>
      </c>
      <c r="L216">
        <v>0</v>
      </c>
      <c r="M216">
        <v>525</v>
      </c>
      <c r="N216">
        <v>488</v>
      </c>
      <c r="O216">
        <v>37</v>
      </c>
    </row>
    <row r="217" spans="2:15" x14ac:dyDescent="0.35">
      <c r="B217" t="s">
        <v>688</v>
      </c>
      <c r="C217" t="s">
        <v>777</v>
      </c>
      <c r="D217" s="26">
        <v>1.9620211198703101E+17</v>
      </c>
      <c r="E217" t="s">
        <v>1024</v>
      </c>
      <c r="F217" t="s">
        <v>1105</v>
      </c>
      <c r="G217" s="3">
        <v>614</v>
      </c>
      <c r="H217">
        <v>547</v>
      </c>
      <c r="I217">
        <v>67</v>
      </c>
      <c r="J217">
        <v>0</v>
      </c>
      <c r="K217">
        <v>0</v>
      </c>
      <c r="L217">
        <v>0</v>
      </c>
      <c r="M217">
        <v>614</v>
      </c>
      <c r="N217">
        <v>547</v>
      </c>
      <c r="O217">
        <v>67</v>
      </c>
    </row>
    <row r="218" spans="2:15" x14ac:dyDescent="0.35">
      <c r="B218" t="s">
        <v>688</v>
      </c>
      <c r="C218" t="s">
        <v>1022</v>
      </c>
      <c r="D218" s="26">
        <v>1.9850505202012099E+17</v>
      </c>
      <c r="E218" t="s">
        <v>1023</v>
      </c>
      <c r="F218" t="s">
        <v>1100</v>
      </c>
      <c r="G218" s="3">
        <v>1458</v>
      </c>
      <c r="H218">
        <v>1383</v>
      </c>
      <c r="I218">
        <v>75</v>
      </c>
      <c r="J218">
        <v>0</v>
      </c>
      <c r="K218">
        <v>0</v>
      </c>
      <c r="L218">
        <v>0</v>
      </c>
      <c r="M218">
        <v>1458</v>
      </c>
      <c r="N218">
        <v>1383</v>
      </c>
      <c r="O218">
        <v>75</v>
      </c>
    </row>
    <row r="219" spans="2:15" x14ac:dyDescent="0.35">
      <c r="B219" t="s">
        <v>688</v>
      </c>
      <c r="C219" t="s">
        <v>1016</v>
      </c>
      <c r="D219" s="26">
        <v>1.9790911202221101E+17</v>
      </c>
      <c r="E219" t="s">
        <v>1017</v>
      </c>
      <c r="F219" t="s">
        <v>1100</v>
      </c>
      <c r="G219" s="3">
        <v>285</v>
      </c>
      <c r="H219">
        <v>271</v>
      </c>
      <c r="I219">
        <v>14</v>
      </c>
      <c r="J219">
        <v>0</v>
      </c>
      <c r="K219">
        <v>0</v>
      </c>
      <c r="L219">
        <v>0</v>
      </c>
      <c r="M219">
        <v>285</v>
      </c>
      <c r="N219">
        <v>271</v>
      </c>
      <c r="O219">
        <v>14</v>
      </c>
    </row>
    <row r="220" spans="2:15" x14ac:dyDescent="0.35">
      <c r="B220" t="s">
        <v>688</v>
      </c>
      <c r="C220" t="s">
        <v>977</v>
      </c>
      <c r="D220" s="26">
        <v>1.9600521198912099E+17</v>
      </c>
      <c r="E220" t="s">
        <v>1090</v>
      </c>
      <c r="F220" t="s">
        <v>1106</v>
      </c>
      <c r="G220" s="3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</row>
    <row r="221" spans="2:15" x14ac:dyDescent="0.35">
      <c r="B221" t="s">
        <v>688</v>
      </c>
      <c r="C221" t="s">
        <v>1040</v>
      </c>
      <c r="D221" s="26">
        <v>1.9810707200803101E+17</v>
      </c>
      <c r="E221" t="s">
        <v>1107</v>
      </c>
      <c r="F221" t="s">
        <v>1108</v>
      </c>
      <c r="G221" s="3">
        <v>144</v>
      </c>
      <c r="H221">
        <v>141</v>
      </c>
      <c r="I221">
        <v>3</v>
      </c>
      <c r="J221">
        <v>0</v>
      </c>
      <c r="K221">
        <v>0</v>
      </c>
      <c r="L221">
        <v>0</v>
      </c>
      <c r="M221">
        <v>144</v>
      </c>
      <c r="N221">
        <v>141</v>
      </c>
      <c r="O221">
        <v>3</v>
      </c>
    </row>
    <row r="222" spans="2:15" x14ac:dyDescent="0.35">
      <c r="B222" t="s">
        <v>688</v>
      </c>
      <c r="C222" t="s">
        <v>1000</v>
      </c>
      <c r="D222" s="26">
        <v>1.9610124198812099E+17</v>
      </c>
      <c r="E222" t="s">
        <v>1109</v>
      </c>
      <c r="F222" t="s">
        <v>1051</v>
      </c>
      <c r="G222" s="3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0</v>
      </c>
    </row>
    <row r="223" spans="2:15" x14ac:dyDescent="0.35">
      <c r="B223" t="s">
        <v>688</v>
      </c>
      <c r="C223" t="s">
        <v>655</v>
      </c>
      <c r="D223" s="26" t="s">
        <v>1009</v>
      </c>
      <c r="E223" t="s">
        <v>1110</v>
      </c>
      <c r="F223" t="s">
        <v>1100</v>
      </c>
      <c r="G223" s="3">
        <v>561</v>
      </c>
      <c r="H223">
        <v>546</v>
      </c>
      <c r="I223">
        <v>15</v>
      </c>
      <c r="J223">
        <v>0</v>
      </c>
      <c r="K223">
        <v>0</v>
      </c>
      <c r="L223">
        <v>0</v>
      </c>
      <c r="M223">
        <v>561</v>
      </c>
      <c r="N223">
        <v>546</v>
      </c>
      <c r="O223">
        <v>15</v>
      </c>
    </row>
    <row r="224" spans="2:15" x14ac:dyDescent="0.35">
      <c r="B224" t="s">
        <v>688</v>
      </c>
      <c r="C224" t="s">
        <v>1111</v>
      </c>
      <c r="D224" s="26">
        <v>2.0160119830408198E+17</v>
      </c>
      <c r="E224" t="s">
        <v>1112</v>
      </c>
      <c r="F224" t="s">
        <v>1113</v>
      </c>
      <c r="G224" s="3">
        <v>2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2</v>
      </c>
      <c r="O224">
        <v>0</v>
      </c>
    </row>
    <row r="225" spans="2:15" x14ac:dyDescent="0.35">
      <c r="B225" t="s">
        <v>688</v>
      </c>
      <c r="C225" t="s">
        <v>1025</v>
      </c>
      <c r="D225" s="26" t="s">
        <v>1026</v>
      </c>
      <c r="E225" t="s">
        <v>1114</v>
      </c>
      <c r="F225" t="s">
        <v>1115</v>
      </c>
      <c r="G225" s="3">
        <v>3657</v>
      </c>
      <c r="H225">
        <v>3570</v>
      </c>
      <c r="I225">
        <v>87</v>
      </c>
      <c r="J225">
        <v>0</v>
      </c>
      <c r="K225">
        <v>0</v>
      </c>
      <c r="L225">
        <v>0</v>
      </c>
      <c r="M225">
        <v>3657</v>
      </c>
      <c r="N225">
        <v>3570</v>
      </c>
      <c r="O225">
        <v>87</v>
      </c>
    </row>
    <row r="226" spans="2:15" x14ac:dyDescent="0.35">
      <c r="B226" t="s">
        <v>688</v>
      </c>
      <c r="C226" t="s">
        <v>755</v>
      </c>
      <c r="D226" s="26">
        <v>1.9850222202012198E+17</v>
      </c>
      <c r="E226" t="s">
        <v>988</v>
      </c>
      <c r="F226" t="s">
        <v>1116</v>
      </c>
      <c r="G226" s="3">
        <v>13</v>
      </c>
      <c r="H226">
        <v>13</v>
      </c>
      <c r="I226">
        <v>0</v>
      </c>
      <c r="J226">
        <v>0</v>
      </c>
      <c r="K226">
        <v>0</v>
      </c>
      <c r="L226">
        <v>0</v>
      </c>
      <c r="M226">
        <v>13</v>
      </c>
      <c r="N226">
        <v>13</v>
      </c>
      <c r="O226">
        <v>0</v>
      </c>
    </row>
    <row r="227" spans="2:15" x14ac:dyDescent="0.35">
      <c r="B227" t="s">
        <v>688</v>
      </c>
      <c r="C227" t="s">
        <v>982</v>
      </c>
      <c r="D227" s="26">
        <v>2.0200519830411101E+17</v>
      </c>
      <c r="E227" t="s">
        <v>1117</v>
      </c>
      <c r="F227" t="s">
        <v>1118</v>
      </c>
      <c r="G227" s="3">
        <v>2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2</v>
      </c>
      <c r="O227">
        <v>0</v>
      </c>
    </row>
    <row r="228" spans="2:15" x14ac:dyDescent="0.35">
      <c r="B228" t="s">
        <v>688</v>
      </c>
      <c r="C228" t="s">
        <v>662</v>
      </c>
      <c r="D228" s="26">
        <v>1.98407152022032E+17</v>
      </c>
      <c r="E228" t="s">
        <v>1060</v>
      </c>
      <c r="F228" t="s">
        <v>1119</v>
      </c>
      <c r="G228" s="3">
        <v>75</v>
      </c>
      <c r="H228">
        <v>69</v>
      </c>
      <c r="I228">
        <v>6</v>
      </c>
      <c r="J228">
        <v>0</v>
      </c>
      <c r="K228">
        <v>0</v>
      </c>
      <c r="L228">
        <v>0</v>
      </c>
      <c r="M228">
        <v>75</v>
      </c>
      <c r="N228">
        <v>69</v>
      </c>
      <c r="O228">
        <v>6</v>
      </c>
    </row>
    <row r="229" spans="2:15" x14ac:dyDescent="0.35">
      <c r="B229" t="s">
        <v>688</v>
      </c>
      <c r="C229" t="s">
        <v>1034</v>
      </c>
      <c r="D229" s="26" t="s">
        <v>1035</v>
      </c>
      <c r="E229" t="s">
        <v>1036</v>
      </c>
      <c r="F229" t="s">
        <v>1100</v>
      </c>
      <c r="G229" s="3">
        <v>1387</v>
      </c>
      <c r="H229">
        <v>1316</v>
      </c>
      <c r="I229">
        <v>71</v>
      </c>
      <c r="J229">
        <v>0</v>
      </c>
      <c r="K229">
        <v>0</v>
      </c>
      <c r="L229">
        <v>0</v>
      </c>
      <c r="M229">
        <v>1387</v>
      </c>
      <c r="N229">
        <v>1316</v>
      </c>
      <c r="O229">
        <v>71</v>
      </c>
    </row>
    <row r="230" spans="2:15" ht="18.5" x14ac:dyDescent="0.45">
      <c r="G230" s="29">
        <f>SUM(G207:G229)</f>
        <v>21905</v>
      </c>
    </row>
    <row r="232" spans="2:15" x14ac:dyDescent="0.35">
      <c r="B232" t="s">
        <v>62</v>
      </c>
      <c r="F232" t="s">
        <v>1084</v>
      </c>
      <c r="G232" s="3">
        <v>635313</v>
      </c>
      <c r="H232">
        <v>563680</v>
      </c>
      <c r="I232">
        <v>71633</v>
      </c>
      <c r="J232">
        <v>18704</v>
      </c>
      <c r="K232">
        <v>6356</v>
      </c>
      <c r="L232">
        <v>12348</v>
      </c>
      <c r="M232">
        <v>616609</v>
      </c>
      <c r="N232">
        <v>557324</v>
      </c>
      <c r="O232">
        <v>59285</v>
      </c>
    </row>
    <row r="233" spans="2:15" x14ac:dyDescent="0.35">
      <c r="B233" t="s">
        <v>62</v>
      </c>
      <c r="C233" t="s">
        <v>390</v>
      </c>
      <c r="D233" s="26">
        <v>1.9740601200501101E+17</v>
      </c>
      <c r="E233" t="s">
        <v>997</v>
      </c>
      <c r="F233" t="s">
        <v>1120</v>
      </c>
      <c r="G233" s="3">
        <v>4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4</v>
      </c>
      <c r="N233">
        <v>4</v>
      </c>
      <c r="O233">
        <v>0</v>
      </c>
    </row>
    <row r="234" spans="2:15" x14ac:dyDescent="0.35">
      <c r="B234" t="s">
        <v>62</v>
      </c>
      <c r="C234" t="s">
        <v>1012</v>
      </c>
      <c r="D234" s="26">
        <v>1.9800514202012099E+17</v>
      </c>
      <c r="E234" t="s">
        <v>1066</v>
      </c>
      <c r="F234" t="s">
        <v>1120</v>
      </c>
      <c r="G234" s="3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0</v>
      </c>
    </row>
    <row r="235" spans="2:15" x14ac:dyDescent="0.35">
      <c r="B235" t="s">
        <v>62</v>
      </c>
      <c r="C235" t="s">
        <v>1020</v>
      </c>
      <c r="D235" s="26">
        <v>2.0200519870429101E+17</v>
      </c>
      <c r="E235" t="s">
        <v>1021</v>
      </c>
      <c r="F235" t="s">
        <v>1120</v>
      </c>
      <c r="G235" s="3">
        <v>2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2</v>
      </c>
      <c r="O235">
        <v>0</v>
      </c>
    </row>
    <row r="236" spans="2:15" x14ac:dyDescent="0.35">
      <c r="B236" t="s">
        <v>62</v>
      </c>
      <c r="C236" t="s">
        <v>888</v>
      </c>
      <c r="D236" s="26">
        <v>1.9740913201412099E+17</v>
      </c>
      <c r="E236" t="s">
        <v>1062</v>
      </c>
      <c r="F236" t="s">
        <v>1121</v>
      </c>
      <c r="G236" s="3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</v>
      </c>
    </row>
    <row r="237" spans="2:15" x14ac:dyDescent="0.35">
      <c r="B237" t="s">
        <v>62</v>
      </c>
      <c r="C237" t="s">
        <v>994</v>
      </c>
      <c r="D237" s="26">
        <v>1.9580912199003101E+17</v>
      </c>
      <c r="E237" t="s">
        <v>1047</v>
      </c>
      <c r="F237" t="s">
        <v>1122</v>
      </c>
      <c r="G237" s="3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0</v>
      </c>
    </row>
    <row r="238" spans="2:15" x14ac:dyDescent="0.35">
      <c r="B238" t="s">
        <v>62</v>
      </c>
      <c r="C238" t="s">
        <v>977</v>
      </c>
      <c r="D238" s="26">
        <v>1.99104102018012E+17</v>
      </c>
      <c r="E238" t="s">
        <v>1090</v>
      </c>
      <c r="F238" t="s">
        <v>1077</v>
      </c>
      <c r="G238" s="3">
        <v>344</v>
      </c>
      <c r="H238">
        <v>313</v>
      </c>
      <c r="I238">
        <v>31</v>
      </c>
      <c r="J238">
        <v>0</v>
      </c>
      <c r="K238">
        <v>0</v>
      </c>
      <c r="L238">
        <v>0</v>
      </c>
      <c r="M238">
        <v>344</v>
      </c>
      <c r="N238">
        <v>313</v>
      </c>
      <c r="O238">
        <v>31</v>
      </c>
    </row>
    <row r="239" spans="2:15" x14ac:dyDescent="0.35">
      <c r="B239" t="s">
        <v>62</v>
      </c>
      <c r="C239" t="s">
        <v>1007</v>
      </c>
      <c r="D239" s="26">
        <v>1.95804071984032E+17</v>
      </c>
      <c r="E239" t="s">
        <v>1053</v>
      </c>
      <c r="F239" t="s">
        <v>1120</v>
      </c>
      <c r="G239" s="3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0</v>
      </c>
    </row>
    <row r="240" spans="2:15" x14ac:dyDescent="0.35">
      <c r="B240" t="s">
        <v>62</v>
      </c>
      <c r="C240" t="s">
        <v>998</v>
      </c>
      <c r="D240" s="26">
        <v>1.9860720202203101E+17</v>
      </c>
      <c r="E240" t="s">
        <v>999</v>
      </c>
      <c r="F240" t="s">
        <v>1120</v>
      </c>
      <c r="G240" s="3">
        <v>9</v>
      </c>
      <c r="H240">
        <v>4</v>
      </c>
      <c r="I240">
        <v>5</v>
      </c>
      <c r="J240">
        <v>0</v>
      </c>
      <c r="K240">
        <v>0</v>
      </c>
      <c r="L240">
        <v>0</v>
      </c>
      <c r="M240">
        <v>9</v>
      </c>
      <c r="N240">
        <v>4</v>
      </c>
      <c r="O240">
        <v>5</v>
      </c>
    </row>
    <row r="241" spans="2:15" x14ac:dyDescent="0.35">
      <c r="B241" t="s">
        <v>62</v>
      </c>
      <c r="C241" t="s">
        <v>990</v>
      </c>
      <c r="D241" s="26">
        <v>2.0200519750203101E+17</v>
      </c>
      <c r="E241" t="s">
        <v>992</v>
      </c>
      <c r="F241" t="s">
        <v>1123</v>
      </c>
      <c r="G241" s="3">
        <v>10</v>
      </c>
      <c r="H241">
        <v>10</v>
      </c>
      <c r="I241">
        <v>0</v>
      </c>
      <c r="J241">
        <v>0</v>
      </c>
      <c r="K241">
        <v>0</v>
      </c>
      <c r="L241">
        <v>0</v>
      </c>
      <c r="M241">
        <v>10</v>
      </c>
      <c r="N241">
        <v>10</v>
      </c>
      <c r="O241">
        <v>0</v>
      </c>
    </row>
    <row r="242" spans="2:15" x14ac:dyDescent="0.35">
      <c r="B242" t="s">
        <v>62</v>
      </c>
      <c r="C242" t="s">
        <v>1018</v>
      </c>
      <c r="D242" s="26">
        <v>1.9751204201412198E+17</v>
      </c>
      <c r="E242" t="s">
        <v>1124</v>
      </c>
      <c r="F242" t="s">
        <v>1120</v>
      </c>
      <c r="G242" s="3">
        <v>1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</v>
      </c>
    </row>
    <row r="243" spans="2:15" x14ac:dyDescent="0.35">
      <c r="B243" t="s">
        <v>62</v>
      </c>
      <c r="C243" t="s">
        <v>1025</v>
      </c>
      <c r="D243" s="26">
        <v>1.9660815199903101E+17</v>
      </c>
      <c r="E243" t="s">
        <v>1027</v>
      </c>
      <c r="F243" t="s">
        <v>1120</v>
      </c>
      <c r="G243" s="3">
        <v>3</v>
      </c>
      <c r="H243">
        <v>2</v>
      </c>
      <c r="I243">
        <v>1</v>
      </c>
      <c r="J243">
        <v>0</v>
      </c>
      <c r="K243">
        <v>0</v>
      </c>
      <c r="L243">
        <v>0</v>
      </c>
      <c r="M243">
        <v>3</v>
      </c>
      <c r="N243">
        <v>2</v>
      </c>
      <c r="O243">
        <v>1</v>
      </c>
    </row>
    <row r="244" spans="2:15" x14ac:dyDescent="0.35">
      <c r="B244" t="s">
        <v>62</v>
      </c>
      <c r="C244" t="s">
        <v>755</v>
      </c>
      <c r="D244" s="26">
        <v>1.9740105200212198E+17</v>
      </c>
      <c r="E244" t="s">
        <v>1125</v>
      </c>
      <c r="F244" t="s">
        <v>1126</v>
      </c>
      <c r="G244" s="3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</v>
      </c>
    </row>
    <row r="245" spans="2:15" x14ac:dyDescent="0.35">
      <c r="B245" t="s">
        <v>62</v>
      </c>
      <c r="C245" t="s">
        <v>859</v>
      </c>
      <c r="D245" s="26" t="s">
        <v>1127</v>
      </c>
      <c r="E245" t="s">
        <v>1045</v>
      </c>
      <c r="F245" t="s">
        <v>1059</v>
      </c>
      <c r="G245" s="3">
        <v>1517</v>
      </c>
      <c r="H245">
        <v>1318</v>
      </c>
      <c r="I245">
        <v>199</v>
      </c>
      <c r="J245">
        <v>96</v>
      </c>
      <c r="K245">
        <v>0</v>
      </c>
      <c r="L245">
        <v>96</v>
      </c>
      <c r="M245">
        <v>1421</v>
      </c>
      <c r="N245">
        <v>1318</v>
      </c>
      <c r="O245">
        <v>103</v>
      </c>
    </row>
    <row r="246" spans="2:15" x14ac:dyDescent="0.35">
      <c r="B246" t="s">
        <v>62</v>
      </c>
      <c r="C246" t="s">
        <v>1128</v>
      </c>
      <c r="D246" s="26" t="s">
        <v>1076</v>
      </c>
      <c r="E246" t="s">
        <v>1129</v>
      </c>
      <c r="F246" t="s">
        <v>1130</v>
      </c>
      <c r="G246" s="3">
        <v>14</v>
      </c>
      <c r="H246">
        <v>3</v>
      </c>
      <c r="I246">
        <v>11</v>
      </c>
      <c r="J246">
        <v>11</v>
      </c>
      <c r="K246">
        <v>0</v>
      </c>
      <c r="L246">
        <v>11</v>
      </c>
      <c r="M246">
        <v>3</v>
      </c>
      <c r="N246">
        <v>3</v>
      </c>
      <c r="O246">
        <v>0</v>
      </c>
    </row>
    <row r="247" spans="2:15" x14ac:dyDescent="0.35">
      <c r="B247" t="s">
        <v>62</v>
      </c>
      <c r="C247" t="s">
        <v>982</v>
      </c>
      <c r="D247" s="26">
        <v>1.98602132018012E+17</v>
      </c>
      <c r="E247" t="s">
        <v>983</v>
      </c>
      <c r="F247" t="s">
        <v>1130</v>
      </c>
      <c r="G247" s="3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</row>
    <row r="248" spans="2:15" ht="18.5" x14ac:dyDescent="0.45">
      <c r="G248" s="28">
        <f>SUM(G232:G247)</f>
        <v>637223</v>
      </c>
    </row>
    <row r="250" spans="2:15" x14ac:dyDescent="0.35">
      <c r="B250" t="s">
        <v>72</v>
      </c>
      <c r="F250" t="s">
        <v>981</v>
      </c>
      <c r="G250" s="3">
        <v>12247</v>
      </c>
      <c r="H250">
        <v>10275</v>
      </c>
      <c r="I250">
        <v>1972</v>
      </c>
      <c r="J250">
        <v>503</v>
      </c>
      <c r="K250">
        <v>6</v>
      </c>
      <c r="L250">
        <v>497</v>
      </c>
      <c r="M250">
        <v>11744</v>
      </c>
      <c r="N250">
        <v>10269</v>
      </c>
      <c r="O250">
        <v>1475</v>
      </c>
    </row>
    <row r="251" spans="2:15" x14ac:dyDescent="0.35">
      <c r="B251" t="s">
        <v>72</v>
      </c>
      <c r="C251" t="s">
        <v>390</v>
      </c>
      <c r="D251" s="26">
        <v>1.96309041990032E+17</v>
      </c>
      <c r="E251" t="s">
        <v>1131</v>
      </c>
      <c r="F251" t="s">
        <v>984</v>
      </c>
      <c r="G251" s="3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>
        <v>0</v>
      </c>
    </row>
    <row r="252" spans="2:15" x14ac:dyDescent="0.35">
      <c r="B252" t="s">
        <v>72</v>
      </c>
      <c r="C252" t="s">
        <v>1014</v>
      </c>
      <c r="D252" s="26" t="s">
        <v>1073</v>
      </c>
      <c r="E252" t="s">
        <v>1074</v>
      </c>
      <c r="F252" t="s">
        <v>1132</v>
      </c>
      <c r="G252" s="3">
        <v>126</v>
      </c>
      <c r="H252">
        <v>121</v>
      </c>
      <c r="I252">
        <v>5</v>
      </c>
      <c r="J252">
        <v>1</v>
      </c>
      <c r="K252">
        <v>0</v>
      </c>
      <c r="L252">
        <v>1</v>
      </c>
      <c r="M252">
        <v>125</v>
      </c>
      <c r="N252">
        <v>121</v>
      </c>
      <c r="O252">
        <v>4</v>
      </c>
    </row>
    <row r="253" spans="2:15" x14ac:dyDescent="0.35">
      <c r="B253" t="s">
        <v>72</v>
      </c>
      <c r="C253" t="s">
        <v>1020</v>
      </c>
      <c r="D253" s="26">
        <v>2.0200519861023101E+17</v>
      </c>
      <c r="E253" t="s">
        <v>1133</v>
      </c>
      <c r="F253" t="s">
        <v>1134</v>
      </c>
      <c r="G253" s="3">
        <v>3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3</v>
      </c>
      <c r="N253">
        <v>2</v>
      </c>
      <c r="O253">
        <v>1</v>
      </c>
    </row>
    <row r="254" spans="2:15" x14ac:dyDescent="0.35">
      <c r="B254" t="s">
        <v>72</v>
      </c>
      <c r="C254" t="s">
        <v>977</v>
      </c>
      <c r="D254" s="26">
        <v>1.9760423200312198E+17</v>
      </c>
      <c r="E254" t="s">
        <v>1090</v>
      </c>
      <c r="F254" t="s">
        <v>1135</v>
      </c>
      <c r="G254" s="3">
        <v>8</v>
      </c>
      <c r="H254">
        <v>7</v>
      </c>
      <c r="I254">
        <v>1</v>
      </c>
      <c r="J254">
        <v>0</v>
      </c>
      <c r="K254">
        <v>0</v>
      </c>
      <c r="L254">
        <v>0</v>
      </c>
      <c r="M254">
        <v>8</v>
      </c>
      <c r="N254">
        <v>7</v>
      </c>
      <c r="O254">
        <v>1</v>
      </c>
    </row>
    <row r="255" spans="2:15" x14ac:dyDescent="0.35">
      <c r="B255" t="s">
        <v>72</v>
      </c>
      <c r="C255" t="s">
        <v>755</v>
      </c>
      <c r="D255" s="26">
        <v>2.0200519850129101E+17</v>
      </c>
      <c r="E255" t="s">
        <v>988</v>
      </c>
      <c r="F255" t="s">
        <v>1057</v>
      </c>
      <c r="G255" s="3">
        <v>103</v>
      </c>
      <c r="H255">
        <v>102</v>
      </c>
      <c r="I255">
        <v>1</v>
      </c>
      <c r="J255">
        <v>1</v>
      </c>
      <c r="K255">
        <v>0</v>
      </c>
      <c r="L255">
        <v>1</v>
      </c>
      <c r="M255">
        <v>102</v>
      </c>
      <c r="N255">
        <v>102</v>
      </c>
      <c r="O255">
        <v>0</v>
      </c>
    </row>
    <row r="256" spans="2:15" x14ac:dyDescent="0.35">
      <c r="B256" t="s">
        <v>72</v>
      </c>
      <c r="C256" t="s">
        <v>982</v>
      </c>
      <c r="D256" s="26" t="s">
        <v>1136</v>
      </c>
      <c r="E256" t="s">
        <v>983</v>
      </c>
      <c r="F256" t="s">
        <v>981</v>
      </c>
      <c r="G256" s="3">
        <v>41126</v>
      </c>
      <c r="H256">
        <v>36643</v>
      </c>
      <c r="I256">
        <v>4483</v>
      </c>
      <c r="J256">
        <v>134</v>
      </c>
      <c r="K256">
        <v>16</v>
      </c>
      <c r="L256">
        <v>118</v>
      </c>
      <c r="M256">
        <v>40992</v>
      </c>
      <c r="N256">
        <v>36627</v>
      </c>
      <c r="O256">
        <v>4365</v>
      </c>
    </row>
    <row r="257" spans="2:15" x14ac:dyDescent="0.35">
      <c r="B257" t="s">
        <v>72</v>
      </c>
      <c r="C257" t="s">
        <v>662</v>
      </c>
      <c r="D257" s="26">
        <v>1.98407152022032E+17</v>
      </c>
      <c r="E257" t="s">
        <v>1137</v>
      </c>
      <c r="F257" t="s">
        <v>1138</v>
      </c>
      <c r="G257" s="3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</row>
    <row r="258" spans="2:15" x14ac:dyDescent="0.35">
      <c r="B258" t="s">
        <v>589</v>
      </c>
      <c r="F258" t="s">
        <v>1054</v>
      </c>
      <c r="G258" s="3">
        <v>38914</v>
      </c>
      <c r="H258">
        <v>35109</v>
      </c>
      <c r="I258">
        <v>3805</v>
      </c>
      <c r="J258">
        <v>33581</v>
      </c>
      <c r="K258">
        <v>29892</v>
      </c>
      <c r="L258">
        <v>3689</v>
      </c>
      <c r="M258">
        <v>5333</v>
      </c>
      <c r="N258">
        <v>5217</v>
      </c>
      <c r="O258">
        <v>116</v>
      </c>
    </row>
    <row r="259" spans="2:15" x14ac:dyDescent="0.35">
      <c r="B259" t="s">
        <v>589</v>
      </c>
      <c r="C259" t="s">
        <v>1020</v>
      </c>
      <c r="D259" s="26">
        <v>2.0200519861023101E+17</v>
      </c>
      <c r="E259" t="s">
        <v>1154</v>
      </c>
      <c r="F259" t="s">
        <v>1155</v>
      </c>
      <c r="G259" s="3">
        <v>2</v>
      </c>
      <c r="H259">
        <v>2</v>
      </c>
      <c r="I259">
        <v>0</v>
      </c>
      <c r="J259">
        <v>2</v>
      </c>
      <c r="K259">
        <v>2</v>
      </c>
      <c r="L259">
        <v>0</v>
      </c>
      <c r="M259">
        <v>0</v>
      </c>
      <c r="N259">
        <v>0</v>
      </c>
      <c r="O259">
        <v>0</v>
      </c>
    </row>
    <row r="260" spans="2:15" x14ac:dyDescent="0.35">
      <c r="B260" t="s">
        <v>589</v>
      </c>
      <c r="C260" t="s">
        <v>898</v>
      </c>
      <c r="D260" s="26">
        <v>1.97001101998032E+17</v>
      </c>
      <c r="E260" t="s">
        <v>993</v>
      </c>
      <c r="F260" t="s">
        <v>1089</v>
      </c>
      <c r="G260" s="3">
        <v>1</v>
      </c>
      <c r="H260">
        <v>1</v>
      </c>
      <c r="I260">
        <v>0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</row>
    <row r="261" spans="2:15" x14ac:dyDescent="0.35">
      <c r="B261" t="s">
        <v>589</v>
      </c>
      <c r="C261" t="s">
        <v>859</v>
      </c>
      <c r="D261" s="26">
        <v>1.97802152005012E+17</v>
      </c>
      <c r="E261" t="s">
        <v>1156</v>
      </c>
      <c r="F261" t="s">
        <v>1157</v>
      </c>
      <c r="G261" s="3">
        <v>1</v>
      </c>
      <c r="H261">
        <v>1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</row>
    <row r="262" spans="2:15" x14ac:dyDescent="0.35">
      <c r="B262" t="s">
        <v>589</v>
      </c>
      <c r="C262" t="s">
        <v>982</v>
      </c>
      <c r="D262" s="26">
        <v>1.96702101996032E+17</v>
      </c>
      <c r="E262" t="s">
        <v>1158</v>
      </c>
      <c r="F262" t="s">
        <v>1159</v>
      </c>
      <c r="G262" s="3">
        <v>1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</row>
    <row r="263" spans="2:15" x14ac:dyDescent="0.35">
      <c r="B263" t="s">
        <v>589</v>
      </c>
      <c r="C263" t="s">
        <v>1004</v>
      </c>
      <c r="D263" s="26" t="s">
        <v>1005</v>
      </c>
      <c r="E263" t="s">
        <v>1006</v>
      </c>
      <c r="F263" t="s">
        <v>1080</v>
      </c>
      <c r="G263" s="3">
        <v>16107</v>
      </c>
      <c r="H263">
        <v>15326</v>
      </c>
      <c r="I263">
        <v>781</v>
      </c>
      <c r="J263">
        <v>15432</v>
      </c>
      <c r="K263">
        <v>14691</v>
      </c>
      <c r="L263">
        <v>741</v>
      </c>
      <c r="M263">
        <v>675</v>
      </c>
      <c r="N263">
        <v>635</v>
      </c>
      <c r="O263">
        <v>40</v>
      </c>
    </row>
    <row r="264" spans="2:15" x14ac:dyDescent="0.35">
      <c r="B264" t="s">
        <v>719</v>
      </c>
      <c r="F264" t="s">
        <v>1085</v>
      </c>
      <c r="G264" s="3">
        <v>3855</v>
      </c>
      <c r="H264">
        <v>3676</v>
      </c>
      <c r="I264">
        <v>179</v>
      </c>
      <c r="J264">
        <v>21</v>
      </c>
      <c r="K264">
        <v>0</v>
      </c>
      <c r="L264">
        <v>21</v>
      </c>
      <c r="M264">
        <v>3834</v>
      </c>
      <c r="N264">
        <v>3676</v>
      </c>
      <c r="O264">
        <v>158</v>
      </c>
    </row>
    <row r="265" spans="2:15" x14ac:dyDescent="0.35">
      <c r="B265" t="s">
        <v>719</v>
      </c>
      <c r="C265" t="s">
        <v>390</v>
      </c>
      <c r="D265" s="26">
        <v>1.9860821201902202E+17</v>
      </c>
      <c r="E265" t="s">
        <v>997</v>
      </c>
      <c r="F265" t="s">
        <v>1086</v>
      </c>
      <c r="G265" s="3">
        <v>857</v>
      </c>
      <c r="H265">
        <v>844</v>
      </c>
      <c r="I265">
        <v>13</v>
      </c>
      <c r="J265">
        <v>1</v>
      </c>
      <c r="K265">
        <v>0</v>
      </c>
      <c r="L265">
        <v>1</v>
      </c>
      <c r="M265">
        <v>856</v>
      </c>
      <c r="N265">
        <v>844</v>
      </c>
      <c r="O265">
        <v>12</v>
      </c>
    </row>
    <row r="266" spans="2:15" x14ac:dyDescent="0.35">
      <c r="B266" t="s">
        <v>719</v>
      </c>
      <c r="C266" t="s">
        <v>1014</v>
      </c>
      <c r="D266" s="26" t="s">
        <v>1073</v>
      </c>
      <c r="E266" t="s">
        <v>1074</v>
      </c>
      <c r="F266" t="s">
        <v>1087</v>
      </c>
      <c r="G266" s="3">
        <v>259</v>
      </c>
      <c r="H266">
        <v>236</v>
      </c>
      <c r="I266">
        <v>23</v>
      </c>
      <c r="J266">
        <v>0</v>
      </c>
      <c r="K266">
        <v>0</v>
      </c>
      <c r="L266">
        <v>0</v>
      </c>
      <c r="M266">
        <v>259</v>
      </c>
      <c r="N266">
        <v>236</v>
      </c>
      <c r="O266">
        <v>23</v>
      </c>
    </row>
    <row r="267" spans="2:15" x14ac:dyDescent="0.35">
      <c r="B267" t="s">
        <v>719</v>
      </c>
      <c r="C267" t="s">
        <v>1031</v>
      </c>
      <c r="D267" s="26">
        <v>2.02005197910092E+17</v>
      </c>
      <c r="E267" t="s">
        <v>1088</v>
      </c>
      <c r="F267" t="s">
        <v>1089</v>
      </c>
      <c r="G267" s="3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</row>
    <row r="268" spans="2:15" x14ac:dyDescent="0.35">
      <c r="B268" t="s">
        <v>719</v>
      </c>
      <c r="C268" t="s">
        <v>1022</v>
      </c>
      <c r="D268" s="26">
        <v>1.9850505202012099E+17</v>
      </c>
      <c r="E268" t="s">
        <v>1023</v>
      </c>
      <c r="F268" t="s">
        <v>1056</v>
      </c>
      <c r="G268" s="3">
        <v>143</v>
      </c>
      <c r="H268">
        <v>142</v>
      </c>
      <c r="I268">
        <v>1</v>
      </c>
      <c r="J268">
        <v>1</v>
      </c>
      <c r="K268">
        <v>0</v>
      </c>
      <c r="L268">
        <v>1</v>
      </c>
      <c r="M268">
        <v>142</v>
      </c>
      <c r="N268">
        <v>142</v>
      </c>
      <c r="O268">
        <v>0</v>
      </c>
    </row>
    <row r="269" spans="2:15" x14ac:dyDescent="0.35">
      <c r="B269" t="s">
        <v>719</v>
      </c>
      <c r="C269" t="s">
        <v>977</v>
      </c>
      <c r="D269" s="26">
        <v>1.9600521198912099E+17</v>
      </c>
      <c r="E269" t="s">
        <v>1090</v>
      </c>
      <c r="F269" t="s">
        <v>1091</v>
      </c>
      <c r="G269" s="3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0</v>
      </c>
    </row>
    <row r="270" spans="2:15" x14ac:dyDescent="0.35">
      <c r="B270" t="s">
        <v>719</v>
      </c>
      <c r="C270" t="s">
        <v>1007</v>
      </c>
      <c r="D270" s="26">
        <v>1.9800412201412198E+17</v>
      </c>
      <c r="E270" t="s">
        <v>1008</v>
      </c>
      <c r="F270" t="s">
        <v>1092</v>
      </c>
      <c r="G270" s="3">
        <v>52</v>
      </c>
      <c r="H270">
        <v>49</v>
      </c>
      <c r="I270">
        <v>3</v>
      </c>
      <c r="J270">
        <v>0</v>
      </c>
      <c r="K270">
        <v>0</v>
      </c>
      <c r="L270">
        <v>0</v>
      </c>
      <c r="M270">
        <v>52</v>
      </c>
      <c r="N270">
        <v>49</v>
      </c>
      <c r="O270">
        <v>3</v>
      </c>
    </row>
    <row r="271" spans="2:15" x14ac:dyDescent="0.35">
      <c r="B271" t="s">
        <v>719</v>
      </c>
      <c r="C271" t="s">
        <v>1093</v>
      </c>
      <c r="D271" s="26">
        <v>1.9650516199903101E+17</v>
      </c>
      <c r="E271" t="s">
        <v>1094</v>
      </c>
      <c r="F271" t="s">
        <v>1087</v>
      </c>
      <c r="G271" s="3">
        <v>339</v>
      </c>
      <c r="H271">
        <v>324</v>
      </c>
      <c r="I271">
        <v>15</v>
      </c>
      <c r="J271">
        <v>0</v>
      </c>
      <c r="K271">
        <v>0</v>
      </c>
      <c r="L271">
        <v>0</v>
      </c>
      <c r="M271">
        <v>339</v>
      </c>
      <c r="N271">
        <v>324</v>
      </c>
      <c r="O271">
        <v>15</v>
      </c>
    </row>
    <row r="272" spans="2:15" x14ac:dyDescent="0.35">
      <c r="B272" t="s">
        <v>719</v>
      </c>
      <c r="C272" t="s">
        <v>998</v>
      </c>
      <c r="D272" s="26">
        <v>1.9830418201412198E+17</v>
      </c>
      <c r="E272" t="s">
        <v>1095</v>
      </c>
      <c r="F272" t="s">
        <v>1089</v>
      </c>
      <c r="G272" s="3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</row>
    <row r="273" spans="2:15" x14ac:dyDescent="0.35">
      <c r="B273" t="s">
        <v>719</v>
      </c>
      <c r="C273" t="s">
        <v>1043</v>
      </c>
      <c r="D273" s="26">
        <v>1.9750329200812198E+17</v>
      </c>
      <c r="E273" t="s">
        <v>1044</v>
      </c>
      <c r="F273" t="s">
        <v>1048</v>
      </c>
      <c r="G273" s="3">
        <v>91</v>
      </c>
      <c r="H273">
        <v>90</v>
      </c>
      <c r="I273">
        <v>1</v>
      </c>
      <c r="J273">
        <v>0</v>
      </c>
      <c r="K273">
        <v>0</v>
      </c>
      <c r="L273">
        <v>0</v>
      </c>
      <c r="M273">
        <v>91</v>
      </c>
      <c r="N273">
        <v>90</v>
      </c>
      <c r="O273">
        <v>1</v>
      </c>
    </row>
    <row r="274" spans="2:15" x14ac:dyDescent="0.35">
      <c r="B274" t="s">
        <v>719</v>
      </c>
      <c r="C274" t="s">
        <v>990</v>
      </c>
      <c r="D274" s="26">
        <v>2.0200519750203101E+17</v>
      </c>
      <c r="E274" t="s">
        <v>992</v>
      </c>
      <c r="F274" t="s">
        <v>1096</v>
      </c>
      <c r="G274" s="3">
        <v>1046</v>
      </c>
      <c r="H274">
        <v>1006</v>
      </c>
      <c r="I274">
        <v>40</v>
      </c>
      <c r="J274">
        <v>3</v>
      </c>
      <c r="K274">
        <v>0</v>
      </c>
      <c r="L274">
        <v>3</v>
      </c>
      <c r="M274">
        <v>1043</v>
      </c>
      <c r="N274">
        <v>1006</v>
      </c>
      <c r="O274">
        <v>37</v>
      </c>
    </row>
    <row r="275" spans="2:15" x14ac:dyDescent="0.35">
      <c r="B275" t="s">
        <v>719</v>
      </c>
      <c r="C275" t="s">
        <v>1000</v>
      </c>
      <c r="D275" s="26" t="s">
        <v>1001</v>
      </c>
      <c r="E275" t="s">
        <v>1002</v>
      </c>
      <c r="F275" t="s">
        <v>1079</v>
      </c>
      <c r="G275" s="3">
        <v>3750</v>
      </c>
      <c r="H275">
        <v>3461</v>
      </c>
      <c r="I275">
        <v>289</v>
      </c>
      <c r="J275">
        <v>70</v>
      </c>
      <c r="K275">
        <v>1</v>
      </c>
      <c r="L275">
        <v>69</v>
      </c>
      <c r="M275">
        <v>3680</v>
      </c>
      <c r="N275">
        <v>3460</v>
      </c>
      <c r="O275">
        <v>220</v>
      </c>
    </row>
    <row r="276" spans="2:15" x14ac:dyDescent="0.35">
      <c r="B276" t="s">
        <v>719</v>
      </c>
      <c r="C276" t="s">
        <v>655</v>
      </c>
      <c r="D276" s="26">
        <v>1.95805021986032E+17</v>
      </c>
      <c r="E276" t="s">
        <v>1070</v>
      </c>
      <c r="F276" t="s">
        <v>1089</v>
      </c>
      <c r="G276" s="3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</v>
      </c>
    </row>
    <row r="277" spans="2:15" x14ac:dyDescent="0.35">
      <c r="B277" t="s">
        <v>719</v>
      </c>
      <c r="C277" t="s">
        <v>1025</v>
      </c>
      <c r="D277" s="26">
        <v>1.9780214201212099E+17</v>
      </c>
      <c r="E277" t="s">
        <v>1097</v>
      </c>
      <c r="F277" t="s">
        <v>1089</v>
      </c>
      <c r="G277" s="3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0</v>
      </c>
    </row>
    <row r="278" spans="2:15" x14ac:dyDescent="0.35">
      <c r="B278" t="s">
        <v>719</v>
      </c>
      <c r="C278" t="s">
        <v>755</v>
      </c>
      <c r="D278" s="26">
        <v>2.0200519850129101E+17</v>
      </c>
      <c r="E278" t="s">
        <v>988</v>
      </c>
      <c r="F278" t="s">
        <v>1061</v>
      </c>
      <c r="G278" s="3">
        <v>82</v>
      </c>
      <c r="H278">
        <v>80</v>
      </c>
      <c r="I278">
        <v>2</v>
      </c>
      <c r="J278">
        <v>0</v>
      </c>
      <c r="K278">
        <v>0</v>
      </c>
      <c r="L278">
        <v>0</v>
      </c>
      <c r="M278">
        <v>82</v>
      </c>
      <c r="N278">
        <v>80</v>
      </c>
      <c r="O278">
        <v>2</v>
      </c>
    </row>
    <row r="279" spans="2:15" x14ac:dyDescent="0.35">
      <c r="B279" t="s">
        <v>719</v>
      </c>
      <c r="C279" t="s">
        <v>1041</v>
      </c>
      <c r="D279" s="26">
        <v>1.9660414199803101E+17</v>
      </c>
      <c r="E279" t="s">
        <v>1042</v>
      </c>
      <c r="F279" t="s">
        <v>1098</v>
      </c>
      <c r="G279" s="3">
        <v>2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2</v>
      </c>
      <c r="N279">
        <v>2</v>
      </c>
      <c r="O279">
        <v>0</v>
      </c>
    </row>
    <row r="280" spans="2:15" x14ac:dyDescent="0.35">
      <c r="B280" t="s">
        <v>719</v>
      </c>
      <c r="C280" t="s">
        <v>1004</v>
      </c>
      <c r="D280" s="26" t="s">
        <v>1005</v>
      </c>
      <c r="E280" t="s">
        <v>1006</v>
      </c>
      <c r="F280" t="s">
        <v>1056</v>
      </c>
      <c r="G280" s="3">
        <v>3813</v>
      </c>
      <c r="H280">
        <v>3687</v>
      </c>
      <c r="I280">
        <v>126</v>
      </c>
      <c r="J280">
        <v>87</v>
      </c>
      <c r="K280">
        <v>0</v>
      </c>
      <c r="L280">
        <v>87</v>
      </c>
      <c r="M280">
        <v>3726</v>
      </c>
      <c r="N280">
        <v>3687</v>
      </c>
      <c r="O280">
        <v>39</v>
      </c>
    </row>
    <row r="281" spans="2:15" x14ac:dyDescent="0.35">
      <c r="B281" t="s">
        <v>719</v>
      </c>
      <c r="C281" t="s">
        <v>662</v>
      </c>
      <c r="D281" s="26">
        <v>1.9840915201412198E+17</v>
      </c>
      <c r="E281" t="s">
        <v>989</v>
      </c>
      <c r="F281" t="s">
        <v>1085</v>
      </c>
      <c r="G281" s="3">
        <v>2151</v>
      </c>
      <c r="H281">
        <v>2042</v>
      </c>
      <c r="I281">
        <v>109</v>
      </c>
      <c r="J281">
        <v>39</v>
      </c>
      <c r="K281">
        <v>0</v>
      </c>
      <c r="L281">
        <v>39</v>
      </c>
      <c r="M281">
        <v>2112</v>
      </c>
      <c r="N281">
        <v>2042</v>
      </c>
      <c r="O281">
        <v>70</v>
      </c>
    </row>
    <row r="282" spans="2:15" x14ac:dyDescent="0.35">
      <c r="B282" t="s">
        <v>719</v>
      </c>
      <c r="C282" t="s">
        <v>1034</v>
      </c>
      <c r="D282" s="26" t="s">
        <v>1035</v>
      </c>
      <c r="E282" t="s">
        <v>1099</v>
      </c>
      <c r="F282" t="s">
        <v>1079</v>
      </c>
      <c r="G282" s="3">
        <v>1615</v>
      </c>
      <c r="H282">
        <v>1464</v>
      </c>
      <c r="I282">
        <v>151</v>
      </c>
      <c r="J282">
        <v>12</v>
      </c>
      <c r="K282">
        <v>0</v>
      </c>
      <c r="L282">
        <v>12</v>
      </c>
      <c r="M282">
        <v>1603</v>
      </c>
      <c r="N282">
        <v>1464</v>
      </c>
      <c r="O282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konsepPerhitungan</vt:lpstr>
      <vt:lpstr>ruang</vt:lpstr>
      <vt:lpstr>data</vt:lpstr>
      <vt:lpstr>nilai</vt:lpstr>
      <vt:lpstr>perKSM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PROGRAMMER-01</dc:creator>
  <cp:lastModifiedBy>sapto sisworo</cp:lastModifiedBy>
  <dcterms:created xsi:type="dcterms:W3CDTF">2023-05-02T10:22:34Z</dcterms:created>
  <dcterms:modified xsi:type="dcterms:W3CDTF">2023-05-04T09:12:16Z</dcterms:modified>
</cp:coreProperties>
</file>